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98763\Desktop\"/>
    </mc:Choice>
  </mc:AlternateContent>
  <xr:revisionPtr revIDLastSave="0" documentId="13_ncr:1_{69CF1E3C-9DD1-4131-AFB8-05E41260262B}" xr6:coauthVersionLast="47" xr6:coauthVersionMax="47" xr10:uidLastSave="{00000000-0000-0000-0000-000000000000}"/>
  <bookViews>
    <workbookView xWindow="-108" yWindow="-108" windowWidth="23256" windowHeight="12576" tabRatio="634" xr2:uid="{0062EFE2-5D88-467A-8AF6-6BAFBB89F2D5}"/>
  </bookViews>
  <sheets>
    <sheet name="总览表" sheetId="23" r:id="rId1"/>
    <sheet name="02设定表" sheetId="11" r:id="rId2"/>
    <sheet name="02角色表" sheetId="12" r:id="rId3"/>
    <sheet name="02守卫表" sheetId="5" r:id="rId4"/>
    <sheet name="02骰子表" sheetId="1" r:id="rId5"/>
    <sheet name="02效果表" sheetId="10" r:id="rId6"/>
    <sheet name="02关卡表" sheetId="4" r:id="rId7"/>
    <sheet name="02怪物表" sheetId="13" r:id="rId8"/>
    <sheet name="02祝福表" sheetId="7" r:id="rId9"/>
    <sheet name="02事件表" sheetId="6" r:id="rId10"/>
    <sheet name="02商店表" sheetId="15" r:id="rId11"/>
    <sheet name="02池子表" sheetId="18" r:id="rId12"/>
    <sheet name="02产耗表" sheetId="21" r:id="rId13"/>
    <sheet name="02统计表" sheetId="22" r:id="rId14"/>
    <sheet name="02玩法表" sheetId="19" r:id="rId15"/>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8" i="22" l="1"/>
  <c r="L19" i="22"/>
  <c r="L20" i="22"/>
  <c r="L21" i="22"/>
  <c r="L22" i="22"/>
  <c r="L23" i="22"/>
  <c r="L24" i="22"/>
  <c r="L25" i="22"/>
  <c r="L26" i="22"/>
  <c r="L27" i="22"/>
  <c r="L28" i="22"/>
  <c r="L29" i="22"/>
  <c r="L30" i="22"/>
  <c r="L31" i="22"/>
  <c r="L32" i="22"/>
  <c r="L33" i="22"/>
  <c r="L34" i="22"/>
  <c r="L35" i="22"/>
  <c r="L36" i="22"/>
  <c r="L37" i="22"/>
  <c r="L38" i="22"/>
  <c r="L39" i="22"/>
  <c r="L40" i="22"/>
  <c r="L41" i="22"/>
  <c r="L42" i="22"/>
  <c r="L43" i="22"/>
  <c r="L44" i="22"/>
  <c r="L45" i="22"/>
  <c r="L46" i="22"/>
  <c r="L47" i="22"/>
  <c r="L48" i="22"/>
  <c r="L49" i="22"/>
  <c r="L50" i="22"/>
  <c r="L51" i="22"/>
  <c r="L52" i="22"/>
  <c r="L53" i="22"/>
  <c r="L54" i="22"/>
  <c r="L55" i="22"/>
  <c r="L56" i="22"/>
  <c r="L57" i="22"/>
  <c r="L58" i="22"/>
  <c r="L59" i="22"/>
  <c r="L17" i="22"/>
  <c r="L16" i="22"/>
  <c r="L15" i="22"/>
  <c r="L14" i="22"/>
  <c r="L13" i="22"/>
  <c r="L12" i="22"/>
  <c r="L11" i="22"/>
  <c r="L10" i="22"/>
  <c r="L9" i="22"/>
  <c r="L8" i="22"/>
  <c r="L7" i="22"/>
  <c r="L6" i="22"/>
  <c r="L5" i="22"/>
  <c r="L4" i="22"/>
  <c r="K47" i="22"/>
  <c r="K48" i="22"/>
  <c r="K49" i="22"/>
  <c r="K50" i="22"/>
  <c r="K51" i="22"/>
  <c r="K52" i="22"/>
  <c r="K53" i="22"/>
  <c r="K54" i="22"/>
  <c r="K55" i="22"/>
  <c r="K56" i="22"/>
  <c r="K57" i="22"/>
  <c r="K58" i="22"/>
  <c r="K59" i="22"/>
  <c r="K46" i="22"/>
  <c r="K5" i="22"/>
  <c r="K6" i="22"/>
  <c r="K7" i="22"/>
  <c r="K8" i="22"/>
  <c r="K9" i="22"/>
  <c r="K10" i="22"/>
  <c r="K11" i="22"/>
  <c r="K12" i="22"/>
  <c r="K13" i="22"/>
  <c r="K14" i="22"/>
  <c r="K15" i="22"/>
  <c r="K16" i="22"/>
  <c r="K17" i="22"/>
  <c r="K18" i="22"/>
  <c r="K19" i="22"/>
  <c r="K20" i="22"/>
  <c r="K21" i="22"/>
  <c r="K22" i="22"/>
  <c r="K23" i="22"/>
  <c r="K24" i="22"/>
  <c r="K25" i="22"/>
  <c r="K26" i="22"/>
  <c r="K27" i="22"/>
  <c r="K28" i="22"/>
  <c r="K29" i="22"/>
  <c r="K30" i="22"/>
  <c r="K31" i="22"/>
  <c r="K32" i="22"/>
  <c r="K33" i="22"/>
  <c r="K34" i="22"/>
  <c r="K35" i="22"/>
  <c r="K36" i="22"/>
  <c r="K37" i="22"/>
  <c r="K38" i="22"/>
  <c r="K39" i="22"/>
  <c r="K40" i="22"/>
  <c r="K41" i="22"/>
  <c r="K42" i="22"/>
  <c r="K43" i="22"/>
  <c r="K44" i="22"/>
  <c r="K45" i="22"/>
  <c r="K4" i="22"/>
  <c r="E7" i="22"/>
  <c r="F7" i="22" s="1"/>
  <c r="E8" i="22"/>
  <c r="E9" i="22"/>
  <c r="E10" i="22"/>
  <c r="F10" i="22" s="1"/>
  <c r="E11" i="22"/>
  <c r="E12" i="22"/>
  <c r="E13" i="22"/>
  <c r="F13" i="22" s="1"/>
  <c r="E14" i="22"/>
  <c r="E15" i="22"/>
  <c r="E16" i="22"/>
  <c r="F16" i="22" s="1"/>
  <c r="E17" i="22"/>
  <c r="E18" i="22"/>
  <c r="E19" i="22"/>
  <c r="F19" i="22" s="1"/>
  <c r="E20" i="22"/>
  <c r="E21" i="22"/>
  <c r="E22" i="22"/>
  <c r="F22" i="22" s="1"/>
  <c r="E23" i="22"/>
  <c r="E24" i="22"/>
  <c r="E5" i="22"/>
  <c r="E6" i="22"/>
  <c r="E4" i="22"/>
  <c r="E25" i="22" s="1"/>
  <c r="F25" i="22" s="1"/>
  <c r="O40" i="21"/>
  <c r="N40" i="21"/>
  <c r="M40" i="21"/>
  <c r="L40" i="21"/>
  <c r="K40" i="21"/>
  <c r="J40" i="21"/>
  <c r="I40" i="21"/>
  <c r="H40" i="21"/>
  <c r="G40" i="21"/>
  <c r="F40" i="21"/>
  <c r="E40" i="21"/>
  <c r="D40" i="21"/>
  <c r="C40" i="21"/>
  <c r="D20" i="21"/>
  <c r="E20" i="21"/>
  <c r="F20" i="21"/>
  <c r="G20" i="21"/>
  <c r="H20" i="21"/>
  <c r="I20" i="21"/>
  <c r="J20" i="21"/>
  <c r="K20" i="21"/>
  <c r="L20" i="21"/>
  <c r="M20" i="21"/>
  <c r="N20" i="21"/>
  <c r="O20" i="21"/>
  <c r="C20" i="21"/>
  <c r="E5" i="15"/>
  <c r="E6" i="15" s="1"/>
  <c r="E7" i="15" s="1"/>
  <c r="E8" i="15" s="1"/>
  <c r="G5" i="15"/>
  <c r="G6" i="15" s="1"/>
  <c r="G7" i="15" s="1"/>
  <c r="G8" i="15" s="1"/>
  <c r="J5" i="15"/>
  <c r="J6" i="15" s="1"/>
  <c r="J7" i="15" s="1"/>
  <c r="J8" i="15" s="1"/>
  <c r="K5" i="15"/>
  <c r="K6" i="15" s="1"/>
  <c r="K7" i="15" s="1"/>
  <c r="K8" i="15" s="1"/>
  <c r="L5" i="15"/>
  <c r="L6" i="15" s="1"/>
  <c r="L7" i="15" s="1"/>
  <c r="L8" i="15" s="1"/>
  <c r="I5" i="15"/>
  <c r="I6" i="15" s="1"/>
  <c r="I7" i="15" s="1"/>
  <c r="I8" i="15" s="1"/>
  <c r="F67" i="13"/>
  <c r="F66" i="13"/>
  <c r="F65" i="13"/>
  <c r="F2" i="13"/>
  <c r="F62" i="13"/>
  <c r="F64" i="13"/>
  <c r="O37" i="4"/>
  <c r="P37" i="4"/>
  <c r="Q37" i="4"/>
  <c r="R37" i="4"/>
  <c r="S37" i="4"/>
  <c r="T37" i="4"/>
  <c r="V37" i="4"/>
  <c r="O38" i="4"/>
  <c r="P38" i="4"/>
  <c r="Q38" i="4"/>
  <c r="R38" i="4"/>
  <c r="S38" i="4"/>
  <c r="T38" i="4"/>
  <c r="V38" i="4"/>
  <c r="G3" i="12"/>
  <c r="G4" i="12"/>
  <c r="G5" i="12"/>
  <c r="G6" i="12"/>
  <c r="G7" i="12"/>
  <c r="G2" i="12"/>
  <c r="R3" i="4"/>
  <c r="R4" i="4"/>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2" i="4"/>
  <c r="O3" i="4"/>
  <c r="P3" i="4"/>
  <c r="Q3" i="4"/>
  <c r="O4" i="4"/>
  <c r="P4" i="4"/>
  <c r="Q4" i="4"/>
  <c r="O5" i="4"/>
  <c r="P5" i="4"/>
  <c r="Q5" i="4"/>
  <c r="O6" i="4"/>
  <c r="P6" i="4"/>
  <c r="Q6" i="4"/>
  <c r="O7" i="4"/>
  <c r="P7" i="4"/>
  <c r="Q7" i="4"/>
  <c r="O8" i="4"/>
  <c r="P8" i="4"/>
  <c r="Q8" i="4"/>
  <c r="O9" i="4"/>
  <c r="P9" i="4"/>
  <c r="Q9" i="4"/>
  <c r="O10" i="4"/>
  <c r="P10" i="4"/>
  <c r="Q10" i="4"/>
  <c r="O11" i="4"/>
  <c r="P11" i="4"/>
  <c r="Q11" i="4"/>
  <c r="O12" i="4"/>
  <c r="P12" i="4"/>
  <c r="Q12" i="4"/>
  <c r="O13" i="4"/>
  <c r="P13" i="4"/>
  <c r="Q13" i="4"/>
  <c r="O14" i="4"/>
  <c r="P14" i="4"/>
  <c r="Q14" i="4"/>
  <c r="O15" i="4"/>
  <c r="P15" i="4"/>
  <c r="Q15" i="4"/>
  <c r="O16" i="4"/>
  <c r="P16" i="4"/>
  <c r="Q16" i="4"/>
  <c r="O17" i="4"/>
  <c r="P17" i="4"/>
  <c r="Q17" i="4"/>
  <c r="O18" i="4"/>
  <c r="P18" i="4"/>
  <c r="Q18" i="4"/>
  <c r="O19" i="4"/>
  <c r="P19" i="4"/>
  <c r="Q19" i="4"/>
  <c r="O20" i="4"/>
  <c r="P20" i="4"/>
  <c r="Q20" i="4"/>
  <c r="O21" i="4"/>
  <c r="P21" i="4"/>
  <c r="Q21" i="4"/>
  <c r="O22" i="4"/>
  <c r="P22" i="4"/>
  <c r="Q22" i="4"/>
  <c r="O23" i="4"/>
  <c r="P23" i="4"/>
  <c r="Q23" i="4"/>
  <c r="O24" i="4"/>
  <c r="P24" i="4"/>
  <c r="Q24" i="4"/>
  <c r="O25" i="4"/>
  <c r="P25" i="4"/>
  <c r="Q25" i="4"/>
  <c r="O26" i="4"/>
  <c r="P26" i="4"/>
  <c r="Q26" i="4"/>
  <c r="O27" i="4"/>
  <c r="P27" i="4"/>
  <c r="Q27" i="4"/>
  <c r="O28" i="4"/>
  <c r="P28" i="4"/>
  <c r="Q28" i="4"/>
  <c r="O29" i="4"/>
  <c r="P29" i="4"/>
  <c r="Q29" i="4"/>
  <c r="O30" i="4"/>
  <c r="P30" i="4"/>
  <c r="Q30" i="4"/>
  <c r="O31" i="4"/>
  <c r="P31" i="4"/>
  <c r="Q31" i="4"/>
  <c r="O32" i="4"/>
  <c r="P32" i="4"/>
  <c r="Q32" i="4"/>
  <c r="O33" i="4"/>
  <c r="P33" i="4"/>
  <c r="Q33" i="4"/>
  <c r="O34" i="4"/>
  <c r="P34" i="4"/>
  <c r="Q34" i="4"/>
  <c r="O35" i="4"/>
  <c r="P35" i="4"/>
  <c r="Q35" i="4"/>
  <c r="O36" i="4"/>
  <c r="P36" i="4"/>
  <c r="Q36" i="4"/>
  <c r="Q2" i="4"/>
  <c r="P2" i="4"/>
  <c r="O2" i="4"/>
  <c r="S3" i="4"/>
  <c r="S4" i="4"/>
  <c r="S5" i="4"/>
  <c r="S6" i="4"/>
  <c r="S7" i="4"/>
  <c r="S8" i="4"/>
  <c r="S9" i="4"/>
  <c r="S10" i="4"/>
  <c r="S11" i="4"/>
  <c r="S12" i="4"/>
  <c r="S13" i="4"/>
  <c r="S14" i="4"/>
  <c r="S15" i="4"/>
  <c r="S16" i="4"/>
  <c r="S17" i="4"/>
  <c r="S18" i="4"/>
  <c r="S19" i="4"/>
  <c r="S20" i="4"/>
  <c r="S21" i="4"/>
  <c r="S22" i="4"/>
  <c r="S23" i="4"/>
  <c r="S24" i="4"/>
  <c r="S25" i="4"/>
  <c r="S26" i="4"/>
  <c r="S27" i="4"/>
  <c r="S28" i="4"/>
  <c r="S29" i="4"/>
  <c r="S30" i="4"/>
  <c r="S31" i="4"/>
  <c r="S32" i="4"/>
  <c r="S33" i="4"/>
  <c r="S34" i="4"/>
  <c r="S35" i="4"/>
  <c r="S36" i="4"/>
  <c r="S2" i="4"/>
  <c r="T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2" i="4"/>
  <c r="V3" i="4"/>
  <c r="V4" i="4"/>
  <c r="V5" i="4"/>
  <c r="V6" i="4"/>
  <c r="V7" i="4"/>
  <c r="V8" i="4"/>
  <c r="V9" i="4"/>
  <c r="V10" i="4"/>
  <c r="V11" i="4"/>
  <c r="V12" i="4"/>
  <c r="V13" i="4"/>
  <c r="V14" i="4"/>
  <c r="V15" i="4"/>
  <c r="V16" i="4"/>
  <c r="V17" i="4"/>
  <c r="V18" i="4"/>
  <c r="V19" i="4"/>
  <c r="V20" i="4"/>
  <c r="V21" i="4"/>
  <c r="V22" i="4"/>
  <c r="V23" i="4"/>
  <c r="V24" i="4"/>
  <c r="V25" i="4"/>
  <c r="V26" i="4"/>
  <c r="V27" i="4"/>
  <c r="V28" i="4"/>
  <c r="V29" i="4"/>
  <c r="V30" i="4"/>
  <c r="V31" i="4"/>
  <c r="V32" i="4"/>
  <c r="V33" i="4"/>
  <c r="V34" i="4"/>
  <c r="V35" i="4"/>
  <c r="V36" i="4"/>
  <c r="V2" i="4"/>
  <c r="G81" i="1"/>
  <c r="G70" i="1"/>
  <c r="G46" i="1"/>
  <c r="F70" i="1"/>
  <c r="F38" i="1"/>
  <c r="G5" i="1"/>
  <c r="G7" i="1"/>
  <c r="G17" i="1"/>
  <c r="G19" i="1"/>
  <c r="G40" i="1"/>
  <c r="G59" i="1"/>
  <c r="G65" i="1"/>
  <c r="G74" i="1"/>
  <c r="G90" i="1"/>
  <c r="G102" i="1"/>
  <c r="G106" i="1"/>
  <c r="G118" i="1"/>
  <c r="G122" i="1"/>
  <c r="G134" i="1"/>
  <c r="G138" i="1"/>
  <c r="G150" i="1"/>
  <c r="G154" i="1"/>
  <c r="G160" i="1"/>
  <c r="G162" i="1"/>
  <c r="G168" i="1"/>
  <c r="G170" i="1"/>
  <c r="G174" i="1"/>
  <c r="G175" i="1"/>
  <c r="G179" i="1"/>
  <c r="G180" i="1"/>
  <c r="G184" i="1"/>
  <c r="G186" i="1"/>
  <c r="G190" i="1"/>
  <c r="G191" i="1"/>
  <c r="G195" i="1"/>
  <c r="G196" i="1"/>
  <c r="G200" i="1"/>
  <c r="G202" i="1"/>
  <c r="G206" i="1"/>
  <c r="G207" i="1"/>
  <c r="G210" i="1"/>
  <c r="G211" i="1"/>
  <c r="G214" i="1"/>
  <c r="G215" i="1"/>
  <c r="G218" i="1"/>
  <c r="G219" i="1"/>
  <c r="G222" i="1"/>
  <c r="G223" i="1"/>
  <c r="G226" i="1"/>
  <c r="G227" i="1"/>
  <c r="G230" i="1"/>
  <c r="G231" i="1"/>
  <c r="G234" i="1"/>
  <c r="G235" i="1"/>
  <c r="G238" i="1"/>
  <c r="G239" i="1"/>
  <c r="G242" i="1"/>
  <c r="G243" i="1"/>
  <c r="G246" i="1"/>
  <c r="G247" i="1"/>
  <c r="G250" i="1"/>
  <c r="G251" i="1"/>
  <c r="G254" i="1"/>
  <c r="G255" i="1"/>
  <c r="G258" i="1"/>
  <c r="G259" i="1"/>
  <c r="G262" i="1"/>
  <c r="G263" i="1"/>
  <c r="G266" i="1"/>
  <c r="G267" i="1"/>
  <c r="G270" i="1"/>
  <c r="G271" i="1"/>
  <c r="G274" i="1"/>
  <c r="G275" i="1"/>
  <c r="G278" i="1"/>
  <c r="G279" i="1"/>
  <c r="G282" i="1"/>
  <c r="G283" i="1"/>
  <c r="G286" i="1"/>
  <c r="G287" i="1"/>
  <c r="G290" i="1"/>
  <c r="G291" i="1"/>
  <c r="G294" i="1"/>
  <c r="G295" i="1"/>
  <c r="G298" i="1"/>
  <c r="G299" i="1"/>
  <c r="G302" i="1"/>
  <c r="G303" i="1"/>
  <c r="G306" i="1"/>
  <c r="G307" i="1"/>
  <c r="G310" i="1"/>
  <c r="G311" i="1"/>
  <c r="G314" i="1"/>
  <c r="G315" i="1"/>
  <c r="G318" i="1"/>
  <c r="G319" i="1"/>
  <c r="G322" i="1"/>
  <c r="G323" i="1"/>
  <c r="G326" i="1"/>
  <c r="G327" i="1"/>
  <c r="G330" i="1"/>
  <c r="G331" i="1"/>
  <c r="G334" i="1"/>
  <c r="G335" i="1"/>
  <c r="G337" i="1"/>
  <c r="G338" i="1"/>
  <c r="G339" i="1"/>
  <c r="G341" i="1"/>
  <c r="G342" i="1"/>
  <c r="G343" i="1"/>
  <c r="G345" i="1"/>
  <c r="G346" i="1"/>
  <c r="G347" i="1"/>
  <c r="G349" i="1"/>
  <c r="G350" i="1"/>
  <c r="G351" i="1"/>
  <c r="G353" i="1"/>
  <c r="G354" i="1"/>
  <c r="G355" i="1"/>
  <c r="G357" i="1"/>
  <c r="G358" i="1"/>
  <c r="G359" i="1"/>
  <c r="G361" i="1"/>
  <c r="G362" i="1"/>
  <c r="G363" i="1"/>
  <c r="G365" i="1"/>
  <c r="G366" i="1"/>
  <c r="G367" i="1"/>
  <c r="G369" i="1"/>
  <c r="G370" i="1"/>
  <c r="G371" i="1"/>
  <c r="G373" i="1"/>
  <c r="G374" i="1"/>
  <c r="G375" i="1"/>
  <c r="G377" i="1"/>
  <c r="G378" i="1"/>
  <c r="G379" i="1"/>
  <c r="G381" i="1"/>
  <c r="G382" i="1"/>
  <c r="G383" i="1"/>
  <c r="G385" i="1"/>
  <c r="G386" i="1"/>
  <c r="G387" i="1"/>
  <c r="G389" i="1"/>
  <c r="G390" i="1"/>
  <c r="G391" i="1"/>
  <c r="G393" i="1"/>
  <c r="G394" i="1"/>
  <c r="G395" i="1"/>
  <c r="G397" i="1"/>
  <c r="G398" i="1"/>
  <c r="G399" i="1"/>
  <c r="G401" i="1"/>
  <c r="G402" i="1"/>
  <c r="G403" i="1"/>
  <c r="G405" i="1"/>
  <c r="G406" i="1"/>
  <c r="G407" i="1"/>
  <c r="G409" i="1"/>
  <c r="G410" i="1"/>
  <c r="G411" i="1"/>
  <c r="G413" i="1"/>
  <c r="G414" i="1"/>
  <c r="G415" i="1"/>
  <c r="G417" i="1"/>
  <c r="G418" i="1"/>
  <c r="G419" i="1"/>
  <c r="G421" i="1"/>
  <c r="G422" i="1"/>
  <c r="G423" i="1"/>
  <c r="G425" i="1"/>
  <c r="G426" i="1"/>
  <c r="G427" i="1"/>
  <c r="G429" i="1"/>
  <c r="G430" i="1"/>
  <c r="G431" i="1"/>
  <c r="G433" i="1"/>
  <c r="G434" i="1"/>
  <c r="G435" i="1"/>
  <c r="G437" i="1"/>
  <c r="G438" i="1"/>
  <c r="G439" i="1"/>
  <c r="G441" i="1"/>
  <c r="G442" i="1"/>
  <c r="G443" i="1"/>
  <c r="G445" i="1"/>
  <c r="G446" i="1"/>
  <c r="G447" i="1"/>
  <c r="G449" i="1"/>
  <c r="G450" i="1"/>
  <c r="G451" i="1"/>
  <c r="G453" i="1"/>
  <c r="G454" i="1"/>
  <c r="G455" i="1"/>
  <c r="G457" i="1"/>
  <c r="G458" i="1"/>
  <c r="G459" i="1"/>
  <c r="G461" i="1"/>
  <c r="G462" i="1"/>
  <c r="G463"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2" i="1"/>
  <c r="F21" i="1"/>
  <c r="F3" i="1"/>
  <c r="F4" i="1"/>
  <c r="F5" i="1"/>
  <c r="F6" i="1"/>
  <c r="F7" i="1"/>
  <c r="F8" i="1"/>
  <c r="F9" i="1"/>
  <c r="F10" i="1"/>
  <c r="F11" i="1"/>
  <c r="F12" i="1"/>
  <c r="F13" i="1"/>
  <c r="F14" i="1"/>
  <c r="F15" i="1"/>
  <c r="F16" i="1"/>
  <c r="F17" i="1"/>
  <c r="F18" i="1"/>
  <c r="F19" i="1"/>
  <c r="F20" i="1"/>
  <c r="F22" i="1"/>
  <c r="F23" i="1"/>
  <c r="F24" i="1"/>
  <c r="F27" i="1"/>
  <c r="F28" i="1"/>
  <c r="F29" i="1"/>
  <c r="F30" i="1"/>
  <c r="F32" i="1"/>
  <c r="F33" i="1"/>
  <c r="F34" i="1"/>
  <c r="F35" i="1"/>
  <c r="F36" i="1"/>
  <c r="F37" i="1"/>
  <c r="F40" i="1"/>
  <c r="F41" i="1"/>
  <c r="F42" i="1"/>
  <c r="F45" i="1"/>
  <c r="F46" i="1"/>
  <c r="F47" i="1"/>
  <c r="F48" i="1"/>
  <c r="F49" i="1"/>
  <c r="F50" i="1"/>
  <c r="F51" i="1"/>
  <c r="F52" i="1"/>
  <c r="F53" i="1"/>
  <c r="F54" i="1"/>
  <c r="F55" i="1"/>
  <c r="F56" i="1"/>
  <c r="F57" i="1"/>
  <c r="F59" i="1"/>
  <c r="F60" i="1"/>
  <c r="F61" i="1"/>
  <c r="F62" i="1"/>
  <c r="F63" i="1"/>
  <c r="F65" i="1"/>
  <c r="F67" i="1"/>
  <c r="F68" i="1"/>
  <c r="F69"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2" i="1"/>
  <c r="F56" i="13"/>
  <c r="F3" i="13"/>
  <c r="F4" i="13"/>
  <c r="F5" i="13"/>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7" i="13"/>
  <c r="D21" i="5"/>
  <c r="D20" i="5"/>
  <c r="D19" i="5"/>
  <c r="D18" i="5"/>
  <c r="D17" i="5"/>
  <c r="D16" i="5"/>
  <c r="D15" i="5"/>
  <c r="D14" i="5"/>
  <c r="D13" i="5"/>
  <c r="D12" i="5"/>
  <c r="D11" i="5"/>
  <c r="D10" i="5"/>
  <c r="D9" i="5"/>
  <c r="D8" i="5"/>
  <c r="D7" i="5"/>
  <c r="D6" i="5"/>
  <c r="D5" i="5"/>
  <c r="D4" i="5"/>
  <c r="D3" i="5"/>
  <c r="D2" i="5"/>
  <c r="F24" i="22" l="1"/>
  <c r="F8" i="22"/>
  <c r="F23" i="22"/>
  <c r="F11" i="22"/>
  <c r="F6" i="22"/>
  <c r="F18" i="22"/>
  <c r="F17" i="22"/>
  <c r="F9" i="22"/>
  <c r="E26" i="22"/>
  <c r="F26" i="22" s="1"/>
  <c r="E27" i="22"/>
  <c r="F27" i="22" s="1"/>
  <c r="F5" i="22"/>
  <c r="F4" i="22"/>
  <c r="W5" i="12"/>
  <c r="C5" i="12" s="1"/>
  <c r="W3" i="12"/>
  <c r="C3" i="12" s="1"/>
  <c r="W7" i="12"/>
  <c r="C7" i="12" s="1"/>
  <c r="W2" i="12"/>
  <c r="C2" i="12" s="1"/>
  <c r="W6" i="12"/>
  <c r="C6" i="12" s="1"/>
  <c r="W4" i="12"/>
  <c r="C4" i="12" s="1"/>
  <c r="G376" i="1"/>
  <c r="E376" i="1" s="1"/>
  <c r="G380" i="1"/>
  <c r="E380" i="1" s="1"/>
  <c r="G384" i="1"/>
  <c r="E384" i="1" s="1"/>
  <c r="G388" i="1"/>
  <c r="E388" i="1" s="1"/>
  <c r="G392" i="1"/>
  <c r="E392" i="1" s="1"/>
  <c r="G396" i="1"/>
  <c r="E396" i="1" s="1"/>
  <c r="G400" i="1"/>
  <c r="E400" i="1" s="1"/>
  <c r="G404" i="1"/>
  <c r="E404" i="1" s="1"/>
  <c r="G408" i="1"/>
  <c r="E408" i="1" s="1"/>
  <c r="G412" i="1"/>
  <c r="E412" i="1" s="1"/>
  <c r="G416" i="1"/>
  <c r="E416" i="1" s="1"/>
  <c r="G420" i="1"/>
  <c r="E420" i="1" s="1"/>
  <c r="G424" i="1"/>
  <c r="E424" i="1" s="1"/>
  <c r="G428" i="1"/>
  <c r="E428" i="1" s="1"/>
  <c r="G432" i="1"/>
  <c r="E432" i="1" s="1"/>
  <c r="G436" i="1"/>
  <c r="E436" i="1" s="1"/>
  <c r="G440" i="1"/>
  <c r="E440" i="1" s="1"/>
  <c r="G444" i="1"/>
  <c r="E444" i="1" s="1"/>
  <c r="G448" i="1"/>
  <c r="E448" i="1" s="1"/>
  <c r="G452" i="1"/>
  <c r="E452" i="1" s="1"/>
  <c r="G456" i="1"/>
  <c r="E456" i="1" s="1"/>
  <c r="G460" i="1"/>
  <c r="E460" i="1" s="1"/>
  <c r="G464" i="1"/>
  <c r="E464" i="1" s="1"/>
  <c r="G269" i="1"/>
  <c r="E269" i="1" s="1"/>
  <c r="G273" i="1"/>
  <c r="E273" i="1" s="1"/>
  <c r="G277" i="1"/>
  <c r="E277" i="1" s="1"/>
  <c r="G281" i="1"/>
  <c r="E281" i="1" s="1"/>
  <c r="G285" i="1"/>
  <c r="E285" i="1" s="1"/>
  <c r="G289" i="1"/>
  <c r="E289" i="1" s="1"/>
  <c r="G293" i="1"/>
  <c r="E293" i="1" s="1"/>
  <c r="G297" i="1"/>
  <c r="E297" i="1" s="1"/>
  <c r="G301" i="1"/>
  <c r="E301" i="1" s="1"/>
  <c r="G305" i="1"/>
  <c r="G309" i="1"/>
  <c r="E309" i="1" s="1"/>
  <c r="G313" i="1"/>
  <c r="E313" i="1" s="1"/>
  <c r="G317" i="1"/>
  <c r="E317" i="1" s="1"/>
  <c r="G321" i="1"/>
  <c r="E321" i="1" s="1"/>
  <c r="G325" i="1"/>
  <c r="E325" i="1" s="1"/>
  <c r="G329" i="1"/>
  <c r="E329" i="1" s="1"/>
  <c r="G333" i="1"/>
  <c r="G44" i="1"/>
  <c r="G34" i="1"/>
  <c r="E34" i="1" s="1"/>
  <c r="G54" i="1"/>
  <c r="E54" i="1" s="1"/>
  <c r="G69" i="1"/>
  <c r="E69" i="1" s="1"/>
  <c r="G86" i="1"/>
  <c r="E86" i="1" s="1"/>
  <c r="G265" i="1"/>
  <c r="E265" i="1" s="1"/>
  <c r="G261" i="1"/>
  <c r="E261" i="1" s="1"/>
  <c r="G257" i="1"/>
  <c r="E257" i="1" s="1"/>
  <c r="G253" i="1"/>
  <c r="E253" i="1" s="1"/>
  <c r="G249" i="1"/>
  <c r="E249" i="1" s="1"/>
  <c r="G245" i="1"/>
  <c r="E245" i="1" s="1"/>
  <c r="G241" i="1"/>
  <c r="E241" i="1" s="1"/>
  <c r="G237" i="1"/>
  <c r="E237" i="1" s="1"/>
  <c r="G233" i="1"/>
  <c r="E233" i="1" s="1"/>
  <c r="G229" i="1"/>
  <c r="E229" i="1" s="1"/>
  <c r="G225" i="1"/>
  <c r="E225" i="1" s="1"/>
  <c r="G221" i="1"/>
  <c r="E221" i="1" s="1"/>
  <c r="G217" i="1"/>
  <c r="E217" i="1" s="1"/>
  <c r="G213" i="1"/>
  <c r="E213" i="1" s="1"/>
  <c r="G209" i="1"/>
  <c r="E209" i="1" s="1"/>
  <c r="G204" i="1"/>
  <c r="E204" i="1" s="1"/>
  <c r="G199" i="1"/>
  <c r="E199" i="1" s="1"/>
  <c r="G194" i="1"/>
  <c r="E194" i="1" s="1"/>
  <c r="G188" i="1"/>
  <c r="E188" i="1" s="1"/>
  <c r="G183" i="1"/>
  <c r="E183" i="1" s="1"/>
  <c r="G178" i="1"/>
  <c r="E178" i="1" s="1"/>
  <c r="G172" i="1"/>
  <c r="E172" i="1" s="1"/>
  <c r="G166" i="1"/>
  <c r="E166" i="1" s="1"/>
  <c r="G158" i="1"/>
  <c r="E158" i="1" s="1"/>
  <c r="G146" i="1"/>
  <c r="E146" i="1" s="1"/>
  <c r="G130" i="1"/>
  <c r="E130" i="1" s="1"/>
  <c r="G114" i="1"/>
  <c r="E114" i="1" s="1"/>
  <c r="G98" i="1"/>
  <c r="E98" i="1" s="1"/>
  <c r="G82" i="1"/>
  <c r="E82" i="1" s="1"/>
  <c r="G50" i="1"/>
  <c r="E50" i="1" s="1"/>
  <c r="G29" i="1"/>
  <c r="E29" i="1" s="1"/>
  <c r="G15" i="1"/>
  <c r="E15" i="1" s="1"/>
  <c r="G3" i="1"/>
  <c r="E3" i="1" s="1"/>
  <c r="G64" i="1"/>
  <c r="G372" i="1"/>
  <c r="E372" i="1" s="1"/>
  <c r="G368" i="1"/>
  <c r="E368" i="1" s="1"/>
  <c r="G364" i="1"/>
  <c r="E364" i="1" s="1"/>
  <c r="G360" i="1"/>
  <c r="E360" i="1" s="1"/>
  <c r="G356" i="1"/>
  <c r="E356" i="1" s="1"/>
  <c r="G352" i="1"/>
  <c r="E352" i="1" s="1"/>
  <c r="G348" i="1"/>
  <c r="E348" i="1" s="1"/>
  <c r="G344" i="1"/>
  <c r="E344" i="1" s="1"/>
  <c r="G340" i="1"/>
  <c r="E340" i="1" s="1"/>
  <c r="G336" i="1"/>
  <c r="E336" i="1" s="1"/>
  <c r="G332" i="1"/>
  <c r="E332" i="1" s="1"/>
  <c r="G328" i="1"/>
  <c r="E328" i="1" s="1"/>
  <c r="G324" i="1"/>
  <c r="E324" i="1" s="1"/>
  <c r="G320" i="1"/>
  <c r="E320" i="1" s="1"/>
  <c r="G316" i="1"/>
  <c r="E316" i="1" s="1"/>
  <c r="G312" i="1"/>
  <c r="E312" i="1" s="1"/>
  <c r="G308" i="1"/>
  <c r="E308" i="1" s="1"/>
  <c r="G304" i="1"/>
  <c r="E304" i="1" s="1"/>
  <c r="G300" i="1"/>
  <c r="E300" i="1" s="1"/>
  <c r="G296" i="1"/>
  <c r="E296" i="1" s="1"/>
  <c r="G292" i="1"/>
  <c r="E292" i="1" s="1"/>
  <c r="G288" i="1"/>
  <c r="E288" i="1" s="1"/>
  <c r="G284" i="1"/>
  <c r="E284" i="1" s="1"/>
  <c r="G280" i="1"/>
  <c r="E280" i="1" s="1"/>
  <c r="G276" i="1"/>
  <c r="E276" i="1" s="1"/>
  <c r="G272" i="1"/>
  <c r="E272" i="1" s="1"/>
  <c r="G268" i="1"/>
  <c r="E268" i="1" s="1"/>
  <c r="G264" i="1"/>
  <c r="E264" i="1" s="1"/>
  <c r="G260" i="1"/>
  <c r="E260" i="1" s="1"/>
  <c r="G256" i="1"/>
  <c r="E256" i="1" s="1"/>
  <c r="G252" i="1"/>
  <c r="E252" i="1" s="1"/>
  <c r="G248" i="1"/>
  <c r="E248" i="1" s="1"/>
  <c r="G244" i="1"/>
  <c r="E244" i="1" s="1"/>
  <c r="G240" i="1"/>
  <c r="E240" i="1" s="1"/>
  <c r="G236" i="1"/>
  <c r="E236" i="1" s="1"/>
  <c r="G232" i="1"/>
  <c r="E232" i="1" s="1"/>
  <c r="G228" i="1"/>
  <c r="E228" i="1" s="1"/>
  <c r="G224" i="1"/>
  <c r="E224" i="1" s="1"/>
  <c r="G220" i="1"/>
  <c r="E220" i="1" s="1"/>
  <c r="G216" i="1"/>
  <c r="E216" i="1" s="1"/>
  <c r="G212" i="1"/>
  <c r="E212" i="1" s="1"/>
  <c r="G208" i="1"/>
  <c r="E208" i="1" s="1"/>
  <c r="G203" i="1"/>
  <c r="E203" i="1" s="1"/>
  <c r="G198" i="1"/>
  <c r="E198" i="1" s="1"/>
  <c r="G192" i="1"/>
  <c r="E192" i="1" s="1"/>
  <c r="G187" i="1"/>
  <c r="E187" i="1" s="1"/>
  <c r="G182" i="1"/>
  <c r="E182" i="1" s="1"/>
  <c r="G176" i="1"/>
  <c r="E176" i="1" s="1"/>
  <c r="G171" i="1"/>
  <c r="E171" i="1" s="1"/>
  <c r="G164" i="1"/>
  <c r="E164" i="1" s="1"/>
  <c r="G156" i="1"/>
  <c r="E156" i="1" s="1"/>
  <c r="G142" i="1"/>
  <c r="E142" i="1" s="1"/>
  <c r="G126" i="1"/>
  <c r="E126" i="1" s="1"/>
  <c r="G110" i="1"/>
  <c r="E110" i="1" s="1"/>
  <c r="G94" i="1"/>
  <c r="E94" i="1" s="1"/>
  <c r="G78" i="1"/>
  <c r="E78" i="1" s="1"/>
  <c r="G63" i="1"/>
  <c r="E63" i="1" s="1"/>
  <c r="G23" i="1"/>
  <c r="E23" i="1" s="1"/>
  <c r="G11" i="1"/>
  <c r="E11" i="1" s="1"/>
  <c r="G26" i="1"/>
  <c r="G205" i="1"/>
  <c r="E205" i="1" s="1"/>
  <c r="G201" i="1"/>
  <c r="E201" i="1" s="1"/>
  <c r="G197" i="1"/>
  <c r="E197" i="1" s="1"/>
  <c r="G193" i="1"/>
  <c r="E193" i="1" s="1"/>
  <c r="G189" i="1"/>
  <c r="E189" i="1" s="1"/>
  <c r="G185" i="1"/>
  <c r="E185" i="1" s="1"/>
  <c r="G181" i="1"/>
  <c r="E181" i="1" s="1"/>
  <c r="G177" i="1"/>
  <c r="E177" i="1" s="1"/>
  <c r="G173" i="1"/>
  <c r="E173" i="1" s="1"/>
  <c r="G169" i="1"/>
  <c r="E169" i="1" s="1"/>
  <c r="G165" i="1"/>
  <c r="E165" i="1" s="1"/>
  <c r="G161" i="1"/>
  <c r="E161" i="1" s="1"/>
  <c r="G157" i="1"/>
  <c r="E157" i="1" s="1"/>
  <c r="G153" i="1"/>
  <c r="E153" i="1" s="1"/>
  <c r="G149" i="1"/>
  <c r="E149" i="1" s="1"/>
  <c r="G145" i="1"/>
  <c r="E145" i="1" s="1"/>
  <c r="G141" i="1"/>
  <c r="E141" i="1" s="1"/>
  <c r="G137" i="1"/>
  <c r="E137" i="1" s="1"/>
  <c r="G133" i="1"/>
  <c r="E133" i="1" s="1"/>
  <c r="G129" i="1"/>
  <c r="E129" i="1" s="1"/>
  <c r="G125" i="1"/>
  <c r="E125" i="1" s="1"/>
  <c r="G121" i="1"/>
  <c r="E121" i="1" s="1"/>
  <c r="G117" i="1"/>
  <c r="E117" i="1" s="1"/>
  <c r="G113" i="1"/>
  <c r="E113" i="1" s="1"/>
  <c r="G109" i="1"/>
  <c r="E109" i="1" s="1"/>
  <c r="G105" i="1"/>
  <c r="E105" i="1" s="1"/>
  <c r="G101" i="1"/>
  <c r="E101" i="1" s="1"/>
  <c r="G97" i="1"/>
  <c r="E97" i="1" s="1"/>
  <c r="G93" i="1"/>
  <c r="E93" i="1" s="1"/>
  <c r="G89" i="1"/>
  <c r="E89" i="1" s="1"/>
  <c r="G85" i="1"/>
  <c r="E85" i="1" s="1"/>
  <c r="E81" i="1"/>
  <c r="G77" i="1"/>
  <c r="E77" i="1" s="1"/>
  <c r="G73" i="1"/>
  <c r="E73" i="1" s="1"/>
  <c r="G68" i="1"/>
  <c r="E68" i="1" s="1"/>
  <c r="G62" i="1"/>
  <c r="E62" i="1" s="1"/>
  <c r="G57" i="1"/>
  <c r="E57" i="1" s="1"/>
  <c r="G53" i="1"/>
  <c r="E53" i="1" s="1"/>
  <c r="G49" i="1"/>
  <c r="E49" i="1" s="1"/>
  <c r="G45" i="1"/>
  <c r="E45" i="1" s="1"/>
  <c r="G37" i="1"/>
  <c r="E37" i="1" s="1"/>
  <c r="G33" i="1"/>
  <c r="E33" i="1" s="1"/>
  <c r="G28" i="1"/>
  <c r="E28" i="1" s="1"/>
  <c r="G22" i="1"/>
  <c r="E22" i="1" s="1"/>
  <c r="G18" i="1"/>
  <c r="E18" i="1" s="1"/>
  <c r="G14" i="1"/>
  <c r="E14" i="1" s="1"/>
  <c r="G10" i="1"/>
  <c r="E10" i="1" s="1"/>
  <c r="G6" i="1"/>
  <c r="E6" i="1" s="1"/>
  <c r="F25" i="1"/>
  <c r="F31" i="1"/>
  <c r="G39" i="1"/>
  <c r="F58" i="1"/>
  <c r="F66" i="1"/>
  <c r="G152" i="1"/>
  <c r="E152" i="1" s="1"/>
  <c r="G148" i="1"/>
  <c r="E148" i="1" s="1"/>
  <c r="G144" i="1"/>
  <c r="E144" i="1" s="1"/>
  <c r="G140" i="1"/>
  <c r="E140" i="1" s="1"/>
  <c r="G136" i="1"/>
  <c r="E136" i="1" s="1"/>
  <c r="G132" i="1"/>
  <c r="E132" i="1" s="1"/>
  <c r="G128" i="1"/>
  <c r="E128" i="1" s="1"/>
  <c r="G124" i="1"/>
  <c r="E124" i="1" s="1"/>
  <c r="G120" i="1"/>
  <c r="E120" i="1" s="1"/>
  <c r="G116" i="1"/>
  <c r="E116" i="1" s="1"/>
  <c r="G112" i="1"/>
  <c r="E112" i="1" s="1"/>
  <c r="G108" i="1"/>
  <c r="E108" i="1" s="1"/>
  <c r="G104" i="1"/>
  <c r="E104" i="1" s="1"/>
  <c r="G100" i="1"/>
  <c r="E100" i="1" s="1"/>
  <c r="G96" i="1"/>
  <c r="E96" i="1" s="1"/>
  <c r="G92" i="1"/>
  <c r="E92" i="1" s="1"/>
  <c r="G88" i="1"/>
  <c r="E88" i="1" s="1"/>
  <c r="G84" i="1"/>
  <c r="E84" i="1" s="1"/>
  <c r="G80" i="1"/>
  <c r="E80" i="1" s="1"/>
  <c r="G76" i="1"/>
  <c r="E76" i="1" s="1"/>
  <c r="G72" i="1"/>
  <c r="E72" i="1" s="1"/>
  <c r="G67" i="1"/>
  <c r="E67" i="1" s="1"/>
  <c r="G61" i="1"/>
  <c r="E61" i="1" s="1"/>
  <c r="G56" i="1"/>
  <c r="E56" i="1" s="1"/>
  <c r="G52" i="1"/>
  <c r="E52" i="1" s="1"/>
  <c r="G48" i="1"/>
  <c r="E48" i="1" s="1"/>
  <c r="G42" i="1"/>
  <c r="E42" i="1" s="1"/>
  <c r="G36" i="1"/>
  <c r="E36" i="1" s="1"/>
  <c r="G32" i="1"/>
  <c r="E32" i="1" s="1"/>
  <c r="G27" i="1"/>
  <c r="E27" i="1" s="1"/>
  <c r="G21" i="1"/>
  <c r="E21" i="1" s="1"/>
  <c r="G13" i="1"/>
  <c r="E13" i="1" s="1"/>
  <c r="G9" i="1"/>
  <c r="E9" i="1" s="1"/>
  <c r="G25" i="1"/>
  <c r="G31" i="1"/>
  <c r="G38" i="1"/>
  <c r="E38" i="1" s="1"/>
  <c r="G58" i="1"/>
  <c r="G66" i="1"/>
  <c r="G167" i="1"/>
  <c r="E167" i="1" s="1"/>
  <c r="G163" i="1"/>
  <c r="E163" i="1" s="1"/>
  <c r="G159" i="1"/>
  <c r="E159" i="1" s="1"/>
  <c r="G155" i="1"/>
  <c r="E155" i="1" s="1"/>
  <c r="G151" i="1"/>
  <c r="E151" i="1" s="1"/>
  <c r="G147" i="1"/>
  <c r="E147" i="1" s="1"/>
  <c r="G143" i="1"/>
  <c r="E143" i="1" s="1"/>
  <c r="G139" i="1"/>
  <c r="E139" i="1" s="1"/>
  <c r="G135" i="1"/>
  <c r="E135" i="1" s="1"/>
  <c r="G131" i="1"/>
  <c r="E131" i="1" s="1"/>
  <c r="G127" i="1"/>
  <c r="E127" i="1" s="1"/>
  <c r="G123" i="1"/>
  <c r="E123" i="1" s="1"/>
  <c r="G119" i="1"/>
  <c r="E119" i="1" s="1"/>
  <c r="G115" i="1"/>
  <c r="E115" i="1" s="1"/>
  <c r="G111" i="1"/>
  <c r="E111" i="1" s="1"/>
  <c r="G107" i="1"/>
  <c r="E107" i="1" s="1"/>
  <c r="G103" i="1"/>
  <c r="E103" i="1" s="1"/>
  <c r="G99" i="1"/>
  <c r="E99" i="1" s="1"/>
  <c r="G95" i="1"/>
  <c r="E95" i="1" s="1"/>
  <c r="G91" i="1"/>
  <c r="E91" i="1" s="1"/>
  <c r="G87" i="1"/>
  <c r="E87" i="1" s="1"/>
  <c r="G83" i="1"/>
  <c r="E83" i="1" s="1"/>
  <c r="G79" i="1"/>
  <c r="E79" i="1" s="1"/>
  <c r="G75" i="1"/>
  <c r="E75" i="1" s="1"/>
  <c r="G71" i="1"/>
  <c r="E71" i="1" s="1"/>
  <c r="G60" i="1"/>
  <c r="E60" i="1" s="1"/>
  <c r="G55" i="1"/>
  <c r="E55" i="1" s="1"/>
  <c r="G51" i="1"/>
  <c r="E51" i="1" s="1"/>
  <c r="G47" i="1"/>
  <c r="E47" i="1" s="1"/>
  <c r="G41" i="1"/>
  <c r="E41" i="1" s="1"/>
  <c r="G35" i="1"/>
  <c r="E35" i="1" s="1"/>
  <c r="G30" i="1"/>
  <c r="E30" i="1" s="1"/>
  <c r="G24" i="1"/>
  <c r="E24" i="1" s="1"/>
  <c r="G20" i="1"/>
  <c r="E20" i="1" s="1"/>
  <c r="G16" i="1"/>
  <c r="E16" i="1" s="1"/>
  <c r="G12" i="1"/>
  <c r="E12" i="1" s="1"/>
  <c r="G8" i="1"/>
  <c r="E8" i="1" s="1"/>
  <c r="G4" i="1"/>
  <c r="E4" i="1" s="1"/>
  <c r="F26" i="1"/>
  <c r="F39" i="1"/>
  <c r="F44" i="1"/>
  <c r="F64" i="1"/>
  <c r="E70" i="1"/>
  <c r="E749" i="1"/>
  <c r="E745" i="1"/>
  <c r="E741" i="1"/>
  <c r="E737" i="1"/>
  <c r="E733" i="1"/>
  <c r="E729" i="1"/>
  <c r="E725" i="1"/>
  <c r="E721" i="1"/>
  <c r="E717" i="1"/>
  <c r="E713" i="1"/>
  <c r="E709" i="1"/>
  <c r="E705" i="1"/>
  <c r="E701" i="1"/>
  <c r="E697" i="1"/>
  <c r="E693" i="1"/>
  <c r="E689" i="1"/>
  <c r="E685" i="1"/>
  <c r="E681" i="1"/>
  <c r="E677" i="1"/>
  <c r="E673" i="1"/>
  <c r="E669" i="1"/>
  <c r="E665" i="1"/>
  <c r="E661" i="1"/>
  <c r="E657" i="1"/>
  <c r="E653" i="1"/>
  <c r="E649" i="1"/>
  <c r="E645" i="1"/>
  <c r="E641" i="1"/>
  <c r="E2" i="1"/>
  <c r="E748" i="1"/>
  <c r="E744" i="1"/>
  <c r="E740" i="1"/>
  <c r="E736" i="1"/>
  <c r="E732" i="1"/>
  <c r="E728" i="1"/>
  <c r="E724" i="1"/>
  <c r="E720" i="1"/>
  <c r="E716" i="1"/>
  <c r="E712" i="1"/>
  <c r="E708" i="1"/>
  <c r="E704" i="1"/>
  <c r="E700" i="1"/>
  <c r="E696" i="1"/>
  <c r="E692" i="1"/>
  <c r="E688" i="1"/>
  <c r="E684" i="1"/>
  <c r="E680" i="1"/>
  <c r="E676" i="1"/>
  <c r="E672" i="1"/>
  <c r="E668" i="1"/>
  <c r="E664" i="1"/>
  <c r="E660" i="1"/>
  <c r="E656" i="1"/>
  <c r="E652" i="1"/>
  <c r="E648" i="1"/>
  <c r="E644" i="1"/>
  <c r="E640" i="1"/>
  <c r="E636" i="1"/>
  <c r="E632" i="1"/>
  <c r="E628" i="1"/>
  <c r="E624" i="1"/>
  <c r="E620" i="1"/>
  <c r="E616" i="1"/>
  <c r="E612" i="1"/>
  <c r="E608" i="1"/>
  <c r="E604" i="1"/>
  <c r="E600" i="1"/>
  <c r="E596" i="1"/>
  <c r="E592" i="1"/>
  <c r="E588" i="1"/>
  <c r="E584" i="1"/>
  <c r="E580" i="1"/>
  <c r="E576" i="1"/>
  <c r="E572" i="1"/>
  <c r="E568" i="1"/>
  <c r="E564" i="1"/>
  <c r="E560" i="1"/>
  <c r="E556" i="1"/>
  <c r="E552" i="1"/>
  <c r="E548" i="1"/>
  <c r="E544" i="1"/>
  <c r="E540" i="1"/>
  <c r="E536" i="1"/>
  <c r="E532" i="1"/>
  <c r="E751" i="1"/>
  <c r="E747" i="1"/>
  <c r="E743" i="1"/>
  <c r="E739" i="1"/>
  <c r="E735" i="1"/>
  <c r="E731" i="1"/>
  <c r="E727" i="1"/>
  <c r="E723" i="1"/>
  <c r="E719" i="1"/>
  <c r="E715" i="1"/>
  <c r="E711" i="1"/>
  <c r="E707" i="1"/>
  <c r="E703" i="1"/>
  <c r="E699" i="1"/>
  <c r="E695" i="1"/>
  <c r="E691" i="1"/>
  <c r="E687" i="1"/>
  <c r="E683" i="1"/>
  <c r="E679" i="1"/>
  <c r="E675" i="1"/>
  <c r="E671" i="1"/>
  <c r="E667" i="1"/>
  <c r="E663" i="1"/>
  <c r="E659" i="1"/>
  <c r="E655" i="1"/>
  <c r="E651" i="1"/>
  <c r="E647" i="1"/>
  <c r="E643" i="1"/>
  <c r="E639" i="1"/>
  <c r="E635" i="1"/>
  <c r="E631" i="1"/>
  <c r="E627" i="1"/>
  <c r="E623" i="1"/>
  <c r="E619" i="1"/>
  <c r="E615" i="1"/>
  <c r="E611" i="1"/>
  <c r="E607" i="1"/>
  <c r="E603" i="1"/>
  <c r="E599" i="1"/>
  <c r="E595" i="1"/>
  <c r="E591" i="1"/>
  <c r="E587" i="1"/>
  <c r="E583" i="1"/>
  <c r="E579" i="1"/>
  <c r="E575" i="1"/>
  <c r="E571" i="1"/>
  <c r="E567" i="1"/>
  <c r="E563" i="1"/>
  <c r="E559" i="1"/>
  <c r="E555" i="1"/>
  <c r="E551" i="1"/>
  <c r="E547" i="1"/>
  <c r="E543" i="1"/>
  <c r="E539" i="1"/>
  <c r="E535" i="1"/>
  <c r="E531" i="1"/>
  <c r="E527" i="1"/>
  <c r="E523" i="1"/>
  <c r="E519" i="1"/>
  <c r="E515" i="1"/>
  <c r="E511" i="1"/>
  <c r="E507" i="1"/>
  <c r="E503" i="1"/>
  <c r="E499" i="1"/>
  <c r="E495" i="1"/>
  <c r="E491" i="1"/>
  <c r="E487" i="1"/>
  <c r="E483" i="1"/>
  <c r="E479" i="1"/>
  <c r="E475" i="1"/>
  <c r="E471" i="1"/>
  <c r="E467" i="1"/>
  <c r="E463" i="1"/>
  <c r="E459" i="1"/>
  <c r="E455" i="1"/>
  <c r="E451" i="1"/>
  <c r="E447" i="1"/>
  <c r="E443" i="1"/>
  <c r="E439" i="1"/>
  <c r="E435" i="1"/>
  <c r="E431" i="1"/>
  <c r="E427" i="1"/>
  <c r="E423" i="1"/>
  <c r="E419" i="1"/>
  <c r="E415" i="1"/>
  <c r="E411" i="1"/>
  <c r="E407" i="1"/>
  <c r="E403" i="1"/>
  <c r="E399" i="1"/>
  <c r="E395" i="1"/>
  <c r="E391" i="1"/>
  <c r="E387" i="1"/>
  <c r="E383" i="1"/>
  <c r="E379" i="1"/>
  <c r="E375" i="1"/>
  <c r="E371" i="1"/>
  <c r="E367" i="1"/>
  <c r="E363" i="1"/>
  <c r="E359" i="1"/>
  <c r="E355" i="1"/>
  <c r="E351" i="1"/>
  <c r="E347" i="1"/>
  <c r="E343" i="1"/>
  <c r="E339" i="1"/>
  <c r="E335" i="1"/>
  <c r="E331" i="1"/>
  <c r="E327" i="1"/>
  <c r="E323" i="1"/>
  <c r="E319" i="1"/>
  <c r="E315" i="1"/>
  <c r="E311" i="1"/>
  <c r="E307" i="1"/>
  <c r="E303" i="1"/>
  <c r="E299" i="1"/>
  <c r="E295" i="1"/>
  <c r="E291" i="1"/>
  <c r="E287" i="1"/>
  <c r="E283" i="1"/>
  <c r="E279" i="1"/>
  <c r="E275" i="1"/>
  <c r="E271" i="1"/>
  <c r="E267" i="1"/>
  <c r="E263" i="1"/>
  <c r="E259" i="1"/>
  <c r="E255" i="1"/>
  <c r="E251" i="1"/>
  <c r="E247" i="1"/>
  <c r="E243" i="1"/>
  <c r="E239" i="1"/>
  <c r="E235" i="1"/>
  <c r="E231" i="1"/>
  <c r="E227" i="1"/>
  <c r="E223" i="1"/>
  <c r="E219" i="1"/>
  <c r="E215" i="1"/>
  <c r="E211" i="1"/>
  <c r="E207" i="1"/>
  <c r="E195" i="1"/>
  <c r="E750" i="1"/>
  <c r="E746" i="1"/>
  <c r="E742" i="1"/>
  <c r="E738" i="1"/>
  <c r="E734" i="1"/>
  <c r="E730" i="1"/>
  <c r="E726" i="1"/>
  <c r="E722" i="1"/>
  <c r="E718" i="1"/>
  <c r="E714" i="1"/>
  <c r="E710" i="1"/>
  <c r="E706" i="1"/>
  <c r="E702" i="1"/>
  <c r="E698" i="1"/>
  <c r="E694" i="1"/>
  <c r="E690" i="1"/>
  <c r="E686" i="1"/>
  <c r="E682" i="1"/>
  <c r="E678" i="1"/>
  <c r="E674" i="1"/>
  <c r="E670" i="1"/>
  <c r="E666" i="1"/>
  <c r="E662" i="1"/>
  <c r="E658" i="1"/>
  <c r="E654" i="1"/>
  <c r="E650" i="1"/>
  <c r="E646" i="1"/>
  <c r="E642" i="1"/>
  <c r="E638" i="1"/>
  <c r="E634" i="1"/>
  <c r="E630" i="1"/>
  <c r="E626" i="1"/>
  <c r="E622" i="1"/>
  <c r="E618" i="1"/>
  <c r="E614" i="1"/>
  <c r="E610" i="1"/>
  <c r="E606" i="1"/>
  <c r="E602" i="1"/>
  <c r="E598" i="1"/>
  <c r="E594" i="1"/>
  <c r="E590" i="1"/>
  <c r="E586" i="1"/>
  <c r="E582" i="1"/>
  <c r="E578" i="1"/>
  <c r="E574" i="1"/>
  <c r="E570" i="1"/>
  <c r="E566" i="1"/>
  <c r="E562" i="1"/>
  <c r="E558" i="1"/>
  <c r="E554" i="1"/>
  <c r="E550" i="1"/>
  <c r="E546" i="1"/>
  <c r="E542" i="1"/>
  <c r="E538" i="1"/>
  <c r="E534" i="1"/>
  <c r="E530" i="1"/>
  <c r="E526" i="1"/>
  <c r="E522" i="1"/>
  <c r="E518" i="1"/>
  <c r="E514" i="1"/>
  <c r="E510" i="1"/>
  <c r="E506" i="1"/>
  <c r="E502" i="1"/>
  <c r="E498" i="1"/>
  <c r="E494" i="1"/>
  <c r="E490" i="1"/>
  <c r="E486" i="1"/>
  <c r="E482" i="1"/>
  <c r="E478" i="1"/>
  <c r="E474" i="1"/>
  <c r="E470" i="1"/>
  <c r="E466" i="1"/>
  <c r="E462" i="1"/>
  <c r="E458" i="1"/>
  <c r="E454" i="1"/>
  <c r="E450" i="1"/>
  <c r="E446" i="1"/>
  <c r="E442" i="1"/>
  <c r="E438" i="1"/>
  <c r="E434" i="1"/>
  <c r="E430" i="1"/>
  <c r="E426" i="1"/>
  <c r="E422" i="1"/>
  <c r="E418" i="1"/>
  <c r="E414" i="1"/>
  <c r="E410" i="1"/>
  <c r="E406" i="1"/>
  <c r="E402" i="1"/>
  <c r="E398" i="1"/>
  <c r="E394" i="1"/>
  <c r="E390" i="1"/>
  <c r="E386" i="1"/>
  <c r="E382" i="1"/>
  <c r="E378" i="1"/>
  <c r="E374" i="1"/>
  <c r="E370" i="1"/>
  <c r="E366" i="1"/>
  <c r="E362" i="1"/>
  <c r="E358" i="1"/>
  <c r="E354" i="1"/>
  <c r="E350" i="1"/>
  <c r="E346" i="1"/>
  <c r="E342" i="1"/>
  <c r="E338" i="1"/>
  <c r="E334" i="1"/>
  <c r="E330" i="1"/>
  <c r="E326" i="1"/>
  <c r="E322" i="1"/>
  <c r="E318" i="1"/>
  <c r="E314" i="1"/>
  <c r="E310" i="1"/>
  <c r="E306" i="1"/>
  <c r="E302" i="1"/>
  <c r="E298" i="1"/>
  <c r="E294" i="1"/>
  <c r="E290" i="1"/>
  <c r="E286" i="1"/>
  <c r="E282" i="1"/>
  <c r="E278" i="1"/>
  <c r="E274" i="1"/>
  <c r="E270" i="1"/>
  <c r="E266" i="1"/>
  <c r="E262" i="1"/>
  <c r="E258" i="1"/>
  <c r="E254" i="1"/>
  <c r="E250" i="1"/>
  <c r="E246" i="1"/>
  <c r="E242" i="1"/>
  <c r="E238" i="1"/>
  <c r="E234" i="1"/>
  <c r="E230" i="1"/>
  <c r="E226" i="1"/>
  <c r="E222" i="1"/>
  <c r="E218" i="1"/>
  <c r="E214" i="1"/>
  <c r="E210" i="1"/>
  <c r="E206" i="1"/>
  <c r="E202" i="1"/>
  <c r="E190" i="1"/>
  <c r="E186" i="1"/>
  <c r="E174" i="1"/>
  <c r="E170" i="1"/>
  <c r="E162" i="1"/>
  <c r="E154" i="1"/>
  <c r="E150" i="1"/>
  <c r="E138" i="1"/>
  <c r="E134" i="1"/>
  <c r="E122" i="1"/>
  <c r="E118" i="1"/>
  <c r="E106" i="1"/>
  <c r="E102" i="1"/>
  <c r="E90" i="1"/>
  <c r="E637" i="1"/>
  <c r="E633" i="1"/>
  <c r="E629" i="1"/>
  <c r="E625" i="1"/>
  <c r="E621" i="1"/>
  <c r="E617" i="1"/>
  <c r="E613" i="1"/>
  <c r="E609" i="1"/>
  <c r="E605" i="1"/>
  <c r="E601" i="1"/>
  <c r="E597" i="1"/>
  <c r="E593" i="1"/>
  <c r="E589" i="1"/>
  <c r="E585" i="1"/>
  <c r="E581" i="1"/>
  <c r="E577" i="1"/>
  <c r="E573" i="1"/>
  <c r="E569" i="1"/>
  <c r="E565" i="1"/>
  <c r="E561" i="1"/>
  <c r="E557" i="1"/>
  <c r="E553" i="1"/>
  <c r="E549" i="1"/>
  <c r="E545" i="1"/>
  <c r="E541" i="1"/>
  <c r="E537" i="1"/>
  <c r="E533" i="1"/>
  <c r="E529" i="1"/>
  <c r="E525" i="1"/>
  <c r="E521" i="1"/>
  <c r="E517" i="1"/>
  <c r="E513" i="1"/>
  <c r="E509" i="1"/>
  <c r="E505" i="1"/>
  <c r="E501" i="1"/>
  <c r="E497" i="1"/>
  <c r="E493" i="1"/>
  <c r="E489" i="1"/>
  <c r="E485" i="1"/>
  <c r="E481" i="1"/>
  <c r="E477" i="1"/>
  <c r="E473" i="1"/>
  <c r="E469" i="1"/>
  <c r="E465" i="1"/>
  <c r="E461" i="1"/>
  <c r="E457" i="1"/>
  <c r="E453" i="1"/>
  <c r="E449" i="1"/>
  <c r="E445" i="1"/>
  <c r="E441" i="1"/>
  <c r="E437" i="1"/>
  <c r="E433" i="1"/>
  <c r="E429" i="1"/>
  <c r="E425" i="1"/>
  <c r="E421" i="1"/>
  <c r="E417" i="1"/>
  <c r="E413" i="1"/>
  <c r="E409" i="1"/>
  <c r="E405" i="1"/>
  <c r="E401" i="1"/>
  <c r="E397" i="1"/>
  <c r="E393" i="1"/>
  <c r="E389" i="1"/>
  <c r="E385" i="1"/>
  <c r="E381" i="1"/>
  <c r="E377" i="1"/>
  <c r="E373" i="1"/>
  <c r="E369" i="1"/>
  <c r="E365" i="1"/>
  <c r="E361" i="1"/>
  <c r="E357" i="1"/>
  <c r="E353" i="1"/>
  <c r="E349" i="1"/>
  <c r="E345" i="1"/>
  <c r="E341" i="1"/>
  <c r="E337" i="1"/>
  <c r="E333" i="1"/>
  <c r="E305" i="1"/>
  <c r="E59" i="1"/>
  <c r="E46" i="1"/>
  <c r="E528" i="1"/>
  <c r="E524" i="1"/>
  <c r="E520" i="1"/>
  <c r="E516" i="1"/>
  <c r="E512" i="1"/>
  <c r="E508" i="1"/>
  <c r="E504" i="1"/>
  <c r="E500" i="1"/>
  <c r="E496" i="1"/>
  <c r="E492" i="1"/>
  <c r="E488" i="1"/>
  <c r="E484" i="1"/>
  <c r="E480" i="1"/>
  <c r="E476" i="1"/>
  <c r="E472" i="1"/>
  <c r="E468" i="1"/>
  <c r="E200" i="1"/>
  <c r="E196" i="1"/>
  <c r="E184" i="1"/>
  <c r="E180" i="1"/>
  <c r="E168" i="1"/>
  <c r="E160" i="1"/>
  <c r="E191" i="1"/>
  <c r="E179" i="1"/>
  <c r="E175" i="1"/>
  <c r="E65" i="1"/>
  <c r="E17" i="1"/>
  <c r="E5" i="1"/>
  <c r="E74" i="1"/>
  <c r="E40" i="1"/>
  <c r="E19" i="1"/>
  <c r="E7" i="1"/>
  <c r="F21" i="22" l="1"/>
  <c r="F12" i="22"/>
  <c r="F14" i="22"/>
  <c r="F15" i="22"/>
  <c r="F20" i="22"/>
  <c r="C38" i="4"/>
  <c r="C36" i="4"/>
  <c r="C37" i="4"/>
  <c r="C4" i="4"/>
  <c r="C8" i="4"/>
  <c r="C12" i="4"/>
  <c r="C16" i="4"/>
  <c r="C20" i="4"/>
  <c r="C24" i="4"/>
  <c r="C28" i="4"/>
  <c r="C32" i="4"/>
  <c r="C3" i="4"/>
  <c r="C15" i="4"/>
  <c r="C27" i="4"/>
  <c r="C5" i="4"/>
  <c r="C9" i="4"/>
  <c r="C13" i="4"/>
  <c r="C17" i="4"/>
  <c r="C21" i="4"/>
  <c r="C25" i="4"/>
  <c r="C29" i="4"/>
  <c r="C33" i="4"/>
  <c r="C11" i="4"/>
  <c r="C23" i="4"/>
  <c r="C35" i="4"/>
  <c r="C2" i="4"/>
  <c r="C6" i="4"/>
  <c r="C10" i="4"/>
  <c r="C14" i="4"/>
  <c r="C18" i="4"/>
  <c r="C22" i="4"/>
  <c r="C26" i="4"/>
  <c r="C30" i="4"/>
  <c r="C34" i="4"/>
  <c r="C7" i="4"/>
  <c r="C19" i="4"/>
  <c r="C31" i="4"/>
  <c r="E39" i="1"/>
  <c r="E44" i="1"/>
  <c r="E26" i="1"/>
  <c r="E31" i="1"/>
  <c r="E58" i="1"/>
  <c r="E64" i="1"/>
  <c r="E66" i="1"/>
  <c r="E25" i="1"/>
</calcChain>
</file>

<file path=xl/sharedStrings.xml><?xml version="1.0" encoding="utf-8"?>
<sst xmlns="http://schemas.openxmlformats.org/spreadsheetml/2006/main" count="7117" uniqueCount="2296">
  <si>
    <t>通用</t>
  </si>
  <si>
    <t>保守</t>
  </si>
  <si>
    <t>均衡</t>
  </si>
  <si>
    <t>穆尼</t>
  </si>
  <si>
    <t>塞拉里乌斯</t>
  </si>
  <si>
    <t>赫维留斯</t>
  </si>
  <si>
    <t>奥斯特拉</t>
  </si>
  <si>
    <t>索迪斯</t>
  </si>
  <si>
    <t>奥瑞恩</t>
  </si>
  <si>
    <t>巫术</t>
  </si>
  <si>
    <t>角色</t>
    <phoneticPr fontId="1" type="noConversion"/>
  </si>
  <si>
    <t>类型</t>
    <phoneticPr fontId="1" type="noConversion"/>
  </si>
  <si>
    <t>骰子名称</t>
    <phoneticPr fontId="1" type="noConversion"/>
  </si>
  <si>
    <t>章节数</t>
    <phoneticPr fontId="1" type="noConversion"/>
  </si>
  <si>
    <t>关卡数</t>
    <phoneticPr fontId="1" type="noConversion"/>
  </si>
  <si>
    <t>污染之礁</t>
    <phoneticPr fontId="1" type="noConversion"/>
  </si>
  <si>
    <t>冒险</t>
  </si>
  <si>
    <t>史诗</t>
  </si>
  <si>
    <t>基础</t>
  </si>
  <si>
    <t>-</t>
    <phoneticPr fontId="1" type="noConversion"/>
  </si>
  <si>
    <t>防御福音</t>
    <phoneticPr fontId="1" type="noConversion"/>
  </si>
  <si>
    <t>心平气和</t>
    <phoneticPr fontId="1" type="noConversion"/>
  </si>
  <si>
    <t>光盾</t>
    <phoneticPr fontId="1" type="noConversion"/>
  </si>
  <si>
    <t>群体清疗</t>
    <phoneticPr fontId="1" type="noConversion"/>
  </si>
  <si>
    <t>冥想</t>
    <phoneticPr fontId="1" type="noConversion"/>
  </si>
  <si>
    <t>重拳</t>
    <phoneticPr fontId="1" type="noConversion"/>
  </si>
  <si>
    <t>净化</t>
    <phoneticPr fontId="1" type="noConversion"/>
  </si>
  <si>
    <t>闪击</t>
    <phoneticPr fontId="1" type="noConversion"/>
  </si>
  <si>
    <t>星辰反弹</t>
    <phoneticPr fontId="1" type="noConversion"/>
  </si>
  <si>
    <t>镇定</t>
    <phoneticPr fontId="1" type="noConversion"/>
  </si>
  <si>
    <t>复制</t>
    <phoneticPr fontId="1" type="noConversion"/>
  </si>
  <si>
    <t>激励</t>
    <phoneticPr fontId="1" type="noConversion"/>
  </si>
  <si>
    <t>重掷</t>
    <phoneticPr fontId="1" type="noConversion"/>
  </si>
  <si>
    <t>恢复</t>
    <phoneticPr fontId="1" type="noConversion"/>
  </si>
  <si>
    <t>超越时光</t>
    <phoneticPr fontId="1" type="noConversion"/>
  </si>
  <si>
    <t>事件选择1</t>
    <phoneticPr fontId="1" type="noConversion"/>
  </si>
  <si>
    <t>事件选择2</t>
  </si>
  <si>
    <t>事件选择3</t>
  </si>
  <si>
    <t>事件选择4</t>
  </si>
  <si>
    <t>恒星碎片</t>
    <phoneticPr fontId="1" type="noConversion"/>
  </si>
  <si>
    <t>守卫名称</t>
    <phoneticPr fontId="1" type="noConversion"/>
  </si>
  <si>
    <t>序号</t>
    <phoneticPr fontId="1" type="noConversion"/>
  </si>
  <si>
    <t>守卫类型</t>
    <phoneticPr fontId="1" type="noConversion"/>
  </si>
  <si>
    <t>事件名称</t>
    <phoneticPr fontId="1" type="noConversion"/>
  </si>
  <si>
    <t>祝福类型</t>
    <phoneticPr fontId="1" type="noConversion"/>
  </si>
  <si>
    <t>祝福来源</t>
    <phoneticPr fontId="1" type="noConversion"/>
  </si>
  <si>
    <t>祝福效果</t>
    <phoneticPr fontId="1" type="noConversion"/>
  </si>
  <si>
    <t>防御福音+</t>
    <phoneticPr fontId="1" type="noConversion"/>
  </si>
  <si>
    <t>防御灵光+</t>
    <phoneticPr fontId="1" type="noConversion"/>
  </si>
  <si>
    <t>心平气和+</t>
    <phoneticPr fontId="1" type="noConversion"/>
  </si>
  <si>
    <t>光盾+</t>
    <phoneticPr fontId="1" type="noConversion"/>
  </si>
  <si>
    <t>保护+</t>
    <phoneticPr fontId="1" type="noConversion"/>
  </si>
  <si>
    <t>护盾反弹+</t>
    <phoneticPr fontId="1" type="noConversion"/>
  </si>
  <si>
    <t>劈斩+</t>
    <phoneticPr fontId="1" type="noConversion"/>
  </si>
  <si>
    <t>群体清疗+</t>
    <phoneticPr fontId="1" type="noConversion"/>
  </si>
  <si>
    <t>冥想+</t>
    <phoneticPr fontId="1" type="noConversion"/>
  </si>
  <si>
    <t>重拳+</t>
    <phoneticPr fontId="1" type="noConversion"/>
  </si>
  <si>
    <t>净化+</t>
    <phoneticPr fontId="1" type="noConversion"/>
  </si>
  <si>
    <t>闪击+</t>
    <phoneticPr fontId="1" type="noConversion"/>
  </si>
  <si>
    <t>星辰反弹+</t>
    <phoneticPr fontId="1" type="noConversion"/>
  </si>
  <si>
    <t>复制+</t>
    <phoneticPr fontId="1" type="noConversion"/>
  </si>
  <si>
    <t>抽取+</t>
    <phoneticPr fontId="1" type="noConversion"/>
  </si>
  <si>
    <t>锻造区域净化+</t>
    <phoneticPr fontId="1" type="noConversion"/>
  </si>
  <si>
    <t>激励+</t>
    <phoneticPr fontId="1" type="noConversion"/>
  </si>
  <si>
    <t>削减+</t>
    <phoneticPr fontId="1" type="noConversion"/>
  </si>
  <si>
    <t>防御灵光++</t>
    <phoneticPr fontId="1" type="noConversion"/>
  </si>
  <si>
    <t>酷刑++</t>
    <phoneticPr fontId="1" type="noConversion"/>
  </si>
  <si>
    <t>圣洁++</t>
    <phoneticPr fontId="1" type="noConversion"/>
  </si>
  <si>
    <t>光盾++</t>
    <phoneticPr fontId="1" type="noConversion"/>
  </si>
  <si>
    <t>保护++</t>
    <phoneticPr fontId="1" type="noConversion"/>
  </si>
  <si>
    <t>静谧++</t>
    <phoneticPr fontId="1" type="noConversion"/>
  </si>
  <si>
    <t>群体清疗++</t>
    <phoneticPr fontId="1" type="noConversion"/>
  </si>
  <si>
    <t>净化+++</t>
    <phoneticPr fontId="1" type="noConversion"/>
  </si>
  <si>
    <t>净化++</t>
    <phoneticPr fontId="1" type="noConversion"/>
  </si>
  <si>
    <t>闪击++</t>
    <phoneticPr fontId="1" type="noConversion"/>
  </si>
  <si>
    <t>星辰呼唤++</t>
    <phoneticPr fontId="1" type="noConversion"/>
  </si>
  <si>
    <t>抽取++</t>
    <phoneticPr fontId="1" type="noConversion"/>
  </si>
  <si>
    <t>抽取冒险++</t>
    <phoneticPr fontId="1" type="noConversion"/>
  </si>
  <si>
    <t>区域锻造净化++</t>
    <phoneticPr fontId="1" type="noConversion"/>
  </si>
  <si>
    <t>精准之掷++</t>
    <phoneticPr fontId="1" type="noConversion"/>
  </si>
  <si>
    <t>刷新++</t>
    <phoneticPr fontId="1" type="noConversion"/>
  </si>
  <si>
    <t>虚空探寻++</t>
    <phoneticPr fontId="1" type="noConversion"/>
  </si>
  <si>
    <t>防御灵光+++</t>
    <phoneticPr fontId="1" type="noConversion"/>
  </si>
  <si>
    <t>圣洁+++</t>
    <phoneticPr fontId="1" type="noConversion"/>
  </si>
  <si>
    <t>光盾+++</t>
    <phoneticPr fontId="1" type="noConversion"/>
  </si>
  <si>
    <t>静谧+++</t>
    <phoneticPr fontId="1" type="noConversion"/>
  </si>
  <si>
    <t>劈斩+++</t>
    <phoneticPr fontId="1" type="noConversion"/>
  </si>
  <si>
    <t>群体清疗+++</t>
    <phoneticPr fontId="1" type="noConversion"/>
  </si>
  <si>
    <t>闪击+++</t>
    <phoneticPr fontId="1" type="noConversion"/>
  </si>
  <si>
    <t>星辰呼唤+++</t>
    <phoneticPr fontId="1" type="noConversion"/>
  </si>
  <si>
    <t>复制+++</t>
    <phoneticPr fontId="1" type="noConversion"/>
  </si>
  <si>
    <t>抽取+++</t>
    <phoneticPr fontId="1" type="noConversion"/>
  </si>
  <si>
    <t>锻造区域净化+++</t>
    <phoneticPr fontId="1" type="noConversion"/>
  </si>
  <si>
    <t>激励+++</t>
    <phoneticPr fontId="1" type="noConversion"/>
  </si>
  <si>
    <t>精准之掷+++</t>
    <phoneticPr fontId="1" type="noConversion"/>
  </si>
  <si>
    <t>刷新+++</t>
    <phoneticPr fontId="1" type="noConversion"/>
  </si>
  <si>
    <t>虚空探寻+++</t>
    <phoneticPr fontId="1" type="noConversion"/>
  </si>
  <si>
    <t>玩家腐化</t>
    <phoneticPr fontId="1" type="noConversion"/>
  </si>
  <si>
    <t>折磨</t>
    <phoneticPr fontId="1" type="noConversion"/>
  </si>
  <si>
    <t>星辰呼唤</t>
    <phoneticPr fontId="1" type="noConversion"/>
  </si>
  <si>
    <t>自适应快递员</t>
    <phoneticPr fontId="1" type="noConversion"/>
  </si>
  <si>
    <t>浑天仪</t>
    <phoneticPr fontId="1" type="noConversion"/>
  </si>
  <si>
    <t>星盘</t>
    <phoneticPr fontId="1" type="noConversion"/>
  </si>
  <si>
    <t>自主信标</t>
    <phoneticPr fontId="1" type="noConversion"/>
  </si>
  <si>
    <t>能量塔</t>
    <phoneticPr fontId="1" type="noConversion"/>
  </si>
  <si>
    <t>巨手</t>
    <phoneticPr fontId="1" type="noConversion"/>
  </si>
  <si>
    <t>骰子驱动器</t>
    <phoneticPr fontId="1" type="noConversion"/>
  </si>
  <si>
    <t>守护者</t>
    <phoneticPr fontId="1" type="noConversion"/>
  </si>
  <si>
    <t>月球折射器</t>
    <phoneticPr fontId="1" type="noConversion"/>
  </si>
  <si>
    <t>原恒星</t>
    <phoneticPr fontId="1" type="noConversion"/>
  </si>
  <si>
    <t>太阳光丛</t>
    <phoneticPr fontId="1" type="noConversion"/>
  </si>
  <si>
    <t>多角星</t>
    <phoneticPr fontId="1" type="noConversion"/>
  </si>
  <si>
    <t>静止时钟</t>
    <phoneticPr fontId="1" type="noConversion"/>
  </si>
  <si>
    <t>未知装置</t>
    <phoneticPr fontId="1" type="noConversion"/>
  </si>
  <si>
    <t>远古雕像</t>
    <phoneticPr fontId="1" type="noConversion"/>
  </si>
  <si>
    <t>穆尼</t>
    <phoneticPr fontId="1" type="noConversion"/>
  </si>
  <si>
    <t>塞拉里乌斯</t>
    <phoneticPr fontId="1" type="noConversion"/>
  </si>
  <si>
    <t>通用</t>
    <phoneticPr fontId="1" type="noConversion"/>
  </si>
  <si>
    <t>宁神印鱼</t>
    <phoneticPr fontId="1" type="noConversion"/>
  </si>
  <si>
    <t>守卫被动</t>
    <phoneticPr fontId="1" type="noConversion"/>
  </si>
  <si>
    <t>迷失</t>
    <phoneticPr fontId="1" type="noConversion"/>
  </si>
  <si>
    <t>仇怨</t>
    <phoneticPr fontId="1" type="noConversion"/>
  </si>
  <si>
    <t>普照</t>
    <phoneticPr fontId="1" type="noConversion"/>
  </si>
  <si>
    <t>治疗机</t>
    <phoneticPr fontId="1" type="noConversion"/>
  </si>
  <si>
    <t>守卫血量</t>
    <phoneticPr fontId="1" type="noConversion"/>
  </si>
  <si>
    <t>序号</t>
    <phoneticPr fontId="1" type="noConversion"/>
  </si>
  <si>
    <t>对所有敌人施加X点光盾</t>
    <phoneticPr fontId="1" type="noConversion"/>
  </si>
  <si>
    <t>厄运</t>
    <phoneticPr fontId="1" type="noConversion"/>
  </si>
  <si>
    <t>等效伤害系数</t>
    <phoneticPr fontId="1" type="noConversion"/>
  </si>
  <si>
    <t>静谧光环＋＋</t>
    <phoneticPr fontId="1" type="noConversion"/>
  </si>
  <si>
    <t>劈斩＋＋</t>
    <phoneticPr fontId="1" type="noConversion"/>
  </si>
  <si>
    <t>赫维留斯</t>
    <phoneticPr fontId="1" type="noConversion"/>
  </si>
  <si>
    <t>奥斯特拉</t>
    <phoneticPr fontId="1" type="noConversion"/>
  </si>
  <si>
    <t>索迪斯</t>
    <phoneticPr fontId="1" type="noConversion"/>
  </si>
  <si>
    <t>奥瑞恩</t>
    <phoneticPr fontId="1" type="noConversion"/>
  </si>
  <si>
    <t>恒星祝福</t>
    <phoneticPr fontId="1" type="noConversion"/>
  </si>
  <si>
    <t>黑洞祝福</t>
    <phoneticPr fontId="1" type="noConversion"/>
  </si>
  <si>
    <t>事件祝福</t>
    <phoneticPr fontId="1" type="noConversion"/>
  </si>
  <si>
    <t>祝福名称</t>
    <phoneticPr fontId="1" type="noConversion"/>
  </si>
  <si>
    <t>笼中异象</t>
    <phoneticPr fontId="1" type="noConversion"/>
  </si>
  <si>
    <t>附身玩具</t>
    <phoneticPr fontId="1" type="noConversion"/>
  </si>
  <si>
    <t>太阳之眼</t>
    <phoneticPr fontId="1" type="noConversion"/>
  </si>
  <si>
    <t>戏目十字杖</t>
    <phoneticPr fontId="1" type="noConversion"/>
  </si>
  <si>
    <t>学徒卡牌</t>
    <phoneticPr fontId="1" type="noConversion"/>
  </si>
  <si>
    <t>谨慎卡牌</t>
    <phoneticPr fontId="1" type="noConversion"/>
  </si>
  <si>
    <t>智者卡牌</t>
    <phoneticPr fontId="1" type="noConversion"/>
  </si>
  <si>
    <t>无畏卡牌</t>
    <phoneticPr fontId="1" type="noConversion"/>
  </si>
  <si>
    <t>宇宙凉鞋</t>
    <phoneticPr fontId="1" type="noConversion"/>
  </si>
  <si>
    <t>业力胸针</t>
    <phoneticPr fontId="1" type="noConversion"/>
  </si>
  <si>
    <t>星尘装束</t>
    <phoneticPr fontId="1" type="noConversion"/>
  </si>
  <si>
    <t>光子手套</t>
    <phoneticPr fontId="1" type="noConversion"/>
  </si>
  <si>
    <t>方位之戒</t>
    <phoneticPr fontId="1" type="noConversion"/>
  </si>
  <si>
    <t>穹顶之戒</t>
    <phoneticPr fontId="1" type="noConversion"/>
  </si>
  <si>
    <t>骰匠铁砧</t>
    <phoneticPr fontId="1" type="noConversion"/>
  </si>
  <si>
    <t>瓶中极光</t>
    <phoneticPr fontId="1" type="noConversion"/>
  </si>
  <si>
    <t>奇点六分仪</t>
    <phoneticPr fontId="1" type="noConversion"/>
  </si>
  <si>
    <t>光明之石</t>
    <phoneticPr fontId="1" type="noConversion"/>
  </si>
  <si>
    <t>熵罩</t>
    <phoneticPr fontId="1" type="noConversion"/>
  </si>
  <si>
    <t>星空面纱</t>
    <phoneticPr fontId="1" type="noConversion"/>
  </si>
  <si>
    <t>星落旗帜</t>
    <phoneticPr fontId="1" type="noConversion"/>
  </si>
  <si>
    <t>星辰旗帜</t>
    <phoneticPr fontId="1" type="noConversion"/>
  </si>
  <si>
    <t>多元宇宙立方</t>
    <phoneticPr fontId="1" type="noConversion"/>
  </si>
  <si>
    <t>相位背包</t>
    <phoneticPr fontId="1" type="noConversion"/>
  </si>
  <si>
    <t>黑暗碎片</t>
    <phoneticPr fontId="1" type="noConversion"/>
  </si>
  <si>
    <t>癫狂之冠</t>
    <phoneticPr fontId="1" type="noConversion"/>
  </si>
  <si>
    <t>杀星头骨</t>
    <phoneticPr fontId="1" type="noConversion"/>
  </si>
  <si>
    <t>黑曜枷锁</t>
    <phoneticPr fontId="1" type="noConversion"/>
  </si>
  <si>
    <t>昼梦面具</t>
    <phoneticPr fontId="1" type="noConversion"/>
  </si>
  <si>
    <t>溃烂核心</t>
    <phoneticPr fontId="1" type="noConversion"/>
  </si>
  <si>
    <t>禁忌图册</t>
    <phoneticPr fontId="1" type="noConversion"/>
  </si>
  <si>
    <t>迷雾之灯</t>
    <phoneticPr fontId="1" type="noConversion"/>
  </si>
  <si>
    <t>星云玫瑰</t>
    <phoneticPr fontId="1" type="noConversion"/>
  </si>
  <si>
    <t>不详贝壳</t>
    <phoneticPr fontId="1" type="noConversion"/>
  </si>
  <si>
    <t>量子真菌</t>
    <phoneticPr fontId="1" type="noConversion"/>
  </si>
  <si>
    <t>暗色法宝</t>
    <phoneticPr fontId="1" type="noConversion"/>
  </si>
  <si>
    <t>缄默围巾</t>
    <phoneticPr fontId="1" type="noConversion"/>
  </si>
  <si>
    <t>神秘纪念</t>
    <phoneticPr fontId="1" type="noConversion"/>
  </si>
  <si>
    <t>不稳定泡泡</t>
    <phoneticPr fontId="1" type="noConversion"/>
  </si>
  <si>
    <t>恒星坠落</t>
    <phoneticPr fontId="1" type="noConversion"/>
  </si>
  <si>
    <t>仪式之羽</t>
    <phoneticPr fontId="1" type="noConversion"/>
  </si>
  <si>
    <t>遗忘信笺</t>
    <phoneticPr fontId="1" type="noConversion"/>
  </si>
  <si>
    <t>月亮碎片</t>
    <phoneticPr fontId="1" type="noConversion"/>
  </si>
  <si>
    <t>附灵粉笔</t>
    <phoneticPr fontId="1" type="noConversion"/>
  </si>
  <si>
    <t>二元法令</t>
    <phoneticPr fontId="1" type="noConversion"/>
  </si>
  <si>
    <t>永恒之蛋</t>
    <phoneticPr fontId="1" type="noConversion"/>
  </si>
  <si>
    <t>奇异蜡烛</t>
    <phoneticPr fontId="1" type="noConversion"/>
  </si>
  <si>
    <t>水母铃铛</t>
    <phoneticPr fontId="1" type="noConversion"/>
  </si>
  <si>
    <t>洪积烧瓶</t>
    <phoneticPr fontId="1" type="noConversion"/>
  </si>
  <si>
    <t>照明罗盘</t>
    <phoneticPr fontId="1" type="noConversion"/>
  </si>
  <si>
    <t>怪异海草</t>
    <phoneticPr fontId="1" type="noConversion"/>
  </si>
  <si>
    <t>金色牙齿</t>
    <phoneticPr fontId="1" type="noConversion"/>
  </si>
  <si>
    <t>复仇神像</t>
    <phoneticPr fontId="1" type="noConversion"/>
  </si>
  <si>
    <t>符文之桨</t>
    <phoneticPr fontId="1" type="noConversion"/>
  </si>
  <si>
    <t>蝎虎节杖</t>
    <phoneticPr fontId="1" type="noConversion"/>
  </si>
  <si>
    <t>能量吸收器</t>
    <phoneticPr fontId="1" type="noConversion"/>
  </si>
  <si>
    <t>法杖电容器</t>
    <phoneticPr fontId="1" type="noConversion"/>
  </si>
  <si>
    <t>电池原型</t>
    <phoneticPr fontId="1" type="noConversion"/>
  </si>
  <si>
    <t>纽带复制</t>
    <phoneticPr fontId="1" type="noConversion"/>
  </si>
  <si>
    <t>每个奖励可以变换一次</t>
    <phoneticPr fontId="1" type="noConversion"/>
  </si>
  <si>
    <t>将你的重掷美德替换为双重猛击２美德</t>
    <phoneticPr fontId="1" type="noConversion"/>
  </si>
  <si>
    <t>恒星望远镜</t>
    <phoneticPr fontId="1" type="noConversion"/>
  </si>
  <si>
    <t>黑洞望远镜</t>
    <phoneticPr fontId="1" type="noConversion"/>
  </si>
  <si>
    <t>通用宝箱</t>
    <phoneticPr fontId="1" type="noConversion"/>
  </si>
  <si>
    <t>普通战斗</t>
    <phoneticPr fontId="1" type="noConversion"/>
  </si>
  <si>
    <t>普通战斗</t>
    <phoneticPr fontId="1" type="noConversion"/>
  </si>
  <si>
    <t>怪物名称</t>
    <phoneticPr fontId="1" type="noConversion"/>
  </si>
  <si>
    <t>怪物腐化</t>
    <phoneticPr fontId="1" type="noConversion"/>
  </si>
  <si>
    <t>棱光水母</t>
    <phoneticPr fontId="1" type="noConversion"/>
  </si>
  <si>
    <t>怪物过度腐化</t>
    <phoneticPr fontId="1" type="noConversion"/>
  </si>
  <si>
    <t>过度腐化效果</t>
    <phoneticPr fontId="1" type="noConversion"/>
  </si>
  <si>
    <t>玩家腐化</t>
    <phoneticPr fontId="1" type="noConversion"/>
  </si>
  <si>
    <t>效果数值</t>
    <phoneticPr fontId="1" type="noConversion"/>
  </si>
  <si>
    <t>荆棘</t>
    <phoneticPr fontId="1" type="noConversion"/>
  </si>
  <si>
    <t>被动层数</t>
    <phoneticPr fontId="1" type="noConversion"/>
  </si>
  <si>
    <t>自动炮台</t>
    <phoneticPr fontId="1" type="noConversion"/>
  </si>
  <si>
    <t>角色名称</t>
    <phoneticPr fontId="1" type="noConversion"/>
  </si>
  <si>
    <t>初始骰子1</t>
    <phoneticPr fontId="1" type="noConversion"/>
  </si>
  <si>
    <t>初始骰子2</t>
  </si>
  <si>
    <t>初始骰子3</t>
  </si>
  <si>
    <t>初始骰子4</t>
  </si>
  <si>
    <t>初始骰子5</t>
  </si>
  <si>
    <t>低级护盾</t>
    <phoneticPr fontId="1" type="noConversion"/>
  </si>
  <si>
    <t>低级强化</t>
    <phoneticPr fontId="1" type="noConversion"/>
  </si>
  <si>
    <t>低级重掷</t>
    <phoneticPr fontId="1" type="noConversion"/>
  </si>
  <si>
    <t>星辰清疗</t>
    <phoneticPr fontId="1" type="noConversion"/>
  </si>
  <si>
    <t>保守宝箱</t>
    <phoneticPr fontId="1" type="noConversion"/>
  </si>
  <si>
    <t>均衡宝箱</t>
    <phoneticPr fontId="1" type="noConversion"/>
  </si>
  <si>
    <t>冒险宝箱</t>
    <phoneticPr fontId="1" type="noConversion"/>
  </si>
  <si>
    <t>史诗宝箱</t>
    <phoneticPr fontId="1" type="noConversion"/>
  </si>
  <si>
    <t>保守骰子</t>
    <phoneticPr fontId="1" type="noConversion"/>
  </si>
  <si>
    <t>均衡骰子</t>
    <phoneticPr fontId="1" type="noConversion"/>
  </si>
  <si>
    <t>冒险骰子</t>
    <phoneticPr fontId="1" type="noConversion"/>
  </si>
  <si>
    <t>均衡宝箱</t>
    <phoneticPr fontId="1" type="noConversion"/>
  </si>
  <si>
    <t>保守宝箱</t>
    <phoneticPr fontId="1" type="noConversion"/>
  </si>
  <si>
    <t>序号</t>
    <phoneticPr fontId="1" type="noConversion"/>
  </si>
  <si>
    <t>怪物类型</t>
    <phoneticPr fontId="1" type="noConversion"/>
  </si>
  <si>
    <t>残暴蛞蝓</t>
    <phoneticPr fontId="1" type="noConversion"/>
  </si>
  <si>
    <t>自身腐化</t>
    <phoneticPr fontId="1" type="noConversion"/>
  </si>
  <si>
    <t>未知事件</t>
    <phoneticPr fontId="1" type="noConversion"/>
  </si>
  <si>
    <t>摧毁骰子</t>
    <phoneticPr fontId="1" type="noConversion"/>
  </si>
  <si>
    <t>摧毁一颗骰子</t>
    <phoneticPr fontId="1" type="noConversion"/>
  </si>
  <si>
    <t>锻造商店</t>
    <phoneticPr fontId="1" type="noConversion"/>
  </si>
  <si>
    <t>守卫商店</t>
    <phoneticPr fontId="1" type="noConversion"/>
  </si>
  <si>
    <t>换一批</t>
    <phoneticPr fontId="1" type="noConversion"/>
  </si>
  <si>
    <t>专精</t>
    <phoneticPr fontId="1" type="noConversion"/>
  </si>
  <si>
    <t>效果名</t>
    <phoneticPr fontId="1" type="noConversion"/>
  </si>
  <si>
    <t>效果描述</t>
    <phoneticPr fontId="1" type="noConversion"/>
  </si>
  <si>
    <t>锻造商店</t>
    <phoneticPr fontId="1" type="noConversion"/>
  </si>
  <si>
    <t>守卫商店</t>
    <phoneticPr fontId="1" type="noConversion"/>
  </si>
  <si>
    <t>困难战斗</t>
    <phoneticPr fontId="1" type="noConversion"/>
  </si>
  <si>
    <t>复制</t>
    <phoneticPr fontId="1" type="noConversion"/>
  </si>
  <si>
    <t>摧毁</t>
    <phoneticPr fontId="1" type="noConversion"/>
  </si>
  <si>
    <t>神庙</t>
    <phoneticPr fontId="1" type="noConversion"/>
  </si>
  <si>
    <t>头目战斗</t>
    <phoneticPr fontId="1" type="noConversion"/>
  </si>
  <si>
    <t>选择出度</t>
    <phoneticPr fontId="1" type="noConversion"/>
  </si>
  <si>
    <t>事件选择5</t>
  </si>
  <si>
    <t>困难战斗</t>
    <phoneticPr fontId="1" type="noConversion"/>
  </si>
  <si>
    <t>战斗类型</t>
    <phoneticPr fontId="1" type="noConversion"/>
  </si>
  <si>
    <t>坚壳牡蛎</t>
    <phoneticPr fontId="1" type="noConversion"/>
  </si>
  <si>
    <t>潜伏牡蛎</t>
    <phoneticPr fontId="1" type="noConversion"/>
  </si>
  <si>
    <t>蔽形牡蛎</t>
    <phoneticPr fontId="1" type="noConversion"/>
  </si>
  <si>
    <t>小怪</t>
    <phoneticPr fontId="1" type="noConversion"/>
  </si>
  <si>
    <t>精英</t>
    <phoneticPr fontId="1" type="noConversion"/>
  </si>
  <si>
    <t>自身厄运</t>
    <phoneticPr fontId="1" type="noConversion"/>
  </si>
  <si>
    <t>区域敌人厄运</t>
    <phoneticPr fontId="1" type="noConversion"/>
  </si>
  <si>
    <t>头目战斗</t>
    <phoneticPr fontId="1" type="noConversion"/>
  </si>
  <si>
    <t>庇护寄生兽</t>
    <phoneticPr fontId="1" type="noConversion"/>
  </si>
  <si>
    <t>头目</t>
    <phoneticPr fontId="1" type="noConversion"/>
  </si>
  <si>
    <t>复仇之刺</t>
    <phoneticPr fontId="1" type="noConversion"/>
  </si>
  <si>
    <t>复仇之刺</t>
    <phoneticPr fontId="1" type="noConversion"/>
  </si>
  <si>
    <t>自动炮台</t>
    <phoneticPr fontId="1" type="noConversion"/>
  </si>
  <si>
    <t>星城遗迹</t>
    <phoneticPr fontId="1" type="noConversion"/>
  </si>
  <si>
    <t>冒险宝箱</t>
    <phoneticPr fontId="1" type="noConversion"/>
  </si>
  <si>
    <t>恒星商店</t>
    <phoneticPr fontId="1" type="noConversion"/>
  </si>
  <si>
    <t>破损神庙</t>
    <phoneticPr fontId="1" type="noConversion"/>
  </si>
  <si>
    <t>史诗商店</t>
    <phoneticPr fontId="1" type="noConversion"/>
  </si>
  <si>
    <t>史诗商店</t>
    <phoneticPr fontId="1" type="noConversion"/>
  </si>
  <si>
    <t>破损望远镜</t>
    <phoneticPr fontId="1" type="noConversion"/>
  </si>
  <si>
    <t>离开</t>
    <phoneticPr fontId="1" type="noConversion"/>
  </si>
  <si>
    <t>邪恶档案员</t>
    <phoneticPr fontId="1" type="noConversion"/>
  </si>
  <si>
    <t>出现章节</t>
    <phoneticPr fontId="1" type="noConversion"/>
  </si>
  <si>
    <t>扭曲行刑者</t>
    <phoneticPr fontId="1" type="noConversion"/>
  </si>
  <si>
    <t>爆发</t>
    <phoneticPr fontId="1" type="noConversion"/>
  </si>
  <si>
    <t>爆发</t>
    <phoneticPr fontId="1" type="noConversion"/>
  </si>
  <si>
    <t>麻痹</t>
    <phoneticPr fontId="1" type="noConversion"/>
  </si>
  <si>
    <t>下一个回合少抽取X颗骰子</t>
    <phoneticPr fontId="1" type="noConversion"/>
  </si>
  <si>
    <t>塞拉里乌斯</t>
    <phoneticPr fontId="1" type="noConversion"/>
  </si>
  <si>
    <t>奥瑞恩</t>
    <phoneticPr fontId="1" type="noConversion"/>
  </si>
  <si>
    <t>低级重掷</t>
    <phoneticPr fontId="1" type="noConversion"/>
  </si>
  <si>
    <t>低级护盾</t>
    <phoneticPr fontId="1" type="noConversion"/>
  </si>
  <si>
    <t>鲨鱼强风</t>
    <phoneticPr fontId="1" type="noConversion"/>
  </si>
  <si>
    <t>骰子数量</t>
    <phoneticPr fontId="1" type="noConversion"/>
  </si>
  <si>
    <t>低级净化</t>
    <phoneticPr fontId="1" type="noConversion"/>
  </si>
  <si>
    <t>修补匠</t>
    <phoneticPr fontId="1" type="noConversion"/>
  </si>
  <si>
    <t>角色美德1</t>
    <phoneticPr fontId="1" type="noConversion"/>
  </si>
  <si>
    <t>角色美德2</t>
  </si>
  <si>
    <t>角色美德3</t>
  </si>
  <si>
    <t>角色美德4</t>
  </si>
  <si>
    <t>美德数值</t>
    <phoneticPr fontId="1" type="noConversion"/>
  </si>
  <si>
    <t>抽取</t>
    <phoneticPr fontId="1" type="noConversion"/>
  </si>
  <si>
    <t>敌人净化</t>
    <phoneticPr fontId="1" type="noConversion"/>
  </si>
  <si>
    <t>重掷</t>
    <phoneticPr fontId="1" type="noConversion"/>
  </si>
  <si>
    <t>转化</t>
    <phoneticPr fontId="1" type="noConversion"/>
  </si>
  <si>
    <t>虚空探寻</t>
    <phoneticPr fontId="1" type="noConversion"/>
  </si>
  <si>
    <t>区域敌人光盾</t>
  </si>
  <si>
    <t>静谧</t>
  </si>
  <si>
    <t>镇定</t>
  </si>
  <si>
    <t>激励</t>
  </si>
  <si>
    <t>保护</t>
  </si>
  <si>
    <t>锻造区域净化</t>
  </si>
  <si>
    <t>削减</t>
  </si>
  <si>
    <t>圣洁</t>
  </si>
  <si>
    <t>刷新</t>
  </si>
  <si>
    <t>疾病</t>
    <phoneticPr fontId="1" type="noConversion"/>
  </si>
  <si>
    <t>区域疾病</t>
    <phoneticPr fontId="1" type="noConversion"/>
  </si>
  <si>
    <t>玩家疾病</t>
    <phoneticPr fontId="1" type="noConversion"/>
  </si>
  <si>
    <t>月之协调</t>
    <phoneticPr fontId="1" type="noConversion"/>
  </si>
  <si>
    <t>在其回合结束时，带有疾病的生物受到X点腐化</t>
  </si>
  <si>
    <t>倒错</t>
    <phoneticPr fontId="1" type="noConversion"/>
  </si>
  <si>
    <t>困惑</t>
    <phoneticPr fontId="1" type="noConversion"/>
  </si>
  <si>
    <t>区域困惑</t>
    <phoneticPr fontId="1" type="noConversion"/>
  </si>
  <si>
    <t>闪亮翎羽</t>
    <phoneticPr fontId="1" type="noConversion"/>
  </si>
  <si>
    <t>破损神庙</t>
    <phoneticPr fontId="1" type="noConversion"/>
  </si>
  <si>
    <t>腐化助手</t>
    <phoneticPr fontId="1" type="noConversion"/>
  </si>
  <si>
    <t>守卫工匠</t>
    <phoneticPr fontId="1" type="noConversion"/>
  </si>
  <si>
    <t>困难战斗</t>
    <phoneticPr fontId="1" type="noConversion"/>
  </si>
  <si>
    <t>普通战斗</t>
    <phoneticPr fontId="1" type="noConversion"/>
  </si>
  <si>
    <t>随机敌人邪恶脉冲</t>
    <phoneticPr fontId="1" type="noConversion"/>
  </si>
  <si>
    <t>邪恶脉冲</t>
    <phoneticPr fontId="1" type="noConversion"/>
  </si>
  <si>
    <t>在其回合开始时，所有目标受到X点腐化</t>
  </si>
  <si>
    <t>失手</t>
    <phoneticPr fontId="1" type="noConversion"/>
  </si>
  <si>
    <t>玩家腐化</t>
    <phoneticPr fontId="1" type="noConversion"/>
  </si>
  <si>
    <t>自身邪恶脉冲</t>
    <phoneticPr fontId="1" type="noConversion"/>
  </si>
  <si>
    <t>随机邪恶脉冲</t>
    <phoneticPr fontId="1" type="noConversion"/>
  </si>
  <si>
    <t>恒星翻滚</t>
    <phoneticPr fontId="1" type="noConversion"/>
  </si>
  <si>
    <t>每当有一颗骰子被重掷时，则每有一颗被重掷的骰子，单个随即敌人受到X点净化</t>
    <phoneticPr fontId="1" type="noConversion"/>
  </si>
  <si>
    <t>普照</t>
    <phoneticPr fontId="1" type="noConversion"/>
  </si>
  <si>
    <t>抽取均衡</t>
    <phoneticPr fontId="1" type="noConversion"/>
  </si>
  <si>
    <t>研究</t>
    <phoneticPr fontId="1" type="noConversion"/>
  </si>
  <si>
    <t>飞升</t>
    <phoneticPr fontId="1" type="noConversion"/>
  </si>
  <si>
    <t>灼热铸造间</t>
    <phoneticPr fontId="1" type="noConversion"/>
  </si>
  <si>
    <t>获得一个黑洞祝福</t>
    <phoneticPr fontId="1" type="noConversion"/>
  </si>
  <si>
    <t>离开</t>
    <phoneticPr fontId="1" type="noConversion"/>
  </si>
  <si>
    <t>折寿</t>
    <phoneticPr fontId="1" type="noConversion"/>
  </si>
  <si>
    <t>夜枭星慧</t>
    <phoneticPr fontId="1" type="noConversion"/>
  </si>
  <si>
    <t>腐化装配工</t>
    <phoneticPr fontId="1" type="noConversion"/>
  </si>
  <si>
    <t>头目</t>
    <phoneticPr fontId="1" type="noConversion"/>
  </si>
  <si>
    <t>怪物被动1</t>
    <phoneticPr fontId="1" type="noConversion"/>
  </si>
  <si>
    <t>怪物被动2</t>
  </si>
  <si>
    <t>制造守卫</t>
    <phoneticPr fontId="1" type="noConversion"/>
  </si>
  <si>
    <t>苦难</t>
    <phoneticPr fontId="1" type="noConversion"/>
  </si>
  <si>
    <t>在敌方回合结束时，制造2个腐化守卫，战斗中无法拥有超过2个腐化守卫。</t>
  </si>
  <si>
    <t>腐化浑天仪</t>
    <phoneticPr fontId="1" type="noConversion"/>
  </si>
  <si>
    <t>腐化守护者</t>
    <phoneticPr fontId="1" type="noConversion"/>
  </si>
  <si>
    <t>厚皮</t>
    <phoneticPr fontId="1" type="noConversion"/>
  </si>
  <si>
    <t>当此腐化守卫处于活跃状态时，腐化装配工将拥有X点厚皮</t>
  </si>
  <si>
    <t>溃烂</t>
    <phoneticPr fontId="1" type="noConversion"/>
  </si>
  <si>
    <t>眩晕光环</t>
    <phoneticPr fontId="1" type="noConversion"/>
  </si>
  <si>
    <t>学者感召</t>
    <phoneticPr fontId="1" type="noConversion"/>
  </si>
  <si>
    <t>灵光一闪</t>
    <phoneticPr fontId="1" type="noConversion"/>
  </si>
  <si>
    <t>原点地带</t>
    <phoneticPr fontId="1" type="noConversion"/>
  </si>
  <si>
    <t>恒星碎片</t>
  </si>
  <si>
    <t>通用宝箱</t>
    <phoneticPr fontId="1" type="noConversion"/>
  </si>
  <si>
    <t>保守宝箱</t>
    <phoneticPr fontId="1" type="noConversion"/>
  </si>
  <si>
    <t>锻造商店</t>
    <phoneticPr fontId="1" type="noConversion"/>
  </si>
  <si>
    <t>均衡宝箱</t>
    <phoneticPr fontId="1" type="noConversion"/>
  </si>
  <si>
    <t>冒险宝箱</t>
    <phoneticPr fontId="1" type="noConversion"/>
  </si>
  <si>
    <t>守卫商店</t>
    <phoneticPr fontId="1" type="noConversion"/>
  </si>
  <si>
    <t>未知事件</t>
    <phoneticPr fontId="1" type="noConversion"/>
  </si>
  <si>
    <t>摧毁</t>
    <phoneticPr fontId="1" type="noConversion"/>
  </si>
  <si>
    <t>复制</t>
    <phoneticPr fontId="1" type="noConversion"/>
  </si>
  <si>
    <t>史诗商店</t>
    <phoneticPr fontId="1" type="noConversion"/>
  </si>
  <si>
    <t>月光之浴</t>
    <phoneticPr fontId="1" type="noConversion"/>
  </si>
  <si>
    <t>月光</t>
    <phoneticPr fontId="1" type="noConversion"/>
  </si>
  <si>
    <t>半影之耀</t>
    <phoneticPr fontId="1" type="noConversion"/>
  </si>
  <si>
    <t>沉迷分析</t>
    <phoneticPr fontId="1" type="noConversion"/>
  </si>
  <si>
    <t>玩家眩晕</t>
    <phoneticPr fontId="1" type="noConversion"/>
  </si>
  <si>
    <t>眩晕</t>
    <phoneticPr fontId="1" type="noConversion"/>
  </si>
  <si>
    <t>游荡灵魂</t>
    <phoneticPr fontId="1" type="noConversion"/>
  </si>
  <si>
    <t>无面幻影</t>
    <phoneticPr fontId="1" type="noConversion"/>
  </si>
  <si>
    <t>精英</t>
    <phoneticPr fontId="1" type="noConversion"/>
  </si>
  <si>
    <t>爆发</t>
    <phoneticPr fontId="1" type="noConversion"/>
  </si>
  <si>
    <t>低语光谱</t>
    <phoneticPr fontId="1" type="noConversion"/>
  </si>
  <si>
    <t>自身腐化</t>
    <phoneticPr fontId="1" type="noConversion"/>
  </si>
  <si>
    <t>区域腐化</t>
  </si>
  <si>
    <t>区域腐化</t>
    <phoneticPr fontId="1" type="noConversion"/>
  </si>
  <si>
    <t>玩家沉默</t>
    <phoneticPr fontId="1" type="noConversion"/>
  </si>
  <si>
    <t>沉默</t>
    <phoneticPr fontId="1" type="noConversion"/>
  </si>
  <si>
    <t>猩红印记</t>
    <phoneticPr fontId="1" type="noConversion"/>
  </si>
  <si>
    <t>迷失</t>
    <phoneticPr fontId="1" type="noConversion"/>
  </si>
  <si>
    <t>选择一名新守卫</t>
    <phoneticPr fontId="1" type="noConversion"/>
  </si>
  <si>
    <t>选择守卫</t>
    <phoneticPr fontId="1" type="noConversion"/>
  </si>
  <si>
    <t>破裂巨像</t>
    <phoneticPr fontId="1" type="noConversion"/>
  </si>
  <si>
    <t>腐化之手</t>
    <phoneticPr fontId="1" type="noConversion"/>
  </si>
  <si>
    <t>区域加固</t>
    <phoneticPr fontId="1" type="noConversion"/>
  </si>
  <si>
    <t>超敏光环</t>
    <phoneticPr fontId="1" type="noConversion"/>
  </si>
  <si>
    <t>荆棘</t>
    <phoneticPr fontId="1" type="noConversion"/>
  </si>
  <si>
    <t>所有目标会受到双倍净化和双倍腐化</t>
    <phoneticPr fontId="1" type="noConversion"/>
  </si>
  <si>
    <t>加固</t>
    <phoneticPr fontId="1" type="noConversion"/>
  </si>
  <si>
    <t>自身加固</t>
    <phoneticPr fontId="1" type="noConversion"/>
  </si>
  <si>
    <t>流星雨</t>
    <phoneticPr fontId="1" type="noConversion"/>
  </si>
  <si>
    <t>玩家加固</t>
    <phoneticPr fontId="1" type="noConversion"/>
  </si>
  <si>
    <t>玩家弱化</t>
    <phoneticPr fontId="1" type="noConversion"/>
  </si>
  <si>
    <t>弱化</t>
    <phoneticPr fontId="1" type="noConversion"/>
  </si>
  <si>
    <t>随机腐化</t>
    <phoneticPr fontId="1" type="noConversion"/>
  </si>
  <si>
    <t>治疗机</t>
    <phoneticPr fontId="1" type="noConversion"/>
  </si>
  <si>
    <t>溃烂恒星</t>
    <phoneticPr fontId="1" type="noConversion"/>
  </si>
  <si>
    <t>吞噬</t>
    <phoneticPr fontId="1" type="noConversion"/>
  </si>
  <si>
    <t>加速</t>
    <phoneticPr fontId="1" type="noConversion"/>
  </si>
  <si>
    <t>空心皮肤</t>
    <phoneticPr fontId="1" type="noConversion"/>
  </si>
  <si>
    <t>抹削X个增益</t>
    <phoneticPr fontId="1" type="noConversion"/>
  </si>
  <si>
    <t>毁灭</t>
    <phoneticPr fontId="1" type="noConversion"/>
  </si>
  <si>
    <t>溃烂巫术</t>
    <phoneticPr fontId="1" type="noConversion"/>
  </si>
  <si>
    <t>区域毁灭</t>
    <phoneticPr fontId="1" type="noConversion"/>
  </si>
  <si>
    <t>自身溃烂</t>
    <phoneticPr fontId="1" type="noConversion"/>
  </si>
  <si>
    <t>自身毁灭</t>
    <phoneticPr fontId="1" type="noConversion"/>
  </si>
  <si>
    <t>净化</t>
    <phoneticPr fontId="1" type="noConversion"/>
  </si>
  <si>
    <t>自身净化</t>
    <phoneticPr fontId="1" type="noConversion"/>
  </si>
  <si>
    <t>玩家净化</t>
    <phoneticPr fontId="1" type="noConversion"/>
  </si>
  <si>
    <t>区域净化</t>
    <phoneticPr fontId="1" type="noConversion"/>
  </si>
  <si>
    <t>区域玩家净化</t>
    <phoneticPr fontId="1" type="noConversion"/>
  </si>
  <si>
    <t>区域敌人净化</t>
    <phoneticPr fontId="1" type="noConversion"/>
  </si>
  <si>
    <t>不可铸造的净化</t>
    <phoneticPr fontId="1" type="noConversion"/>
  </si>
  <si>
    <t>不可铸造的玩家净化</t>
    <phoneticPr fontId="1" type="noConversion"/>
  </si>
  <si>
    <t>不可铸造的敌人净化</t>
    <phoneticPr fontId="1" type="noConversion"/>
  </si>
  <si>
    <t>不可铸造的区域净化</t>
    <phoneticPr fontId="1" type="noConversion"/>
  </si>
  <si>
    <t>不可铸造的区域敌人净化</t>
    <phoneticPr fontId="1" type="noConversion"/>
  </si>
  <si>
    <t>腐化</t>
  </si>
  <si>
    <t>敌人腐化</t>
  </si>
  <si>
    <t>区域玩家腐化</t>
  </si>
  <si>
    <t>区域敌人腐化</t>
  </si>
  <si>
    <t>不可铸造的腐化</t>
  </si>
  <si>
    <t>不可铸造的玩家腐化</t>
  </si>
  <si>
    <t>不可铸造的敌人腐化</t>
  </si>
  <si>
    <t>不可铸造的区域腐化</t>
  </si>
  <si>
    <t>不可铸造的区域敌人腐化</t>
  </si>
  <si>
    <t>光盾</t>
  </si>
  <si>
    <t>玩家光盾</t>
  </si>
  <si>
    <t>敌人光盾</t>
  </si>
  <si>
    <t>区域光盾</t>
  </si>
  <si>
    <t>抽取保守</t>
    <phoneticPr fontId="1" type="noConversion"/>
  </si>
  <si>
    <t>抽取冒险</t>
    <phoneticPr fontId="1" type="noConversion"/>
  </si>
  <si>
    <t>随机净化</t>
    <phoneticPr fontId="1" type="noConversion"/>
  </si>
  <si>
    <t>随机光盾</t>
    <phoneticPr fontId="1" type="noConversion"/>
  </si>
  <si>
    <t>通用</t>
    <phoneticPr fontId="1" type="noConversion"/>
  </si>
  <si>
    <t>增益</t>
    <phoneticPr fontId="1" type="noConversion"/>
  </si>
  <si>
    <t>减益</t>
    <phoneticPr fontId="1" type="noConversion"/>
  </si>
  <si>
    <t>敌人</t>
    <phoneticPr fontId="1" type="noConversion"/>
  </si>
  <si>
    <t>效果类型1</t>
    <phoneticPr fontId="1" type="noConversion"/>
  </si>
  <si>
    <t>随机静谧</t>
    <phoneticPr fontId="1" type="noConversion"/>
  </si>
  <si>
    <t>随机敌人静谧</t>
    <phoneticPr fontId="1" type="noConversion"/>
  </si>
  <si>
    <t>区域静谧</t>
    <phoneticPr fontId="1" type="noConversion"/>
  </si>
  <si>
    <t>基础</t>
    <phoneticPr fontId="1" type="noConversion"/>
  </si>
  <si>
    <t>主要角色</t>
    <phoneticPr fontId="1" type="noConversion"/>
  </si>
  <si>
    <t>区域折磨</t>
    <phoneticPr fontId="1" type="noConversion"/>
  </si>
  <si>
    <t>自身厄运</t>
    <phoneticPr fontId="1" type="noConversion"/>
  </si>
  <si>
    <t>玩家厄运</t>
    <phoneticPr fontId="1" type="noConversion"/>
  </si>
  <si>
    <t>区域敌人厄运</t>
    <phoneticPr fontId="1" type="noConversion"/>
  </si>
  <si>
    <t>自身疾病</t>
    <phoneticPr fontId="1" type="noConversion"/>
  </si>
  <si>
    <t>隐匿</t>
    <phoneticPr fontId="1" type="noConversion"/>
  </si>
  <si>
    <t>暗罩</t>
    <phoneticPr fontId="1" type="noConversion"/>
  </si>
  <si>
    <t>不可铸造的自身隐匿</t>
    <phoneticPr fontId="1" type="noConversion"/>
  </si>
  <si>
    <t>随机敌人暗罩</t>
    <phoneticPr fontId="1" type="noConversion"/>
  </si>
  <si>
    <t>穆尼</t>
    <phoneticPr fontId="1" type="noConversion"/>
  </si>
  <si>
    <t>赋能</t>
    <phoneticPr fontId="1" type="noConversion"/>
  </si>
  <si>
    <t>心灵舒缓</t>
    <phoneticPr fontId="1" type="noConversion"/>
  </si>
  <si>
    <t>鲨鱼报复</t>
    <phoneticPr fontId="1" type="noConversion"/>
  </si>
  <si>
    <t>波浪</t>
    <phoneticPr fontId="1" type="noConversion"/>
  </si>
  <si>
    <t>敌人波浪</t>
    <phoneticPr fontId="1" type="noConversion"/>
  </si>
  <si>
    <t>仇怨</t>
    <phoneticPr fontId="1" type="noConversion"/>
  </si>
  <si>
    <t>崩坏守卫</t>
    <phoneticPr fontId="1" type="noConversion"/>
  </si>
  <si>
    <t>小怪</t>
    <phoneticPr fontId="1" type="noConversion"/>
  </si>
  <si>
    <t>双重猛击</t>
    <phoneticPr fontId="1" type="noConversion"/>
  </si>
  <si>
    <t>腐化阈值</t>
    <phoneticPr fontId="1" type="noConversion"/>
  </si>
  <si>
    <t>平均战斗回合数</t>
    <phoneticPr fontId="1" type="noConversion"/>
  </si>
  <si>
    <t>礁石之歌</t>
    <phoneticPr fontId="1" type="noConversion"/>
  </si>
  <si>
    <t>玩家苦难</t>
    <phoneticPr fontId="1" type="noConversion"/>
  </si>
  <si>
    <t>锤头意志</t>
    <phoneticPr fontId="1" type="noConversion"/>
  </si>
  <si>
    <t>涨潮</t>
    <phoneticPr fontId="1" type="noConversion"/>
  </si>
  <si>
    <t>靛蓝灵魂</t>
    <phoneticPr fontId="1" type="noConversion"/>
  </si>
  <si>
    <t>心醉神迷</t>
    <phoneticPr fontId="1" type="noConversion"/>
  </si>
  <si>
    <t>潮汐喷射</t>
    <phoneticPr fontId="1" type="noConversion"/>
  </si>
  <si>
    <t>海洋献祭</t>
    <phoneticPr fontId="1" type="noConversion"/>
  </si>
  <si>
    <t>对所有敌人和自身造成1点腐化伤害</t>
    <phoneticPr fontId="1" type="noConversion"/>
  </si>
  <si>
    <t>选择恒星祝福</t>
    <phoneticPr fontId="1" type="noConversion"/>
  </si>
  <si>
    <t>选择一个恒星祝福</t>
    <phoneticPr fontId="1" type="noConversion"/>
  </si>
  <si>
    <t>颤抖枷锁</t>
    <phoneticPr fontId="1" type="noConversion"/>
  </si>
  <si>
    <t>玩家迷失</t>
    <phoneticPr fontId="1" type="noConversion"/>
  </si>
  <si>
    <t>锻造波浪</t>
    <phoneticPr fontId="1" type="noConversion"/>
  </si>
  <si>
    <t>深渊百夫长</t>
    <phoneticPr fontId="1" type="noConversion"/>
  </si>
  <si>
    <t>痛苦之刃</t>
    <phoneticPr fontId="1" type="noConversion"/>
  </si>
  <si>
    <t>迷魂巫术</t>
    <phoneticPr fontId="1" type="noConversion"/>
  </si>
  <si>
    <t>盲神神殿</t>
    <phoneticPr fontId="1" type="noConversion"/>
  </si>
  <si>
    <t>获得3颗史诗骰子，获得虚假预言</t>
  </si>
  <si>
    <t>获得2个恒星祝福，获得虚假预言</t>
  </si>
  <si>
    <t>浪花</t>
    <phoneticPr fontId="1" type="noConversion"/>
  </si>
  <si>
    <t>鲨鱼突击</t>
    <phoneticPr fontId="1" type="noConversion"/>
  </si>
  <si>
    <t>腐化能量塔</t>
    <phoneticPr fontId="1" type="noConversion"/>
  </si>
  <si>
    <t>腐化信标</t>
    <phoneticPr fontId="1" type="noConversion"/>
  </si>
  <si>
    <t>沉默光环</t>
    <phoneticPr fontId="1" type="noConversion"/>
  </si>
  <si>
    <t>当此腐化守卫处于活跃状态时，腐化装配工将拥有X点加速</t>
  </si>
  <si>
    <t>碎浪</t>
    <phoneticPr fontId="1" type="noConversion"/>
  </si>
  <si>
    <t>鲨鱼破裂</t>
    <phoneticPr fontId="1" type="noConversion"/>
  </si>
  <si>
    <t>沉没诅咒</t>
    <phoneticPr fontId="1" type="noConversion"/>
  </si>
  <si>
    <t>幽暗雕塑</t>
    <phoneticPr fontId="1" type="noConversion"/>
  </si>
  <si>
    <t>迷雾海胆</t>
    <phoneticPr fontId="1" type="noConversion"/>
  </si>
  <si>
    <t>玩家折磨</t>
    <phoneticPr fontId="1" type="noConversion"/>
  </si>
  <si>
    <t>晦暗</t>
    <phoneticPr fontId="1" type="noConversion"/>
  </si>
  <si>
    <t>枯萎灵魂</t>
    <phoneticPr fontId="1" type="noConversion"/>
  </si>
  <si>
    <t>醒脑头锤</t>
    <phoneticPr fontId="1" type="noConversion"/>
  </si>
  <si>
    <t>泥盆纪后嗣</t>
    <phoneticPr fontId="1" type="noConversion"/>
  </si>
  <si>
    <t>埋伏</t>
    <phoneticPr fontId="1" type="noConversion"/>
  </si>
  <si>
    <t>莫测</t>
    <phoneticPr fontId="1" type="noConversion"/>
  </si>
  <si>
    <t>受折磨的预言家</t>
    <phoneticPr fontId="1" type="noConversion"/>
  </si>
  <si>
    <t>埋伏战斗</t>
    <phoneticPr fontId="1" type="noConversion"/>
  </si>
  <si>
    <t>怪物被动3</t>
  </si>
  <si>
    <t>顶尖本能</t>
    <phoneticPr fontId="1" type="noConversion"/>
  </si>
  <si>
    <t>玩家顶尖本能</t>
    <phoneticPr fontId="1" type="noConversion"/>
  </si>
  <si>
    <t>间歇上击</t>
    <phoneticPr fontId="1" type="noConversion"/>
  </si>
  <si>
    <t>下一回合额外抽取X颗骰子，抽取阶段每弃置一颗骰子，所有敌人受到10点净化</t>
    <phoneticPr fontId="1" type="noConversion"/>
  </si>
  <si>
    <t>出笼异象</t>
    <phoneticPr fontId="1" type="noConversion"/>
  </si>
  <si>
    <t>异象产物</t>
    <phoneticPr fontId="1" type="noConversion"/>
  </si>
  <si>
    <t>现实扰乱</t>
    <phoneticPr fontId="1" type="noConversion"/>
  </si>
  <si>
    <t>自身折磨</t>
    <phoneticPr fontId="1" type="noConversion"/>
  </si>
  <si>
    <t>自身现实扰乱</t>
    <phoneticPr fontId="1" type="noConversion"/>
  </si>
  <si>
    <t>生成异象</t>
    <phoneticPr fontId="1" type="noConversion"/>
  </si>
  <si>
    <t>头目腐化</t>
    <phoneticPr fontId="1" type="noConversion"/>
  </si>
  <si>
    <t>头目净化</t>
    <phoneticPr fontId="1" type="noConversion"/>
  </si>
  <si>
    <t>在敌方回合开始时，出笼异象对单个随机目标造成1点腐化X次，然后将现实扰乱加1</t>
  </si>
  <si>
    <t>角色经验</t>
    <phoneticPr fontId="1" type="noConversion"/>
  </si>
  <si>
    <t>赫维留斯</t>
    <phoneticPr fontId="1" type="noConversion"/>
  </si>
  <si>
    <t>充能报废</t>
    <phoneticPr fontId="1" type="noConversion"/>
  </si>
  <si>
    <t>完全恢复</t>
    <phoneticPr fontId="1" type="noConversion"/>
  </si>
  <si>
    <t>区域圣洁</t>
    <phoneticPr fontId="1" type="noConversion"/>
  </si>
  <si>
    <t>流电报废</t>
    <phoneticPr fontId="1" type="noConversion"/>
  </si>
  <si>
    <t>废品护盾</t>
    <phoneticPr fontId="1" type="noConversion"/>
  </si>
  <si>
    <t>充能之体</t>
    <phoneticPr fontId="1" type="noConversion"/>
  </si>
  <si>
    <t>锐板</t>
    <phoneticPr fontId="1" type="noConversion"/>
  </si>
  <si>
    <t>玩家锐板</t>
    <phoneticPr fontId="1" type="noConversion"/>
  </si>
  <si>
    <t>守卫治疗机</t>
    <phoneticPr fontId="1" type="noConversion"/>
  </si>
  <si>
    <t>负场</t>
    <phoneticPr fontId="1" type="noConversion"/>
  </si>
  <si>
    <t>机械主宰</t>
    <phoneticPr fontId="1" type="noConversion"/>
  </si>
  <si>
    <t>神秘喷泉</t>
    <phoneticPr fontId="1" type="noConversion"/>
  </si>
  <si>
    <t>献祭一颗心，有50%概率获得2个恒星祝福</t>
  </si>
  <si>
    <t>祈求</t>
    <phoneticPr fontId="1" type="noConversion"/>
  </si>
  <si>
    <t>自动炮台</t>
    <phoneticPr fontId="1" type="noConversion"/>
  </si>
  <si>
    <t>区域守卫自动炮台</t>
    <phoneticPr fontId="1" type="noConversion"/>
  </si>
  <si>
    <t>屏障</t>
    <phoneticPr fontId="1" type="noConversion"/>
  </si>
  <si>
    <t>持久报废</t>
    <phoneticPr fontId="1" type="noConversion"/>
  </si>
  <si>
    <t>护盾回旋</t>
    <phoneticPr fontId="1" type="noConversion"/>
  </si>
  <si>
    <t>护盾重击</t>
    <phoneticPr fontId="1" type="noConversion"/>
  </si>
  <si>
    <t>恶劣修理</t>
    <phoneticPr fontId="1" type="noConversion"/>
  </si>
  <si>
    <t>修理</t>
    <phoneticPr fontId="1" type="noConversion"/>
  </si>
  <si>
    <t>辐射炸弹</t>
    <phoneticPr fontId="1" type="noConversion"/>
  </si>
  <si>
    <t>石板</t>
    <phoneticPr fontId="1" type="noConversion"/>
  </si>
  <si>
    <t>引擎袭击</t>
    <phoneticPr fontId="1" type="noConversion"/>
  </si>
  <si>
    <t>完善修理</t>
    <phoneticPr fontId="1" type="noConversion"/>
  </si>
  <si>
    <t>腐化驱动器</t>
    <phoneticPr fontId="1" type="noConversion"/>
  </si>
  <si>
    <t>麻痹光环</t>
    <phoneticPr fontId="1" type="noConversion"/>
  </si>
  <si>
    <t>腐化多角星</t>
    <phoneticPr fontId="1" type="noConversion"/>
  </si>
  <si>
    <t>当此腐化守卫处于活跃状态时，腐化装配工将拥有X点荆棘</t>
  </si>
  <si>
    <t>腐化折射器</t>
    <phoneticPr fontId="1" type="noConversion"/>
  </si>
  <si>
    <t>守卫崛起</t>
    <phoneticPr fontId="1" type="noConversion"/>
  </si>
  <si>
    <t>投匠雕像</t>
    <phoneticPr fontId="1" type="noConversion"/>
  </si>
  <si>
    <t>获得4颗不可跳过的随机骰子，有10%概率为史诗骰子</t>
  </si>
  <si>
    <t>区域守卫加速</t>
    <phoneticPr fontId="1" type="noConversion"/>
  </si>
  <si>
    <t>回旋修理</t>
    <phoneticPr fontId="1" type="noConversion"/>
  </si>
  <si>
    <t>力场屏障</t>
    <phoneticPr fontId="1" type="noConversion"/>
  </si>
  <si>
    <t>修补匠猛扑</t>
    <phoneticPr fontId="1" type="noConversion"/>
  </si>
  <si>
    <t>平均每轮分数</t>
    <phoneticPr fontId="1" type="noConversion"/>
  </si>
  <si>
    <t>闪电</t>
    <phoneticPr fontId="1" type="noConversion"/>
  </si>
  <si>
    <t>角色美德5</t>
  </si>
  <si>
    <t>雷暴</t>
    <phoneticPr fontId="1" type="noConversion"/>
  </si>
  <si>
    <t>低级漫无目的</t>
    <phoneticPr fontId="1" type="noConversion"/>
  </si>
  <si>
    <t>混乱</t>
    <phoneticPr fontId="1" type="noConversion"/>
  </si>
  <si>
    <t>混乱++</t>
    <phoneticPr fontId="1" type="noConversion"/>
  </si>
  <si>
    <t>低级活力重拳</t>
    <phoneticPr fontId="1" type="noConversion"/>
  </si>
  <si>
    <t>重新武装</t>
    <phoneticPr fontId="1" type="noConversion"/>
  </si>
  <si>
    <t>选择一个守卫的骰子，若不可用，先将其改为可用，然后立即掷骰</t>
    <phoneticPr fontId="1" type="noConversion"/>
  </si>
  <si>
    <t>腐化</t>
    <phoneticPr fontId="1" type="noConversion"/>
  </si>
  <si>
    <t>光盾</t>
    <phoneticPr fontId="1" type="noConversion"/>
  </si>
  <si>
    <t>宇宙智慧</t>
    <phoneticPr fontId="1" type="noConversion"/>
  </si>
  <si>
    <t>强化</t>
    <phoneticPr fontId="1" type="noConversion"/>
  </si>
  <si>
    <t>将任意目标的最多X颗带有任意类型腐化行动的骰子的值改为1，直到敌方回合结束。该效果无视厄运。每颗骰子每减少1点腐化，对骰子的主人造成2点净化。不受赋能影响。</t>
  </si>
  <si>
    <t>每当一个敌人进入过度腐化状态，对该敌人施加１点静谧</t>
  </si>
  <si>
    <t>每当一个敌人进入过度腐化状态，刷新你的美德</t>
  </si>
  <si>
    <t>每当你或一个守卫对一个敌人造成腐化时，该敌人受到５点净化</t>
  </si>
  <si>
    <t>每当一颗敌方骰子重掷时，该敌人受到５点净化</t>
  </si>
  <si>
    <t>你每打出６颗基础骰子，对所有目标造成６点净化，此计数器跨越多场战斗</t>
  </si>
  <si>
    <t>你每打出８颗保守骰子，刷新你的美德，此计数器跨越多场战斗</t>
  </si>
  <si>
    <t>你每打出８颗均衡骰子，抽取一颗保守骰子或冒险骰子，此计数器跨越多场战斗</t>
  </si>
  <si>
    <t>你每打出１２颗冒险骰子，对所有敌人施加圣洁点，此计数器跨越多场战斗</t>
  </si>
  <si>
    <t>你每对敌人造成８次净化时，获得１点加速</t>
  </si>
  <si>
    <t>你每对敌人造成４次净化时，你受到１点净化</t>
  </si>
  <si>
    <t>你每造成３次净化时，对单个随机目标施加１点光盾</t>
  </si>
  <si>
    <t>将保守骰子造成的净化加１，将基础骰子造成的净化加１</t>
  </si>
  <si>
    <t>当你拥有１颗星时，你额外造成２点净化</t>
  </si>
  <si>
    <t>当你的腐化条拥有６点腐化时，你额外造成４点净化</t>
  </si>
  <si>
    <t>在你的回合结束时，你的手中每有一颗骰子，获得１点光盾</t>
  </si>
  <si>
    <t>在抽取阶段结束时，你可以重掷你手中的所有骰子</t>
  </si>
  <si>
    <t>在每场战斗的首次抽取阶段，当抽取你的第一手时，首先抽取冒险骰子</t>
  </si>
  <si>
    <t>在每场战斗开始时，对所有敌人施加３点守护</t>
  </si>
  <si>
    <t>在每场战斗开始时，获得无限迷失点</t>
  </si>
  <si>
    <t>在每场战斗开始时，刷新你的美德</t>
  </si>
  <si>
    <t>每５回合，获得圣洁点</t>
  </si>
  <si>
    <t>每３回合，对所有目标施加２点光盾</t>
  </si>
  <si>
    <t>在每场战斗开始时，获得１点加速</t>
  </si>
  <si>
    <t>将所有目标受到的净化值加１，在每场战斗开始时，对你施加１点麻痹</t>
  </si>
  <si>
    <t>将所有目标受到的净化值加２，将你受到的腐化值加１</t>
  </si>
  <si>
    <t>将敌人受到的净化值加１，你对自身和守卫造成的净化减１</t>
  </si>
  <si>
    <t>每回合额外抽取１颗骰子，在每场战斗开始时，获得４点恍惚</t>
  </si>
  <si>
    <t>每回合额外抽取１颗骰子，在每场战斗开始时，对单个敌人施加１点溃烂</t>
  </si>
  <si>
    <t>每回合额外抽取１颗骰子，在每场战斗开始时，获得２点厄运</t>
  </si>
  <si>
    <t>每回合额外抽取１颗骰子，在每场战斗开始时，对你施加４点不详迷雾</t>
  </si>
  <si>
    <t>每回合额外抽取１颗骰子，在每场战斗开始时，对单个随机敌人施加１点荆棘</t>
  </si>
  <si>
    <t>每回合额外抽取１颗骰子，在每场战斗开始时，对所有敌人施加２点隐匿</t>
  </si>
  <si>
    <t>每回合额外抽取１颗骰子，在每场战斗开始时，获得４点倒错</t>
  </si>
  <si>
    <t>每回合额外抽取１颗骰子，在每场战斗开始时，对所有敌人施加晦暗点</t>
  </si>
  <si>
    <t>每回合额外抽取１颗骰子，在每场战斗开始时，获得１点沉默</t>
  </si>
  <si>
    <t>将敌人的过度腐化上限加４，在每场战斗开始时，对所有敌人施加晦暗点</t>
  </si>
  <si>
    <t>你额外造成２点净化，在每场战斗开始时，对单个随机敌人施加１点死亡炸弹</t>
  </si>
  <si>
    <t>下场战斗中，你不能使用你的美德，此条件无法通过刷新来否定，下场战斗后，你将能够再次使用你的美德，且所有目标受到的净化值加２</t>
  </si>
  <si>
    <t>每当一个敌人进入过度腐化状态，获得４点厄运</t>
  </si>
  <si>
    <t>每当你或一个守卫在单次行动中对一个敌人造成至少４点腐化时，转化该敌方骰子</t>
  </si>
  <si>
    <t>每当你或一个守卫在单次行动中对一个敌人造成至少３点腐化时，获得１点月光</t>
  </si>
  <si>
    <t>每当一颗敌方骰子被强化且净化值为１时，该敌人受到１２０点净化</t>
  </si>
  <si>
    <t>如果在单个回合中转化３颗骰子，刷新你的美德</t>
  </si>
  <si>
    <t>你每抽取３颗巫术骰子时，获得１点加速</t>
  </si>
  <si>
    <t>在你的腐化条最右侧空栏处，获得操控１美德，从现在起，你只有１颗心</t>
  </si>
  <si>
    <t>每当１个敌人进入过度腐化状态，获得２点赋能，在你的回合结束时，将赋能减２</t>
  </si>
  <si>
    <t>每当你或一个守卫对一个敌人造成腐化时，对该敌人施加２点波浪</t>
  </si>
  <si>
    <t>在每场战斗开始时，你的骰子池中每有５颗冒险骰子，获得１点赋能</t>
  </si>
  <si>
    <t>如果你在单个回合内打出８个美德，获得３点顶尖本能</t>
  </si>
  <si>
    <t>在每场战斗开始时，获得１点仇怨，并对所有敌人施加２点隐匿</t>
  </si>
  <si>
    <t>本轮游戏开始时，获得２个随机守卫，你只有２颗心，在你的回合结束时，对所有守卫施加１点自动炮台</t>
  </si>
  <si>
    <t>当两个守卫均损坏时，将敌人受到的净化值加４</t>
  </si>
  <si>
    <t>在每场战斗开始时，对单个随机守卫施加１点链接：加速</t>
  </si>
  <si>
    <t>每当你对一个守卫施加链接时，同时将其施加给另一个守卫，在每场战斗开始时，对所有守卫施加１点折磨</t>
  </si>
  <si>
    <t>出现战斗</t>
    <phoneticPr fontId="1" type="noConversion"/>
  </si>
  <si>
    <t>怪物数量</t>
    <phoneticPr fontId="1" type="noConversion"/>
  </si>
  <si>
    <t>造成腐化</t>
    <phoneticPr fontId="1" type="noConversion"/>
  </si>
  <si>
    <t>造成净化</t>
    <phoneticPr fontId="1" type="noConversion"/>
  </si>
  <si>
    <t>奥斯特拉</t>
    <phoneticPr fontId="1" type="noConversion"/>
  </si>
  <si>
    <t>随机困惑</t>
    <phoneticPr fontId="1" type="noConversion"/>
  </si>
  <si>
    <t>对单个随机目标有50%的概率造成净化，或50%的概率造成腐化。不受厄运或赋能影响。</t>
    <phoneticPr fontId="1" type="noConversion"/>
  </si>
  <si>
    <t>该行动有50%的概率造成净化，或50%的概率造成腐化。不受厄运或赋能影响。</t>
    <phoneticPr fontId="1" type="noConversion"/>
  </si>
  <si>
    <t>暴击</t>
    <phoneticPr fontId="1" type="noConversion"/>
  </si>
  <si>
    <t>闪避</t>
    <phoneticPr fontId="1" type="noConversion"/>
  </si>
  <si>
    <t>美德净化</t>
    <phoneticPr fontId="1" type="noConversion"/>
  </si>
  <si>
    <t>蜂星灯盏</t>
    <phoneticPr fontId="1" type="noConversion"/>
  </si>
  <si>
    <t>有X%的概率闪避腐化，然后按照闪避的腐化量减少闪避值。</t>
    <phoneticPr fontId="1" type="noConversion"/>
  </si>
  <si>
    <t>对任意目标造成1点净化X次。</t>
    <phoneticPr fontId="1" type="noConversion"/>
  </si>
  <si>
    <t>对单个随机目标造成1点净化X次。</t>
    <phoneticPr fontId="1" type="noConversion"/>
  </si>
  <si>
    <t>初始腐化条</t>
    <phoneticPr fontId="1" type="noConversion"/>
  </si>
  <si>
    <t>初始心数</t>
    <phoneticPr fontId="1" type="noConversion"/>
  </si>
  <si>
    <t>静电场</t>
    <phoneticPr fontId="1" type="noConversion"/>
  </si>
  <si>
    <t>雷霆还击</t>
    <phoneticPr fontId="1" type="noConversion"/>
  </si>
  <si>
    <t>风积占卜</t>
    <phoneticPr fontId="1" type="noConversion"/>
  </si>
  <si>
    <t>泥盆纪矛尾鱼</t>
    <phoneticPr fontId="1" type="noConversion"/>
  </si>
  <si>
    <t>风掠</t>
    <phoneticPr fontId="1" type="noConversion"/>
  </si>
  <si>
    <t>顺风</t>
    <phoneticPr fontId="1" type="noConversion"/>
  </si>
  <si>
    <t>不可铸造的流星雨</t>
    <phoneticPr fontId="1" type="noConversion"/>
  </si>
  <si>
    <t>对单个随机目标造成1点腐化3次，不受厄运影响。不可铸造的。</t>
    <phoneticPr fontId="1" type="noConversion"/>
  </si>
  <si>
    <t>狂风呼啸</t>
    <phoneticPr fontId="1" type="noConversion"/>
  </si>
  <si>
    <t>风滑</t>
    <phoneticPr fontId="1" type="noConversion"/>
  </si>
  <si>
    <t>刺破苍穹</t>
    <phoneticPr fontId="1" type="noConversion"/>
  </si>
  <si>
    <t>抽取X颗混乱++骰子。</t>
    <phoneticPr fontId="1" type="noConversion"/>
  </si>
  <si>
    <t>玩家顺风</t>
    <phoneticPr fontId="1" type="noConversion"/>
  </si>
  <si>
    <t>获得X点顺风。</t>
    <phoneticPr fontId="1" type="noConversion"/>
  </si>
  <si>
    <t>祖传锻炉</t>
    <phoneticPr fontId="1" type="noConversion"/>
  </si>
  <si>
    <t>盲目邓氏鱼</t>
    <phoneticPr fontId="1" type="noConversion"/>
  </si>
  <si>
    <t>巨颌邓氏鱼</t>
    <phoneticPr fontId="1" type="noConversion"/>
  </si>
  <si>
    <t>随机敌人厄运</t>
    <phoneticPr fontId="1" type="noConversion"/>
  </si>
  <si>
    <t>对单个随机敌人施加X点厄运。</t>
    <phoneticPr fontId="1" type="noConversion"/>
  </si>
  <si>
    <t>困惑巫术</t>
    <phoneticPr fontId="1" type="noConversion"/>
  </si>
  <si>
    <t>创伤巫术</t>
    <phoneticPr fontId="1" type="noConversion"/>
  </si>
  <si>
    <t>瘟疫巫术</t>
    <phoneticPr fontId="1" type="noConversion"/>
  </si>
  <si>
    <t>麻痹巫术</t>
    <phoneticPr fontId="1" type="noConversion"/>
  </si>
  <si>
    <t>烟雾弹</t>
    <phoneticPr fontId="1" type="noConversion"/>
  </si>
  <si>
    <t>对任意目标施加X点烟雾弹。有75%的概率闪避腐化，持续X回合。受到双倍腐化，持续X回合。触发烟雾弹不会减少闪避值。</t>
    <phoneticPr fontId="1" type="noConversion"/>
  </si>
  <si>
    <t>阴燃野兽</t>
    <phoneticPr fontId="1" type="noConversion"/>
  </si>
  <si>
    <t>不详迷雾</t>
    <phoneticPr fontId="1" type="noConversion"/>
  </si>
  <si>
    <t>不详迷雾</t>
    <phoneticPr fontId="1" type="noConversion"/>
  </si>
  <si>
    <t>区域不详迷雾</t>
    <phoneticPr fontId="1" type="noConversion"/>
  </si>
  <si>
    <t>玩家不详迷雾</t>
    <phoneticPr fontId="1" type="noConversion"/>
  </si>
  <si>
    <t>死亡炸弹</t>
    <phoneticPr fontId="1" type="noConversion"/>
  </si>
  <si>
    <t>带有死亡炸弹的敌人被打败时，所有目标受到X点腐化。</t>
    <phoneticPr fontId="1" type="noConversion"/>
  </si>
  <si>
    <t>旧装配机</t>
    <phoneticPr fontId="1" type="noConversion"/>
  </si>
  <si>
    <t>选择一个守卫进行复制</t>
    <phoneticPr fontId="1" type="noConversion"/>
  </si>
  <si>
    <t>获得100枚恒星碎片</t>
  </si>
  <si>
    <t>获得100枚恒星碎片</t>
    <phoneticPr fontId="1" type="noConversion"/>
  </si>
  <si>
    <t>获得200枚恒星碎片</t>
  </si>
  <si>
    <t>花费100枚恒星碎片，有10%概率获得一个恒星祝福</t>
  </si>
  <si>
    <t>获得50枚恒星碎片</t>
  </si>
  <si>
    <t>震颤链条</t>
    <phoneticPr fontId="1" type="noConversion"/>
  </si>
  <si>
    <t>棱光刺蛰</t>
    <phoneticPr fontId="1" type="noConversion"/>
  </si>
  <si>
    <t>玩家恍惚</t>
    <phoneticPr fontId="1" type="noConversion"/>
  </si>
  <si>
    <t>恍惚</t>
    <phoneticPr fontId="1" type="noConversion"/>
  </si>
  <si>
    <t>对所有目标有50%的概率造成X点净化，或50%的概率造成X点腐化。不受厄运和赋能影响。</t>
    <phoneticPr fontId="1" type="noConversion"/>
  </si>
  <si>
    <t>舞动之翼</t>
    <phoneticPr fontId="1" type="noConversion"/>
  </si>
  <si>
    <t>迟钝狱卒</t>
    <phoneticPr fontId="1" type="noConversion"/>
  </si>
  <si>
    <t>火热海胆</t>
    <phoneticPr fontId="1" type="noConversion"/>
  </si>
  <si>
    <t>潮湿海胆</t>
    <phoneticPr fontId="1" type="noConversion"/>
  </si>
  <si>
    <t>诅咒之灵</t>
    <phoneticPr fontId="1" type="noConversion"/>
  </si>
  <si>
    <t>敌人被打败时，对所有目标施加X点厄运。</t>
    <phoneticPr fontId="1" type="noConversion"/>
  </si>
  <si>
    <t>随机敌人死亡炸弹</t>
    <phoneticPr fontId="1" type="noConversion"/>
  </si>
  <si>
    <t>对单个随机敌人施加X点死亡炸弹。</t>
    <phoneticPr fontId="1" type="noConversion"/>
  </si>
  <si>
    <t>骰面1效果1</t>
    <phoneticPr fontId="1" type="noConversion"/>
  </si>
  <si>
    <t>骰面1效果2</t>
    <phoneticPr fontId="1" type="noConversion"/>
  </si>
  <si>
    <t>骰面2效果1</t>
    <phoneticPr fontId="1" type="noConversion"/>
  </si>
  <si>
    <t>骰面2效果2</t>
  </si>
  <si>
    <t>骰面2效果2</t>
    <phoneticPr fontId="1" type="noConversion"/>
  </si>
  <si>
    <t>骰面3效果1</t>
    <phoneticPr fontId="1" type="noConversion"/>
  </si>
  <si>
    <t>骰面3效果2</t>
    <phoneticPr fontId="1" type="noConversion"/>
  </si>
  <si>
    <t>骰面4效果1</t>
    <phoneticPr fontId="1" type="noConversion"/>
  </si>
  <si>
    <t>骰面4效果2</t>
    <phoneticPr fontId="1" type="noConversion"/>
  </si>
  <si>
    <t>骰面5效果1</t>
    <phoneticPr fontId="1" type="noConversion"/>
  </si>
  <si>
    <t>骰面5效果2</t>
    <phoneticPr fontId="1" type="noConversion"/>
  </si>
  <si>
    <t>骰面6效果1</t>
    <phoneticPr fontId="1" type="noConversion"/>
  </si>
  <si>
    <t>骰面6效果2</t>
    <phoneticPr fontId="1" type="noConversion"/>
  </si>
  <si>
    <t>破碎苍穹</t>
    <phoneticPr fontId="1" type="noConversion"/>
  </si>
  <si>
    <t>对所有目标造成1点净化X次。</t>
    <phoneticPr fontId="1" type="noConversion"/>
  </si>
  <si>
    <t>老骰匠</t>
    <phoneticPr fontId="1" type="noConversion"/>
  </si>
  <si>
    <t>摧毁3颗非基础骰子，获得2颗史诗骰子</t>
    <phoneticPr fontId="1" type="noConversion"/>
  </si>
  <si>
    <t>摧毁1颗非基础骰子，获得100枚恒星碎片</t>
    <phoneticPr fontId="1" type="noConversion"/>
  </si>
  <si>
    <t>暴击倍数</t>
    <phoneticPr fontId="1" type="noConversion"/>
  </si>
  <si>
    <t>获得X点暴击倍数</t>
    <phoneticPr fontId="1" type="noConversion"/>
  </si>
  <si>
    <t>飓风</t>
    <phoneticPr fontId="1" type="noConversion"/>
  </si>
  <si>
    <t>绝望天文学家</t>
    <phoneticPr fontId="1" type="noConversion"/>
  </si>
  <si>
    <t>浑天仪反相器</t>
    <phoneticPr fontId="1" type="noConversion"/>
  </si>
  <si>
    <t>浑天仪抑制器</t>
    <phoneticPr fontId="1" type="noConversion"/>
  </si>
  <si>
    <t>随机守卫腐化</t>
    <phoneticPr fontId="1" type="noConversion"/>
  </si>
  <si>
    <t>随机守卫净化</t>
    <phoneticPr fontId="1" type="noConversion"/>
  </si>
  <si>
    <t>对单个随机守卫造成X点腐化。</t>
  </si>
  <si>
    <t>怪异联系</t>
    <phoneticPr fontId="1" type="noConversion"/>
  </si>
  <si>
    <t>怪异影响</t>
    <phoneticPr fontId="1" type="noConversion"/>
  </si>
  <si>
    <t>每当此敌人受到净化时，绝望天文家同样受到净化，但其所受净化值在此敌人的基础上减半。当绝望天文家被打败时，此敌人同样被打败。</t>
    <phoneticPr fontId="1" type="noConversion"/>
  </si>
  <si>
    <t>随机守卫重塑</t>
    <phoneticPr fontId="1" type="noConversion"/>
  </si>
  <si>
    <t>随机守卫厄运</t>
    <phoneticPr fontId="1" type="noConversion"/>
  </si>
  <si>
    <t>区域守卫厄运</t>
    <phoneticPr fontId="1" type="noConversion"/>
  </si>
  <si>
    <t>将一个随机守卫的骰子改为区域腐化1行动，直到本场战斗结束。</t>
    <phoneticPr fontId="1" type="noConversion"/>
  </si>
  <si>
    <t>对单个随机守卫施加X点厄运。</t>
    <phoneticPr fontId="1" type="noConversion"/>
  </si>
  <si>
    <t>对所有守卫施加X点厄运。</t>
    <phoneticPr fontId="1" type="noConversion"/>
  </si>
  <si>
    <t>黄蜂之尘</t>
    <phoneticPr fontId="1" type="noConversion"/>
  </si>
  <si>
    <t>亵渎坟墓</t>
    <phoneticPr fontId="1" type="noConversion"/>
  </si>
  <si>
    <t>坏死存在</t>
    <phoneticPr fontId="1" type="noConversion"/>
  </si>
  <si>
    <t>聪慧</t>
    <phoneticPr fontId="1" type="noConversion"/>
  </si>
  <si>
    <t>困惑倍数</t>
    <phoneticPr fontId="1" type="noConversion"/>
  </si>
  <si>
    <t>战斗中失去的心</t>
    <phoneticPr fontId="1" type="noConversion"/>
  </si>
  <si>
    <t>神庙中献祭的心</t>
    <phoneticPr fontId="1" type="noConversion"/>
  </si>
  <si>
    <t>索迪斯</t>
    <phoneticPr fontId="1" type="noConversion"/>
  </si>
  <si>
    <t>魂温</t>
    <phoneticPr fontId="1" type="noConversion"/>
  </si>
  <si>
    <t>舒缓</t>
    <phoneticPr fontId="1" type="noConversion"/>
  </si>
  <si>
    <t>时之沙</t>
    <phoneticPr fontId="1" type="noConversion"/>
  </si>
  <si>
    <t>日蚀爆炸</t>
    <phoneticPr fontId="1" type="noConversion"/>
  </si>
  <si>
    <t>炙热沙粒</t>
    <phoneticPr fontId="1" type="noConversion"/>
  </si>
  <si>
    <t>大犬星沙漏</t>
    <phoneticPr fontId="1" type="noConversion"/>
  </si>
  <si>
    <t>低级舒缓</t>
    <phoneticPr fontId="1" type="noConversion"/>
  </si>
  <si>
    <t>低级玻璃匕首</t>
    <phoneticPr fontId="1" type="noConversion"/>
  </si>
  <si>
    <t>每有1点魂温对任意目标造成X点净化。</t>
    <phoneticPr fontId="1" type="noConversion"/>
  </si>
  <si>
    <t>对任意目标施加X点舒缓。在其回合结束时，带有舒缓的生物受到X点净化，然后将舒缓减1。</t>
    <phoneticPr fontId="1" type="noConversion"/>
  </si>
  <si>
    <t>时漏之驭</t>
    <phoneticPr fontId="1" type="noConversion"/>
  </si>
  <si>
    <t>区域舒缓</t>
    <phoneticPr fontId="1" type="noConversion"/>
  </si>
  <si>
    <t>对所有目标施加X点舒缓。</t>
    <phoneticPr fontId="1" type="noConversion"/>
  </si>
  <si>
    <t>太阳光线</t>
    <phoneticPr fontId="1" type="noConversion"/>
  </si>
  <si>
    <t>灵魂污点</t>
    <phoneticPr fontId="1" type="noConversion"/>
  </si>
  <si>
    <t>沙塑</t>
    <phoneticPr fontId="1" type="noConversion"/>
  </si>
  <si>
    <t>醒脑真言</t>
    <phoneticPr fontId="1" type="noConversion"/>
  </si>
  <si>
    <t>可燃环刃</t>
    <phoneticPr fontId="1" type="noConversion"/>
  </si>
  <si>
    <t>吟唱</t>
    <phoneticPr fontId="1" type="noConversion"/>
  </si>
  <si>
    <t>锻造吟唱</t>
    <phoneticPr fontId="1" type="noConversion"/>
  </si>
  <si>
    <t>诅咒贝壳</t>
    <phoneticPr fontId="1" type="noConversion"/>
  </si>
  <si>
    <t>区域暗罩</t>
    <phoneticPr fontId="1" type="noConversion"/>
  </si>
  <si>
    <t>对所有目标施加X点暗罩。</t>
    <phoneticPr fontId="1" type="noConversion"/>
  </si>
  <si>
    <t>大犬嚎叫</t>
    <phoneticPr fontId="1" type="noConversion"/>
  </si>
  <si>
    <t>每有1点魂温获得X点时之沙。</t>
    <phoneticPr fontId="1" type="noConversion"/>
  </si>
  <si>
    <t>虹吸沙漏</t>
    <phoneticPr fontId="1" type="noConversion"/>
  </si>
  <si>
    <t>敌人疾病</t>
    <phoneticPr fontId="1" type="noConversion"/>
  </si>
  <si>
    <t>每有一个生物带有舒缓或疾病则获得2点时之沙。如果生物二者皆有，获得X点时之沙。</t>
    <phoneticPr fontId="1" type="noConversion"/>
  </si>
  <si>
    <t>魂炙</t>
    <phoneticPr fontId="1" type="noConversion"/>
  </si>
  <si>
    <t>每有1点魂温对任意目标施加X点舒缓。</t>
    <phoneticPr fontId="1" type="noConversion"/>
  </si>
  <si>
    <t>内心温暖</t>
    <phoneticPr fontId="1" type="noConversion"/>
  </si>
  <si>
    <t>链接吟唱</t>
    <phoneticPr fontId="1" type="noConversion"/>
  </si>
  <si>
    <t>敌人吟唱</t>
    <phoneticPr fontId="1" type="noConversion"/>
  </si>
  <si>
    <t>对单个敌人造成吟唱X次。</t>
    <phoneticPr fontId="1" type="noConversion"/>
  </si>
  <si>
    <t>天体之雨</t>
    <phoneticPr fontId="1" type="noConversion"/>
  </si>
  <si>
    <t>获得恒星坠落</t>
    <phoneticPr fontId="1" type="noConversion"/>
  </si>
  <si>
    <t>沙丘冲浪</t>
    <phoneticPr fontId="1" type="noConversion"/>
  </si>
  <si>
    <t>专心致志</t>
    <phoneticPr fontId="1" type="noConversion"/>
  </si>
  <si>
    <t>驯化海葵</t>
    <phoneticPr fontId="1" type="noConversion"/>
  </si>
  <si>
    <t>灼热之翼</t>
    <phoneticPr fontId="1" type="noConversion"/>
  </si>
  <si>
    <t>烧焦之翼</t>
    <phoneticPr fontId="1" type="noConversion"/>
  </si>
  <si>
    <t>玩家困惑</t>
    <phoneticPr fontId="1" type="noConversion"/>
  </si>
  <si>
    <t>自身困惑</t>
    <phoneticPr fontId="1" type="noConversion"/>
  </si>
  <si>
    <t>星器</t>
    <phoneticPr fontId="1" type="noConversion"/>
  </si>
  <si>
    <t>蝎虎节杖</t>
    <phoneticPr fontId="1" type="noConversion"/>
  </si>
  <si>
    <t>灵能重击</t>
    <phoneticPr fontId="1" type="noConversion"/>
  </si>
  <si>
    <t>清疗爆炎</t>
    <phoneticPr fontId="1" type="noConversion"/>
  </si>
  <si>
    <t>赤阳耀斑</t>
    <phoneticPr fontId="1" type="noConversion"/>
  </si>
  <si>
    <t>梅萨腐化</t>
    <phoneticPr fontId="1" type="noConversion"/>
  </si>
  <si>
    <t>美德吞噬者</t>
    <phoneticPr fontId="1" type="noConversion"/>
  </si>
  <si>
    <t>失控梅萨</t>
    <phoneticPr fontId="1" type="noConversion"/>
  </si>
  <si>
    <t>堕落寄居蟹</t>
    <phoneticPr fontId="1" type="noConversion"/>
  </si>
  <si>
    <t>阴沉觉醒</t>
    <phoneticPr fontId="1" type="noConversion"/>
  </si>
  <si>
    <t>3回合后，对此敌人施加X点厄运。</t>
    <phoneticPr fontId="1" type="noConversion"/>
  </si>
  <si>
    <t>自身死亡炸弹</t>
    <phoneticPr fontId="1" type="noConversion"/>
  </si>
  <si>
    <t>火热投射</t>
    <phoneticPr fontId="1" type="noConversion"/>
  </si>
  <si>
    <t>腐化大釜</t>
    <phoneticPr fontId="1" type="noConversion"/>
  </si>
  <si>
    <t>弥烟药剂师</t>
    <phoneticPr fontId="1" type="noConversion"/>
  </si>
  <si>
    <t>疯狂巫术</t>
    <phoneticPr fontId="1" type="noConversion"/>
  </si>
  <si>
    <t>随机暗罩</t>
    <phoneticPr fontId="1" type="noConversion"/>
  </si>
  <si>
    <t>星尘真言</t>
    <phoneticPr fontId="1" type="noConversion"/>
  </si>
  <si>
    <t>流沙之舞</t>
    <phoneticPr fontId="1" type="noConversion"/>
  </si>
  <si>
    <t>无私引燃</t>
    <phoneticPr fontId="1" type="noConversion"/>
  </si>
  <si>
    <t>选择任意带有舒缓的目标。触发其舒缓，然后将其舒缓减1。获得X点疾病。</t>
    <phoneticPr fontId="1" type="noConversion"/>
  </si>
  <si>
    <t>遗忘工坊</t>
    <phoneticPr fontId="1" type="noConversion"/>
  </si>
  <si>
    <t>升级一个守卫</t>
    <phoneticPr fontId="1" type="noConversion"/>
  </si>
  <si>
    <t>吉利吟唱</t>
    <phoneticPr fontId="1" type="noConversion"/>
  </si>
  <si>
    <t>对单个敌人造成吟唱。抽取X颗骰子。</t>
    <phoneticPr fontId="1" type="noConversion"/>
  </si>
  <si>
    <t>区域吟唱</t>
    <phoneticPr fontId="1" type="noConversion"/>
  </si>
  <si>
    <t>倒带吟唱</t>
    <phoneticPr fontId="1" type="noConversion"/>
  </si>
  <si>
    <t>对单个敌人造成吟唱。额外获得1点吟唱。此行动有100%概率在不减少时之沙值的情况下触发时之沙。</t>
    <phoneticPr fontId="1" type="noConversion"/>
  </si>
  <si>
    <t>幽火</t>
    <phoneticPr fontId="1" type="noConversion"/>
  </si>
  <si>
    <t>宝瓶星法球</t>
    <phoneticPr fontId="1" type="noConversion"/>
  </si>
  <si>
    <t>低级旋转</t>
    <phoneticPr fontId="1" type="noConversion"/>
  </si>
  <si>
    <t>低级咒术</t>
    <phoneticPr fontId="1" type="noConversion"/>
  </si>
  <si>
    <t>炼金术</t>
    <phoneticPr fontId="1" type="noConversion"/>
  </si>
  <si>
    <t>咒术</t>
    <phoneticPr fontId="1" type="noConversion"/>
  </si>
  <si>
    <t>掷骰占卜</t>
    <phoneticPr fontId="1" type="noConversion"/>
  </si>
  <si>
    <t>旋转</t>
    <phoneticPr fontId="1" type="noConversion"/>
  </si>
  <si>
    <t>分阶咒语</t>
    <phoneticPr fontId="1" type="noConversion"/>
  </si>
  <si>
    <t>星元</t>
    <phoneticPr fontId="1" type="noConversion"/>
  </si>
  <si>
    <t>业力</t>
    <phoneticPr fontId="1" type="noConversion"/>
  </si>
  <si>
    <t>宇宙法球</t>
    <phoneticPr fontId="1" type="noConversion"/>
  </si>
  <si>
    <t>知识法球</t>
    <phoneticPr fontId="1" type="noConversion"/>
  </si>
  <si>
    <t>虔诚法球</t>
    <phoneticPr fontId="1" type="noConversion"/>
  </si>
  <si>
    <t>业力法球</t>
    <phoneticPr fontId="1" type="noConversion"/>
  </si>
  <si>
    <t>移动法球</t>
    <phoneticPr fontId="1" type="noConversion"/>
  </si>
  <si>
    <t>宝瓶波动</t>
    <phoneticPr fontId="1" type="noConversion"/>
  </si>
  <si>
    <t>超新星契约</t>
    <phoneticPr fontId="1" type="noConversion"/>
  </si>
  <si>
    <t>忏悔爆发</t>
    <phoneticPr fontId="1" type="noConversion"/>
  </si>
  <si>
    <t>神祈契约</t>
    <phoneticPr fontId="1" type="noConversion"/>
  </si>
  <si>
    <t>振荡</t>
    <phoneticPr fontId="1" type="noConversion"/>
  </si>
  <si>
    <t>精准交换</t>
    <phoneticPr fontId="1" type="noConversion"/>
  </si>
  <si>
    <t>喧嚣契约</t>
    <phoneticPr fontId="1" type="noConversion"/>
  </si>
  <si>
    <t>虚灵会聚</t>
    <phoneticPr fontId="1" type="noConversion"/>
  </si>
  <si>
    <t>锻造1</t>
    <phoneticPr fontId="1" type="noConversion"/>
  </si>
  <si>
    <t>锻造2</t>
  </si>
  <si>
    <t>锻造3</t>
  </si>
  <si>
    <t>邪恶看守</t>
    <phoneticPr fontId="1" type="noConversion"/>
  </si>
  <si>
    <t>诅咒木槿</t>
    <phoneticPr fontId="1" type="noConversion"/>
  </si>
  <si>
    <t>预测会聚</t>
    <phoneticPr fontId="1" type="noConversion"/>
  </si>
  <si>
    <t>倒退</t>
    <phoneticPr fontId="1" type="noConversion"/>
  </si>
  <si>
    <t>救赎铭文</t>
    <phoneticPr fontId="1" type="noConversion"/>
  </si>
  <si>
    <t>实验契约</t>
    <phoneticPr fontId="1" type="noConversion"/>
  </si>
  <si>
    <t>触媒会聚</t>
    <phoneticPr fontId="1" type="noConversion"/>
  </si>
  <si>
    <t>炼金术士燃烧</t>
    <phoneticPr fontId="1" type="noConversion"/>
  </si>
  <si>
    <t>至高崩塌</t>
    <phoneticPr fontId="1" type="noConversion"/>
  </si>
  <si>
    <t>炼金术士导弹</t>
    <phoneticPr fontId="1" type="noConversion"/>
  </si>
  <si>
    <t>触媒</t>
    <phoneticPr fontId="1" type="noConversion"/>
  </si>
  <si>
    <t>脆弱契约</t>
    <phoneticPr fontId="1" type="noConversion"/>
  </si>
  <si>
    <t>神盾崇拜</t>
    <phoneticPr fontId="1" type="noConversion"/>
  </si>
  <si>
    <t>丰收铭文</t>
    <phoneticPr fontId="1" type="noConversion"/>
  </si>
  <si>
    <t>天体遗憾</t>
    <phoneticPr fontId="1" type="noConversion"/>
  </si>
  <si>
    <t>宇宙之尘</t>
    <phoneticPr fontId="1" type="noConversion"/>
  </si>
  <si>
    <t>超越</t>
    <phoneticPr fontId="1" type="noConversion"/>
  </si>
  <si>
    <t>孵化虫蛹</t>
    <phoneticPr fontId="1" type="noConversion"/>
  </si>
  <si>
    <t>X回合后，虫蛹将腐化。每当受到净化时，对此敌人施加1点静谧。在敌方回合结束时，失去所有静谧。</t>
    <phoneticPr fontId="1" type="noConversion"/>
  </si>
  <si>
    <t>彗星会聚</t>
    <phoneticPr fontId="1" type="noConversion"/>
  </si>
  <si>
    <t>等价咒语</t>
    <phoneticPr fontId="1" type="noConversion"/>
  </si>
  <si>
    <t>忏悔铭文</t>
    <phoneticPr fontId="1" type="noConversion"/>
  </si>
  <si>
    <t>女神判决</t>
    <phoneticPr fontId="1" type="noConversion"/>
  </si>
  <si>
    <t>秩序合成</t>
    <phoneticPr fontId="1" type="noConversion"/>
  </si>
  <si>
    <t>星元奇点</t>
    <phoneticPr fontId="1" type="noConversion"/>
  </si>
  <si>
    <t>誓言加固</t>
    <phoneticPr fontId="1" type="noConversion"/>
  </si>
  <si>
    <t>易变反应</t>
    <phoneticPr fontId="1" type="noConversion"/>
  </si>
  <si>
    <t>光明法令</t>
    <phoneticPr fontId="1" type="noConversion"/>
  </si>
  <si>
    <t>宇宙膨胀</t>
    <phoneticPr fontId="1" type="noConversion"/>
  </si>
  <si>
    <t>保护圣礼</t>
    <phoneticPr fontId="1" type="noConversion"/>
  </si>
  <si>
    <t>守卫等级</t>
    <phoneticPr fontId="1" type="noConversion"/>
  </si>
  <si>
    <t>精准之掷</t>
    <phoneticPr fontId="1" type="noConversion"/>
  </si>
  <si>
    <t>骰面1效果</t>
    <phoneticPr fontId="1" type="noConversion"/>
  </si>
  <si>
    <t>骰面3效果</t>
  </si>
  <si>
    <t>骰面4效果</t>
  </si>
  <si>
    <t>骰面5效果</t>
  </si>
  <si>
    <t>骰面6效果</t>
  </si>
  <si>
    <t>工匠助手</t>
    <phoneticPr fontId="1" type="noConversion"/>
  </si>
  <si>
    <t>漂浮大釜</t>
    <phoneticPr fontId="1" type="noConversion"/>
  </si>
  <si>
    <t>守钟者</t>
    <phoneticPr fontId="1" type="noConversion"/>
  </si>
  <si>
    <t>激励</t>
    <phoneticPr fontId="1" type="noConversion"/>
  </si>
  <si>
    <t>区域敌人光盾</t>
    <phoneticPr fontId="1" type="noConversion"/>
  </si>
  <si>
    <t>圣洁</t>
    <phoneticPr fontId="1" type="noConversion"/>
  </si>
  <si>
    <t>超越时光</t>
    <phoneticPr fontId="1" type="noConversion"/>
  </si>
  <si>
    <t>变形</t>
    <phoneticPr fontId="1" type="noConversion"/>
  </si>
  <si>
    <t>星辰呼唤</t>
    <phoneticPr fontId="1" type="noConversion"/>
  </si>
  <si>
    <t>骰面2效果1</t>
    <phoneticPr fontId="1" type="noConversion"/>
  </si>
  <si>
    <t>星辰反弹</t>
    <phoneticPr fontId="1" type="noConversion"/>
  </si>
  <si>
    <t>不稳定咒术</t>
    <phoneticPr fontId="1" type="noConversion"/>
  </si>
  <si>
    <t>阿斯特赖亚之心</t>
    <phoneticPr fontId="1" type="noConversion"/>
  </si>
  <si>
    <t>骰子净化</t>
    <phoneticPr fontId="1" type="noConversion"/>
  </si>
  <si>
    <t>恒星祝福数</t>
    <phoneticPr fontId="1" type="noConversion"/>
  </si>
  <si>
    <t>黑洞祝福数</t>
    <phoneticPr fontId="1" type="noConversion"/>
  </si>
  <si>
    <t>守卫数</t>
    <phoneticPr fontId="1" type="noConversion"/>
  </si>
  <si>
    <t>锻造骰子</t>
    <phoneticPr fontId="1" type="noConversion"/>
  </si>
  <si>
    <t>对玩家造成X点净化。</t>
    <phoneticPr fontId="1" type="noConversion"/>
  </si>
  <si>
    <t>对头目造成X点净化。</t>
    <phoneticPr fontId="1" type="noConversion"/>
  </si>
  <si>
    <t>对所有目标造成X点净化。</t>
    <phoneticPr fontId="1" type="noConversion"/>
  </si>
  <si>
    <t>对所有友方造成X点净化。</t>
    <phoneticPr fontId="1" type="noConversion"/>
  </si>
  <si>
    <t>对所有的敌人造成X点净化。</t>
    <phoneticPr fontId="1" type="noConversion"/>
  </si>
  <si>
    <t>对玩家造成X点净化。不可铸造的。</t>
    <phoneticPr fontId="1" type="noConversion"/>
  </si>
  <si>
    <t>对所有目标造成X点净化。不可铸造的。</t>
    <phoneticPr fontId="1" type="noConversion"/>
  </si>
  <si>
    <t>对所有的敌人造成X点净化。不可铸造的。</t>
    <phoneticPr fontId="1" type="noConversion"/>
  </si>
  <si>
    <t>对单个任意目标造成X点净化。</t>
    <phoneticPr fontId="1" type="noConversion"/>
  </si>
  <si>
    <t>对单个任意目标造成X点腐化。</t>
  </si>
  <si>
    <t>对单个随机目标造成X点净化。</t>
    <phoneticPr fontId="1" type="noConversion"/>
  </si>
  <si>
    <t>对单个任意敌人造成X点净化。</t>
    <phoneticPr fontId="1" type="noConversion"/>
  </si>
  <si>
    <t>对单个随机守卫造成X点净化。</t>
    <phoneticPr fontId="1" type="noConversion"/>
  </si>
  <si>
    <t>对单个任意目标造成X点净化。不可铸造的。</t>
    <phoneticPr fontId="1" type="noConversion"/>
  </si>
  <si>
    <t>对单个任意敌人造成X点净化。不可铸造的。</t>
    <phoneticPr fontId="1" type="noConversion"/>
  </si>
  <si>
    <t>对单个随机目标造成X点腐化。</t>
  </si>
  <si>
    <t>对玩家造成X点腐化。</t>
  </si>
  <si>
    <t>对头目造成X点腐化。</t>
  </si>
  <si>
    <t>对单个任意敌人造成X点腐化。</t>
  </si>
  <si>
    <t>对所有目标造成X点腐化。</t>
  </si>
  <si>
    <t>对所有友方造成X点腐化。</t>
  </si>
  <si>
    <t>对所有的敌人造成X点腐化。</t>
  </si>
  <si>
    <t>对单个任意目标造成X点腐化。不可铸造的。</t>
  </si>
  <si>
    <t>对玩家造成X点腐化。不可铸造的。</t>
  </si>
  <si>
    <t>对单个任意敌人造成X点腐化。不可铸造的。</t>
  </si>
  <si>
    <t>对所有目标造成X点腐化。不可铸造的。</t>
  </si>
  <si>
    <t>对所有的敌人造成X点腐化。不可铸造的。</t>
  </si>
  <si>
    <t>对单个随机目标施加X点光盾。</t>
    <phoneticPr fontId="1" type="noConversion"/>
  </si>
  <si>
    <t>对玩家施加X点光盾。</t>
    <phoneticPr fontId="1" type="noConversion"/>
  </si>
  <si>
    <t>对单个任意敌人施加X点光盾。</t>
    <phoneticPr fontId="1" type="noConversion"/>
  </si>
  <si>
    <t>对所有目标施加X点光盾。</t>
    <phoneticPr fontId="1" type="noConversion"/>
  </si>
  <si>
    <t>对所有目标施加X点静谧。</t>
    <phoneticPr fontId="1" type="noConversion"/>
  </si>
  <si>
    <t>对单个任意目标施加X点静谧。将受到的净化值加X。</t>
    <phoneticPr fontId="1" type="noConversion"/>
  </si>
  <si>
    <t>对单个随机目标施加X点静谧。</t>
    <phoneticPr fontId="1" type="noConversion"/>
  </si>
  <si>
    <t>对随机敌人施加X点静谧。</t>
    <phoneticPr fontId="1" type="noConversion"/>
  </si>
  <si>
    <t>摧毁这颗骰子。</t>
    <phoneticPr fontId="1" type="noConversion"/>
  </si>
  <si>
    <t>对所有目标施加圣洁点。</t>
    <phoneticPr fontId="1" type="noConversion"/>
  </si>
  <si>
    <t>对任意目标施加X点保护；抹消X个减益。</t>
    <phoneticPr fontId="1" type="noConversion"/>
  </si>
  <si>
    <t>将骰子的净化值加X。</t>
    <phoneticPr fontId="1" type="noConversion"/>
  </si>
  <si>
    <t>将强化效果加X。</t>
    <phoneticPr fontId="1" type="noConversion"/>
  </si>
  <si>
    <t>对任意目标造成X点净化，对同一目标施加1点折磨。</t>
    <phoneticPr fontId="1" type="noConversion"/>
  </si>
  <si>
    <t>对所有目标施加X点吟唱。</t>
    <phoneticPr fontId="1" type="noConversion"/>
  </si>
  <si>
    <t>对所有守卫施加X点自动炮台。</t>
    <phoneticPr fontId="1" type="noConversion"/>
  </si>
  <si>
    <t>对所有守卫施加X点加速。</t>
    <phoneticPr fontId="1" type="noConversion"/>
  </si>
  <si>
    <t>损坏一个守卫，如果做到，则该守卫的腐化条上每有1点净化对单个随机敌人造成3点净化，此守卫下次被维修时，将恢复其拥有的所有效果。</t>
    <phoneticPr fontId="1" type="noConversion"/>
  </si>
  <si>
    <t>修理一名损坏守卫，如果做到，则对该守卫施加X点辐射炸弹。</t>
    <phoneticPr fontId="1" type="noConversion"/>
  </si>
  <si>
    <t>当带有辐射炸弹的守卫损坏时，所有目标受到X点净化。</t>
    <phoneticPr fontId="1" type="noConversion"/>
  </si>
  <si>
    <t>对任意目标造成Y点净化，其中Y为守卫等级之和乘以X。</t>
    <phoneticPr fontId="1" type="noConversion"/>
  </si>
  <si>
    <t>选择所有守卫的骰子，若不可用，先将其改为可用，然后立即掷骰。</t>
    <phoneticPr fontId="1" type="noConversion"/>
  </si>
  <si>
    <t>对所有目标施加X点屏障。</t>
    <phoneticPr fontId="1" type="noConversion"/>
  </si>
  <si>
    <t>对单个敌人造成2点净化，本场战斗每当守卫被损坏或修理时，则额外造成X点净化。</t>
    <phoneticPr fontId="1" type="noConversion"/>
  </si>
  <si>
    <t>强化任意目标的最多X颗骰子，直到敌方回合结束。将一颗带有任意类型净化行动的骰子的值改为6。</t>
    <phoneticPr fontId="1" type="noConversion"/>
  </si>
  <si>
    <t>将任意目标的最多3颗带有任意类型净化1行动的骰子改为区域净化10行动，直到敌方回合结束。</t>
    <phoneticPr fontId="1" type="noConversion"/>
  </si>
  <si>
    <t>对任意目标造成1点净化，本场战斗中每强化一颗骰子，则额外造成4点净化。</t>
    <phoneticPr fontId="1" type="noConversion"/>
  </si>
  <si>
    <t>转化所有骰子，直到敌方回合结束。</t>
    <phoneticPr fontId="1" type="noConversion"/>
  </si>
  <si>
    <t>当波浪值不小于敌人当前的腐化值时，所有目标受到X点净化，然后该敌人失去所有波浪。</t>
    <phoneticPr fontId="1" type="noConversion"/>
  </si>
  <si>
    <t>使单个敌人的波浪翻倍，如果该敌人没有波浪，则对该敌人施加6点波浪。</t>
    <phoneticPr fontId="1" type="noConversion"/>
  </si>
  <si>
    <t>对任意目标施加X点仇怨，每当受到腐化时，对此生物施加X点赋能，将受到的腐化值加X。</t>
    <phoneticPr fontId="1" type="noConversion"/>
  </si>
  <si>
    <t>对单个敌人施加X点波浪，抽取1颗骰子。</t>
    <phoneticPr fontId="1" type="noConversion"/>
  </si>
  <si>
    <t>如果敌人带有波浪，将其波浪值的一半，用作净化来触发波浪，然后将波浪减2。</t>
    <phoneticPr fontId="1" type="noConversion"/>
  </si>
  <si>
    <t>对单个敌人造成X点净化2次。</t>
    <phoneticPr fontId="1" type="noConversion"/>
  </si>
  <si>
    <t>对单个敌人施加X点波浪。</t>
    <phoneticPr fontId="1" type="noConversion"/>
  </si>
  <si>
    <t>对单个敌人造成X点净化，如果该敌人带有至少6点波浪，则抽取2颗骰子，然后将波浪减6，否则，对该敌人施加6点波浪。</t>
    <phoneticPr fontId="1" type="noConversion"/>
  </si>
  <si>
    <t>获得X点顶尖本能。</t>
    <phoneticPr fontId="1" type="noConversion"/>
  </si>
  <si>
    <t>守卫被修理后，其腐化值和效果重置，并立即掷骰。</t>
    <phoneticPr fontId="1" type="noConversion"/>
  </si>
  <si>
    <t>将受到的腐化值减X。</t>
    <phoneticPr fontId="1" type="noConversion"/>
  </si>
  <si>
    <t>对单个守卫施加X点普照，在其回合开始时，所有目标受到X点净化。</t>
    <phoneticPr fontId="1" type="noConversion"/>
  </si>
  <si>
    <t>当受到来自其他目标的腐化时，对腐化源头造成X点净化。</t>
    <phoneticPr fontId="1" type="noConversion"/>
  </si>
  <si>
    <t>获得X点锐板。</t>
    <phoneticPr fontId="1" type="noConversion"/>
  </si>
  <si>
    <t>对单个守卫施加1点治疗机。</t>
    <phoneticPr fontId="1" type="noConversion"/>
  </si>
  <si>
    <t>修理所有损坏守卫。</t>
    <phoneticPr fontId="1" type="noConversion"/>
  </si>
  <si>
    <t>将一个敌人的一颗骰子改成区域腐化1，直到敌方回合结束。</t>
    <phoneticPr fontId="1" type="noConversion"/>
  </si>
  <si>
    <t>抽取X颗骰子</t>
    <phoneticPr fontId="1" type="noConversion"/>
  </si>
  <si>
    <t>重掷任意目标的最多X颗骰子</t>
    <phoneticPr fontId="1" type="noConversion"/>
  </si>
  <si>
    <t>从任意目标选择一颗骰子，然后将该骰子旋转到选定骰面</t>
    <phoneticPr fontId="1" type="noConversion"/>
  </si>
  <si>
    <t>对单个随机目标施加X点邪恶脉冲。</t>
    <phoneticPr fontId="1" type="noConversion"/>
  </si>
  <si>
    <t>对自身施加X点邪恶脉冲。</t>
    <phoneticPr fontId="1" type="noConversion"/>
  </si>
  <si>
    <t>对单个随机敌人施加X点邪恶脉冲。</t>
    <phoneticPr fontId="1" type="noConversion"/>
  </si>
  <si>
    <t>对自身施加X点溃烂。</t>
    <phoneticPr fontId="1" type="noConversion"/>
  </si>
  <si>
    <t>无事发生。</t>
    <phoneticPr fontId="1" type="noConversion"/>
  </si>
  <si>
    <t>失去一颗心。不可铸造的。</t>
    <phoneticPr fontId="1" type="noConversion"/>
  </si>
  <si>
    <t>在其回合结束时，对此生物施加X点暗罩，然后将不详迷雾减1。</t>
    <phoneticPr fontId="1" type="noConversion"/>
  </si>
  <si>
    <t>对所有目标施加X点不详迷雾。</t>
    <phoneticPr fontId="1" type="noConversion"/>
  </si>
  <si>
    <t>在其回合结束时，对此生物施加1点厄运。</t>
    <phoneticPr fontId="1" type="noConversion"/>
  </si>
  <si>
    <t>获得1点苦难。</t>
    <phoneticPr fontId="1" type="noConversion"/>
  </si>
  <si>
    <t>将受到的净化值减X。</t>
    <phoneticPr fontId="1" type="noConversion"/>
  </si>
  <si>
    <t>在其回合开始时，将其过度腐化程度加1。</t>
    <phoneticPr fontId="1" type="noConversion"/>
  </si>
  <si>
    <t>对自身施加X点疾病。</t>
    <phoneticPr fontId="1" type="noConversion"/>
  </si>
  <si>
    <t>对玩家施加X点疾病。</t>
    <phoneticPr fontId="1" type="noConversion"/>
  </si>
  <si>
    <t>对所有目标施加X点疾病。</t>
    <phoneticPr fontId="1" type="noConversion"/>
  </si>
  <si>
    <t>对单个任意敌人施加X点疾病。</t>
    <phoneticPr fontId="1" type="noConversion"/>
  </si>
  <si>
    <t>对单个任意目标施加X点光盾。格挡X点腐化，直到玩家的下一回合开始</t>
  </si>
  <si>
    <t>该守卫骰子每次被抽取时会变成一颗随机骰子。它可以变成玩家可用的任意骰子作为奖励，并有X%的概率变成一颗史诗骰子。</t>
  </si>
  <si>
    <t>弃置玩家手中的最多X颗骰子，如果做到，则对单个随机敌人造成3点净化X次，其中X为弃置骰子的数量。</t>
  </si>
  <si>
    <t>刷新玩家的美德。激活玩家的所有美德。无视所有禁用美德的效果，直到玩家下一次将其打出。</t>
  </si>
  <si>
    <t>玩家的手中每有一颗骰子，获得X点光盾；结束玩家的回合，不弃置玩家手中的任何骰子。</t>
  </si>
  <si>
    <t>对任意目标施加圣洁点。格挡全部腐化，直到玩家的下一回合开始。</t>
  </si>
  <si>
    <t>将玩家手中的一颗骰子改为区域净化X行动，直到本轮游戏结束。</t>
  </si>
  <si>
    <t>选择玩家手中的X颗骰子进行复制并掷骰</t>
  </si>
  <si>
    <t>从玩家的弃骰池中选取一颗骰子并掷骰</t>
  </si>
  <si>
    <t>从玩家的抽骰池中选取一颗骰子并掷骰。如果抽骰池为空，则弃骰池中的骰子洗回到抽骰池中</t>
  </si>
  <si>
    <t>玩家接下来打出的X颗骰子回到玩家的抽骰池中，而非被弃置</t>
  </si>
  <si>
    <t>选择玩家手中的最多X颗带有非强制行动的骰子，使其在被打出前不被弃置；如果做到，则获得1点光盾</t>
  </si>
  <si>
    <t>对任意目标施加X点光盾，这颗骰子在打出后会回到玩家的抽骰池中，而非被弃置。</t>
  </si>
  <si>
    <t>玩家每打出4次美德，即可激活此敌方骰子。</t>
  </si>
  <si>
    <t>强化玩家所有的骰子，直到敌方回合结束。</t>
  </si>
  <si>
    <t>转化玩家手中的最多2颗骰子，直到敌方回合结束。将一颗带有任意类型腐化行动的骰子改为带有一个相同类型的净化行动。</t>
  </si>
  <si>
    <t>每当玩家打出一颗巫术骰子，所有目标受到X点净化。</t>
  </si>
  <si>
    <t>将玩家手中的所有带有任意类型净化行动的骰子的值降为1，直到敌方回合结束。玩家的手中每有一个任意类型值的为1的净化行动，则对敌人造成7点净化。</t>
  </si>
  <si>
    <t>转化玩家手中的最多2颗骰子，直到本轮游戏结束。</t>
  </si>
  <si>
    <t>将玩家手中的所有带有任意类型腐化行动的骰子改为区域敌人净化1行动，直到敌方回合结束。</t>
  </si>
  <si>
    <t>将玩家的美德净化值加X，X回合内，赋能也会增加玩家的美德净化值。</t>
  </si>
  <si>
    <t>获得X点锤头意志。在玩家的回合结束时，获得X点赋能。</t>
  </si>
  <si>
    <t>阻止玩家失去心1次，直到敌方回合结束。如果触发此效果，则用净化填满玩家的腐化条并刷新玩家的美德。</t>
  </si>
  <si>
    <t>弃置玩家手中的1颗骰子，如果做到，则对腐化值最低的敌人施加X点波浪。</t>
  </si>
  <si>
    <t>将玩家手中的一颗骰子改为敌人波浪X行动，直到本轮游戏结束。</t>
  </si>
  <si>
    <t>玩家的骰子池中每有一个名称中含有“鲨鱼”的骰子，对单个敌人造成3点净化，不受赋能影响。</t>
  </si>
  <si>
    <t>对单个敌人造成X点净化Y次，其中Y为玩家的腐化条上的腐化值。</t>
  </si>
  <si>
    <t>获得X点赋能，在玩家的回合结束时，获得1点厄运，并将赋能减1。</t>
  </si>
  <si>
    <t>对单个敌人造成X点净化，如果该敌人至少有5点波浪，则刷新玩家的美德，然后将波浪减5，否则，对该敌人施加5点波浪。</t>
  </si>
  <si>
    <t>每当玩家打出一次美德，单个随机敌人受到X点净化。</t>
  </si>
  <si>
    <t>使玩家的赋能翻倍，如果玩家没有赋能，则获得1点赋能。</t>
  </si>
  <si>
    <t>抽取1颗骰子，生成一颗新的随机史诗骰子并掷骰，他可以是玩家能够作为奖励获得的任意史诗骰子，生成的史诗骰子保留在玩家的骰子中，直到战斗结束。</t>
  </si>
  <si>
    <t>对任意目标施加X点屏障，格挡全部腐化，然后将屏障减1，在玩家的回合开始时，将屏障减1。</t>
  </si>
  <si>
    <t>每当玩家受到腐化时，将其转移给一名随机守卫，持续X回合。</t>
  </si>
  <si>
    <t>损坏一个守卫，如果做到，则刷新玩家的美德。</t>
  </si>
  <si>
    <t>每当玩家或一个守卫被施加光盾或屏障时，单个随机敌人受到X点净化，然后将充能之体减1。</t>
  </si>
  <si>
    <t>弃置玩家手中的1颗骰子，如果做到，则获得X点光盾。</t>
  </si>
  <si>
    <t>玩家每有1点光盾，对单个敌人造成X点净化。</t>
  </si>
  <si>
    <t>修理一名损坏守卫，这颗骰子在打出后会回到玩家的抽骰池中，而非被弃置。</t>
  </si>
  <si>
    <t>弃置玩家手中的1颗骰子，如果做到，则获得X点顺风。</t>
  </si>
  <si>
    <t>此骰子每次被抽取时会变成一颗随机骰子，有25%的概率变成一颗史诗骰子。它可以变成玩家可用的任意骰子作为奖励。</t>
  </si>
  <si>
    <t>每当玩家造成净化时，有X%的概率暴击。造成乘以暴击倍数后的净化值。初始暴击倍数：3。</t>
  </si>
  <si>
    <t>下回合玩家将有100%的概率触发暴击，并将受到双倍腐化。如果玩家在玩家的下一回合触发闪避，则抽取1颗骰子。</t>
  </si>
  <si>
    <t>如果玩家有少于50点聪慧，获得5点聪慧，否则，获得1点困惑倍数。玩家的任意类型的困惑行动造成净化的概率提高X%。</t>
  </si>
  <si>
    <t>对任意目标施加X点静电场。由玩家或守卫造成的来自随机净化、随机腐化、随机困惑、雷暴和流星雨行动的净化和腐化将投向此生物，持续X回合，或者直到静电场被施加给另一个生物。</t>
  </si>
  <si>
    <t>获得X点风积占卜。玩家接下来X次造成的净化将有100%的概率触发暴击。</t>
  </si>
  <si>
    <t>获得X点舞动之翼。每当玩家闪避腐化时，获得X点暴击。</t>
  </si>
  <si>
    <t>玩家的骰子池中每有一个混乱++骰子，对单个敌人造成X点净化。</t>
  </si>
  <si>
    <t>获得X点刺破苍穹。每当玩家或一个守卫打出流星雨行动时，单个随即敌人受到X点净化Y次，其中Y为流星雨行动造成腐化的次数。此净化可以暴击。</t>
  </si>
  <si>
    <t>玩家的下一个任意类型的困惑行动如果触发暴击，则将其暴击倍数加X。</t>
  </si>
  <si>
    <t>对单个敌人施加X点黄蜂之尘。将从玩家这里受到的净化加X，直到玩家对另一目标造成净化。</t>
  </si>
  <si>
    <t>对任意目标施加X点吟唱。增加吟唱净化值。玩家的下一次吟唱将造成X点净化。如果玩家造成并未来自吟唱、美德或基础骰子的净化，则失去所有吟唱。</t>
  </si>
  <si>
    <t>获得X点时漏之驭。超越时光。玩家接下来打出的X颗骰子有100%的概率在不被减少时之沙的情况下触发时之沙。</t>
  </si>
  <si>
    <t>获得X点灵魂污点。每当施加疾病时，单个随机敌人受到X点净化Y次，其中Y为已被施加疾病的目标数量。在玩家的回合开始时，将灵魂污点减半。</t>
  </si>
  <si>
    <t>获得X点可燃环刃。每当玩家造成净化时，对该目标施加X点舒缓。在玩家的回合开始时，将可燃环刃减半。</t>
  </si>
  <si>
    <t>将玩家手中的一颗骰子改为吟唱行动，直到本轮游戏结束。</t>
  </si>
  <si>
    <t>在X回合内，玩家的魂温不会重置为0。</t>
  </si>
  <si>
    <t>获得X点专心致志。在玩家的回合开始时，将玩家的魂温加X。</t>
  </si>
  <si>
    <t>获得1点疾病。对单个敌人造成X点净化，其中X为玩家的魂温乘以玩家的疾病值一半(向上取整)。</t>
  </si>
  <si>
    <t>获得Y点时之沙，其中Y为玩家拥有的吟唱数量加1。获得X点吟唱。</t>
  </si>
  <si>
    <t>对单个敌人造成吟唱X次，其中X为玩家的魂温的一半(向下取整)。将玩家的魂温重置为0。</t>
  </si>
  <si>
    <t>X回合内，玩家无法重掷骰子。</t>
  </si>
  <si>
    <t>玩家接下来抽取的X颗带有任意类型净化或腐化行动的骰子，其行动将分别改为随机净化和随机腐化行动</t>
  </si>
  <si>
    <t>对玩家施加X点恍惚。</t>
  </si>
  <si>
    <t>玩家接下来抽取的X颗带有任意类型净化或腐化行动的骰子，其行动将改为相同类型的困惑行动。</t>
  </si>
  <si>
    <t>对玩家施加X点沉默。</t>
  </si>
  <si>
    <t>X回合内，玩家的所有美德被禁用。</t>
  </si>
  <si>
    <t>第一个回合后，玩家无法看到其过度腐化条。</t>
  </si>
  <si>
    <t>对玩家施加X点不详迷雾。</t>
  </si>
  <si>
    <t>每当玩家打出一颗基础骰子，向玩家的抽骰池中添加1颗麻痹巫术骰子。</t>
  </si>
  <si>
    <t>如果打败梅萨的净化不来自于她自身或塞弗，则获得一份特殊礼物。玩家每对梅萨造成5次净化时，将其骰子激活。</t>
  </si>
  <si>
    <t>每当玩家打出一次美德，对单个随机目标施加1点厄运。</t>
  </si>
  <si>
    <t>敌人被打败时，对所有目标施加1点折磨，第一个回合后，玩家无法看到其腐化条</t>
  </si>
  <si>
    <t>每当玩家打出一颗冒险骰子，带有猩红印记的生物受到X点净化</t>
  </si>
  <si>
    <t>玩家无法重掷骰子，此效果在此腐化守卫活跃期间一直有效</t>
  </si>
  <si>
    <t>玩家的所有美德被禁用，此效果在此腐化守卫活跃期间一直有效</t>
  </si>
  <si>
    <t>下一回合玩家将少抽取1颗骰子，此效果在此腐化守卫活跃期间一直有效</t>
  </si>
  <si>
    <t>每有一颗骰子被重掷，则使玩家获得1点厄运</t>
  </si>
  <si>
    <t>向玩家的抽骰池中添加1颗溃烂巫术骰子。</t>
  </si>
  <si>
    <t>摧毁玩家手中的1颗巫术骰子，如果做到，则对所有目标造成X点净化，如果被摧毁的是麻痹巫术骰子，则额外造成X点净化一次，如果玩家有月光，则将其触发。</t>
  </si>
  <si>
    <t>对任意目标施加X点光盾，向玩家的抽骰池中添加1颗创伤巫术骰子。</t>
  </si>
  <si>
    <t>对任意目标造成X点净化，向玩家的抽骰池中添加1颗创伤巫术骰子。</t>
  </si>
  <si>
    <t>抽取2颗骰子，向玩家的弃骰池中添加3颗瘟疫骰子</t>
  </si>
  <si>
    <t>向玩家的抽骰池中添加1颗迷魂巫术骰子。</t>
  </si>
  <si>
    <t>向玩家的抽骰池中添加1颗困惑巫术骰子。</t>
  </si>
  <si>
    <t>向玩家的抽骰池中添加1颗瘟疫巫术骰子。</t>
  </si>
  <si>
    <t>向玩家的抽骰池中添加1颗创伤巫术骰子。</t>
  </si>
  <si>
    <t>向玩家的抽骰池中添加1颗麻痹巫术骰子。</t>
  </si>
  <si>
    <t>向玩家的抽骰池中添加1颗疯狂巫术骰子。</t>
  </si>
  <si>
    <t>每3次此敌方受到净化时，将其骰子重掷。</t>
    <phoneticPr fontId="1" type="noConversion"/>
  </si>
  <si>
    <t>玩家遭到了埋伏！在战斗开始时，对此敌人施加无限隐匿点。</t>
    <phoneticPr fontId="1" type="noConversion"/>
  </si>
  <si>
    <t>玩家看得到带有隐匿的敌人的骰子，但看不见掷骰结果，重掷此敌人的骰子会显示所有骰面。</t>
    <phoneticPr fontId="1" type="noConversion"/>
  </si>
  <si>
    <t>对自身施加X点隐匿，不可铸造的。</t>
    <phoneticPr fontId="1" type="noConversion"/>
  </si>
  <si>
    <t>格挡X点净化，直到玩家的回合结束。</t>
    <phoneticPr fontId="1" type="noConversion"/>
  </si>
  <si>
    <t>对单个随机敌人施加X点暗罩。</t>
    <phoneticPr fontId="1" type="noConversion"/>
  </si>
  <si>
    <t>骰子上任意类型的净化和腐化行动的值在1与6之间随机变化，直到敌方回合结束。</t>
    <phoneticPr fontId="1" type="noConversion"/>
  </si>
  <si>
    <t>对玩家施加X点迷失。</t>
    <phoneticPr fontId="1" type="noConversion"/>
  </si>
  <si>
    <t>当受到来自其他目标的净化时，对净化源头造成X点腐化。</t>
    <phoneticPr fontId="1" type="noConversion"/>
  </si>
  <si>
    <t>格挡全部净化，然后将加固减1，如果同时受到X点或更多净化，则失去所有加固。</t>
    <phoneticPr fontId="1" type="noConversion"/>
  </si>
  <si>
    <t>玩家接下来X次造成的净化值将降至1点。</t>
    <phoneticPr fontId="1" type="noConversion"/>
  </si>
  <si>
    <t>对玩家造成X点腐化，随后将腐化值加1。</t>
    <phoneticPr fontId="1" type="noConversion"/>
  </si>
  <si>
    <t>在其开始时，带有毁灭的生物受到X点腐化，然后将毁灭减1。</t>
    <phoneticPr fontId="1" type="noConversion"/>
  </si>
  <si>
    <t>将受到的腐化值加X。</t>
    <phoneticPr fontId="1" type="noConversion"/>
  </si>
  <si>
    <t>将骰子的腐化值加X。</t>
    <phoneticPr fontId="1" type="noConversion"/>
  </si>
  <si>
    <t>放大</t>
  </si>
  <si>
    <t>每当玩家打出一颗混乱++骰子，单个随机敌人受到X点净化。此净化可触发暴击。</t>
  </si>
  <si>
    <t>对单个随机敌人施加1点疾病。目标每有1点疾病，对所有目标施加X点净化。每有一个生物带有疾病，将玩家的魂温加1。</t>
  </si>
  <si>
    <t>对所有目标施加X点折磨。</t>
    <phoneticPr fontId="1" type="noConversion"/>
  </si>
  <si>
    <t>对自身施加X点厄运。</t>
    <phoneticPr fontId="1" type="noConversion"/>
  </si>
  <si>
    <t>对玩家施加X点厄运。</t>
    <phoneticPr fontId="1" type="noConversion"/>
  </si>
  <si>
    <t>对所有敌人施加X点厄运。</t>
    <phoneticPr fontId="1" type="noConversion"/>
  </si>
  <si>
    <t>对自身施加X点毁灭。</t>
    <phoneticPr fontId="1" type="noConversion"/>
  </si>
  <si>
    <t>对所有目标施加X点毁灭。</t>
    <phoneticPr fontId="1" type="noConversion"/>
  </si>
  <si>
    <t>对玩家施加X点弱化。</t>
    <phoneticPr fontId="1" type="noConversion"/>
  </si>
  <si>
    <t>对玩家施加X点加固。</t>
    <phoneticPr fontId="1" type="noConversion"/>
  </si>
  <si>
    <t>对自身施加X点加固。</t>
    <phoneticPr fontId="1" type="noConversion"/>
  </si>
  <si>
    <t>对所有目标施加X点加固。</t>
    <phoneticPr fontId="1" type="noConversion"/>
  </si>
  <si>
    <t>当腐化值不超过腐化上限一半的时候，对此敌人施加X点厄运</t>
    <phoneticPr fontId="1" type="noConversion"/>
  </si>
  <si>
    <t>将一个守卫的腐化条用净化填满，该守卫每受到1点净化，则对所有敌人造成X点净化。</t>
    <phoneticPr fontId="1" type="noConversion"/>
  </si>
  <si>
    <t>损坏一个守卫，如果做到，则获得X点充能之体。</t>
    <phoneticPr fontId="1" type="noConversion"/>
  </si>
  <si>
    <t>在其回合开始时，单个随机敌人受到X点净化。</t>
    <phoneticPr fontId="1" type="noConversion"/>
  </si>
  <si>
    <t>顺时针移动你的法球X次。</t>
    <phoneticPr fontId="1" type="noConversion"/>
  </si>
  <si>
    <t>每当你的法球移动时，投掷刚刚激活的法球。</t>
    <phoneticPr fontId="1" type="noConversion"/>
  </si>
  <si>
    <t>投掷当前活跃法球X次。</t>
    <phoneticPr fontId="1" type="noConversion"/>
  </si>
  <si>
    <t>当达到10点星元时，触发星元。所有目标受到6点净化，然后将星元减10。</t>
    <phoneticPr fontId="1" type="noConversion"/>
  </si>
  <si>
    <t>当达到6点业力时，触发业力。你受到6点腐化，然后将业力减6。此腐化值不因任何腐化系数加成。</t>
    <phoneticPr fontId="1" type="noConversion"/>
  </si>
  <si>
    <t>先顺时针后逆时针，移动你的法球X次。</t>
    <phoneticPr fontId="1" type="noConversion"/>
  </si>
  <si>
    <t>对任意目标造成2点净化。本场战斗中每当你的弃骰池被洗回时，则额外造成X点净化。</t>
    <phoneticPr fontId="1" type="noConversion"/>
  </si>
  <si>
    <t>逆时针移动你的法球X次。</t>
    <phoneticPr fontId="1" type="noConversion"/>
  </si>
  <si>
    <t>弃置你手中最多X颗骰子。每弃置一颗骰子，获得1点光盾。随后每弃置1颗骰子，则再抽取1颗。</t>
    <phoneticPr fontId="1" type="noConversion"/>
  </si>
  <si>
    <t>将宇宙法球造成的净化加X。在你的回合结束时，将宇宙之尘减1。</t>
    <phoneticPr fontId="1" type="noConversion"/>
  </si>
  <si>
    <t>投掷所有法球X次。</t>
    <phoneticPr fontId="1" type="noConversion"/>
  </si>
  <si>
    <t>本回合内每当你的法球移动时对任意目标造成X点净化。</t>
    <phoneticPr fontId="1" type="noConversion"/>
  </si>
  <si>
    <t>醒脑交换</t>
    <phoneticPr fontId="1" type="noConversion"/>
  </si>
  <si>
    <t>获得X点保护圣礼。下一次投掷虔诚法球时，虔诚法球将对你施加光盾点，且施加的光盾点值加X。</t>
    <phoneticPr fontId="1" type="noConversion"/>
  </si>
  <si>
    <t>获得X点光明法令。下一次投掷虔诚法球时，虔诚法球将对所有敌人施加光盾点，且施加的光盾点值加X。</t>
    <phoneticPr fontId="1" type="noConversion"/>
  </si>
  <si>
    <t>接下来X次投掷时，宇宙法球将对所有敌人造成4点净化。</t>
    <phoneticPr fontId="1" type="noConversion"/>
  </si>
  <si>
    <t>获得2点触媒。获得1点星元。获得X点业力。</t>
    <phoneticPr fontId="1" type="noConversion"/>
  </si>
  <si>
    <t>如果你的星元少于9，则获得1点星元。获得X点誓言加固，其中X为你的星元数量的一半(向上取整)。</t>
    <phoneticPr fontId="1" type="noConversion"/>
  </si>
  <si>
    <t>将虔诚法球施加的光盾加X。在你的回合结束时，将誓言加固减1。</t>
    <phoneticPr fontId="1" type="noConversion"/>
  </si>
  <si>
    <t>目标每有1点光盾，对所有目标造成X点净化。该守卫每有1点光盾对单个随机敌人造成X点净化。</t>
    <phoneticPr fontId="1" type="noConversion"/>
  </si>
  <si>
    <t>获得X点救赎铭文。每当知识法球被激活时，将业力减X。</t>
    <phoneticPr fontId="1" type="noConversion"/>
  </si>
  <si>
    <t>获得X点丰收铭文。每当宇宙法球被激活时，获得X点星元。</t>
    <phoneticPr fontId="1" type="noConversion"/>
  </si>
  <si>
    <t>获得X点忏悔铭文。每当虔诚法球被激活时，获得X点忏悔爆发。</t>
    <phoneticPr fontId="1" type="noConversion"/>
  </si>
  <si>
    <t>获得X点天体遗憾。当业力触发时，获得X点宇宙之尘。</t>
    <phoneticPr fontId="1" type="noConversion"/>
  </si>
  <si>
    <t>业力法球必须处于活跃状态才能使用此行动。将星元加到9。</t>
    <phoneticPr fontId="1" type="noConversion"/>
  </si>
  <si>
    <t>知识法球必须处于活跃状态才能使用此行动。弃置你手中的所有骰子。每弃置一颗骰子获得1点星元。随后每弃置1颗骰子，再抽取1颗骰子。顺时针移动你的法球1次。</t>
    <phoneticPr fontId="1" type="noConversion"/>
  </si>
  <si>
    <t>宇宙法球必须处于活跃状态才能使用此行动。获得1点宇宙之尘。本场战斗中每投掷一次宇宙法球，对任意目标造成6点净化。</t>
    <phoneticPr fontId="1" type="noConversion"/>
  </si>
  <si>
    <t>业力法球必须处于活跃状态才能使用此行动。获得X点触媒。获得1点星元。</t>
    <phoneticPr fontId="1" type="noConversion"/>
  </si>
  <si>
    <t>裂变专精</t>
    <phoneticPr fontId="1" type="noConversion"/>
  </si>
  <si>
    <t>对单个敌人施加X点裂变专精。当你拥有星元时，带有裂变专精的敌人额外受到X点净化，然后将星元减1。</t>
    <phoneticPr fontId="1" type="noConversion"/>
  </si>
  <si>
    <t>获得X点忏悔爆发。当业力触发时，所有敌人受到X点净化。</t>
    <phoneticPr fontId="1" type="noConversion"/>
  </si>
  <si>
    <t>本回合内虔诚法球每施加1点光盾对任意目标造成X点净化。</t>
    <phoneticPr fontId="1" type="noConversion"/>
  </si>
  <si>
    <t>链接：锐板</t>
  </si>
  <si>
    <t>链接：赋能</t>
  </si>
  <si>
    <t>对单个守卫施加X点链接：赋能，当此守卫处于活跃状态时，玩家将拥有X点赋能。</t>
  </si>
  <si>
    <t>链接：加速</t>
  </si>
  <si>
    <t>对单个守卫施加X点链接：加速，当此守卫处于活跃状态时，玩家将拥有X点加速。</t>
  </si>
  <si>
    <t>对单个守卫施加X点链接：锐板，当此守卫处于活跃状态时，玩家将拥有X点锐板。</t>
  </si>
  <si>
    <t>链接：石板</t>
  </si>
  <si>
    <t>对单个守卫施加X点链接：石板，当此守卫处于活跃状态是时，玩家将拥有X点石板。</t>
  </si>
  <si>
    <t>每当玩家造成净化或舒缓时，玩家的魂温加1。在玩家的回合开始时，将玩家的魂温重置为0。最高魂温：10。</t>
  </si>
  <si>
    <t>偶数魂温：对任意目标造成X点净化。奇数魂温：对任意目标施加X点光盾并将玩家的魂温加1。</t>
  </si>
  <si>
    <t>最低魂温：10：对任意目标施加10点舒缓。将玩家的魂温减5。最低魂温：6：对任意目标施加5点舒缓。将玩家的魂温减5。最低魂温：0：对任意目标施加4点疾病。将玩家的魂温加3。</t>
  </si>
  <si>
    <t>获得X点时之沙。每当玩家打出一颗非巫术骰子，玩家有X%的概率不弃置该骰子并掷骰，然后将时之沙减5。最大：50%。</t>
  </si>
  <si>
    <t>偶数魂温：对任意目标造成X点腐化并将玩家的魂温加1。奇数魂温：对任意目标造成X点净化。</t>
  </si>
  <si>
    <t>最低魂温：10：对单个敌人造成X点净化。最低魂温：0：将玩家的魂温加2。</t>
  </si>
  <si>
    <t>最低魂温：7：刷新玩家的美德。最低魂温：0。将玩家的魂温加2。</t>
  </si>
  <si>
    <t>最低魂温：10：抽取3颗骰子。将玩家的魂温重置为0。最低魂温：6：抽取2颗骰子，将玩家的魂温重置为0。最低魂温：0：向玩家的抽骰池中添加2颗麻痹巫术骰子。将玩家的魂温加6。</t>
  </si>
  <si>
    <t>最低魂温：6：从玩家的抽骰池中选取一颗骰子并掷骰。如果抽骰池为空，则弃骰池中的骰子洗回到抽骰池中。将玩家的魂温减2。最低魂温：0：将玩家的魂温加2。</t>
  </si>
  <si>
    <t>当星元触发时，获得X点星元。最高：7。</t>
  </si>
  <si>
    <t>投掷：对单个随机敌人造成4点净化。</t>
  </si>
  <si>
    <t>投掷：获得1点星元。</t>
  </si>
  <si>
    <t>投掷：对单个随机目标施加1点光盾。</t>
  </si>
  <si>
    <t>投掷：对腐化值最低的敌人造成3点净化。获得1点业力。</t>
  </si>
  <si>
    <t>宇宙法球：对所有敌人造成X点净化。虔诚法球：对任意目标施加X点光盾。业力法球：对任意目标造成X点净化。知识法球：对任意目标造成X点腐化。</t>
  </si>
  <si>
    <t>最少星元：4。刷新你的美德。将星元减1。</t>
  </si>
  <si>
    <t>最少星元：3。从任意目标选择一颗骰子，然后将该骰子旋转到选定骰面。</t>
  </si>
  <si>
    <t>最少星元：9。对单个敌人造成X点净化。获得1点星元。</t>
  </si>
  <si>
    <t>最少星元：9。抽取骰子，直到你的手骰已满，然后失去所有星元。</t>
  </si>
  <si>
    <t>虔诚法球：获得圣洁点。其他法球：对你自身造成8点腐化。逆时针移动你的法球1次。</t>
  </si>
  <si>
    <t>链接：厚皮</t>
  </si>
  <si>
    <t>链接：加速(腐化)</t>
  </si>
  <si>
    <t>链接：荆棘</t>
  </si>
  <si>
    <t>链接：隐匿</t>
  </si>
  <si>
    <t>普通战胜：</t>
  </si>
  <si>
    <t>特殊战胜：一个恒星祝福（特殊池子）</t>
  </si>
  <si>
    <t>锻造：净化30行动</t>
  </si>
  <si>
    <t>业力法球：投掷所有法球X次。其他法球：对所有目标造成X点腐化。</t>
    <phoneticPr fontId="1" type="noConversion"/>
  </si>
  <si>
    <t>知识法球：抽取X颗骰子。其他法球：向你的抽骰池中添加X颗麻痹巫术骰子。</t>
    <phoneticPr fontId="1" type="noConversion"/>
  </si>
  <si>
    <t>宇宙法球：对单个敌人造成X点净化。其他法球：对你自身造成X点腐化。</t>
    <phoneticPr fontId="1" type="noConversion"/>
  </si>
  <si>
    <t>宇宙法球：对任意目标施加X点静谧。其他法球：获得X点折磨。</t>
    <phoneticPr fontId="1" type="noConversion"/>
  </si>
  <si>
    <t>投掷一颗随机法球X次。</t>
    <phoneticPr fontId="1" type="noConversion"/>
  </si>
  <si>
    <t>你每有1点星元，对所有目标造成X点净化，然后将星元减1。</t>
    <phoneticPr fontId="1" type="noConversion"/>
  </si>
  <si>
    <t>你每有1点星元，对任意目标造成X点净化，然后将星元减1。</t>
    <phoneticPr fontId="1" type="noConversion"/>
  </si>
  <si>
    <t>加速(腐化)</t>
  </si>
  <si>
    <t>加速(腐化)</t>
    <phoneticPr fontId="1" type="noConversion"/>
  </si>
  <si>
    <t>此敌人永远抽到第二颗骰子。</t>
    <phoneticPr fontId="1" type="noConversion"/>
  </si>
  <si>
    <t>玩家腐化</t>
    <phoneticPr fontId="1" type="noConversion"/>
  </si>
  <si>
    <t>自身腐化</t>
    <phoneticPr fontId="1" type="noConversion"/>
  </si>
  <si>
    <t>对自身造成X点腐化。</t>
    <phoneticPr fontId="1" type="noConversion"/>
  </si>
  <si>
    <t>玩家暗罩</t>
    <phoneticPr fontId="1" type="noConversion"/>
  </si>
  <si>
    <t>对玩家施加X点暗罩。</t>
    <phoneticPr fontId="1" type="noConversion"/>
  </si>
  <si>
    <t>对自身造成X点净化。</t>
    <phoneticPr fontId="1" type="noConversion"/>
  </si>
  <si>
    <t>每当你或一个守卫在单次行动中对一个敌人至少造成１２点腐化时，将你手中的所有带有任意类型腐化行动的骰子的值改为１，直到敌方回合结束，该效果无视厄运，每颗骰子每减少１点腐化，所有敌人受到１点净化</t>
  </si>
  <si>
    <t>获得一个新守卫</t>
  </si>
  <si>
    <t>自身死亡炸弹</t>
    <phoneticPr fontId="1" type="noConversion"/>
  </si>
  <si>
    <t>对自身施加X点死亡炸弹。</t>
    <phoneticPr fontId="1" type="noConversion"/>
  </si>
  <si>
    <t>玩家困惑</t>
    <phoneticPr fontId="1" type="noConversion"/>
  </si>
  <si>
    <t>自身困惑</t>
    <phoneticPr fontId="1" type="noConversion"/>
  </si>
  <si>
    <t>对玩家施加X点困惑。</t>
    <phoneticPr fontId="1" type="noConversion"/>
  </si>
  <si>
    <t>对自身施加X点困惑。</t>
    <phoneticPr fontId="1" type="noConversion"/>
  </si>
  <si>
    <t>随机暗罩</t>
    <phoneticPr fontId="1" type="noConversion"/>
  </si>
  <si>
    <t>对随机目标施加X点暗罩。</t>
    <phoneticPr fontId="1" type="noConversion"/>
  </si>
  <si>
    <t>链接：隐匿</t>
    <phoneticPr fontId="1" type="noConversion"/>
  </si>
  <si>
    <t>当此腐化守卫处于活跃状态时，腐化装配工将拥有X点隐匿</t>
    <phoneticPr fontId="1" type="noConversion"/>
  </si>
  <si>
    <t>玩家折磨</t>
    <phoneticPr fontId="1" type="noConversion"/>
  </si>
  <si>
    <t>对玩家施加X点折磨。</t>
    <phoneticPr fontId="1" type="noConversion"/>
  </si>
  <si>
    <t>自身折磨</t>
    <phoneticPr fontId="1" type="noConversion"/>
  </si>
  <si>
    <t>对自身施加X点折磨。</t>
    <phoneticPr fontId="1" type="noConversion"/>
  </si>
  <si>
    <t>自身现实扰乱</t>
    <phoneticPr fontId="1" type="noConversion"/>
  </si>
  <si>
    <t>对自身施加X点现实扰乱。</t>
    <phoneticPr fontId="1" type="noConversion"/>
  </si>
  <si>
    <t>生成异象</t>
    <phoneticPr fontId="1" type="noConversion"/>
  </si>
  <si>
    <t>生成两个异象产物。</t>
    <phoneticPr fontId="1" type="noConversion"/>
  </si>
  <si>
    <t>区域敌人光盾</t>
    <phoneticPr fontId="1" type="noConversion"/>
  </si>
  <si>
    <t>抽取</t>
    <phoneticPr fontId="1" type="noConversion"/>
  </si>
  <si>
    <t>净化</t>
    <phoneticPr fontId="1" type="noConversion"/>
  </si>
  <si>
    <t>玩家静谧</t>
    <phoneticPr fontId="1" type="noConversion"/>
  </si>
  <si>
    <t>玩家静谧</t>
    <phoneticPr fontId="1" type="noConversion"/>
  </si>
  <si>
    <t>光盾</t>
    <phoneticPr fontId="1" type="noConversion"/>
  </si>
  <si>
    <t>恒星翻滚</t>
    <phoneticPr fontId="1" type="noConversion"/>
  </si>
  <si>
    <t>区域净化</t>
    <phoneticPr fontId="1" type="noConversion"/>
  </si>
  <si>
    <t>玩家净化</t>
    <phoneticPr fontId="1" type="noConversion"/>
  </si>
  <si>
    <t>敌人净化</t>
    <phoneticPr fontId="1" type="noConversion"/>
  </si>
  <si>
    <t>不可铸造的敌人净化</t>
    <phoneticPr fontId="1" type="noConversion"/>
  </si>
  <si>
    <t>不可铸造的净化</t>
    <phoneticPr fontId="1" type="noConversion"/>
  </si>
  <si>
    <t>星辰反弹</t>
    <phoneticPr fontId="1" type="noConversion"/>
  </si>
  <si>
    <t>镇定</t>
    <phoneticPr fontId="1" type="noConversion"/>
  </si>
  <si>
    <t>复制</t>
    <phoneticPr fontId="1" type="noConversion"/>
  </si>
  <si>
    <t>激励</t>
    <phoneticPr fontId="1" type="noConversion"/>
  </si>
  <si>
    <t>祈求</t>
    <phoneticPr fontId="1" type="noConversion"/>
  </si>
  <si>
    <t>重掷</t>
    <phoneticPr fontId="1" type="noConversion"/>
  </si>
  <si>
    <t>超越时光</t>
    <phoneticPr fontId="1" type="noConversion"/>
  </si>
  <si>
    <t>腐化</t>
    <phoneticPr fontId="1" type="noConversion"/>
  </si>
  <si>
    <t>造成净净化</t>
    <phoneticPr fontId="1" type="noConversion"/>
  </si>
  <si>
    <t>造成净化</t>
    <phoneticPr fontId="1" type="noConversion"/>
  </si>
  <si>
    <t>高级防护+</t>
    <phoneticPr fontId="1" type="noConversion"/>
  </si>
  <si>
    <t>折磨</t>
    <phoneticPr fontId="1" type="noConversion"/>
  </si>
  <si>
    <t>保护</t>
    <phoneticPr fontId="1" type="noConversion"/>
  </si>
  <si>
    <t>恒星翻滚+</t>
    <phoneticPr fontId="1" type="noConversion"/>
  </si>
  <si>
    <t>护盾回旋+</t>
    <phoneticPr fontId="1" type="noConversion"/>
  </si>
  <si>
    <t>护盾回旋</t>
    <phoneticPr fontId="1" type="noConversion"/>
  </si>
  <si>
    <t>区域敌人净化</t>
    <phoneticPr fontId="1" type="noConversion"/>
  </si>
  <si>
    <t>区域敌人腐化</t>
    <phoneticPr fontId="1" type="noConversion"/>
  </si>
  <si>
    <t>区域腐化</t>
    <phoneticPr fontId="1" type="noConversion"/>
  </si>
  <si>
    <t>灵能重击+</t>
    <phoneticPr fontId="1" type="noConversion"/>
  </si>
  <si>
    <t>灵能重击</t>
    <phoneticPr fontId="1" type="noConversion"/>
  </si>
  <si>
    <t>敌人腐化</t>
    <phoneticPr fontId="1" type="noConversion"/>
  </si>
  <si>
    <t>不可铸造的腐化</t>
    <phoneticPr fontId="1" type="noConversion"/>
  </si>
  <si>
    <t>抽取反弹+</t>
    <phoneticPr fontId="1" type="noConversion"/>
  </si>
  <si>
    <t>抽取保守+</t>
    <phoneticPr fontId="1" type="noConversion"/>
  </si>
  <si>
    <t>抽取保守</t>
    <phoneticPr fontId="1" type="noConversion"/>
  </si>
  <si>
    <t>抽取X颗保守骰子</t>
    <phoneticPr fontId="1" type="noConversion"/>
  </si>
  <si>
    <t>抽取X颗均衡骰子</t>
    <phoneticPr fontId="1" type="noConversion"/>
  </si>
  <si>
    <t>抽取X颗冒险骰子</t>
    <phoneticPr fontId="1" type="noConversion"/>
  </si>
  <si>
    <t>锻造区域净化</t>
    <phoneticPr fontId="1" type="noConversion"/>
  </si>
  <si>
    <t>削减</t>
    <phoneticPr fontId="1" type="noConversion"/>
  </si>
  <si>
    <t>区域光盾</t>
    <phoneticPr fontId="1" type="noConversion"/>
  </si>
  <si>
    <t>随机敌人静谧</t>
    <phoneticPr fontId="1" type="noConversion"/>
  </si>
  <si>
    <t>防御光环++</t>
    <phoneticPr fontId="1" type="noConversion"/>
  </si>
  <si>
    <t>圣洁</t>
    <phoneticPr fontId="1" type="noConversion"/>
  </si>
  <si>
    <t>静谧</t>
    <phoneticPr fontId="1" type="noConversion"/>
  </si>
  <si>
    <t>区域静谧</t>
    <phoneticPr fontId="1" type="noConversion"/>
  </si>
  <si>
    <t>区域折磨</t>
    <phoneticPr fontId="1" type="noConversion"/>
  </si>
  <si>
    <t>星辰呼唤</t>
    <phoneticPr fontId="1" type="noConversion"/>
  </si>
  <si>
    <t>抽取均衡++</t>
    <phoneticPr fontId="1" type="noConversion"/>
  </si>
  <si>
    <t>抽取均衡</t>
    <phoneticPr fontId="1" type="noConversion"/>
  </si>
  <si>
    <t>抽取冒险</t>
    <phoneticPr fontId="1" type="noConversion"/>
  </si>
  <si>
    <t>精准之掷</t>
    <phoneticPr fontId="1" type="noConversion"/>
  </si>
  <si>
    <t>刷新</t>
    <phoneticPr fontId="1" type="noConversion"/>
  </si>
  <si>
    <t>虚空探寻</t>
    <phoneticPr fontId="1" type="noConversion"/>
  </si>
  <si>
    <t>防御光环+++</t>
    <phoneticPr fontId="1" type="noConversion"/>
  </si>
  <si>
    <t>高级防护+++</t>
    <phoneticPr fontId="1" type="noConversion"/>
  </si>
  <si>
    <t>护盾回旋+++</t>
    <phoneticPr fontId="1" type="noConversion"/>
  </si>
  <si>
    <t>清除(创伤)</t>
    <phoneticPr fontId="1" type="noConversion"/>
  </si>
  <si>
    <t>清除(迷魂)</t>
    <phoneticPr fontId="1" type="noConversion"/>
  </si>
  <si>
    <t>清除(困惑)</t>
    <phoneticPr fontId="1" type="noConversion"/>
  </si>
  <si>
    <t>清除(瘟疫)</t>
    <phoneticPr fontId="1" type="noConversion"/>
  </si>
  <si>
    <t>清除(疯狂)</t>
    <phoneticPr fontId="1" type="noConversion"/>
  </si>
  <si>
    <t>清除(麻痹)</t>
    <phoneticPr fontId="1" type="noConversion"/>
  </si>
  <si>
    <t>清除(创伤)</t>
    <phoneticPr fontId="1" type="noConversion"/>
  </si>
  <si>
    <t>清除(迷魂)</t>
    <phoneticPr fontId="1" type="noConversion"/>
  </si>
  <si>
    <t>清除(困惑)</t>
    <phoneticPr fontId="1" type="noConversion"/>
  </si>
  <si>
    <t>清除(瘟疫)</t>
    <phoneticPr fontId="1" type="noConversion"/>
  </si>
  <si>
    <t>清除(疯狂)</t>
    <phoneticPr fontId="1" type="noConversion"/>
  </si>
  <si>
    <t>清除(麻痹)</t>
    <phoneticPr fontId="1" type="noConversion"/>
  </si>
  <si>
    <t>随机净化</t>
    <phoneticPr fontId="1" type="noConversion"/>
  </si>
  <si>
    <t>随机腐化</t>
    <phoneticPr fontId="1" type="noConversion"/>
  </si>
  <si>
    <t>区域困惑</t>
    <phoneticPr fontId="1" type="noConversion"/>
  </si>
  <si>
    <t>困惑</t>
    <phoneticPr fontId="1" type="noConversion"/>
  </si>
  <si>
    <t>瘟疫巫术</t>
    <phoneticPr fontId="1" type="noConversion"/>
  </si>
  <si>
    <t>疯狂翻涌</t>
    <phoneticPr fontId="1" type="noConversion"/>
  </si>
  <si>
    <t>麻痹</t>
    <phoneticPr fontId="1" type="noConversion"/>
  </si>
  <si>
    <t>溃烂</t>
    <phoneticPr fontId="1" type="noConversion"/>
  </si>
  <si>
    <t>毁灭</t>
    <phoneticPr fontId="1" type="noConversion"/>
  </si>
  <si>
    <t>敌人毁灭</t>
    <phoneticPr fontId="1" type="noConversion"/>
  </si>
  <si>
    <t>对敌人施加X点毁灭。</t>
    <phoneticPr fontId="1" type="noConversion"/>
  </si>
  <si>
    <t>对单个随机目标造成1点腐化X次，其中X为你的骰子池中巫术骰子的数量。</t>
    <phoneticPr fontId="1" type="noConversion"/>
  </si>
  <si>
    <t>对玩家施加X点静谧。</t>
    <phoneticPr fontId="1" type="noConversion"/>
  </si>
  <si>
    <t>每当玩家在这场战斗中受到腐化时，对任意目标造成X点净化，不受赋能影响。</t>
    <phoneticPr fontId="1" type="noConversion"/>
  </si>
  <si>
    <t>将玩家手中所有带有任意类型腐化行动的值改为1，直到敌方回合结束，每颗骰子每减少1点腐化，对单个敌人造成2点净化，不受赋能影响。</t>
    <phoneticPr fontId="1" type="noConversion"/>
  </si>
  <si>
    <t>将玩家手中的最多X颗带有任意类型腐化行动的骰子的值改为1，直到敌方回合结束，该效果无视厄运，每颗骰子每减少1点腐化，对所有敌人造成1点净化，不受赋能影响。</t>
    <phoneticPr fontId="1" type="noConversion"/>
  </si>
  <si>
    <t>对单个敌人造成X点净化，如果该敌人至少有4点波浪，则额外造成X点净化4次，然后将波浪减4，否则对该敌人施加4点波浪。</t>
    <phoneticPr fontId="1" type="noConversion"/>
  </si>
  <si>
    <t>在玩家的回合结束时，玩家受到X点净化，净化值每超过玩家的腐化条1点，则对一个随机敌人获得1点净化。</t>
    <phoneticPr fontId="1" type="noConversion"/>
  </si>
  <si>
    <t>获得X点雷霆还击。每当玩家闪避腐化时，每闪避1点腐化所有敌人受到X点净化，此净化可以触发暴击。</t>
    <phoneticPr fontId="1" type="noConversion"/>
  </si>
  <si>
    <t>对单个随机目标施加1点舒缓X次。</t>
    <phoneticPr fontId="1" type="noConversion"/>
  </si>
  <si>
    <t>低级强化</t>
    <phoneticPr fontId="1" type="noConversion"/>
  </si>
  <si>
    <t>低级净化</t>
    <phoneticPr fontId="1" type="noConversion"/>
  </si>
  <si>
    <t>低级重掷</t>
    <phoneticPr fontId="1" type="noConversion"/>
  </si>
  <si>
    <t>低级护盾</t>
    <phoneticPr fontId="1" type="noConversion"/>
  </si>
  <si>
    <t>星辰清疗</t>
    <phoneticPr fontId="1" type="noConversion"/>
  </si>
  <si>
    <t>月光</t>
    <phoneticPr fontId="1" type="noConversion"/>
  </si>
  <si>
    <t>研究</t>
    <phoneticPr fontId="1" type="noConversion"/>
  </si>
  <si>
    <t>猩红印记</t>
    <phoneticPr fontId="1" type="noConversion"/>
  </si>
  <si>
    <t>暮光印记</t>
    <phoneticPr fontId="1" type="noConversion"/>
  </si>
  <si>
    <t>月光之浴</t>
    <phoneticPr fontId="1" type="noConversion"/>
  </si>
  <si>
    <t>新月之光</t>
    <phoneticPr fontId="1" type="noConversion"/>
  </si>
  <si>
    <t>枭光感应</t>
    <phoneticPr fontId="1" type="noConversion"/>
  </si>
  <si>
    <t>转化</t>
    <phoneticPr fontId="1" type="noConversion"/>
  </si>
  <si>
    <t>宇宙智慧</t>
    <phoneticPr fontId="1" type="noConversion"/>
  </si>
  <si>
    <t>强化</t>
    <phoneticPr fontId="1" type="noConversion"/>
  </si>
  <si>
    <t>灵巧之触</t>
    <phoneticPr fontId="1" type="noConversion"/>
  </si>
  <si>
    <t>月光+</t>
    <phoneticPr fontId="1" type="noConversion"/>
  </si>
  <si>
    <t>沉迷分析+</t>
    <phoneticPr fontId="1" type="noConversion"/>
  </si>
  <si>
    <t>研究+</t>
    <phoneticPr fontId="1" type="noConversion"/>
  </si>
  <si>
    <t>猩红印记+</t>
    <phoneticPr fontId="1" type="noConversion"/>
  </si>
  <si>
    <t>暮光印记+</t>
    <phoneticPr fontId="1" type="noConversion"/>
  </si>
  <si>
    <t>接受+</t>
    <phoneticPr fontId="1" type="noConversion"/>
  </si>
  <si>
    <t>威慑枭鸣</t>
    <phoneticPr fontId="1" type="noConversion"/>
  </si>
  <si>
    <t>威慑枭鸣+</t>
    <phoneticPr fontId="1" type="noConversion"/>
  </si>
  <si>
    <t>拥抱+</t>
    <phoneticPr fontId="1" type="noConversion"/>
  </si>
  <si>
    <t>闪亮翎羽+</t>
    <phoneticPr fontId="1" type="noConversion"/>
  </si>
  <si>
    <t>心灵冲击+</t>
    <phoneticPr fontId="1" type="noConversion"/>
  </si>
  <si>
    <t>月光之浴+</t>
    <phoneticPr fontId="1" type="noConversion"/>
  </si>
  <si>
    <t>月光之怒+</t>
    <phoneticPr fontId="1" type="noConversion"/>
  </si>
  <si>
    <t>夜间气升+</t>
    <phoneticPr fontId="1" type="noConversion"/>
  </si>
  <si>
    <t>枭光感召+</t>
    <phoneticPr fontId="1" type="noConversion"/>
  </si>
  <si>
    <t>学者感召+</t>
    <phoneticPr fontId="1" type="noConversion"/>
  </si>
  <si>
    <t>放大+</t>
    <phoneticPr fontId="1" type="noConversion"/>
  </si>
  <si>
    <t>飞升+</t>
    <phoneticPr fontId="1" type="noConversion"/>
  </si>
  <si>
    <t>转化+</t>
    <phoneticPr fontId="1" type="noConversion"/>
  </si>
  <si>
    <t>强化+</t>
    <phoneticPr fontId="1" type="noConversion"/>
  </si>
  <si>
    <t>灵巧之触+</t>
    <phoneticPr fontId="1" type="noConversion"/>
  </si>
  <si>
    <t>知识爆发+</t>
    <phoneticPr fontId="1" type="noConversion"/>
  </si>
  <si>
    <t>月之协调+</t>
    <phoneticPr fontId="1" type="noConversion"/>
  </si>
  <si>
    <t>半影之耀+</t>
    <phoneticPr fontId="1" type="noConversion"/>
  </si>
  <si>
    <t>暗影之驭+</t>
    <phoneticPr fontId="1" type="noConversion"/>
  </si>
  <si>
    <t>银色圈套+</t>
    <phoneticPr fontId="1" type="noConversion"/>
  </si>
  <si>
    <t>黑暗面++</t>
    <phoneticPr fontId="1" type="noConversion"/>
  </si>
  <si>
    <t>月光++</t>
    <phoneticPr fontId="1" type="noConversion"/>
  </si>
  <si>
    <t>研究++</t>
    <phoneticPr fontId="1" type="noConversion"/>
  </si>
  <si>
    <t>猩红印记++</t>
    <phoneticPr fontId="1" type="noConversion"/>
  </si>
  <si>
    <t>暮光印记++</t>
    <phoneticPr fontId="1" type="noConversion"/>
  </si>
  <si>
    <t>接受++</t>
    <phoneticPr fontId="1" type="noConversion"/>
  </si>
  <si>
    <t>威慑枭鸣++</t>
    <phoneticPr fontId="1" type="noConversion"/>
  </si>
  <si>
    <t>亵渎尖叫++</t>
    <phoneticPr fontId="1" type="noConversion"/>
  </si>
  <si>
    <t>血月之光++</t>
    <phoneticPr fontId="1" type="noConversion"/>
  </si>
  <si>
    <t>坠落打击++</t>
    <phoneticPr fontId="1" type="noConversion"/>
  </si>
  <si>
    <t>拥抱++</t>
    <phoneticPr fontId="1" type="noConversion"/>
  </si>
  <si>
    <t>月光之浴++</t>
    <phoneticPr fontId="1" type="noConversion"/>
  </si>
  <si>
    <t>月光之怒++</t>
    <phoneticPr fontId="1" type="noConversion"/>
  </si>
  <si>
    <t>夜间气升++</t>
    <phoneticPr fontId="1" type="noConversion"/>
  </si>
  <si>
    <t>毁灭冲击++</t>
    <phoneticPr fontId="1" type="noConversion"/>
  </si>
  <si>
    <t>放大++</t>
    <phoneticPr fontId="1" type="noConversion"/>
  </si>
  <si>
    <t>光明强化++</t>
    <phoneticPr fontId="1" type="noConversion"/>
  </si>
  <si>
    <t>诅咒预言++</t>
    <phoneticPr fontId="1" type="noConversion"/>
  </si>
  <si>
    <t>丧仪++</t>
    <phoneticPr fontId="1" type="noConversion"/>
  </si>
  <si>
    <t>强化++</t>
    <phoneticPr fontId="1" type="noConversion"/>
  </si>
  <si>
    <t>灵光一闪++</t>
    <phoneticPr fontId="1" type="noConversion"/>
  </si>
  <si>
    <t>专精++</t>
    <phoneticPr fontId="1" type="noConversion"/>
  </si>
  <si>
    <t>锻造区域腐化++</t>
    <phoneticPr fontId="1" type="noConversion"/>
  </si>
  <si>
    <t>锻造腐化++</t>
    <phoneticPr fontId="1" type="noConversion"/>
  </si>
  <si>
    <t>幽暗启迪++</t>
    <phoneticPr fontId="1" type="noConversion"/>
  </si>
  <si>
    <t>远见++</t>
    <phoneticPr fontId="1" type="noConversion"/>
  </si>
  <si>
    <t>月之协调++</t>
    <phoneticPr fontId="1" type="noConversion"/>
  </si>
  <si>
    <t>操控++</t>
    <phoneticPr fontId="1" type="noConversion"/>
  </si>
  <si>
    <t>夜枭星慧++</t>
    <phoneticPr fontId="1" type="noConversion"/>
  </si>
  <si>
    <t>硒之主宰++</t>
    <phoneticPr fontId="1" type="noConversion"/>
  </si>
  <si>
    <t>暗影之驭++</t>
    <phoneticPr fontId="1" type="noConversion"/>
  </si>
  <si>
    <t>月光+++</t>
    <phoneticPr fontId="1" type="noConversion"/>
  </si>
  <si>
    <t>威慑枭鸣+++</t>
    <phoneticPr fontId="1" type="noConversion"/>
  </si>
  <si>
    <t>闪亮翎羽+++</t>
    <phoneticPr fontId="1" type="noConversion"/>
  </si>
  <si>
    <t>心灵冲击+++</t>
    <phoneticPr fontId="1" type="noConversion"/>
  </si>
  <si>
    <t>月光之浴+++</t>
    <phoneticPr fontId="1" type="noConversion"/>
  </si>
  <si>
    <t>夜间气升+++</t>
    <phoneticPr fontId="1" type="noConversion"/>
  </si>
  <si>
    <t>枭光感召+++</t>
    <phoneticPr fontId="1" type="noConversion"/>
  </si>
  <si>
    <t>学者感召+++</t>
    <phoneticPr fontId="1" type="noConversion"/>
  </si>
  <si>
    <t>飞升+++</t>
    <phoneticPr fontId="1" type="noConversion"/>
  </si>
  <si>
    <t>光明强化+++</t>
    <phoneticPr fontId="1" type="noConversion"/>
  </si>
  <si>
    <t>转化+++</t>
    <phoneticPr fontId="1" type="noConversion"/>
  </si>
  <si>
    <t>诅咒预言+++</t>
    <phoneticPr fontId="1" type="noConversion"/>
  </si>
  <si>
    <t>强化+++</t>
    <phoneticPr fontId="1" type="noConversion"/>
  </si>
  <si>
    <t>灵光一闪+++</t>
    <phoneticPr fontId="1" type="noConversion"/>
  </si>
  <si>
    <t>专精+++</t>
    <phoneticPr fontId="1" type="noConversion"/>
  </si>
  <si>
    <t>锻造腐化+++</t>
    <phoneticPr fontId="1" type="noConversion"/>
  </si>
  <si>
    <t>幽暗启迪+++</t>
    <phoneticPr fontId="1" type="noConversion"/>
  </si>
  <si>
    <t>远见+++</t>
    <phoneticPr fontId="1" type="noConversion"/>
  </si>
  <si>
    <t>知识爆发+++</t>
    <phoneticPr fontId="1" type="noConversion"/>
  </si>
  <si>
    <t>月之协调+++</t>
    <phoneticPr fontId="1" type="noConversion"/>
  </si>
  <si>
    <t>操控+++</t>
    <phoneticPr fontId="1" type="noConversion"/>
  </si>
  <si>
    <t>半影之耀+++</t>
    <phoneticPr fontId="1" type="noConversion"/>
  </si>
  <si>
    <t>暗影之驭+++</t>
    <phoneticPr fontId="1" type="noConversion"/>
  </si>
  <si>
    <t>低级活力重拳</t>
    <phoneticPr fontId="1" type="noConversion"/>
  </si>
  <si>
    <t>鲨鱼强风</t>
    <phoneticPr fontId="1" type="noConversion"/>
  </si>
  <si>
    <t>顶尖本能</t>
    <phoneticPr fontId="1" type="noConversion"/>
  </si>
  <si>
    <t>滚滚浪涛</t>
    <phoneticPr fontId="1" type="noConversion"/>
  </si>
  <si>
    <t>礁石之歌</t>
    <phoneticPr fontId="1" type="noConversion"/>
  </si>
  <si>
    <t>浪花</t>
    <phoneticPr fontId="1" type="noConversion"/>
  </si>
  <si>
    <t>波浪</t>
    <phoneticPr fontId="1" type="noConversion"/>
  </si>
  <si>
    <t>间歇上击</t>
    <phoneticPr fontId="1" type="noConversion"/>
  </si>
  <si>
    <t>鲨鱼打击</t>
    <phoneticPr fontId="1" type="noConversion"/>
  </si>
  <si>
    <t>海洋献祭</t>
    <phoneticPr fontId="1" type="noConversion"/>
  </si>
  <si>
    <t>心灵舒缓</t>
    <phoneticPr fontId="1" type="noConversion"/>
  </si>
  <si>
    <t>碎浪</t>
    <phoneticPr fontId="1" type="noConversion"/>
  </si>
  <si>
    <t>顶尖本能+</t>
    <phoneticPr fontId="1" type="noConversion"/>
  </si>
  <si>
    <t>赋能+</t>
    <phoneticPr fontId="1" type="noConversion"/>
  </si>
  <si>
    <t>滚滚浪涛+</t>
    <phoneticPr fontId="1" type="noConversion"/>
  </si>
  <si>
    <t>礁石之歌+</t>
    <phoneticPr fontId="1" type="noConversion"/>
  </si>
  <si>
    <t>海底地震+</t>
    <phoneticPr fontId="1" type="noConversion"/>
  </si>
  <si>
    <t>浪花+</t>
    <phoneticPr fontId="1" type="noConversion"/>
  </si>
  <si>
    <t>波浪+</t>
    <phoneticPr fontId="1" type="noConversion"/>
  </si>
  <si>
    <t>锚点推动+</t>
    <phoneticPr fontId="1" type="noConversion"/>
  </si>
  <si>
    <t>间歇上击+</t>
    <phoneticPr fontId="1" type="noConversion"/>
  </si>
  <si>
    <t>活力重拳+</t>
    <phoneticPr fontId="1" type="noConversion"/>
  </si>
  <si>
    <t>醒脑头锤+</t>
    <phoneticPr fontId="1" type="noConversion"/>
  </si>
  <si>
    <t>鲨鱼疯狂+</t>
    <phoneticPr fontId="1" type="noConversion"/>
  </si>
  <si>
    <t>鲨鱼突击+</t>
    <phoneticPr fontId="1" type="noConversion"/>
  </si>
  <si>
    <t>鲨鱼报复+</t>
    <phoneticPr fontId="1" type="noConversion"/>
  </si>
  <si>
    <t>鲨鱼破裂+</t>
    <phoneticPr fontId="1" type="noConversion"/>
  </si>
  <si>
    <t>鲨鱼猛冲+</t>
    <phoneticPr fontId="1" type="noConversion"/>
  </si>
  <si>
    <t>鲨鱼打击+</t>
    <phoneticPr fontId="1" type="noConversion"/>
  </si>
  <si>
    <t>鲨鱼龙卷风+</t>
    <phoneticPr fontId="1" type="noConversion"/>
  </si>
  <si>
    <t>锋利鱼鳍+</t>
    <phoneticPr fontId="1" type="noConversion"/>
  </si>
  <si>
    <t>潮汐喷射+</t>
    <phoneticPr fontId="1" type="noConversion"/>
  </si>
  <si>
    <t>双重猛击+</t>
    <phoneticPr fontId="1" type="noConversion"/>
  </si>
  <si>
    <t>锻造波浪+</t>
    <phoneticPr fontId="1" type="noConversion"/>
  </si>
  <si>
    <t>海洋献祭+</t>
    <phoneticPr fontId="1" type="noConversion"/>
  </si>
  <si>
    <t>鲨鱼逆流+</t>
    <phoneticPr fontId="1" type="noConversion"/>
  </si>
  <si>
    <t>鲨鱼波动+</t>
    <phoneticPr fontId="1" type="noConversion"/>
  </si>
  <si>
    <t>心醉神迷+</t>
    <phoneticPr fontId="1" type="noConversion"/>
  </si>
  <si>
    <t>碎浪+</t>
    <phoneticPr fontId="1" type="noConversion"/>
  </si>
  <si>
    <t>顶尖本能++</t>
    <phoneticPr fontId="1" type="noConversion"/>
  </si>
  <si>
    <t>泥盆纪后嗣++</t>
    <phoneticPr fontId="1" type="noConversion"/>
  </si>
  <si>
    <t>赋能++</t>
    <phoneticPr fontId="1" type="noConversion"/>
  </si>
  <si>
    <t>狂乱++</t>
    <phoneticPr fontId="1" type="noConversion"/>
  </si>
  <si>
    <t>锤头意志++</t>
    <phoneticPr fontId="1" type="noConversion"/>
  </si>
  <si>
    <t>高度锤头意志++</t>
    <phoneticPr fontId="1" type="noConversion"/>
  </si>
  <si>
    <t>涨潮++</t>
    <phoneticPr fontId="1" type="noConversion"/>
  </si>
  <si>
    <t>靛蓝灵魂++</t>
    <phoneticPr fontId="1" type="noConversion"/>
  </si>
  <si>
    <t>海地地震++</t>
    <phoneticPr fontId="1" type="noConversion"/>
  </si>
  <si>
    <t>沉没诅咒++</t>
    <phoneticPr fontId="1" type="noConversion"/>
  </si>
  <si>
    <t>浪花++</t>
    <phoneticPr fontId="1" type="noConversion"/>
  </si>
  <si>
    <t>仇怨++</t>
    <phoneticPr fontId="1" type="noConversion"/>
  </si>
  <si>
    <t>仇怨上头++</t>
    <phoneticPr fontId="1" type="noConversion"/>
  </si>
  <si>
    <t>贪婪之感++</t>
    <phoneticPr fontId="1" type="noConversion"/>
  </si>
  <si>
    <t>波浪++</t>
    <phoneticPr fontId="1" type="noConversion"/>
  </si>
  <si>
    <t>深渊粉碎++</t>
    <phoneticPr fontId="1" type="noConversion"/>
  </si>
  <si>
    <t>锚点推动++</t>
    <phoneticPr fontId="1" type="noConversion"/>
  </si>
  <si>
    <t>活力重拳++</t>
    <phoneticPr fontId="1" type="noConversion"/>
  </si>
  <si>
    <t>漩涡冲击++</t>
    <phoneticPr fontId="1" type="noConversion"/>
  </si>
  <si>
    <t>鲨鱼突击++</t>
    <phoneticPr fontId="1" type="noConversion"/>
  </si>
  <si>
    <t>鲨鱼报复++</t>
    <phoneticPr fontId="1" type="noConversion"/>
  </si>
  <si>
    <t>鲨鱼破裂++</t>
    <phoneticPr fontId="1" type="noConversion"/>
  </si>
  <si>
    <t>鲨鱼猛冲++</t>
    <phoneticPr fontId="1" type="noConversion"/>
  </si>
  <si>
    <t>鲨鱼打击++</t>
    <phoneticPr fontId="1" type="noConversion"/>
  </si>
  <si>
    <t>鲨鱼龙卷风++</t>
    <phoneticPr fontId="1" type="noConversion"/>
  </si>
  <si>
    <t>鲨鱼台风++</t>
    <phoneticPr fontId="1" type="noConversion"/>
  </si>
  <si>
    <t>潮汐喷射++</t>
    <phoneticPr fontId="1" type="noConversion"/>
  </si>
  <si>
    <t>双重猛击++</t>
    <phoneticPr fontId="1" type="noConversion"/>
  </si>
  <si>
    <t>鲨鱼溢流++</t>
    <phoneticPr fontId="1" type="noConversion"/>
  </si>
  <si>
    <t>鲨鱼翻涌++</t>
    <phoneticPr fontId="1" type="noConversion"/>
  </si>
  <si>
    <t>赋能+++</t>
    <phoneticPr fontId="1" type="noConversion"/>
  </si>
  <si>
    <t>滚滚浪涛+++</t>
    <phoneticPr fontId="1" type="noConversion"/>
  </si>
  <si>
    <t>狂乱+++</t>
    <phoneticPr fontId="1" type="noConversion"/>
  </si>
  <si>
    <t>涨潮+++</t>
    <phoneticPr fontId="1" type="noConversion"/>
  </si>
  <si>
    <t>靛蓝灵魂+++</t>
    <phoneticPr fontId="1" type="noConversion"/>
  </si>
  <si>
    <t>海地地震+++</t>
    <phoneticPr fontId="1" type="noConversion"/>
  </si>
  <si>
    <t>浪花+++</t>
    <phoneticPr fontId="1" type="noConversion"/>
  </si>
  <si>
    <t>仇怨+++</t>
    <phoneticPr fontId="1" type="noConversion"/>
  </si>
  <si>
    <t>波浪+++</t>
    <phoneticPr fontId="1" type="noConversion"/>
  </si>
  <si>
    <t>锚点推动+++</t>
    <phoneticPr fontId="1" type="noConversion"/>
  </si>
  <si>
    <t>活力重拳+++</t>
    <phoneticPr fontId="1" type="noConversion"/>
  </si>
  <si>
    <t>漩涡冲击+++</t>
    <phoneticPr fontId="1" type="noConversion"/>
  </si>
  <si>
    <t>鲨鱼突击+++</t>
    <phoneticPr fontId="1" type="noConversion"/>
  </si>
  <si>
    <t>鲨鱼报复+++</t>
    <phoneticPr fontId="1" type="noConversion"/>
  </si>
  <si>
    <t>鲨鱼破裂+++</t>
    <phoneticPr fontId="1" type="noConversion"/>
  </si>
  <si>
    <t>双重猛击+++</t>
    <phoneticPr fontId="1" type="noConversion"/>
  </si>
  <si>
    <t>海洋献祭+++</t>
    <phoneticPr fontId="1" type="noConversion"/>
  </si>
  <si>
    <t>碎浪+++</t>
    <phoneticPr fontId="1" type="noConversion"/>
  </si>
  <si>
    <t>修补匠</t>
    <phoneticPr fontId="1" type="noConversion"/>
  </si>
  <si>
    <t>屏障</t>
    <phoneticPr fontId="1" type="noConversion"/>
  </si>
  <si>
    <t>充能之体</t>
    <phoneticPr fontId="1" type="noConversion"/>
  </si>
  <si>
    <t>治疗机</t>
    <phoneticPr fontId="1" type="noConversion"/>
  </si>
  <si>
    <t>链接:赋能</t>
    <phoneticPr fontId="1" type="noConversion"/>
  </si>
  <si>
    <t>链接:锐板</t>
    <phoneticPr fontId="1" type="noConversion"/>
  </si>
  <si>
    <t>负场</t>
    <phoneticPr fontId="1" type="noConversion"/>
  </si>
  <si>
    <t>辐射炸弹</t>
    <phoneticPr fontId="1" type="noConversion"/>
  </si>
  <si>
    <t>锐板</t>
    <phoneticPr fontId="1" type="noConversion"/>
  </si>
  <si>
    <t>蝎虎光束</t>
    <phoneticPr fontId="1" type="noConversion"/>
  </si>
  <si>
    <t>修补匠猛扑</t>
    <phoneticPr fontId="1" type="noConversion"/>
  </si>
  <si>
    <t>回旋修理</t>
    <phoneticPr fontId="1" type="noConversion"/>
  </si>
  <si>
    <t>持久报废</t>
    <phoneticPr fontId="1" type="noConversion"/>
  </si>
  <si>
    <t>充能报废</t>
    <phoneticPr fontId="1" type="noConversion"/>
  </si>
  <si>
    <t>回收</t>
    <phoneticPr fontId="1" type="noConversion"/>
  </si>
  <si>
    <t>修理</t>
    <phoneticPr fontId="1" type="noConversion"/>
  </si>
  <si>
    <t>废品护盾</t>
    <phoneticPr fontId="1" type="noConversion"/>
  </si>
  <si>
    <t>系统修理</t>
    <phoneticPr fontId="1" type="noConversion"/>
  </si>
  <si>
    <t>流电报废</t>
    <phoneticPr fontId="1" type="noConversion"/>
  </si>
  <si>
    <t>自动炮台+</t>
    <phoneticPr fontId="1" type="noConversion"/>
  </si>
  <si>
    <t>屏障+</t>
    <phoneticPr fontId="1" type="noConversion"/>
  </si>
  <si>
    <t>加速军队+</t>
    <phoneticPr fontId="1" type="noConversion"/>
  </si>
  <si>
    <t>充能之体+</t>
    <phoneticPr fontId="1" type="noConversion"/>
  </si>
  <si>
    <t>普照+</t>
    <phoneticPr fontId="1" type="noConversion"/>
  </si>
  <si>
    <t>赋能军队+</t>
    <phoneticPr fontId="1" type="noConversion"/>
  </si>
  <si>
    <t>治疗机+</t>
    <phoneticPr fontId="1" type="noConversion"/>
  </si>
  <si>
    <t>链接:赋能+</t>
    <phoneticPr fontId="1" type="noConversion"/>
  </si>
  <si>
    <t>链接:加速+</t>
    <phoneticPr fontId="1" type="noConversion"/>
  </si>
  <si>
    <t>链接:锐板+</t>
    <phoneticPr fontId="1" type="noConversion"/>
  </si>
  <si>
    <t>负场+</t>
    <phoneticPr fontId="1" type="noConversion"/>
  </si>
  <si>
    <t>辐射炸弹+</t>
    <phoneticPr fontId="1" type="noConversion"/>
  </si>
  <si>
    <t>守护+</t>
    <phoneticPr fontId="1" type="noConversion"/>
  </si>
  <si>
    <t>锐利军队+</t>
    <phoneticPr fontId="1" type="noConversion"/>
  </si>
  <si>
    <t>锐板+</t>
    <phoneticPr fontId="1" type="noConversion"/>
  </si>
  <si>
    <t>引擎袭击+</t>
    <phoneticPr fontId="1" type="noConversion"/>
  </si>
  <si>
    <t>钢铁打击+</t>
    <phoneticPr fontId="1" type="noConversion"/>
  </si>
  <si>
    <t>蝎虎光束+</t>
    <phoneticPr fontId="1" type="noConversion"/>
  </si>
  <si>
    <t>完全恢复+</t>
    <phoneticPr fontId="1" type="noConversion"/>
  </si>
  <si>
    <t>护盾重击+</t>
    <phoneticPr fontId="1" type="noConversion"/>
  </si>
  <si>
    <t>修补匠猛扑+</t>
    <phoneticPr fontId="1" type="noConversion"/>
  </si>
  <si>
    <t>持久报废+</t>
    <phoneticPr fontId="1" type="noConversion"/>
  </si>
  <si>
    <t>充能报废+</t>
    <phoneticPr fontId="1" type="noConversion"/>
  </si>
  <si>
    <t>锻造光盾+</t>
    <phoneticPr fontId="1" type="noConversion"/>
  </si>
  <si>
    <t>完善修理+</t>
    <phoneticPr fontId="1" type="noConversion"/>
  </si>
  <si>
    <t>重新武装+</t>
    <phoneticPr fontId="1" type="noConversion"/>
  </si>
  <si>
    <t>废品护盾+</t>
    <phoneticPr fontId="1" type="noConversion"/>
  </si>
  <si>
    <t>守卫崛起+</t>
    <phoneticPr fontId="1" type="noConversion"/>
  </si>
  <si>
    <t>闪烁修理+</t>
    <phoneticPr fontId="1" type="noConversion"/>
  </si>
  <si>
    <t>系统修理+</t>
    <phoneticPr fontId="1" type="noConversion"/>
  </si>
  <si>
    <t>恶劣修理+</t>
    <phoneticPr fontId="1" type="noConversion"/>
  </si>
  <si>
    <t>流电报废+</t>
    <phoneticPr fontId="1" type="noConversion"/>
  </si>
  <si>
    <t>自动炮台++</t>
    <phoneticPr fontId="1" type="noConversion"/>
  </si>
  <si>
    <t>加速军队++</t>
    <phoneticPr fontId="1" type="noConversion"/>
  </si>
  <si>
    <t>充能之体++</t>
    <phoneticPr fontId="1" type="noConversion"/>
  </si>
  <si>
    <t>普照++</t>
    <phoneticPr fontId="1" type="noConversion"/>
  </si>
  <si>
    <t>赋能军队++</t>
    <phoneticPr fontId="1" type="noConversion"/>
  </si>
  <si>
    <t>力场屏障++</t>
    <phoneticPr fontId="1" type="noConversion"/>
  </si>
  <si>
    <t>圣洁光环++</t>
    <phoneticPr fontId="1" type="noConversion"/>
  </si>
  <si>
    <t>链接:赋能++</t>
    <phoneticPr fontId="1" type="noConversion"/>
  </si>
  <si>
    <t>链接:石板++</t>
    <phoneticPr fontId="1" type="noConversion"/>
  </si>
  <si>
    <t>链接:锐板++</t>
    <phoneticPr fontId="1" type="noConversion"/>
  </si>
  <si>
    <t>辐射炸弹++</t>
    <phoneticPr fontId="1" type="noConversion"/>
  </si>
  <si>
    <t>守护++</t>
    <phoneticPr fontId="1" type="noConversion"/>
  </si>
  <si>
    <t>守护光环++</t>
    <phoneticPr fontId="1" type="noConversion"/>
  </si>
  <si>
    <t>锐利军队++</t>
    <phoneticPr fontId="1" type="noConversion"/>
  </si>
  <si>
    <t>锐板++</t>
    <phoneticPr fontId="1" type="noConversion"/>
  </si>
  <si>
    <t>引擎袭击++</t>
    <phoneticPr fontId="1" type="noConversion"/>
  </si>
  <si>
    <t>钢铁打击++</t>
    <phoneticPr fontId="1" type="noConversion"/>
  </si>
  <si>
    <t>护盾重击++</t>
    <phoneticPr fontId="1" type="noConversion"/>
  </si>
  <si>
    <t>机械主宰++</t>
    <phoneticPr fontId="1" type="noConversion"/>
  </si>
  <si>
    <t>守卫崛起++</t>
    <phoneticPr fontId="1" type="noConversion"/>
  </si>
  <si>
    <t>不义充能++</t>
    <phoneticPr fontId="1" type="noConversion"/>
  </si>
  <si>
    <t>系统修理++</t>
    <phoneticPr fontId="1" type="noConversion"/>
  </si>
  <si>
    <t>警告耀斑++</t>
    <phoneticPr fontId="1" type="noConversion"/>
  </si>
  <si>
    <t>自动炮台+++</t>
    <phoneticPr fontId="1" type="noConversion"/>
  </si>
  <si>
    <t>加速军队+++</t>
    <phoneticPr fontId="1" type="noConversion"/>
  </si>
  <si>
    <t>充能之体+++</t>
    <phoneticPr fontId="1" type="noConversion"/>
  </si>
  <si>
    <t>普照+++</t>
    <phoneticPr fontId="1" type="noConversion"/>
  </si>
  <si>
    <t>赋能军队+++</t>
    <phoneticPr fontId="1" type="noConversion"/>
  </si>
  <si>
    <t>链接:加速+++</t>
    <phoneticPr fontId="1" type="noConversion"/>
  </si>
  <si>
    <t>链接:赋能+++</t>
    <phoneticPr fontId="1" type="noConversion"/>
  </si>
  <si>
    <t>链接:石板+++</t>
    <phoneticPr fontId="1" type="noConversion"/>
  </si>
  <si>
    <t>链接:锐板+++</t>
    <phoneticPr fontId="1" type="noConversion"/>
  </si>
  <si>
    <t>辐射炸弹+++</t>
    <phoneticPr fontId="1" type="noConversion"/>
  </si>
  <si>
    <t>锐利军队+++</t>
    <phoneticPr fontId="1" type="noConversion"/>
  </si>
  <si>
    <t>锐板+++</t>
    <phoneticPr fontId="1" type="noConversion"/>
  </si>
  <si>
    <t>钢铁打击+++</t>
    <phoneticPr fontId="1" type="noConversion"/>
  </si>
  <si>
    <t>完全恢复+++</t>
    <phoneticPr fontId="1" type="noConversion"/>
  </si>
  <si>
    <t>护盾重击+++</t>
    <phoneticPr fontId="1" type="noConversion"/>
  </si>
  <si>
    <t>持久报废+++</t>
    <phoneticPr fontId="1" type="noConversion"/>
  </si>
  <si>
    <t>重新武装+++</t>
    <phoneticPr fontId="1" type="noConversion"/>
  </si>
  <si>
    <t>守卫崛起+++</t>
    <phoneticPr fontId="1" type="noConversion"/>
  </si>
  <si>
    <t>系统修理+++</t>
    <phoneticPr fontId="1" type="noConversion"/>
  </si>
  <si>
    <t>低级漫无目的</t>
    <phoneticPr fontId="1" type="noConversion"/>
  </si>
  <si>
    <t>聪慧</t>
    <phoneticPr fontId="1" type="noConversion"/>
  </si>
  <si>
    <t>暴击</t>
    <phoneticPr fontId="1" type="noConversion"/>
  </si>
  <si>
    <t>舞动之翼</t>
    <phoneticPr fontId="1" type="noConversion"/>
  </si>
  <si>
    <t>闪避</t>
    <phoneticPr fontId="1" type="noConversion"/>
  </si>
  <si>
    <t>静电场</t>
    <phoneticPr fontId="1" type="noConversion"/>
  </si>
  <si>
    <t>顺风</t>
    <phoneticPr fontId="1" type="noConversion"/>
  </si>
  <si>
    <t>黄蜂之尘</t>
    <phoneticPr fontId="1" type="noConversion"/>
  </si>
  <si>
    <t>杂乱净化</t>
    <phoneticPr fontId="1" type="noConversion"/>
  </si>
  <si>
    <t>漫无目的</t>
    <phoneticPr fontId="1" type="noConversion"/>
  </si>
  <si>
    <t>蜂星天坠</t>
    <phoneticPr fontId="1" type="noConversion"/>
  </si>
  <si>
    <t>狂暴重击</t>
    <phoneticPr fontId="1" type="noConversion"/>
  </si>
  <si>
    <t>闪电</t>
    <phoneticPr fontId="1" type="noConversion"/>
  </si>
  <si>
    <t>狂风呼啸</t>
    <phoneticPr fontId="1" type="noConversion"/>
  </si>
  <si>
    <t>雷暴</t>
    <phoneticPr fontId="1" type="noConversion"/>
  </si>
  <si>
    <t>风滑</t>
    <phoneticPr fontId="1" type="noConversion"/>
  </si>
  <si>
    <t>风掠</t>
    <phoneticPr fontId="1" type="noConversion"/>
  </si>
  <si>
    <t>聪慧+</t>
    <phoneticPr fontId="1" type="noConversion"/>
  </si>
  <si>
    <t>暴击+</t>
    <phoneticPr fontId="1" type="noConversion"/>
  </si>
  <si>
    <t>舞动之翼+</t>
    <phoneticPr fontId="1" type="noConversion"/>
  </si>
  <si>
    <t>闪避+</t>
    <phoneticPr fontId="1" type="noConversion"/>
  </si>
  <si>
    <t>静电场+</t>
    <phoneticPr fontId="1" type="noConversion"/>
  </si>
  <si>
    <t>顺风+</t>
    <phoneticPr fontId="1" type="noConversion"/>
  </si>
  <si>
    <t>黄蜂之尘+</t>
    <phoneticPr fontId="1" type="noConversion"/>
  </si>
  <si>
    <t>杂乱净化+</t>
    <phoneticPr fontId="1" type="noConversion"/>
  </si>
  <si>
    <t>刺破苍穹+</t>
    <phoneticPr fontId="1" type="noConversion"/>
  </si>
  <si>
    <t>雷霆还击+</t>
    <phoneticPr fontId="1" type="noConversion"/>
  </si>
  <si>
    <t>风波飞行+</t>
    <phoneticPr fontId="1" type="noConversion"/>
  </si>
  <si>
    <t>漫无目的+</t>
    <phoneticPr fontId="1" type="noConversion"/>
  </si>
  <si>
    <t>蜂星天坠+</t>
    <phoneticPr fontId="1" type="noConversion"/>
  </si>
  <si>
    <t>破碎苍穹+</t>
    <phoneticPr fontId="1" type="noConversion"/>
  </si>
  <si>
    <t>狂暴重击+</t>
    <phoneticPr fontId="1" type="noConversion"/>
  </si>
  <si>
    <t>闪电+</t>
    <phoneticPr fontId="1" type="noConversion"/>
  </si>
  <si>
    <t>狂风呼啸+</t>
    <phoneticPr fontId="1" type="noConversion"/>
  </si>
  <si>
    <t>雷暴+</t>
    <phoneticPr fontId="1" type="noConversion"/>
  </si>
  <si>
    <t>危险挖掘+</t>
    <phoneticPr fontId="1" type="noConversion"/>
  </si>
  <si>
    <t>风掠+</t>
    <phoneticPr fontId="1" type="noConversion"/>
  </si>
  <si>
    <t>聪慧++</t>
    <phoneticPr fontId="1" type="noConversion"/>
  </si>
  <si>
    <t>暴击++</t>
    <phoneticPr fontId="1" type="noConversion"/>
  </si>
  <si>
    <t>暴击倍数++</t>
    <phoneticPr fontId="1" type="noConversion"/>
  </si>
  <si>
    <t>闪避++</t>
    <phoneticPr fontId="1" type="noConversion"/>
  </si>
  <si>
    <t>风积占卜++</t>
    <phoneticPr fontId="1" type="noConversion"/>
  </si>
  <si>
    <t>顺风++</t>
    <phoneticPr fontId="1" type="noConversion"/>
  </si>
  <si>
    <t>暴风突起++</t>
    <phoneticPr fontId="1" type="noConversion"/>
  </si>
  <si>
    <t>飓风++</t>
    <phoneticPr fontId="1" type="noConversion"/>
  </si>
  <si>
    <t>刺破苍穹++</t>
    <phoneticPr fontId="1" type="noConversion"/>
  </si>
  <si>
    <t>烟雾弹++</t>
    <phoneticPr fontId="1" type="noConversion"/>
  </si>
  <si>
    <t>雷霆还击++</t>
    <phoneticPr fontId="1" type="noConversion"/>
  </si>
  <si>
    <t>漫无目的++</t>
    <phoneticPr fontId="1" type="noConversion"/>
  </si>
  <si>
    <t>破碎苍穹++</t>
    <phoneticPr fontId="1" type="noConversion"/>
  </si>
  <si>
    <t>狂暴重击++</t>
    <phoneticPr fontId="1" type="noConversion"/>
  </si>
  <si>
    <t>闪电++</t>
    <phoneticPr fontId="1" type="noConversion"/>
  </si>
  <si>
    <t>雷暴++</t>
    <phoneticPr fontId="1" type="noConversion"/>
  </si>
  <si>
    <t>混乱++</t>
    <phoneticPr fontId="1" type="noConversion"/>
  </si>
  <si>
    <t>诅咒发现++</t>
    <phoneticPr fontId="1" type="noConversion"/>
  </si>
  <si>
    <t>缺陷探照++</t>
    <phoneticPr fontId="1" type="noConversion"/>
  </si>
  <si>
    <t>激励彗星++</t>
    <phoneticPr fontId="1" type="noConversion"/>
  </si>
  <si>
    <t>静谧彗星++</t>
    <phoneticPr fontId="1" type="noConversion"/>
  </si>
  <si>
    <t>风滑++</t>
    <phoneticPr fontId="1" type="noConversion"/>
  </si>
  <si>
    <t>聪慧+++</t>
    <phoneticPr fontId="1" type="noConversion"/>
  </si>
  <si>
    <t>暴击+++</t>
    <phoneticPr fontId="1" type="noConversion"/>
  </si>
  <si>
    <t>暴击倍数+++</t>
    <phoneticPr fontId="1" type="noConversion"/>
  </si>
  <si>
    <t>闪避+++</t>
    <phoneticPr fontId="1" type="noConversion"/>
  </si>
  <si>
    <t>风积占卜+++</t>
    <phoneticPr fontId="1" type="noConversion"/>
  </si>
  <si>
    <t>顺风+++</t>
    <phoneticPr fontId="1" type="noConversion"/>
  </si>
  <si>
    <t>黄蜂之尘+++</t>
    <phoneticPr fontId="1" type="noConversion"/>
  </si>
  <si>
    <t>刺破苍穹+++</t>
    <phoneticPr fontId="1" type="noConversion"/>
  </si>
  <si>
    <t>雷霆还击+++</t>
    <phoneticPr fontId="1" type="noConversion"/>
  </si>
  <si>
    <t>风波飞行+++</t>
    <phoneticPr fontId="1" type="noConversion"/>
  </si>
  <si>
    <t>漫无目的+++</t>
    <phoneticPr fontId="1" type="noConversion"/>
  </si>
  <si>
    <t>蜂星天坠+++</t>
    <phoneticPr fontId="1" type="noConversion"/>
  </si>
  <si>
    <t>破碎苍穹+++</t>
    <phoneticPr fontId="1" type="noConversion"/>
  </si>
  <si>
    <t>狂暴重击+++</t>
    <phoneticPr fontId="1" type="noConversion"/>
  </si>
  <si>
    <t>闪电+++</t>
    <phoneticPr fontId="1" type="noConversion"/>
  </si>
  <si>
    <t>狂风呼啸+++</t>
    <phoneticPr fontId="1" type="noConversion"/>
  </si>
  <si>
    <t>雷暴+++</t>
    <phoneticPr fontId="1" type="noConversion"/>
  </si>
  <si>
    <t>缺陷探照+++</t>
    <phoneticPr fontId="1" type="noConversion"/>
  </si>
  <si>
    <t>激励彗星+++</t>
    <phoneticPr fontId="1" type="noConversion"/>
  </si>
  <si>
    <t>静谧彗星+++</t>
    <phoneticPr fontId="1" type="noConversion"/>
  </si>
  <si>
    <t>风滑+++</t>
    <phoneticPr fontId="1" type="noConversion"/>
  </si>
  <si>
    <t>低级玻璃匕首</t>
    <phoneticPr fontId="1" type="noConversion"/>
  </si>
  <si>
    <t>低级舒缓</t>
    <phoneticPr fontId="1" type="noConversion"/>
  </si>
  <si>
    <t>大犬嚎叫</t>
    <phoneticPr fontId="1" type="noConversion"/>
  </si>
  <si>
    <t>舒缓</t>
    <phoneticPr fontId="1" type="noConversion"/>
  </si>
  <si>
    <t>时之沙</t>
    <phoneticPr fontId="1" type="noConversion"/>
  </si>
  <si>
    <t>灵魂污点</t>
    <phoneticPr fontId="1" type="noConversion"/>
  </si>
  <si>
    <t>赤阳耀斑</t>
    <phoneticPr fontId="1" type="noConversion"/>
  </si>
  <si>
    <t>清疗爆炎</t>
    <phoneticPr fontId="1" type="noConversion"/>
  </si>
  <si>
    <t>日蚀爆炸</t>
    <phoneticPr fontId="1" type="noConversion"/>
  </si>
  <si>
    <t>火热投射</t>
    <phoneticPr fontId="1" type="noConversion"/>
  </si>
  <si>
    <t>玻璃匕首</t>
    <phoneticPr fontId="1" type="noConversion"/>
  </si>
  <si>
    <t>清除爆发</t>
    <phoneticPr fontId="1" type="noConversion"/>
  </si>
  <si>
    <t>沙塑</t>
    <phoneticPr fontId="1" type="noConversion"/>
  </si>
  <si>
    <t>太阳光线</t>
    <phoneticPr fontId="1" type="noConversion"/>
  </si>
  <si>
    <t>星辰真言</t>
    <phoneticPr fontId="1" type="noConversion"/>
  </si>
  <si>
    <t>精准真言</t>
    <phoneticPr fontId="1" type="noConversion"/>
  </si>
  <si>
    <t>醒脑真言</t>
    <phoneticPr fontId="1" type="noConversion"/>
  </si>
  <si>
    <t>大犬嚎叫+</t>
    <phoneticPr fontId="1" type="noConversion"/>
  </si>
  <si>
    <t>专心致志+</t>
    <phoneticPr fontId="1" type="noConversion"/>
  </si>
  <si>
    <t>可燃环刃+</t>
    <phoneticPr fontId="1" type="noConversion"/>
  </si>
  <si>
    <t>沙漏之驭+</t>
    <phoneticPr fontId="1" type="noConversion"/>
  </si>
  <si>
    <t>内心温暖+</t>
    <phoneticPr fontId="1" type="noConversion"/>
  </si>
  <si>
    <t>流沙之舞+</t>
    <phoneticPr fontId="1" type="noConversion"/>
  </si>
  <si>
    <t>舒缓+</t>
    <phoneticPr fontId="1" type="noConversion"/>
  </si>
  <si>
    <t>治疗奏曲+</t>
    <phoneticPr fontId="1" type="noConversion"/>
  </si>
  <si>
    <t>魂炙+</t>
    <phoneticPr fontId="1" type="noConversion"/>
  </si>
  <si>
    <t>灵魂污点+</t>
    <phoneticPr fontId="1" type="noConversion"/>
  </si>
  <si>
    <t>赤阳耀斑+</t>
    <phoneticPr fontId="1" type="noConversion"/>
  </si>
  <si>
    <t>虹吸沙漏+</t>
    <phoneticPr fontId="1" type="noConversion"/>
  </si>
  <si>
    <t>吉利吟唱+</t>
    <phoneticPr fontId="1" type="noConversion"/>
  </si>
  <si>
    <t>链接吟唱+</t>
    <phoneticPr fontId="1" type="noConversion"/>
  </si>
  <si>
    <t>清疗爆炎+</t>
    <phoneticPr fontId="1" type="noConversion"/>
  </si>
  <si>
    <t>日蚀爆炸+</t>
    <phoneticPr fontId="1" type="noConversion"/>
  </si>
  <si>
    <t>火热投射+</t>
    <phoneticPr fontId="1" type="noConversion"/>
  </si>
  <si>
    <t>玻璃匕首+</t>
    <phoneticPr fontId="1" type="noConversion"/>
  </si>
  <si>
    <t>清除爆发+</t>
    <phoneticPr fontId="1" type="noConversion"/>
  </si>
  <si>
    <t>倒带吟唱+</t>
    <phoneticPr fontId="1" type="noConversion"/>
  </si>
  <si>
    <t>沙塑+</t>
    <phoneticPr fontId="1" type="noConversion"/>
  </si>
  <si>
    <t>炙热沙粒+</t>
    <phoneticPr fontId="1" type="noConversion"/>
  </si>
  <si>
    <t>锻造吟唱+</t>
    <phoneticPr fontId="1" type="noConversion"/>
  </si>
  <si>
    <t>侵蚀之触++</t>
    <phoneticPr fontId="1" type="noConversion"/>
  </si>
  <si>
    <t>侵蚀波浪++</t>
    <phoneticPr fontId="1" type="noConversion"/>
  </si>
  <si>
    <t>灼烧沙粒++</t>
    <phoneticPr fontId="1" type="noConversion"/>
  </si>
  <si>
    <t>专心致志++</t>
    <phoneticPr fontId="1" type="noConversion"/>
  </si>
  <si>
    <t>可燃环刃++</t>
    <phoneticPr fontId="1" type="noConversion"/>
  </si>
  <si>
    <t>幽火++</t>
    <phoneticPr fontId="1" type="noConversion"/>
  </si>
  <si>
    <t>沙漏之驭++</t>
    <phoneticPr fontId="1" type="noConversion"/>
  </si>
  <si>
    <t>内心温暖++</t>
    <phoneticPr fontId="1" type="noConversion"/>
  </si>
  <si>
    <t>舒缓++</t>
    <phoneticPr fontId="1" type="noConversion"/>
  </si>
  <si>
    <t>时之沙++</t>
    <phoneticPr fontId="1" type="noConversion"/>
  </si>
  <si>
    <t>灼热灾祸++</t>
    <phoneticPr fontId="1" type="noConversion"/>
  </si>
  <si>
    <t>无私引燃++</t>
    <phoneticPr fontId="1" type="noConversion"/>
  </si>
  <si>
    <t>治疗奏曲++</t>
    <phoneticPr fontId="1" type="noConversion"/>
  </si>
  <si>
    <t>魂炙++</t>
    <phoneticPr fontId="1" type="noConversion"/>
  </si>
  <si>
    <t>赤阳耀斑++</t>
    <phoneticPr fontId="1" type="noConversion"/>
  </si>
  <si>
    <t>玻璃匕首++</t>
    <phoneticPr fontId="1" type="noConversion"/>
  </si>
  <si>
    <t>清除爆发++</t>
    <phoneticPr fontId="1" type="noConversion"/>
  </si>
  <si>
    <t>恢复之焰++</t>
    <phoneticPr fontId="1" type="noConversion"/>
  </si>
  <si>
    <t>炙热沙粒++</t>
    <phoneticPr fontId="1" type="noConversion"/>
  </si>
  <si>
    <t>旋转吟唱++</t>
    <phoneticPr fontId="1" type="noConversion"/>
  </si>
  <si>
    <t>沙丘冲浪++</t>
    <phoneticPr fontId="1" type="noConversion"/>
  </si>
  <si>
    <t>萨满冥想++</t>
    <phoneticPr fontId="1" type="noConversion"/>
  </si>
  <si>
    <t>萨满主宰++</t>
    <phoneticPr fontId="1" type="noConversion"/>
  </si>
  <si>
    <t>萨满呼喊++</t>
    <phoneticPr fontId="1" type="noConversion"/>
  </si>
  <si>
    <t>萨满低语++</t>
    <phoneticPr fontId="1" type="noConversion"/>
  </si>
  <si>
    <t>灼烧沙粒+++</t>
    <phoneticPr fontId="1" type="noConversion"/>
  </si>
  <si>
    <t>专心致志+++</t>
    <phoneticPr fontId="1" type="noConversion"/>
  </si>
  <si>
    <t>可燃环刃+++</t>
    <phoneticPr fontId="1" type="noConversion"/>
  </si>
  <si>
    <t>沙漏之驭+++</t>
    <phoneticPr fontId="1" type="noConversion"/>
  </si>
  <si>
    <t>内心温暖+++</t>
    <phoneticPr fontId="1" type="noConversion"/>
  </si>
  <si>
    <t>舒缓+++</t>
    <phoneticPr fontId="1" type="noConversion"/>
  </si>
  <si>
    <t>时之沙+++</t>
    <phoneticPr fontId="1" type="noConversion"/>
  </si>
  <si>
    <t>无私引燃+++</t>
    <phoneticPr fontId="1" type="noConversion"/>
  </si>
  <si>
    <t>治疗奏曲+++</t>
    <phoneticPr fontId="1" type="noConversion"/>
  </si>
  <si>
    <t>魂炙+++</t>
    <phoneticPr fontId="1" type="noConversion"/>
  </si>
  <si>
    <t>灵魂污点+++</t>
    <phoneticPr fontId="1" type="noConversion"/>
  </si>
  <si>
    <t>赤阳耀斑+++</t>
    <phoneticPr fontId="1" type="noConversion"/>
  </si>
  <si>
    <t>吉利吟唱+++</t>
    <phoneticPr fontId="1" type="noConversion"/>
  </si>
  <si>
    <t>链接吟唱+++</t>
    <phoneticPr fontId="1" type="noConversion"/>
  </si>
  <si>
    <t>清疗爆炎+++</t>
    <phoneticPr fontId="1" type="noConversion"/>
  </si>
  <si>
    <t>玻璃匕首+++</t>
    <phoneticPr fontId="1" type="noConversion"/>
  </si>
  <si>
    <t>清除爆发+++</t>
    <phoneticPr fontId="1" type="noConversion"/>
  </si>
  <si>
    <t>恢复之焰+++</t>
    <phoneticPr fontId="1" type="noConversion"/>
  </si>
  <si>
    <t>倒带吟唱+++</t>
    <phoneticPr fontId="1" type="noConversion"/>
  </si>
  <si>
    <t>炙热沙粒+++</t>
    <phoneticPr fontId="1" type="noConversion"/>
  </si>
  <si>
    <t>旋转吟唱+++</t>
    <phoneticPr fontId="1" type="noConversion"/>
  </si>
  <si>
    <t>炼金术</t>
    <phoneticPr fontId="1" type="noConversion"/>
  </si>
  <si>
    <t>低级咒术</t>
    <phoneticPr fontId="1" type="noConversion"/>
  </si>
  <si>
    <t>低级旋转</t>
    <phoneticPr fontId="1" type="noConversion"/>
  </si>
  <si>
    <t>光明法令</t>
    <phoneticPr fontId="1" type="noConversion"/>
  </si>
  <si>
    <t>触媒会聚</t>
    <phoneticPr fontId="1" type="noConversion"/>
  </si>
  <si>
    <t>天体遗憾</t>
    <phoneticPr fontId="1" type="noConversion"/>
  </si>
  <si>
    <t>忏悔爆发</t>
    <phoneticPr fontId="1" type="noConversion"/>
  </si>
  <si>
    <t>保护圣礼</t>
    <phoneticPr fontId="1" type="noConversion"/>
  </si>
  <si>
    <t>宝瓶波动</t>
    <phoneticPr fontId="1" type="noConversion"/>
  </si>
  <si>
    <t>彗星会聚</t>
    <phoneticPr fontId="1" type="noConversion"/>
  </si>
  <si>
    <t>分阶咒语</t>
    <phoneticPr fontId="1" type="noConversion"/>
  </si>
  <si>
    <t>至高崩塌</t>
    <phoneticPr fontId="1" type="noConversion"/>
  </si>
  <si>
    <t>星辰交换</t>
    <phoneticPr fontId="1" type="noConversion"/>
  </si>
  <si>
    <t>掷骰占卜</t>
    <phoneticPr fontId="1" type="noConversion"/>
  </si>
  <si>
    <t>咒术</t>
    <phoneticPr fontId="1" type="noConversion"/>
  </si>
  <si>
    <t>轨道恢复</t>
    <phoneticPr fontId="1" type="noConversion"/>
  </si>
  <si>
    <t>振荡</t>
    <phoneticPr fontId="1" type="noConversion"/>
  </si>
  <si>
    <t>倒退</t>
    <phoneticPr fontId="1" type="noConversion"/>
  </si>
  <si>
    <t>旋转</t>
    <phoneticPr fontId="1" type="noConversion"/>
  </si>
  <si>
    <t>不稳定咒语</t>
    <phoneticPr fontId="1" type="noConversion"/>
  </si>
  <si>
    <t>光明法令+</t>
    <phoneticPr fontId="1" type="noConversion"/>
  </si>
  <si>
    <t>天体遗憾+</t>
    <phoneticPr fontId="1" type="noConversion"/>
  </si>
  <si>
    <t>虚灵会聚+</t>
    <phoneticPr fontId="1" type="noConversion"/>
  </si>
  <si>
    <t>裂变专精+</t>
    <phoneticPr fontId="1" type="noConversion"/>
  </si>
  <si>
    <t>丰收铭文+</t>
    <phoneticPr fontId="1" type="noConversion"/>
  </si>
  <si>
    <t>秩序合成+</t>
    <phoneticPr fontId="1" type="noConversion"/>
  </si>
  <si>
    <t>忏悔爆发+</t>
    <phoneticPr fontId="1" type="noConversion"/>
  </si>
  <si>
    <t>忏悔铭文+</t>
    <phoneticPr fontId="1" type="noConversion"/>
  </si>
  <si>
    <t>保护圣礼+</t>
    <phoneticPr fontId="1" type="noConversion"/>
  </si>
  <si>
    <t>救赎铭文+</t>
    <phoneticPr fontId="1" type="noConversion"/>
  </si>
  <si>
    <t>神盾崇拜+</t>
    <phoneticPr fontId="1" type="noConversion"/>
  </si>
  <si>
    <t>炼金术士燃烧+</t>
    <phoneticPr fontId="1" type="noConversion"/>
  </si>
  <si>
    <t>宝瓶波动+</t>
    <phoneticPr fontId="1" type="noConversion"/>
  </si>
  <si>
    <t>彗星会聚+</t>
    <phoneticPr fontId="1" type="noConversion"/>
  </si>
  <si>
    <t>女神判决+</t>
    <phoneticPr fontId="1" type="noConversion"/>
  </si>
  <si>
    <t>分阶咒语+</t>
    <phoneticPr fontId="1" type="noConversion"/>
  </si>
  <si>
    <t>超越+</t>
    <phoneticPr fontId="1" type="noConversion"/>
  </si>
  <si>
    <t>掷骰占卜+</t>
    <phoneticPr fontId="1" type="noConversion"/>
  </si>
  <si>
    <t>咒术+</t>
    <phoneticPr fontId="1" type="noConversion"/>
  </si>
  <si>
    <t>等价咒语+</t>
    <phoneticPr fontId="1" type="noConversion"/>
  </si>
  <si>
    <t>轨道恢复+</t>
    <phoneticPr fontId="1" type="noConversion"/>
  </si>
  <si>
    <t>振荡+</t>
    <phoneticPr fontId="1" type="noConversion"/>
  </si>
  <si>
    <t>精准交换+</t>
    <phoneticPr fontId="1" type="noConversion"/>
  </si>
  <si>
    <t>预测会聚+</t>
    <phoneticPr fontId="1" type="noConversion"/>
  </si>
  <si>
    <t>醒脑交换+</t>
    <phoneticPr fontId="1" type="noConversion"/>
  </si>
  <si>
    <t>倒退+</t>
    <phoneticPr fontId="1" type="noConversion"/>
  </si>
  <si>
    <t>反转革新+</t>
    <phoneticPr fontId="1" type="noConversion"/>
  </si>
  <si>
    <t>旋转+</t>
    <phoneticPr fontId="1" type="noConversion"/>
  </si>
  <si>
    <t>不稳定咒语+</t>
    <phoneticPr fontId="1" type="noConversion"/>
  </si>
  <si>
    <t>神祈契约++</t>
    <phoneticPr fontId="1" type="noConversion"/>
  </si>
  <si>
    <t>脆弱契约++</t>
    <phoneticPr fontId="1" type="noConversion"/>
  </si>
  <si>
    <t>忏悔爆发++</t>
    <phoneticPr fontId="1" type="noConversion"/>
  </si>
  <si>
    <t>易变反应++</t>
    <phoneticPr fontId="1" type="noConversion"/>
  </si>
  <si>
    <t>神盾崇拜++</t>
    <phoneticPr fontId="1" type="noConversion"/>
  </si>
  <si>
    <t>炼金术士燃烧++</t>
    <phoneticPr fontId="1" type="noConversion"/>
  </si>
  <si>
    <t>冲突清除++</t>
    <phoneticPr fontId="1" type="noConversion"/>
  </si>
  <si>
    <t>女神判决++</t>
    <phoneticPr fontId="1" type="noConversion"/>
  </si>
  <si>
    <t>超新星契约++</t>
    <phoneticPr fontId="1" type="noConversion"/>
  </si>
  <si>
    <t>星元奇点++</t>
    <phoneticPr fontId="1" type="noConversion"/>
  </si>
  <si>
    <t>喧嚣契约++</t>
    <phoneticPr fontId="1" type="noConversion"/>
  </si>
  <si>
    <t>咒术+++</t>
    <phoneticPr fontId="1" type="noConversion"/>
  </si>
  <si>
    <t>咒术++</t>
    <phoneticPr fontId="1" type="noConversion"/>
  </si>
  <si>
    <t>等价咒语++</t>
    <phoneticPr fontId="1" type="noConversion"/>
  </si>
  <si>
    <t>非凡咒语++</t>
    <phoneticPr fontId="1" type="noConversion"/>
  </si>
  <si>
    <t>实验契约++</t>
    <phoneticPr fontId="1" type="noConversion"/>
  </si>
  <si>
    <t>忧郁揭示++</t>
    <phoneticPr fontId="1" type="noConversion"/>
  </si>
  <si>
    <t>振荡++</t>
    <phoneticPr fontId="1" type="noConversion"/>
  </si>
  <si>
    <t>痛苦重演++</t>
    <phoneticPr fontId="1" type="noConversion"/>
  </si>
  <si>
    <t>预测会聚++</t>
    <phoneticPr fontId="1" type="noConversion"/>
  </si>
  <si>
    <t>天体遗憾+++</t>
    <phoneticPr fontId="1" type="noConversion"/>
  </si>
  <si>
    <t>虚灵会聚+++</t>
    <phoneticPr fontId="1" type="noConversion"/>
  </si>
  <si>
    <t>丰收铭文+++</t>
    <phoneticPr fontId="1" type="noConversion"/>
  </si>
  <si>
    <t>忏悔爆发+++</t>
    <phoneticPr fontId="1" type="noConversion"/>
  </si>
  <si>
    <t>救赎铭文+++</t>
    <phoneticPr fontId="1" type="noConversion"/>
  </si>
  <si>
    <t>神盾崇拜+++</t>
    <phoneticPr fontId="1" type="noConversion"/>
  </si>
  <si>
    <t>炼金术士燃烧+++</t>
    <phoneticPr fontId="1" type="noConversion"/>
  </si>
  <si>
    <t>宝瓶波动+++</t>
    <phoneticPr fontId="1" type="noConversion"/>
  </si>
  <si>
    <t>彗星会聚+++</t>
    <phoneticPr fontId="1" type="noConversion"/>
  </si>
  <si>
    <t>冲突清除+++</t>
    <phoneticPr fontId="1" type="noConversion"/>
  </si>
  <si>
    <t>女神判决+++</t>
    <phoneticPr fontId="1" type="noConversion"/>
  </si>
  <si>
    <t>分阶咒语+++</t>
    <phoneticPr fontId="1" type="noConversion"/>
  </si>
  <si>
    <t>等价咒语+++</t>
    <phoneticPr fontId="1" type="noConversion"/>
  </si>
  <si>
    <t>振荡+++</t>
    <phoneticPr fontId="1" type="noConversion"/>
  </si>
  <si>
    <t>预测会聚+++</t>
    <phoneticPr fontId="1" type="noConversion"/>
  </si>
  <si>
    <t>倒退+++</t>
    <phoneticPr fontId="1" type="noConversion"/>
  </si>
  <si>
    <t>旋转+++</t>
    <phoneticPr fontId="1" type="noConversion"/>
  </si>
  <si>
    <t>不稳定咒语+++</t>
    <phoneticPr fontId="1" type="noConversion"/>
  </si>
  <si>
    <t>对任意目标施加X点暮光印记。每当一颗骰子被转化时，带有暮光印记的生物受到X点伤害。</t>
    <phoneticPr fontId="1" type="noConversion"/>
  </si>
  <si>
    <t>你的骰子池中每有一个保守骰子对单个敌人造成X点净化。</t>
    <phoneticPr fontId="1" type="noConversion"/>
  </si>
  <si>
    <t>枭光感召</t>
    <phoneticPr fontId="1" type="noConversion"/>
  </si>
  <si>
    <t>对任意目标造成1点净化。本场战斗中每转化一颗骰子，则额外造成X点净化。</t>
    <phoneticPr fontId="1" type="noConversion"/>
  </si>
  <si>
    <t>学者感召</t>
    <phoneticPr fontId="1" type="noConversion"/>
  </si>
  <si>
    <t>灵巧之触</t>
    <phoneticPr fontId="1" type="noConversion"/>
  </si>
  <si>
    <t>将你手中最多X颗骰子改为净化1行动，直到敌方回合结束。</t>
    <phoneticPr fontId="1" type="noConversion"/>
  </si>
  <si>
    <t>沉迷分析</t>
    <phoneticPr fontId="1" type="noConversion"/>
  </si>
  <si>
    <t>对任意目标造成3点净化。获得X点厄运。</t>
    <phoneticPr fontId="1" type="noConversion"/>
  </si>
  <si>
    <t>闪亮翎羽</t>
    <phoneticPr fontId="1" type="noConversion"/>
  </si>
  <si>
    <t>心灵冲击</t>
    <phoneticPr fontId="1" type="noConversion"/>
  </si>
  <si>
    <t>对所有目标造成X点净化。向你的抽骰池中添加一颗迷魂巫术骰子。</t>
    <phoneticPr fontId="1" type="noConversion"/>
  </si>
  <si>
    <t>将敌人受到的净化值加１，将敌人受到的腐化值加１</t>
    <phoneticPr fontId="1" type="noConversion"/>
  </si>
  <si>
    <t>如果守卫在单个回合中损坏３次，获得圣洁点</t>
    <phoneticPr fontId="1" type="noConversion"/>
  </si>
  <si>
    <t>献祭一颗心，将一个守卫升至最高级</t>
    <phoneticPr fontId="1" type="noConversion"/>
  </si>
  <si>
    <t>蜂星灯盏</t>
    <phoneticPr fontId="1" type="noConversion"/>
  </si>
  <si>
    <t>在每场战斗开始时，获得10点暴击和闪避，你的闪避值不能低于10，随机净化和随机困惑行动对一个随机目标造成2次净化。</t>
    <phoneticPr fontId="1" type="noConversion"/>
  </si>
  <si>
    <t>大犬星沙漏</t>
    <phoneticPr fontId="1" type="noConversion"/>
  </si>
  <si>
    <t>在每场战斗开始时，获得5点时之沙。如果祝福在每当你或一个守卫对敌人造成腐化时触发，那么其在施加疾病时也会被触发。每当你受到来自疾病的腐化时，无视光盾效果。</t>
    <phoneticPr fontId="1" type="noConversion"/>
  </si>
  <si>
    <t>宝瓶星法球</t>
    <phoneticPr fontId="1" type="noConversion"/>
  </si>
  <si>
    <t>在每场战斗开始时，你的法球在不被投掷的情况下移动到随机位置。</t>
    <phoneticPr fontId="1" type="noConversion"/>
  </si>
  <si>
    <t>造成总净化</t>
    <phoneticPr fontId="1" type="noConversion"/>
  </si>
  <si>
    <t>保守骰子数</t>
    <phoneticPr fontId="1" type="noConversion"/>
  </si>
  <si>
    <t>均衡骰子数</t>
    <phoneticPr fontId="1" type="noConversion"/>
  </si>
  <si>
    <t>冒险骰子数</t>
    <phoneticPr fontId="1" type="noConversion"/>
  </si>
  <si>
    <t>史诗骰子数</t>
    <phoneticPr fontId="1" type="noConversion"/>
  </si>
  <si>
    <t>创伤</t>
    <phoneticPr fontId="1" type="noConversion"/>
  </si>
  <si>
    <t>迷魂</t>
    <phoneticPr fontId="1" type="noConversion"/>
  </si>
  <si>
    <t>瘟疫</t>
    <phoneticPr fontId="1" type="noConversion"/>
  </si>
  <si>
    <t>疯狂</t>
    <phoneticPr fontId="1" type="noConversion"/>
  </si>
  <si>
    <t>守卫垃圾场</t>
    <phoneticPr fontId="1" type="noConversion"/>
  </si>
  <si>
    <t>弃置所有守卫，每弃置一个守卫获得2颗史诗骰子</t>
    <phoneticPr fontId="1" type="noConversion"/>
  </si>
  <si>
    <t>离开</t>
    <phoneticPr fontId="1" type="noConversion"/>
  </si>
  <si>
    <t>选择一颗史诗骰子</t>
    <phoneticPr fontId="1" type="noConversion"/>
  </si>
  <si>
    <t>史诗骰子</t>
    <phoneticPr fontId="1" type="noConversion"/>
  </si>
  <si>
    <t>史诗商店</t>
    <phoneticPr fontId="1" type="noConversion"/>
  </si>
  <si>
    <t>守卫商店</t>
    <phoneticPr fontId="1" type="noConversion"/>
  </si>
  <si>
    <t>锻造商店</t>
    <phoneticPr fontId="1" type="noConversion"/>
  </si>
  <si>
    <t>腐化的索迪斯</t>
    <phoneticPr fontId="1" type="noConversion"/>
  </si>
  <si>
    <t>腐化的奥斯特拉</t>
    <phoneticPr fontId="1" type="noConversion"/>
  </si>
  <si>
    <t>阿斯特赖亚</t>
    <phoneticPr fontId="1" type="noConversion"/>
  </si>
  <si>
    <t>阿斯特赖亚</t>
    <phoneticPr fontId="1" type="noConversion"/>
  </si>
  <si>
    <t>腐化的穆尼</t>
    <phoneticPr fontId="1" type="noConversion"/>
  </si>
  <si>
    <t>腐化的塞拉里乌斯</t>
    <phoneticPr fontId="1" type="noConversion"/>
  </si>
  <si>
    <t>腐化的赫维留斯</t>
    <phoneticPr fontId="1" type="noConversion"/>
  </si>
  <si>
    <t>腐化的奥斯特拉</t>
    <phoneticPr fontId="1" type="noConversion"/>
  </si>
  <si>
    <t>腐化的索迪斯</t>
    <phoneticPr fontId="1" type="noConversion"/>
  </si>
  <si>
    <t>腐化的奥瑞恩</t>
    <phoneticPr fontId="1" type="noConversion"/>
  </si>
  <si>
    <t>诅咒沙粒</t>
    <phoneticPr fontId="1" type="noConversion"/>
  </si>
  <si>
    <t>在战斗开始时，向你的抽骰池中添加3颗疯狂巫术骰子。每当你打出一颗巫术骰子，你有25%的概率不弃置该骰子并掷骰，然后将诅咒沙粒减5。</t>
    <phoneticPr fontId="1" type="noConversion"/>
  </si>
  <si>
    <t>腐化沙粒</t>
    <phoneticPr fontId="1" type="noConversion"/>
  </si>
  <si>
    <t>腐化日蚀</t>
    <phoneticPr fontId="1" type="noConversion"/>
  </si>
  <si>
    <t>每有1点腐化灵魂对你造成1点腐化。将腐化灵魂重置为0。</t>
    <phoneticPr fontId="1" type="noConversion"/>
  </si>
  <si>
    <t>偶数腐化灵魂:对你施加X点疾病。奇数腐化灵魂:对你施加X点腐化。</t>
    <phoneticPr fontId="1" type="noConversion"/>
  </si>
  <si>
    <t>全域灵魂</t>
    <phoneticPr fontId="1" type="noConversion"/>
  </si>
  <si>
    <t>每当此阿斯特赖亚给自身施加效果时，也会对其他阿斯特赖亚施加该效果。</t>
    <phoneticPr fontId="1" type="noConversion"/>
  </si>
  <si>
    <t>腐化双胞</t>
    <phoneticPr fontId="1" type="noConversion"/>
  </si>
  <si>
    <t>自身腐化暴击</t>
    <phoneticPr fontId="1" type="noConversion"/>
  </si>
  <si>
    <t>腐化星元</t>
    <phoneticPr fontId="1" type="noConversion"/>
  </si>
  <si>
    <t>腐化转化</t>
    <phoneticPr fontId="1" type="noConversion"/>
  </si>
  <si>
    <t>对你造成X点腐化2次。</t>
    <phoneticPr fontId="1" type="noConversion"/>
  </si>
  <si>
    <t>对你施加X点腐化转化。你接下来抽取的X颗带有任意类型净化行动的骰子，其行动将改为相同类型的腐化行动。</t>
    <phoneticPr fontId="1" type="noConversion"/>
  </si>
  <si>
    <t>对自身施加X点腐化星元。当达到3点腐化星元时，触发腐化星元。所有目标受到2点腐化，然后将腐化星元减3。</t>
    <phoneticPr fontId="1" type="noConversion"/>
  </si>
  <si>
    <t>对自身施加X点腐化暴击。每当阿斯特赖亚造成腐化时，她有X%的概率造成腐化暴击。造成3倍腐化。</t>
    <phoneticPr fontId="1" type="noConversion"/>
  </si>
  <si>
    <t>崩塌阿斯特赖亚</t>
    <phoneticPr fontId="1" type="noConversion"/>
  </si>
  <si>
    <t>太阳重生</t>
    <phoneticPr fontId="1" type="noConversion"/>
  </si>
  <si>
    <t>太阳崩塌</t>
    <phoneticPr fontId="1" type="noConversion"/>
  </si>
  <si>
    <t>太阳重生</t>
    <phoneticPr fontId="1" type="noConversion"/>
  </si>
  <si>
    <t>太阳崩塌</t>
    <phoneticPr fontId="1" type="noConversion"/>
  </si>
  <si>
    <t>阿斯特赖亚将自身转化为之前的状态，腐化值为腐化上限的一半，并恢复此阿斯特赖亚被打败前具有的所有效果。</t>
    <phoneticPr fontId="1" type="noConversion"/>
  </si>
  <si>
    <t>其他阿斯特赖亚不再对此阿斯特赖亚施加效果。</t>
    <phoneticPr fontId="1" type="noConversion"/>
  </si>
  <si>
    <t>至点阿斯特赖亚</t>
    <phoneticPr fontId="1" type="noConversion"/>
  </si>
  <si>
    <t>奇点女神</t>
    <phoneticPr fontId="1" type="noConversion"/>
  </si>
  <si>
    <t>猩红至点</t>
    <phoneticPr fontId="1" type="noConversion"/>
  </si>
  <si>
    <t>奇点女神</t>
    <phoneticPr fontId="1" type="noConversion"/>
  </si>
  <si>
    <t>猩红至点</t>
    <phoneticPr fontId="1" type="noConversion"/>
  </si>
  <si>
    <t>在战斗开始时，阿斯特赖亚将一系列不同的巫术骰子加入你的弃骰池。每3回合，对阿斯特赖亚施加1点溃烂。你每打出X次美德阿斯特赖亚改变一次状态。</t>
    <phoneticPr fontId="1" type="noConversion"/>
  </si>
  <si>
    <t>你每打出X次行动，阿斯特赖亚对所有目标造成2点腐化。</t>
    <phoneticPr fontId="1" type="noConversion"/>
  </si>
  <si>
    <t>分点阿斯特赖亚</t>
    <phoneticPr fontId="1" type="noConversion"/>
  </si>
  <si>
    <t>阿斯特赖亚之怒</t>
    <phoneticPr fontId="1" type="noConversion"/>
  </si>
  <si>
    <t>猩红分点</t>
    <phoneticPr fontId="1" type="noConversion"/>
  </si>
  <si>
    <t>阿斯特赖亚之怒</t>
    <phoneticPr fontId="1" type="noConversion"/>
  </si>
  <si>
    <t>猩红分点</t>
    <phoneticPr fontId="1" type="noConversion"/>
  </si>
  <si>
    <t>摧毁你的一颗星。</t>
    <phoneticPr fontId="1" type="noConversion"/>
  </si>
  <si>
    <t>每当阿斯特赖亚受到X点净化时，便会激活她的骰子。此效果在每个多重净化行动中仅触发一次。</t>
    <phoneticPr fontId="1" type="noConversion"/>
  </si>
  <si>
    <t>阿斯特赖亚等级</t>
    <phoneticPr fontId="1" type="noConversion"/>
  </si>
  <si>
    <t>异象等级</t>
    <phoneticPr fontId="1" type="noConversion"/>
  </si>
  <si>
    <t>已净化的阿斯特赖亚化身</t>
    <phoneticPr fontId="1" type="noConversion"/>
  </si>
  <si>
    <t>2级异象</t>
    <phoneticPr fontId="1" type="noConversion"/>
  </si>
  <si>
    <t>2级阿斯特赖亚</t>
    <phoneticPr fontId="1" type="noConversion"/>
  </si>
  <si>
    <t>新模式：每日轮次和轮次自定义</t>
    <phoneticPr fontId="1" type="noConversion"/>
  </si>
  <si>
    <t>疯癫飞翼</t>
    <phoneticPr fontId="1" type="noConversion"/>
  </si>
  <si>
    <t>闪避</t>
    <phoneticPr fontId="1" type="noConversion"/>
  </si>
  <si>
    <t>黄蜂之尘</t>
    <phoneticPr fontId="1" type="noConversion"/>
  </si>
  <si>
    <t>静电场</t>
    <phoneticPr fontId="1" type="noConversion"/>
  </si>
  <si>
    <t>风滑</t>
    <phoneticPr fontId="1" type="noConversion"/>
  </si>
  <si>
    <t>驱散疑虑</t>
    <phoneticPr fontId="1" type="noConversion"/>
  </si>
  <si>
    <t>雷暴</t>
    <phoneticPr fontId="1" type="noConversion"/>
  </si>
  <si>
    <t>流星雨</t>
    <phoneticPr fontId="1" type="noConversion"/>
  </si>
  <si>
    <t>驱散疑虑</t>
    <phoneticPr fontId="1" type="noConversion"/>
  </si>
  <si>
    <t>如果你有少于50点聪慧，获得X点驱散疑虑。否则获得1点困惑倍数。你接下来执行的X个任意类型的困惑行动将有100%的概率造成净化。</t>
    <phoneticPr fontId="1" type="noConversion"/>
  </si>
  <si>
    <t>怪物血量</t>
    <phoneticPr fontId="1" type="noConversion"/>
  </si>
  <si>
    <t>花费50恒星碎片，将你祈求帮助时获得史诗骰子的概率提高10%</t>
    <phoneticPr fontId="1" type="noConversion"/>
  </si>
  <si>
    <t>玩法名称:每日轮次</t>
    <phoneticPr fontId="1" type="noConversion"/>
  </si>
  <si>
    <t>美德效果1</t>
    <phoneticPr fontId="1" type="noConversion"/>
  </si>
  <si>
    <t>美德效果2</t>
  </si>
  <si>
    <t>美德效果3</t>
  </si>
  <si>
    <t>美德效果4</t>
  </si>
  <si>
    <t>美德效果5</t>
  </si>
  <si>
    <t>美德效果6</t>
  </si>
  <si>
    <t>不详咒语</t>
    <phoneticPr fontId="1" type="noConversion"/>
  </si>
  <si>
    <t>心灵冲击</t>
    <phoneticPr fontId="1" type="noConversion"/>
  </si>
  <si>
    <t>系数名称</t>
    <phoneticPr fontId="1" type="noConversion"/>
  </si>
  <si>
    <t>系数效果</t>
    <phoneticPr fontId="1" type="noConversion"/>
  </si>
  <si>
    <t>封闭骰池</t>
    <phoneticPr fontId="1" type="noConversion"/>
  </si>
  <si>
    <t>玩法规则:</t>
    <phoneticPr fontId="1" type="noConversion"/>
  </si>
  <si>
    <t>进行常规的阿斯特赖亚战斗</t>
    <phoneticPr fontId="1" type="noConversion"/>
  </si>
  <si>
    <t>仅游玩，无法获得任何奖励和经验</t>
    <phoneticPr fontId="1" type="noConversion"/>
  </si>
  <si>
    <t>随机6名角色中的任意一个，且其拥有全新的美德</t>
    <phoneticPr fontId="1" type="noConversion"/>
  </si>
  <si>
    <t>每日轮次随机3个系数，为常规战斗添加新的随机规则</t>
    <phoneticPr fontId="1" type="noConversion"/>
  </si>
  <si>
    <t>玩法战斗：</t>
    <phoneticPr fontId="1" type="noConversion"/>
  </si>
  <si>
    <t>玩法奖励：</t>
    <phoneticPr fontId="1" type="noConversion"/>
  </si>
  <si>
    <t>玩法角色：</t>
    <phoneticPr fontId="1" type="noConversion"/>
  </si>
  <si>
    <t>玩法系数：</t>
    <phoneticPr fontId="1" type="noConversion"/>
  </si>
  <si>
    <t>玩法轮换：</t>
    <phoneticPr fontId="1" type="noConversion"/>
  </si>
  <si>
    <t>每24小时(本地时间、服务器时间均可)，重新随机1名角色和3个系数，且连续两个轮次不能出现重复的角色和大于1个重复的系数。</t>
    <phoneticPr fontId="1" type="noConversion"/>
  </si>
  <si>
    <t>锻造池子</t>
    <phoneticPr fontId="1" type="noConversion"/>
  </si>
  <si>
    <t>锻造单价</t>
    <phoneticPr fontId="1" type="noConversion"/>
  </si>
  <si>
    <t>摧毁</t>
    <phoneticPr fontId="1" type="noConversion"/>
  </si>
  <si>
    <t>摧毁单价</t>
    <phoneticPr fontId="1" type="noConversion"/>
  </si>
  <si>
    <t>锻造数值</t>
    <phoneticPr fontId="1" type="noConversion"/>
  </si>
  <si>
    <t>复制单价(章节1)</t>
    <phoneticPr fontId="1" type="noConversion"/>
  </si>
  <si>
    <t>复制单价(章节2)</t>
  </si>
  <si>
    <t>复制单价(章节3)</t>
  </si>
  <si>
    <t>复制单价(章节4)</t>
  </si>
  <si>
    <t>…</t>
    <phoneticPr fontId="1" type="noConversion"/>
  </si>
  <si>
    <t>换一批</t>
    <phoneticPr fontId="1" type="noConversion"/>
  </si>
  <si>
    <t>升级价格</t>
    <phoneticPr fontId="1" type="noConversion"/>
  </si>
  <si>
    <t>购买价格</t>
    <phoneticPr fontId="1" type="noConversion"/>
  </si>
  <si>
    <t>骰子价格</t>
    <phoneticPr fontId="1" type="noConversion"/>
  </si>
  <si>
    <t>祝福价格</t>
    <phoneticPr fontId="1" type="noConversion"/>
  </si>
  <si>
    <t>选择1</t>
    <phoneticPr fontId="1" type="noConversion"/>
  </si>
  <si>
    <t>选择2</t>
  </si>
  <si>
    <t>选择3</t>
  </si>
  <si>
    <t>神庙(章节1、2)</t>
    <phoneticPr fontId="1" type="noConversion"/>
  </si>
  <si>
    <t>神庙(章节3)</t>
    <phoneticPr fontId="1" type="noConversion"/>
  </si>
  <si>
    <t>牺牲1颗心，获得2个恒星祝福</t>
    <phoneticPr fontId="1" type="noConversion"/>
  </si>
  <si>
    <t>牺牲1颗心，获得1个恒星祝福</t>
    <phoneticPr fontId="1" type="noConversion"/>
  </si>
  <si>
    <t>恢复1颗心</t>
    <phoneticPr fontId="1" type="noConversion"/>
  </si>
  <si>
    <t>获得100枚恒星碎片</t>
    <phoneticPr fontId="1" type="noConversion"/>
  </si>
  <si>
    <t>序号</t>
    <phoneticPr fontId="1" type="noConversion"/>
  </si>
  <si>
    <t>池子名称</t>
    <phoneticPr fontId="1" type="noConversion"/>
  </si>
  <si>
    <t>池子内容</t>
    <phoneticPr fontId="1" type="noConversion"/>
  </si>
  <si>
    <t>池子类型</t>
    <phoneticPr fontId="1" type="noConversion"/>
  </si>
  <si>
    <t>骰子</t>
    <phoneticPr fontId="1" type="noConversion"/>
  </si>
  <si>
    <t>通用宝箱池子</t>
    <phoneticPr fontId="1" type="noConversion"/>
  </si>
  <si>
    <t>保守宝箱池子</t>
    <phoneticPr fontId="1" type="noConversion"/>
  </si>
  <si>
    <t>均衡宝箱池子</t>
    <phoneticPr fontId="1" type="noConversion"/>
  </si>
  <si>
    <t>冒险宝箱池子</t>
    <phoneticPr fontId="1" type="noConversion"/>
  </si>
  <si>
    <t>恒星祝福池子</t>
    <phoneticPr fontId="1" type="noConversion"/>
  </si>
  <si>
    <t>黑洞祝福池子</t>
    <phoneticPr fontId="1" type="noConversion"/>
  </si>
  <si>
    <t>祝福</t>
    <phoneticPr fontId="1" type="noConversion"/>
  </si>
  <si>
    <t>未知事件池子</t>
    <phoneticPr fontId="1" type="noConversion"/>
  </si>
  <si>
    <t>战斗怪物池子</t>
    <phoneticPr fontId="1" type="noConversion"/>
  </si>
  <si>
    <t>商店守卫池子</t>
    <phoneticPr fontId="1" type="noConversion"/>
  </si>
  <si>
    <t>史诗骰子池子</t>
    <phoneticPr fontId="1" type="noConversion"/>
  </si>
  <si>
    <t>事件</t>
    <phoneticPr fontId="1" type="noConversion"/>
  </si>
  <si>
    <t>怪物</t>
    <phoneticPr fontId="1" type="noConversion"/>
  </si>
  <si>
    <t>守卫</t>
    <phoneticPr fontId="1" type="noConversion"/>
  </si>
  <si>
    <t>所有已解锁骰子(通用+使用中角色)</t>
    <phoneticPr fontId="1" type="noConversion"/>
  </si>
  <si>
    <t>已解锁保守骰子(通用+使用中角色)</t>
    <phoneticPr fontId="1" type="noConversion"/>
  </si>
  <si>
    <t>已解锁均衡骰子(通用+使用中角色)</t>
    <phoneticPr fontId="1" type="noConversion"/>
  </si>
  <si>
    <t>已解锁冒险骰子(通用+使用中角色)</t>
    <phoneticPr fontId="1" type="noConversion"/>
  </si>
  <si>
    <t>所有恒星祝福(通用+使用中角色)</t>
    <phoneticPr fontId="1" type="noConversion"/>
  </si>
  <si>
    <t>所有黑洞祝福(通用+使用中角色)</t>
    <phoneticPr fontId="1" type="noConversion"/>
  </si>
  <si>
    <t>对应关卡战斗的怪物池子</t>
    <phoneticPr fontId="1" type="noConversion"/>
  </si>
  <si>
    <t>对应关卡进度的守卫池子</t>
    <phoneticPr fontId="1" type="noConversion"/>
  </si>
  <si>
    <t>所有史诗骰子(通用+使用中角色)</t>
    <phoneticPr fontId="1" type="noConversion"/>
  </si>
  <si>
    <t>锻造行动池子</t>
    <phoneticPr fontId="1" type="noConversion"/>
  </si>
  <si>
    <t>行动</t>
    <phoneticPr fontId="1" type="noConversion"/>
  </si>
  <si>
    <t>可投放在锻造中的行动</t>
    <phoneticPr fontId="1" type="noConversion"/>
  </si>
  <si>
    <t>心</t>
    <phoneticPr fontId="1" type="noConversion"/>
  </si>
  <si>
    <t>锻造</t>
    <phoneticPr fontId="1" type="noConversion"/>
  </si>
  <si>
    <t>破碎神庙</t>
    <phoneticPr fontId="1" type="noConversion"/>
  </si>
  <si>
    <t>产出表</t>
  </si>
  <si>
    <t>守卫购买</t>
    <phoneticPr fontId="1" type="noConversion"/>
  </si>
  <si>
    <t>守卫升级</t>
    <phoneticPr fontId="1" type="noConversion"/>
  </si>
  <si>
    <t>消耗表</t>
  </si>
  <si>
    <t>守卫获得</t>
    <phoneticPr fontId="1" type="noConversion"/>
  </si>
  <si>
    <t>摧毁4颗非基础骰子，获得1个恒星祝福</t>
    <phoneticPr fontId="1" type="noConversion"/>
  </si>
  <si>
    <t>汇总</t>
    <phoneticPr fontId="1" type="noConversion"/>
  </si>
  <si>
    <t>基础设定</t>
    <phoneticPr fontId="1" type="noConversion"/>
  </si>
  <si>
    <t>地图设计</t>
    <phoneticPr fontId="1" type="noConversion"/>
  </si>
  <si>
    <t>玩家策略</t>
    <phoneticPr fontId="1" type="noConversion"/>
  </si>
  <si>
    <t>骰子设计</t>
    <phoneticPr fontId="1" type="noConversion"/>
  </si>
  <si>
    <t>阿斯特赖亚等级</t>
    <phoneticPr fontId="1" type="noConversion"/>
  </si>
  <si>
    <t>重复游玩</t>
    <phoneticPr fontId="1" type="noConversion"/>
  </si>
  <si>
    <t>局外成长</t>
    <phoneticPr fontId="1" type="noConversion"/>
  </si>
  <si>
    <t>手持骰子上限数</t>
    <phoneticPr fontId="1" type="noConversion"/>
  </si>
  <si>
    <t>初始手持骰子数</t>
    <phoneticPr fontId="1" type="noConversion"/>
  </si>
  <si>
    <t>跳过骰子恒星碎片</t>
    <phoneticPr fontId="1" type="noConversion"/>
  </si>
  <si>
    <t>跳过守卫恒星碎片</t>
    <phoneticPr fontId="1" type="noConversion"/>
  </si>
  <si>
    <t>跳过祝福恒星碎片</t>
    <phoneticPr fontId="1" type="noConversion"/>
  </si>
  <si>
    <t>序号</t>
    <phoneticPr fontId="1" type="noConversion"/>
  </si>
  <si>
    <t>不同的角色需要不同的构筑特色，且与角色形象吻合</t>
    <phoneticPr fontId="1" type="noConversion"/>
  </si>
  <si>
    <t>不同的构筑需要不同的体系支撑，且体系之间需要有一定的配合</t>
    <phoneticPr fontId="1" type="noConversion"/>
  </si>
  <si>
    <t>体系之间的配合不能过于依赖，否则会导致构筑强度过于依赖运气</t>
    <phoneticPr fontId="1" type="noConversion"/>
  </si>
  <si>
    <t>骰子强度需要根据稀有度进行强度的划分，确保越稀有强度越高</t>
    <phoneticPr fontId="1" type="noConversion"/>
  </si>
  <si>
    <t>设计原则</t>
    <phoneticPr fontId="1" type="noConversion"/>
  </si>
  <si>
    <t>不同类型事件需要有最少刷新次数，以保证玩家构筑的基本强度，即关卡随机生成在程序实现上的规则(虽然本作的关卡大多数事件是固定的)</t>
    <phoneticPr fontId="1" type="noConversion"/>
  </si>
  <si>
    <t>不同的类型事件需要有刷新关联</t>
    <phoneticPr fontId="1" type="noConversion"/>
  </si>
  <si>
    <t>战斗事件是把控整体游戏节奏的关键</t>
    <phoneticPr fontId="1" type="noConversion"/>
  </si>
  <si>
    <t>关卡长度决定了整体的骰子深度设计，怪物强度设计，关卡流程设计(思路同地牢类游戏)</t>
    <phoneticPr fontId="1" type="noConversion"/>
  </si>
  <si>
    <t>基于博弈论的有限重复博弈</t>
    <phoneticPr fontId="1" type="noConversion"/>
  </si>
  <si>
    <t>基于贪心算法(即局部最优解)的玩家策略与资源投放思路</t>
    <phoneticPr fontId="1" type="noConversion"/>
  </si>
  <si>
    <t>基于后置随机的策略玩法</t>
    <phoneticPr fontId="1" type="noConversion"/>
  </si>
  <si>
    <t>事件设计</t>
    <phoneticPr fontId="1" type="noConversion"/>
  </si>
  <si>
    <t>若纳入玩家战力成长，则事件间的强度需要相对稳定</t>
    <phoneticPr fontId="1" type="noConversion"/>
  </si>
  <si>
    <t>若不纳入玩家战力成长，则事件定位为给予玩家运气好坏的游戏体验</t>
    <phoneticPr fontId="1" type="noConversion"/>
  </si>
  <si>
    <t>守卫设计</t>
    <phoneticPr fontId="1" type="noConversion"/>
  </si>
  <si>
    <t>投放设计</t>
    <phoneticPr fontId="1" type="noConversion"/>
  </si>
  <si>
    <t>等级</t>
    <phoneticPr fontId="1" type="noConversion"/>
  </si>
  <si>
    <t>守卫升级同时会提升骰面行动的强度和守卫被动的强度</t>
    <phoneticPr fontId="1" type="noConversion"/>
  </si>
  <si>
    <t>非常规途径获得的守卫，其等级和被动随着关卡进度会增强</t>
    <phoneticPr fontId="1" type="noConversion"/>
  </si>
  <si>
    <t>根据角色职业进行第一次划分</t>
    <phoneticPr fontId="1" type="noConversion"/>
  </si>
  <si>
    <t>将职业构筑的核心剥离进行第二次划分</t>
    <phoneticPr fontId="1" type="noConversion"/>
  </si>
  <si>
    <t>调整通用构筑与角色构筑的比重进行第三次划分</t>
    <phoneticPr fontId="1" type="noConversion"/>
  </si>
  <si>
    <t>通过随机种子随机单局偏向构筑进行第四次划分</t>
    <phoneticPr fontId="1" type="noConversion"/>
  </si>
  <si>
    <t>通过对同体系的构筑刷新进行动态调整进行第五次划分</t>
    <phoneticPr fontId="1" type="noConversion"/>
  </si>
  <si>
    <t>解锁内容1</t>
    <phoneticPr fontId="1" type="noConversion"/>
  </si>
  <si>
    <t>解锁内容2</t>
  </si>
  <si>
    <t>解锁内容3</t>
  </si>
  <si>
    <t>祝福*2</t>
    <phoneticPr fontId="1" type="noConversion"/>
  </si>
  <si>
    <t>骰子*2</t>
    <phoneticPr fontId="1" type="noConversion"/>
  </si>
  <si>
    <t>…</t>
    <phoneticPr fontId="1" type="noConversion"/>
  </si>
  <si>
    <t>分数计算</t>
    <phoneticPr fontId="1" type="noConversion"/>
  </si>
  <si>
    <t>章节</t>
    <phoneticPr fontId="1" type="noConversion"/>
  </si>
  <si>
    <t>等级内容</t>
    <phoneticPr fontId="1" type="noConversion"/>
  </si>
  <si>
    <t>默认体验</t>
    <phoneticPr fontId="1" type="noConversion"/>
  </si>
  <si>
    <t>不进入阿斯特赖亚之心</t>
    <phoneticPr fontId="1" type="noConversion"/>
  </si>
  <si>
    <t>提升非头目的腐化上限</t>
    <phoneticPr fontId="1" type="noConversion"/>
  </si>
  <si>
    <t>进入阿斯特赖亚之心</t>
    <phoneticPr fontId="1" type="noConversion"/>
  </si>
  <si>
    <t>提升头目的腐化上限</t>
    <phoneticPr fontId="1" type="noConversion"/>
  </si>
  <si>
    <t>提升腐化先知和阿斯特赖亚的腐化上限</t>
    <phoneticPr fontId="1" type="noConversion"/>
  </si>
  <si>
    <t>玩法名称:轮次自定义</t>
    <phoneticPr fontId="1" type="noConversion"/>
  </si>
  <si>
    <t>定制开局</t>
    <phoneticPr fontId="1" type="noConversion"/>
  </si>
  <si>
    <t>天选之池</t>
    <phoneticPr fontId="1" type="noConversion"/>
  </si>
  <si>
    <t>不安旅程</t>
    <phoneticPr fontId="1" type="noConversion"/>
  </si>
  <si>
    <t>蔚蓝极光</t>
    <phoneticPr fontId="1" type="noConversion"/>
  </si>
  <si>
    <t>绯红极光</t>
    <phoneticPr fontId="1" type="noConversion"/>
  </si>
  <si>
    <t>翠绿极光</t>
    <phoneticPr fontId="1" type="noConversion"/>
  </si>
  <si>
    <t>闪亮极光</t>
    <phoneticPr fontId="1" type="noConversion"/>
  </si>
  <si>
    <t>八骰入池</t>
    <phoneticPr fontId="1" type="noConversion"/>
  </si>
  <si>
    <t>黑色恒星</t>
    <phoneticPr fontId="1" type="noConversion"/>
  </si>
  <si>
    <t>闪亮黑洞</t>
    <phoneticPr fontId="1" type="noConversion"/>
  </si>
  <si>
    <t>混乱开端</t>
    <phoneticPr fontId="1" type="noConversion"/>
  </si>
  <si>
    <t>金色房间</t>
    <phoneticPr fontId="1" type="noConversion"/>
  </si>
  <si>
    <t>星辰悖形</t>
    <phoneticPr fontId="1" type="noConversion"/>
  </si>
  <si>
    <t>破损锻造</t>
    <phoneticPr fontId="1" type="noConversion"/>
  </si>
  <si>
    <t>诅咒锻造</t>
    <phoneticPr fontId="1" type="noConversion"/>
  </si>
  <si>
    <t>骰子囤积</t>
    <phoneticPr fontId="1" type="noConversion"/>
  </si>
  <si>
    <t>无骰异象</t>
    <phoneticPr fontId="1" type="noConversion"/>
  </si>
  <si>
    <t>致命厄运</t>
    <phoneticPr fontId="1" type="noConversion"/>
  </si>
  <si>
    <t>无心先知</t>
    <phoneticPr fontId="1" type="noConversion"/>
  </si>
  <si>
    <t>故障守卫</t>
    <phoneticPr fontId="1" type="noConversion"/>
  </si>
  <si>
    <t>梅萨的赏金</t>
    <phoneticPr fontId="1" type="noConversion"/>
  </si>
  <si>
    <t>逆天活力</t>
    <phoneticPr fontId="1" type="noConversion"/>
  </si>
  <si>
    <t>慢性损伤</t>
    <phoneticPr fontId="1" type="noConversion"/>
  </si>
  <si>
    <t>饥饿群落</t>
    <phoneticPr fontId="1" type="noConversion"/>
  </si>
  <si>
    <t>迷雾之罩</t>
    <phoneticPr fontId="1" type="noConversion"/>
  </si>
  <si>
    <t>冒尖变异</t>
    <phoneticPr fontId="1" type="noConversion"/>
  </si>
  <si>
    <t>生存本能</t>
    <phoneticPr fontId="1" type="noConversion"/>
  </si>
  <si>
    <t>意外反应</t>
    <phoneticPr fontId="1" type="noConversion"/>
  </si>
  <si>
    <t>美德吞噬者</t>
    <phoneticPr fontId="1" type="noConversion"/>
  </si>
  <si>
    <t>美德缺失</t>
    <phoneticPr fontId="1" type="noConversion"/>
  </si>
  <si>
    <t>祝福之路</t>
    <phoneticPr fontId="1" type="noConversion"/>
  </si>
  <si>
    <t>骰匠狂热</t>
    <phoneticPr fontId="1" type="noConversion"/>
  </si>
  <si>
    <t>女神妙计</t>
    <phoneticPr fontId="1" type="noConversion"/>
  </si>
  <si>
    <t>神秘冒险</t>
    <phoneticPr fontId="1" type="noConversion"/>
  </si>
  <si>
    <t>过度充能守卫</t>
    <phoneticPr fontId="1" type="noConversion"/>
  </si>
  <si>
    <t>恒星雨落</t>
    <phoneticPr fontId="1" type="noConversion"/>
  </si>
  <si>
    <t>蜂星之风</t>
    <phoneticPr fontId="1" type="noConversion"/>
  </si>
  <si>
    <t>昔日礼物</t>
    <phoneticPr fontId="1" type="noConversion"/>
  </si>
  <si>
    <t>面具商人</t>
    <phoneticPr fontId="1" type="noConversion"/>
  </si>
  <si>
    <t>星辰传承</t>
    <phoneticPr fontId="1" type="noConversion"/>
  </si>
  <si>
    <t>事件扭曲</t>
    <phoneticPr fontId="1" type="noConversion"/>
  </si>
  <si>
    <t>系数类型</t>
    <phoneticPr fontId="1" type="noConversion"/>
  </si>
  <si>
    <t>特殊</t>
    <phoneticPr fontId="1" type="noConversion"/>
  </si>
  <si>
    <t>减益</t>
    <phoneticPr fontId="1" type="noConversion"/>
  </si>
  <si>
    <t>增益</t>
    <phoneticPr fontId="1" type="noConversion"/>
  </si>
  <si>
    <t>美德栏位1</t>
    <phoneticPr fontId="1" type="noConversion"/>
  </si>
  <si>
    <t>美德栏位2</t>
  </si>
  <si>
    <t>美德栏位3</t>
  </si>
  <si>
    <t>美德栏位4</t>
  </si>
  <si>
    <t>美德栏位5</t>
  </si>
  <si>
    <t>美德栏位6</t>
  </si>
  <si>
    <t>美德栏位7</t>
  </si>
  <si>
    <t>美德数值</t>
    <phoneticPr fontId="1" type="noConversion"/>
  </si>
  <si>
    <t>精准之掷</t>
    <phoneticPr fontId="1" type="noConversion"/>
  </si>
  <si>
    <t>雷暴</t>
    <phoneticPr fontId="1" type="noConversion"/>
  </si>
  <si>
    <t>充电天线</t>
    <phoneticPr fontId="1" type="noConversion"/>
  </si>
  <si>
    <t>激励</t>
    <phoneticPr fontId="1" type="noConversion"/>
  </si>
  <si>
    <t>在不跳过骰子的情况下选定你的初始骰子池</t>
    <phoneticPr fontId="1" type="noConversion"/>
  </si>
  <si>
    <t>从30颗随机骰子中选定你的初始骰子池</t>
    <phoneticPr fontId="1" type="noConversion"/>
  </si>
  <si>
    <t>在轮次开始时选定30颗骰子，本轮游戏期间不会收到骰子，但可以获得头目战斗的史诗骰子奖励以及事件中的骰子</t>
    <phoneticPr fontId="1" type="noConversion"/>
  </si>
  <si>
    <t>你有5颗心，所有神庙处于破损状态，且头目的心不会恢复</t>
    <phoneticPr fontId="1" type="noConversion"/>
  </si>
  <si>
    <t>只有保守骰子会显示为骰子奖励</t>
    <phoneticPr fontId="1" type="noConversion"/>
  </si>
  <si>
    <t>只有冒险骰子会显示为骰子奖励</t>
    <phoneticPr fontId="1" type="noConversion"/>
  </si>
  <si>
    <t>只有均衡骰子会显示为骰子奖励</t>
    <phoneticPr fontId="1" type="noConversion"/>
  </si>
  <si>
    <t>只有史诗骰子会显示为骰子奖励</t>
    <phoneticPr fontId="1" type="noConversion"/>
  </si>
  <si>
    <t>将某颗随机的非史诗且非基础骰子的8颗复制版添加到你的骰子池中</t>
    <phoneticPr fontId="1" type="noConversion"/>
  </si>
  <si>
    <t>恒星祝福替换为黑洞祝福</t>
    <phoneticPr fontId="1" type="noConversion"/>
  </si>
  <si>
    <t>黑洞祝福替换为恒星祝福</t>
    <phoneticPr fontId="1" type="noConversion"/>
  </si>
  <si>
    <t>初始骰子池替换为30颗随机的非史诗骰子和非基础骰子</t>
    <phoneticPr fontId="1" type="noConversion"/>
  </si>
  <si>
    <t>初始骰子池替换为随机的史诗骰子</t>
    <phoneticPr fontId="1" type="noConversion"/>
  </si>
  <si>
    <t>每当你向骰子池中添加骰子时，额外添加2颗复制版</t>
    <phoneticPr fontId="1" type="noConversion"/>
  </si>
  <si>
    <t>地图上的锻造商店地点替换为恒星碎片地点</t>
    <phoneticPr fontId="1" type="noConversion"/>
  </si>
  <si>
    <t>锻造的骰子不可被复制</t>
    <phoneticPr fontId="1" type="noConversion"/>
  </si>
  <si>
    <t>选择骰子奖励时不能跳过骰子</t>
    <phoneticPr fontId="1" type="noConversion"/>
  </si>
  <si>
    <t>增加每回合你的抽骰数量的黑洞祝福不会在本轮游戏中出现</t>
    <phoneticPr fontId="1" type="noConversion"/>
  </si>
  <si>
    <t>所有冒险骰子奖励附带1个锻造为折寿行为的骰面</t>
    <phoneticPr fontId="1" type="noConversion"/>
  </si>
  <si>
    <t>你只有一颗心，且所有神庙处于破损状态</t>
    <phoneticPr fontId="1" type="noConversion"/>
  </si>
  <si>
    <t>损坏的守卫在战斗结束时才会被修理</t>
    <phoneticPr fontId="1" type="noConversion"/>
  </si>
  <si>
    <t>锻造商店的价格上涨50%;守卫商店的价格上涨25%;史诗商店的价格上涨25%</t>
    <phoneticPr fontId="1" type="noConversion"/>
  </si>
  <si>
    <t>敌人的腐化上限提高100%</t>
    <phoneticPr fontId="1" type="noConversion"/>
  </si>
  <si>
    <t>每当你洗动骰子池时，向你的抽骰池中添加4颗创伤巫术骰子</t>
    <phoneticPr fontId="1" type="noConversion"/>
  </si>
  <si>
    <t>在每场战斗开始时，将一系列不同的巫术骰子加入你的弃骰池中</t>
    <phoneticPr fontId="1" type="noConversion"/>
  </si>
  <si>
    <t>在每场战斗开始时，对所有敌人施加相当于其腐化上限30%的加固。敌人的腐化上限降低50%</t>
    <phoneticPr fontId="1" type="noConversion"/>
  </si>
  <si>
    <t>诅咒库存</t>
    <phoneticPr fontId="1" type="noConversion"/>
  </si>
  <si>
    <t>阴暗交换</t>
    <phoneticPr fontId="1" type="noConversion"/>
  </si>
  <si>
    <t>在每场战斗开始时，对单个敌人施加1点骰子吞噬者</t>
    <phoneticPr fontId="1" type="noConversion"/>
  </si>
  <si>
    <t>在每场战斗开始时，对所有敌人施加无限隐匿点</t>
    <phoneticPr fontId="1" type="noConversion"/>
  </si>
  <si>
    <t>在每场战斗开始时，对单个随机敌人施加1点荆棘</t>
    <phoneticPr fontId="1" type="noConversion"/>
  </si>
  <si>
    <t>在每场战斗开始时，对所有敌人施加2点爆发</t>
    <phoneticPr fontId="1" type="noConversion"/>
  </si>
  <si>
    <t>在每场战斗开始时，对所有敌人施加6点莫测</t>
    <phoneticPr fontId="1" type="noConversion"/>
  </si>
  <si>
    <t>在每场战斗开始时，对单个随机敌人施加5点美德吞噬者</t>
    <phoneticPr fontId="1" type="noConversion"/>
  </si>
  <si>
    <t>在没有美德的情况下开始本轮游戏</t>
    <phoneticPr fontId="1" type="noConversion"/>
  </si>
  <si>
    <t>所有战斗额外提供一个恒星祝福</t>
    <phoneticPr fontId="1" type="noConversion"/>
  </si>
  <si>
    <t>骰子奖励的最糟糕的骰面(折寿行动除外)被锻造为一个随机行动</t>
    <phoneticPr fontId="1" type="noConversion"/>
  </si>
  <si>
    <t>无需打出强制行动即可结束你的回合</t>
    <phoneticPr fontId="1" type="noConversion"/>
  </si>
  <si>
    <t>地图上的恒星碎片地点替换为未知地点</t>
    <phoneticPr fontId="1" type="noConversion"/>
  </si>
  <si>
    <t>守卫附带无限加速</t>
    <phoneticPr fontId="1" type="noConversion"/>
  </si>
  <si>
    <t>获得双倍恒星碎片</t>
    <phoneticPr fontId="1" type="noConversion"/>
  </si>
  <si>
    <t>在每场战斗开始时，获得50闪避</t>
    <phoneticPr fontId="1" type="noConversion"/>
  </si>
  <si>
    <t>本轮游戏开始时，获得一张随机的先知面具</t>
    <phoneticPr fontId="1" type="noConversion"/>
  </si>
  <si>
    <t>本轮游戏开始时，获得所有先知面具</t>
    <phoneticPr fontId="1" type="noConversion"/>
  </si>
  <si>
    <t>本轮游戏开始时，拥有3000恒星碎片。本轮游戏期间不会获得任何恒星碎片。地图上的恒星碎片地点替换为随机的非金色宝箱地点</t>
    <phoneticPr fontId="1" type="noConversion"/>
  </si>
  <si>
    <t>在你的回合结束时，不弃置你手中的骰子</t>
    <phoneticPr fontId="1" type="noConversion"/>
  </si>
  <si>
    <t>系数池-通用</t>
    <phoneticPr fontId="1" type="noConversion"/>
  </si>
  <si>
    <t>美德池-穆尼</t>
    <phoneticPr fontId="1" type="noConversion"/>
  </si>
  <si>
    <t>美德池-塞拉里乌斯</t>
    <phoneticPr fontId="1" type="noConversion"/>
  </si>
  <si>
    <t>美德池-赫维留斯</t>
    <phoneticPr fontId="1" type="noConversion"/>
  </si>
  <si>
    <t>美德池-奥斯特拉</t>
    <phoneticPr fontId="1" type="noConversion"/>
  </si>
  <si>
    <t>美德池-索迪斯</t>
    <phoneticPr fontId="1" type="noConversion"/>
  </si>
  <si>
    <t>美德池-奥瑞恩</t>
    <phoneticPr fontId="1" type="noConversion"/>
  </si>
  <si>
    <t>…</t>
    <phoneticPr fontId="1" type="noConversion"/>
  </si>
  <si>
    <t>美德空栏</t>
    <phoneticPr fontId="1" type="noConversion"/>
  </si>
  <si>
    <t>-</t>
    <phoneticPr fontId="1" type="noConversion"/>
  </si>
  <si>
    <t>腐化</t>
    <phoneticPr fontId="1" type="noConversion"/>
  </si>
  <si>
    <t>净化</t>
    <phoneticPr fontId="1" type="noConversion"/>
  </si>
  <si>
    <t>区域净化</t>
    <phoneticPr fontId="1" type="noConversion"/>
  </si>
  <si>
    <t>灵能重击</t>
    <phoneticPr fontId="1" type="noConversion"/>
  </si>
  <si>
    <t>星辰呼唤</t>
    <phoneticPr fontId="1" type="noConversion"/>
  </si>
  <si>
    <t>虚空探寻</t>
    <phoneticPr fontId="1" type="noConversion"/>
  </si>
  <si>
    <t>抽取</t>
    <phoneticPr fontId="1" type="noConversion"/>
  </si>
  <si>
    <t>抽取保守</t>
    <phoneticPr fontId="1" type="noConversion"/>
  </si>
  <si>
    <t>抽取均衡</t>
    <phoneticPr fontId="1" type="noConversion"/>
  </si>
  <si>
    <t>抽取冒险</t>
    <phoneticPr fontId="1" type="noConversion"/>
  </si>
  <si>
    <t>静谧</t>
    <phoneticPr fontId="1" type="noConversion"/>
  </si>
  <si>
    <t>区域静谧</t>
    <phoneticPr fontId="1" type="noConversion"/>
  </si>
  <si>
    <t>圣洁</t>
    <phoneticPr fontId="1" type="noConversion"/>
  </si>
  <si>
    <t>区域光盾</t>
    <phoneticPr fontId="1" type="noConversion"/>
  </si>
  <si>
    <t>重掷</t>
    <phoneticPr fontId="1" type="noConversion"/>
  </si>
  <si>
    <t>镇定</t>
    <phoneticPr fontId="1" type="noConversion"/>
  </si>
  <si>
    <t>削减</t>
    <phoneticPr fontId="1" type="noConversion"/>
  </si>
  <si>
    <t>闪亮翎羽</t>
    <phoneticPr fontId="1" type="noConversion"/>
  </si>
  <si>
    <t>心灵冲击</t>
    <phoneticPr fontId="1" type="noConversion"/>
  </si>
  <si>
    <t>月牙光束</t>
    <phoneticPr fontId="1" type="noConversion"/>
  </si>
  <si>
    <t>威慑枭鸣</t>
    <phoneticPr fontId="1" type="noConversion"/>
  </si>
  <si>
    <t>月光</t>
    <phoneticPr fontId="1" type="noConversion"/>
  </si>
  <si>
    <t>顿悟</t>
    <phoneticPr fontId="1" type="noConversion"/>
  </si>
  <si>
    <t>半影之耀</t>
    <phoneticPr fontId="1" type="noConversion"/>
  </si>
  <si>
    <t>操控</t>
    <phoneticPr fontId="1" type="noConversion"/>
  </si>
  <si>
    <t>夜枭星慧</t>
    <phoneticPr fontId="1" type="noConversion"/>
  </si>
  <si>
    <t>灵光一闪</t>
    <phoneticPr fontId="1" type="noConversion"/>
  </si>
  <si>
    <t>月光之浴</t>
    <phoneticPr fontId="1" type="noConversion"/>
  </si>
  <si>
    <t>丧仪</t>
    <phoneticPr fontId="1" type="noConversion"/>
  </si>
  <si>
    <t>飞升</t>
    <phoneticPr fontId="1" type="noConversion"/>
  </si>
  <si>
    <t>远见</t>
    <phoneticPr fontId="1" type="noConversion"/>
  </si>
  <si>
    <t>暗影之驭</t>
    <phoneticPr fontId="1" type="noConversion"/>
  </si>
  <si>
    <t>月之协调</t>
    <phoneticPr fontId="1" type="noConversion"/>
  </si>
  <si>
    <t>敌人净化</t>
    <phoneticPr fontId="1" type="noConversion"/>
  </si>
  <si>
    <t>新月之光</t>
    <phoneticPr fontId="1" type="noConversion"/>
  </si>
  <si>
    <t>血月之光</t>
    <phoneticPr fontId="1" type="noConversion"/>
  </si>
  <si>
    <t>专精</t>
    <phoneticPr fontId="1" type="noConversion"/>
  </si>
  <si>
    <t>硒之主宰</t>
    <phoneticPr fontId="1" type="noConversion"/>
  </si>
  <si>
    <t>光明强化</t>
    <phoneticPr fontId="1" type="noConversion"/>
  </si>
  <si>
    <t>超越时光</t>
    <phoneticPr fontId="1" type="noConversion"/>
  </si>
  <si>
    <t>枭光感召</t>
    <phoneticPr fontId="1" type="noConversion"/>
  </si>
  <si>
    <t>学者感召</t>
    <phoneticPr fontId="1" type="noConversion"/>
  </si>
  <si>
    <t>猩红印记</t>
    <phoneticPr fontId="1" type="noConversion"/>
  </si>
  <si>
    <t>研究</t>
    <phoneticPr fontId="1" type="noConversion"/>
  </si>
  <si>
    <t>灵感</t>
    <phoneticPr fontId="1" type="noConversion"/>
  </si>
  <si>
    <t>暮光印记</t>
    <phoneticPr fontId="1" type="noConversion"/>
  </si>
  <si>
    <t>诅咒预言</t>
    <phoneticPr fontId="1" type="noConversion"/>
  </si>
  <si>
    <t>宇宙智慧</t>
    <phoneticPr fontId="1" type="noConversion"/>
  </si>
  <si>
    <t>知识爆发</t>
    <phoneticPr fontId="1" type="noConversion"/>
  </si>
  <si>
    <t>不详咒语</t>
    <phoneticPr fontId="1" type="noConversion"/>
  </si>
  <si>
    <t>放大</t>
    <phoneticPr fontId="1" type="noConversion"/>
  </si>
  <si>
    <t>恒星翻滚</t>
    <phoneticPr fontId="1" type="noConversion"/>
  </si>
  <si>
    <t>日蚀凝视</t>
    <phoneticPr fontId="1" type="noConversion"/>
  </si>
  <si>
    <t>转化</t>
    <phoneticPr fontId="1" type="noConversion"/>
  </si>
  <si>
    <t>灵巧之触</t>
    <phoneticPr fontId="1" type="noConversion"/>
  </si>
  <si>
    <t>锻造区域腐化</t>
    <phoneticPr fontId="1" type="noConversion"/>
  </si>
  <si>
    <t>锻造腐化</t>
    <phoneticPr fontId="1" type="noConversion"/>
  </si>
  <si>
    <t>强化</t>
    <phoneticPr fontId="1" type="noConversion"/>
  </si>
  <si>
    <t>光盾</t>
    <phoneticPr fontId="1" type="noConversion"/>
  </si>
  <si>
    <t>沉迷分析</t>
    <phoneticPr fontId="1" type="noConversion"/>
  </si>
  <si>
    <t>夜间气升</t>
    <phoneticPr fontId="1" type="noConversion"/>
  </si>
  <si>
    <t>亵渎尖叫</t>
    <phoneticPr fontId="1" type="noConversion"/>
  </si>
  <si>
    <t>其余规则</t>
    <phoneticPr fontId="1" type="noConversion"/>
  </si>
  <si>
    <t>规则内容</t>
    <phoneticPr fontId="1" type="noConversion"/>
  </si>
  <si>
    <t>要注意BUFF之间的结算顺序，比如圣洁往往是最先结算，而其余负面效果依次结算</t>
    <phoneticPr fontId="1" type="noConversion"/>
  </si>
  <si>
    <t>要注意闪避和暴击的结算顺序，比如当闪避成功时，其闪避的是暴击结算前还是结算后的伤害值</t>
    <phoneticPr fontId="1" type="noConversion"/>
  </si>
  <si>
    <t>随机机制</t>
    <phoneticPr fontId="1" type="noConversion"/>
  </si>
  <si>
    <t>不放回抽取3次；显示3个抽取结果；通用与使用角色权重比为1:2；至少有一个使用中角色</t>
    <phoneticPr fontId="1" type="noConversion"/>
  </si>
  <si>
    <t>所有未知事件及奖励</t>
    <phoneticPr fontId="1" type="noConversion"/>
  </si>
  <si>
    <t>根据章节进度配置；不放回抽取3次；显示3个抽取结果；共抽2回；通用与使用角色权重比为1:2；至少有一个使用中角色；品质分别为保守、均衡、冒险</t>
    <phoneticPr fontId="1" type="noConversion"/>
  </si>
  <si>
    <t>根据章节进度配置；不放回抽取3次；显示3个抽取结果；共抽2回；通用与使用角色权重比为1:2；至少有一个使用中角色；品质均为保守</t>
    <phoneticPr fontId="1" type="noConversion"/>
  </si>
  <si>
    <t>根据章节进度配置；不放回抽取3次；显示3个抽取结果；共抽2回；通用与使用角色权重比为1:2；至少有一个使用中角色；品质均为均衡</t>
    <phoneticPr fontId="1" type="noConversion"/>
  </si>
  <si>
    <t>根据章节进度配置；不放回抽取3次；显示3个抽取结果；共抽2回；通用与使用角色权重比为1:2；至少有一个使用中角色；品质均为冒险</t>
    <phoneticPr fontId="1" type="noConversion"/>
  </si>
  <si>
    <t>根据章节进度配置；不放回抽取3次；显示3个抽取结果；共抽1回；通用与使用角色权重比为1:2；至少有一个使用中角色；品质均为史诗</t>
    <phoneticPr fontId="1" type="noConversion"/>
  </si>
  <si>
    <t>不放回抽取6次；显示6个抽取结果；根据配置权重抽取</t>
    <phoneticPr fontId="1" type="noConversion"/>
  </si>
  <si>
    <t>不放回抽取1次；显示1个抽取结果；根据配置权重抽取</t>
    <phoneticPr fontId="1" type="noConversion"/>
  </si>
  <si>
    <t>冒险</t>
    <phoneticPr fontId="1" type="noConversion"/>
  </si>
  <si>
    <t>保守</t>
    <phoneticPr fontId="1" type="noConversion"/>
  </si>
  <si>
    <t>均衡</t>
    <phoneticPr fontId="1" type="noConversion"/>
  </si>
  <si>
    <t>污染之礁</t>
  </si>
  <si>
    <t>星城遗迹</t>
  </si>
  <si>
    <t>数量</t>
    <phoneticPr fontId="1" type="noConversion"/>
  </si>
  <si>
    <t>骰子统计</t>
    <phoneticPr fontId="1" type="noConversion"/>
  </si>
  <si>
    <t>差值</t>
    <phoneticPr fontId="1" type="noConversion"/>
  </si>
  <si>
    <t>关卡统计</t>
    <phoneticPr fontId="1" type="noConversion"/>
  </si>
  <si>
    <t>平均</t>
    <phoneticPr fontId="1" type="noConversion"/>
  </si>
  <si>
    <t>游戏名称</t>
    <phoneticPr fontId="6" type="noConversion"/>
  </si>
  <si>
    <t>数值分析</t>
    <phoneticPr fontId="6" type="noConversion"/>
  </si>
  <si>
    <t>杀戮尖塔</t>
    <phoneticPr fontId="6" type="noConversion"/>
  </si>
  <si>
    <t>阿斯特赖亚</t>
    <phoneticPr fontId="6" type="noConversion"/>
  </si>
  <si>
    <t>苦痛之环</t>
    <phoneticPr fontId="6" type="noConversion"/>
  </si>
  <si>
    <t>炉石传说</t>
    <phoneticPr fontId="6" type="noConversion"/>
  </si>
  <si>
    <t>邪恶铭刻</t>
    <phoneticPr fontId="6" type="noConversion"/>
  </si>
  <si>
    <t>怪物火车</t>
    <phoneticPr fontId="6" type="noConversion"/>
  </si>
  <si>
    <t>暂无</t>
    <phoneticPr fontId="1" type="noConversion"/>
  </si>
  <si>
    <t>序号</t>
    <phoneticPr fontId="6" type="noConversion"/>
  </si>
  <si>
    <t>游戏总览表</t>
    <phoneticPr fontId="6" type="noConversion"/>
  </si>
  <si>
    <t>月圆之夜</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</si>
</sst>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等线"/>
      <family val="2"/>
      <charset val="134"/>
      <scheme val="minor"/>
    </font>
    <font>
      <sz val="9"/>
      <name val="等线"/>
      <family val="2"/>
      <charset val="134"/>
      <scheme val="minor"/>
    </font>
    <font>
      <sz val="11"/>
      <color theme="1"/>
      <name val="微软雅黑"/>
      <family val="2"/>
      <charset val="134"/>
    </font>
    <font>
      <sz val="11"/>
      <name val="微软雅黑"/>
      <family val="2"/>
      <charset val="134"/>
    </font>
    <font>
      <sz val="11"/>
      <color rgb="FFC00000"/>
      <name val="微软雅黑"/>
      <family val="2"/>
      <charset val="134"/>
    </font>
    <font>
      <b/>
      <sz val="11"/>
      <color rgb="FFC00000"/>
      <name val="微软雅黑"/>
      <family val="2"/>
      <charset val="134"/>
    </font>
    <font>
      <sz val="9"/>
      <name val="等线"/>
      <family val="3"/>
      <charset val="134"/>
      <scheme val="minor"/>
    </font>
    <font>
      <b/>
      <sz val="11"/>
      <color theme="1"/>
      <name val="微软雅黑"/>
      <family val="2"/>
      <charset val="134"/>
    </font>
    <font>
      <sz val="11"/>
      <color rgb="FF000000"/>
      <name val="等线"/>
      <family val="3"/>
      <charset val="134"/>
    </font>
  </fonts>
  <fills count="5">
    <fill>
      <patternFill patternType="none"/>
    </fill>
    <fill>
      <patternFill patternType="gray125"/>
    </fill>
    <fill>
      <patternFill patternType="solid">
        <fgColor theme="7" tint="0.59999389629810485"/>
        <bgColor indexed="64"/>
      </patternFill>
    </fill>
    <fill>
      <patternFill patternType="solid">
        <fgColor theme="9" tint="0.59999389629810485"/>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25">
    <xf numFmtId="0" fontId="0" fillId="0" borderId="0" xfId="0">
      <alignment vertical="center"/>
    </xf>
    <xf numFmtId="0" fontId="2" fillId="0" borderId="0" xfId="0" applyFont="1" applyAlignment="1">
      <alignment horizontal="center" vertical="center"/>
    </xf>
    <xf numFmtId="0" fontId="2" fillId="0" borderId="0" xfId="0" applyFont="1" applyAlignment="1">
      <alignment horizontal="left" vertical="center"/>
    </xf>
    <xf numFmtId="0" fontId="3" fillId="0" borderId="0" xfId="0" applyFont="1" applyAlignment="1">
      <alignment horizontal="center" vertical="center"/>
    </xf>
    <xf numFmtId="0" fontId="4" fillId="0" borderId="0" xfId="0" applyFont="1" applyAlignment="1">
      <alignment horizontal="center" vertical="center"/>
    </xf>
    <xf numFmtId="0" fontId="2" fillId="0" borderId="0" xfId="0" applyFont="1">
      <alignment vertical="center"/>
    </xf>
    <xf numFmtId="0" fontId="2" fillId="0" borderId="1" xfId="0" applyFont="1" applyBorder="1" applyAlignment="1">
      <alignment horizontal="center" vertical="center"/>
    </xf>
    <xf numFmtId="0" fontId="2" fillId="2" borderId="1" xfId="0" applyFont="1" applyFill="1" applyBorder="1" applyAlignment="1">
      <alignment horizontal="center" vertical="center"/>
    </xf>
    <xf numFmtId="0" fontId="3" fillId="0" borderId="1" xfId="0" applyFont="1" applyBorder="1" applyAlignment="1">
      <alignment horizontal="center" vertical="center"/>
    </xf>
    <xf numFmtId="0" fontId="2" fillId="3" borderId="1" xfId="0" applyFont="1" applyFill="1" applyBorder="1" applyAlignment="1">
      <alignment horizontal="center" vertical="center"/>
    </xf>
    <xf numFmtId="0" fontId="2" fillId="0" borderId="1" xfId="0" applyFont="1" applyBorder="1" applyAlignment="1">
      <alignment horizontal="center"/>
    </xf>
    <xf numFmtId="0" fontId="2" fillId="0" borderId="1" xfId="0" applyFont="1" applyBorder="1" applyAlignment="1">
      <alignment horizontal="left" vertical="center"/>
    </xf>
    <xf numFmtId="0" fontId="3" fillId="2" borderId="1" xfId="0"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left" vertical="center"/>
    </xf>
    <xf numFmtId="0" fontId="2" fillId="3" borderId="1" xfId="0" applyFont="1" applyFill="1" applyBorder="1">
      <alignment vertical="center"/>
    </xf>
    <xf numFmtId="0" fontId="5" fillId="0" borderId="0" xfId="0" applyFont="1" applyAlignment="1">
      <alignment horizontal="center" vertical="center"/>
    </xf>
    <xf numFmtId="0" fontId="3" fillId="3" borderId="1" xfId="0" applyFont="1" applyFill="1" applyBorder="1" applyAlignment="1">
      <alignment horizontal="left" vertical="center"/>
    </xf>
    <xf numFmtId="0" fontId="3" fillId="0" borderId="1" xfId="0" applyFont="1" applyBorder="1" applyAlignment="1">
      <alignment horizontal="left" vertical="center"/>
    </xf>
    <xf numFmtId="0" fontId="3" fillId="0" borderId="0" xfId="0" applyFont="1">
      <alignment vertical="center"/>
    </xf>
    <xf numFmtId="0" fontId="5" fillId="0" borderId="0" xfId="0" applyFont="1" applyAlignment="1">
      <alignment horizontal="left" vertical="center"/>
    </xf>
    <xf numFmtId="0" fontId="2" fillId="4" borderId="1" xfId="0" applyFont="1" applyFill="1" applyBorder="1" applyAlignment="1">
      <alignment horizontal="center" vertical="center"/>
    </xf>
    <xf numFmtId="0" fontId="2" fillId="0" borderId="1" xfId="0" applyFont="1" applyBorder="1">
      <alignment vertical="center"/>
    </xf>
    <xf numFmtId="0" fontId="2" fillId="0" borderId="0" xfId="0" applyFont="1" applyAlignment="1">
      <alignment horizontal="center"/>
    </xf>
    <xf numFmtId="0" fontId="7" fillId="0" borderId="1" xfId="0" applyFont="1" applyBorder="1" applyAlignment="1">
      <alignment horizontal="center"/>
    </xf>
  </cellXfs>
  <cellStyles count="1">
    <cellStyle name="常规" xfId="0" builtinId="0"/>
  </cellStyles>
  <dxfs count="0"/>
  <tableStyles count="0" defaultTableStyle="TableStyleMedium2" defaultPivotStyle="PivotStyleLight16"/>
  <colors>
    <mruColors>
      <color rgb="FF8E90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4</xdr:row>
          <xdr:rowOff>0</xdr:rowOff>
        </xdr:from>
        <xdr:to>
          <xdr:col>4</xdr:col>
          <xdr:colOff>0</xdr:colOff>
          <xdr:row>4</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跳转</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908DA-916D-47A9-A584-74019E4BC144}">
  <sheetPr codeName="Sheet2"/>
  <dimension ref="B2:D10"/>
  <sheetViews>
    <sheetView tabSelected="1" workbookViewId="0">
      <selection activeCell="F9" sqref="F9"/>
    </sheetView>
  </sheetViews>
  <sheetFormatPr defaultColWidth="13.77734375" defaultRowHeight="15.6" x14ac:dyDescent="0.25"/>
  <cols>
    <col min="1" max="3" width="13.77734375" style="5"/>
    <col min="4" max="4" width="27.6640625" style="5" customWidth="1"/>
    <col min="5" max="16384" width="13.77734375" style="5"/>
  </cols>
  <sheetData>
    <row r="2" spans="2:4" ht="16.2" x14ac:dyDescent="0.35">
      <c r="B2" s="16" t="s">
        <v>2294</v>
      </c>
      <c r="D2" s="23"/>
    </row>
    <row r="3" spans="2:4" ht="16.2" x14ac:dyDescent="0.4">
      <c r="B3" s="24" t="s">
        <v>2293</v>
      </c>
      <c r="C3" s="24" t="s">
        <v>2284</v>
      </c>
      <c r="D3" s="24" t="s">
        <v>2285</v>
      </c>
    </row>
    <row r="4" spans="2:4" x14ac:dyDescent="0.35">
      <c r="B4" s="10">
        <v>1</v>
      </c>
      <c r="C4" s="10" t="s">
        <v>2286</v>
      </c>
      <c r="D4" s="10" t="s">
        <v>2292</v>
      </c>
    </row>
    <row r="5" spans="2:4" x14ac:dyDescent="0.35">
      <c r="B5" s="10">
        <v>2</v>
      </c>
      <c r="C5" s="10" t="s">
        <v>2287</v>
      </c>
      <c r="D5" s="10"/>
    </row>
    <row r="6" spans="2:4" x14ac:dyDescent="0.35">
      <c r="B6" s="10">
        <v>3</v>
      </c>
      <c r="C6" s="10" t="s">
        <v>2288</v>
      </c>
      <c r="D6" s="10" t="s">
        <v>2292</v>
      </c>
    </row>
    <row r="7" spans="2:4" x14ac:dyDescent="0.35">
      <c r="B7" s="10">
        <v>4</v>
      </c>
      <c r="C7" s="10" t="s">
        <v>2289</v>
      </c>
      <c r="D7" s="10" t="s">
        <v>2292</v>
      </c>
    </row>
    <row r="8" spans="2:4" x14ac:dyDescent="0.35">
      <c r="B8" s="10">
        <v>5</v>
      </c>
      <c r="C8" s="10" t="s">
        <v>2290</v>
      </c>
      <c r="D8" s="10" t="s">
        <v>2292</v>
      </c>
    </row>
    <row r="9" spans="2:4" x14ac:dyDescent="0.35">
      <c r="B9" s="10">
        <v>6</v>
      </c>
      <c r="C9" s="10" t="s">
        <v>2291</v>
      </c>
      <c r="D9" s="10" t="s">
        <v>2292</v>
      </c>
    </row>
    <row r="10" spans="2:4" x14ac:dyDescent="0.35">
      <c r="B10" s="10">
        <v>7</v>
      </c>
      <c r="C10" s="10" t="s">
        <v>2295</v>
      </c>
      <c r="D10" s="10" t="s">
        <v>2292</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跳转阿斯特赖亚">
                <anchor moveWithCells="1" sizeWithCells="1">
                  <from>
                    <xdr:col>3</xdr:col>
                    <xdr:colOff>7620</xdr:colOff>
                    <xdr:row>4</xdr:row>
                    <xdr:rowOff>0</xdr:rowOff>
                  </from>
                  <to>
                    <xdr:col>4</xdr:col>
                    <xdr:colOff>0</xdr:colOff>
                    <xdr:row>4</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FAEF3-EFEF-4B71-AF4A-0710B1E7DF30}">
  <sheetPr codeName="Sheet3"/>
  <dimension ref="B2:K84"/>
  <sheetViews>
    <sheetView workbookViewId="0">
      <selection activeCell="C8" sqref="C8"/>
    </sheetView>
  </sheetViews>
  <sheetFormatPr defaultRowHeight="15.6" x14ac:dyDescent="0.25"/>
  <cols>
    <col min="1" max="1" width="8.88671875" style="1"/>
    <col min="2" max="2" width="18.33203125" style="2" customWidth="1"/>
    <col min="3" max="3" width="15.77734375" style="2" customWidth="1"/>
    <col min="4" max="10" width="15.77734375" style="1" customWidth="1"/>
    <col min="11" max="16" width="12.77734375" style="1" customWidth="1"/>
    <col min="17" max="16384" width="8.88671875" style="1"/>
  </cols>
  <sheetData>
    <row r="2" spans="2:3" ht="16.2" x14ac:dyDescent="0.25">
      <c r="B2" s="20" t="s">
        <v>2031</v>
      </c>
    </row>
    <row r="3" spans="2:3" x14ac:dyDescent="0.25">
      <c r="B3" s="11" t="s">
        <v>2039</v>
      </c>
      <c r="C3" s="11">
        <v>4</v>
      </c>
    </row>
    <row r="4" spans="2:3" x14ac:dyDescent="0.25">
      <c r="B4" s="11" t="s">
        <v>2038</v>
      </c>
      <c r="C4" s="11">
        <v>8</v>
      </c>
    </row>
    <row r="5" spans="2:3" x14ac:dyDescent="0.25">
      <c r="B5" s="11" t="s">
        <v>474</v>
      </c>
      <c r="C5" s="11">
        <v>3</v>
      </c>
    </row>
    <row r="6" spans="2:3" x14ac:dyDescent="0.25">
      <c r="B6" s="11" t="s">
        <v>569</v>
      </c>
      <c r="C6" s="11">
        <v>2500</v>
      </c>
    </row>
    <row r="7" spans="2:3" x14ac:dyDescent="0.25">
      <c r="B7" s="11" t="s">
        <v>2040</v>
      </c>
      <c r="C7" s="11">
        <v>10</v>
      </c>
    </row>
    <row r="8" spans="2:3" x14ac:dyDescent="0.25">
      <c r="B8" s="11" t="s">
        <v>2041</v>
      </c>
      <c r="C8" s="11">
        <v>50</v>
      </c>
    </row>
    <row r="9" spans="2:3" x14ac:dyDescent="0.25">
      <c r="B9" s="11" t="s">
        <v>2042</v>
      </c>
      <c r="C9" s="11">
        <v>50</v>
      </c>
    </row>
    <row r="12" spans="2:3" ht="16.2" x14ac:dyDescent="0.25">
      <c r="B12" s="20" t="s">
        <v>2033</v>
      </c>
    </row>
    <row r="13" spans="2:3" x14ac:dyDescent="0.25">
      <c r="B13" s="6" t="s">
        <v>2043</v>
      </c>
      <c r="C13" s="11" t="s">
        <v>2048</v>
      </c>
    </row>
    <row r="14" spans="2:3" x14ac:dyDescent="0.25">
      <c r="B14" s="6">
        <v>1</v>
      </c>
      <c r="C14" s="11" t="s">
        <v>2053</v>
      </c>
    </row>
    <row r="15" spans="2:3" x14ac:dyDescent="0.25">
      <c r="B15" s="6">
        <v>2</v>
      </c>
      <c r="C15" s="11" t="s">
        <v>2055</v>
      </c>
    </row>
    <row r="16" spans="2:3" x14ac:dyDescent="0.25">
      <c r="B16" s="6">
        <v>3</v>
      </c>
      <c r="C16" s="11" t="s">
        <v>2054</v>
      </c>
    </row>
    <row r="18" spans="2:3" x14ac:dyDescent="0.25">
      <c r="B18" s="1"/>
    </row>
    <row r="19" spans="2:3" ht="16.2" x14ac:dyDescent="0.25">
      <c r="B19" s="20" t="s">
        <v>2034</v>
      </c>
    </row>
    <row r="20" spans="2:3" x14ac:dyDescent="0.25">
      <c r="B20" s="6" t="s">
        <v>2043</v>
      </c>
      <c r="C20" s="11" t="s">
        <v>2048</v>
      </c>
    </row>
    <row r="21" spans="2:3" x14ac:dyDescent="0.25">
      <c r="B21" s="6">
        <v>1</v>
      </c>
      <c r="C21" s="11" t="s">
        <v>2044</v>
      </c>
    </row>
    <row r="22" spans="2:3" x14ac:dyDescent="0.25">
      <c r="B22" s="6">
        <v>2</v>
      </c>
      <c r="C22" s="11" t="s">
        <v>2045</v>
      </c>
    </row>
    <row r="23" spans="2:3" x14ac:dyDescent="0.25">
      <c r="B23" s="6">
        <v>3</v>
      </c>
      <c r="C23" s="11" t="s">
        <v>2046</v>
      </c>
    </row>
    <row r="24" spans="2:3" x14ac:dyDescent="0.25">
      <c r="B24" s="6">
        <v>4</v>
      </c>
      <c r="C24" s="11" t="s">
        <v>2047</v>
      </c>
    </row>
    <row r="25" spans="2:3" x14ac:dyDescent="0.25">
      <c r="B25" s="1"/>
    </row>
    <row r="27" spans="2:3" ht="16.2" x14ac:dyDescent="0.25">
      <c r="B27" s="20" t="s">
        <v>2032</v>
      </c>
    </row>
    <row r="28" spans="2:3" x14ac:dyDescent="0.25">
      <c r="B28" s="6" t="s">
        <v>2043</v>
      </c>
      <c r="C28" s="11" t="s">
        <v>2048</v>
      </c>
    </row>
    <row r="29" spans="2:3" x14ac:dyDescent="0.25">
      <c r="B29" s="6">
        <v>1</v>
      </c>
      <c r="C29" s="11" t="s">
        <v>2049</v>
      </c>
    </row>
    <row r="30" spans="2:3" x14ac:dyDescent="0.25">
      <c r="B30" s="6">
        <v>2</v>
      </c>
      <c r="C30" s="11" t="s">
        <v>2050</v>
      </c>
    </row>
    <row r="31" spans="2:3" x14ac:dyDescent="0.25">
      <c r="B31" s="6">
        <v>3</v>
      </c>
      <c r="C31" s="11" t="s">
        <v>2051</v>
      </c>
    </row>
    <row r="32" spans="2:3" x14ac:dyDescent="0.25">
      <c r="B32" s="6">
        <v>4</v>
      </c>
      <c r="C32" s="11" t="s">
        <v>2052</v>
      </c>
    </row>
    <row r="33" spans="2:3" x14ac:dyDescent="0.25">
      <c r="B33" s="1"/>
    </row>
    <row r="35" spans="2:3" ht="16.2" x14ac:dyDescent="0.25">
      <c r="B35" s="20" t="s">
        <v>2056</v>
      </c>
    </row>
    <row r="36" spans="2:3" x14ac:dyDescent="0.25">
      <c r="B36" s="6" t="s">
        <v>2043</v>
      </c>
      <c r="C36" s="11" t="s">
        <v>2048</v>
      </c>
    </row>
    <row r="37" spans="2:3" x14ac:dyDescent="0.25">
      <c r="B37" s="6">
        <v>1</v>
      </c>
      <c r="C37" s="11" t="s">
        <v>2057</v>
      </c>
    </row>
    <row r="38" spans="2:3" x14ac:dyDescent="0.25">
      <c r="B38" s="6">
        <v>2</v>
      </c>
      <c r="C38" s="11" t="s">
        <v>2058</v>
      </c>
    </row>
    <row r="39" spans="2:3" x14ac:dyDescent="0.25">
      <c r="B39" s="1"/>
    </row>
    <row r="40" spans="2:3" x14ac:dyDescent="0.25">
      <c r="B40" s="1"/>
    </row>
    <row r="41" spans="2:3" ht="16.2" x14ac:dyDescent="0.25">
      <c r="B41" s="20" t="s">
        <v>2059</v>
      </c>
    </row>
    <row r="42" spans="2:3" x14ac:dyDescent="0.25">
      <c r="B42" s="6" t="s">
        <v>2043</v>
      </c>
      <c r="C42" s="11" t="s">
        <v>2048</v>
      </c>
    </row>
    <row r="43" spans="2:3" x14ac:dyDescent="0.25">
      <c r="B43" s="6">
        <v>1</v>
      </c>
      <c r="C43" s="11" t="s">
        <v>2062</v>
      </c>
    </row>
    <row r="44" spans="2:3" x14ac:dyDescent="0.25">
      <c r="B44" s="6">
        <v>2</v>
      </c>
      <c r="C44" s="11" t="s">
        <v>2063</v>
      </c>
    </row>
    <row r="47" spans="2:3" ht="16.2" x14ac:dyDescent="0.25">
      <c r="B47" s="20" t="s">
        <v>2060</v>
      </c>
    </row>
    <row r="48" spans="2:3" x14ac:dyDescent="0.25">
      <c r="B48" s="6" t="s">
        <v>2043</v>
      </c>
      <c r="C48" s="11" t="s">
        <v>2048</v>
      </c>
    </row>
    <row r="49" spans="2:6" x14ac:dyDescent="0.25">
      <c r="B49" s="6">
        <v>1</v>
      </c>
      <c r="C49" s="22" t="s">
        <v>2064</v>
      </c>
    </row>
    <row r="50" spans="2:6" x14ac:dyDescent="0.25">
      <c r="B50" s="6">
        <v>2</v>
      </c>
      <c r="C50" s="22" t="s">
        <v>2065</v>
      </c>
    </row>
    <row r="51" spans="2:6" x14ac:dyDescent="0.25">
      <c r="B51" s="6">
        <v>3</v>
      </c>
      <c r="C51" s="22" t="s">
        <v>2066</v>
      </c>
    </row>
    <row r="52" spans="2:6" x14ac:dyDescent="0.25">
      <c r="B52" s="6">
        <v>4</v>
      </c>
      <c r="C52" s="22" t="s">
        <v>2067</v>
      </c>
    </row>
    <row r="53" spans="2:6" x14ac:dyDescent="0.25">
      <c r="B53" s="6">
        <v>5</v>
      </c>
      <c r="C53" s="22" t="s">
        <v>2068</v>
      </c>
    </row>
    <row r="56" spans="2:6" ht="16.2" x14ac:dyDescent="0.25">
      <c r="B56" s="20" t="s">
        <v>2037</v>
      </c>
    </row>
    <row r="57" spans="2:6" x14ac:dyDescent="0.25">
      <c r="B57" s="6" t="s">
        <v>2061</v>
      </c>
      <c r="C57" s="6" t="s">
        <v>529</v>
      </c>
      <c r="D57" s="6" t="s">
        <v>2069</v>
      </c>
      <c r="E57" s="6" t="s">
        <v>2070</v>
      </c>
      <c r="F57" s="6" t="s">
        <v>2071</v>
      </c>
    </row>
    <row r="58" spans="2:6" x14ac:dyDescent="0.25">
      <c r="B58" s="6">
        <v>0</v>
      </c>
      <c r="C58" s="6">
        <v>250</v>
      </c>
      <c r="D58" s="6"/>
      <c r="E58" s="6"/>
      <c r="F58" s="6"/>
    </row>
    <row r="59" spans="2:6" x14ac:dyDescent="0.25">
      <c r="B59" s="6">
        <v>1</v>
      </c>
      <c r="C59" s="6">
        <v>1000</v>
      </c>
      <c r="D59" s="6" t="s">
        <v>200</v>
      </c>
      <c r="E59" s="6" t="s">
        <v>201</v>
      </c>
      <c r="F59" s="6" t="s">
        <v>202</v>
      </c>
    </row>
    <row r="60" spans="2:6" x14ac:dyDescent="0.25">
      <c r="B60" s="6">
        <v>2</v>
      </c>
      <c r="C60" s="6">
        <v>2000</v>
      </c>
      <c r="D60" s="6" t="s">
        <v>2072</v>
      </c>
      <c r="E60" s="6" t="s">
        <v>2073</v>
      </c>
      <c r="F60" s="6"/>
    </row>
    <row r="61" spans="2:6" x14ac:dyDescent="0.25">
      <c r="B61" s="6">
        <v>3</v>
      </c>
      <c r="C61" s="6">
        <v>3000</v>
      </c>
      <c r="D61" s="6" t="s">
        <v>2072</v>
      </c>
      <c r="E61" s="6" t="s">
        <v>2073</v>
      </c>
      <c r="F61" s="6"/>
    </row>
    <row r="62" spans="2:6" x14ac:dyDescent="0.25">
      <c r="B62" s="6">
        <v>4</v>
      </c>
      <c r="C62" s="6">
        <v>4500</v>
      </c>
      <c r="D62" s="6" t="s">
        <v>1928</v>
      </c>
      <c r="E62" s="6" t="s">
        <v>1929</v>
      </c>
      <c r="F62" s="6" t="s">
        <v>1930</v>
      </c>
    </row>
    <row r="63" spans="2:6" x14ac:dyDescent="0.25">
      <c r="B63" s="6">
        <v>5</v>
      </c>
      <c r="C63" s="6" t="s">
        <v>2074</v>
      </c>
      <c r="D63" s="6" t="s">
        <v>2074</v>
      </c>
      <c r="E63" s="6" t="s">
        <v>2074</v>
      </c>
      <c r="F63" s="6" t="s">
        <v>2074</v>
      </c>
    </row>
    <row r="64" spans="2:6" ht="16.2" customHeight="1" x14ac:dyDescent="0.25">
      <c r="B64" s="1"/>
    </row>
    <row r="65" spans="2:11" x14ac:dyDescent="0.25">
      <c r="B65" s="1"/>
    </row>
    <row r="66" spans="2:11" ht="16.2" x14ac:dyDescent="0.25">
      <c r="B66" s="20" t="s">
        <v>2075</v>
      </c>
      <c r="C66" s="1"/>
    </row>
    <row r="67" spans="2:11" x14ac:dyDescent="0.25">
      <c r="B67" s="6" t="s">
        <v>2076</v>
      </c>
      <c r="C67" s="6" t="s">
        <v>39</v>
      </c>
      <c r="D67" s="6" t="s">
        <v>253</v>
      </c>
      <c r="E67" s="6" t="s">
        <v>748</v>
      </c>
      <c r="F67" s="6" t="s">
        <v>203</v>
      </c>
      <c r="G67" s="6" t="s">
        <v>249</v>
      </c>
      <c r="H67" s="6" t="s">
        <v>749</v>
      </c>
      <c r="I67" s="6" t="s">
        <v>1925</v>
      </c>
      <c r="J67" s="6" t="s">
        <v>1926</v>
      </c>
      <c r="K67" s="6" t="s">
        <v>1927</v>
      </c>
    </row>
    <row r="68" spans="2:11" x14ac:dyDescent="0.25">
      <c r="B68" s="6">
        <v>1</v>
      </c>
      <c r="C68" s="6">
        <v>1</v>
      </c>
      <c r="D68" s="6">
        <v>150</v>
      </c>
      <c r="E68" s="6">
        <v>-10</v>
      </c>
      <c r="F68" s="6">
        <v>50</v>
      </c>
      <c r="G68" s="6">
        <v>100</v>
      </c>
      <c r="H68" s="6">
        <v>200</v>
      </c>
      <c r="I68" s="6">
        <v>200</v>
      </c>
      <c r="J68" s="6">
        <v>100</v>
      </c>
      <c r="K68" s="6">
        <v>750</v>
      </c>
    </row>
    <row r="69" spans="2:11" x14ac:dyDescent="0.25">
      <c r="B69" s="6">
        <v>2</v>
      </c>
      <c r="C69" s="6">
        <v>1</v>
      </c>
      <c r="D69" s="6">
        <v>250</v>
      </c>
      <c r="E69" s="6">
        <v>-10</v>
      </c>
      <c r="F69" s="6">
        <v>100</v>
      </c>
      <c r="G69" s="6">
        <v>150</v>
      </c>
      <c r="H69" s="6">
        <v>200</v>
      </c>
      <c r="I69" s="6">
        <v>200</v>
      </c>
      <c r="J69" s="6">
        <v>100</v>
      </c>
      <c r="K69" s="6">
        <v>750</v>
      </c>
    </row>
    <row r="70" spans="2:11" x14ac:dyDescent="0.25">
      <c r="B70" s="6">
        <v>3</v>
      </c>
      <c r="C70" s="6">
        <v>1</v>
      </c>
      <c r="D70" s="6">
        <v>350</v>
      </c>
      <c r="E70" s="6">
        <v>-10</v>
      </c>
      <c r="F70" s="6">
        <v>150</v>
      </c>
      <c r="G70" s="6">
        <v>200</v>
      </c>
      <c r="H70" s="6">
        <v>200</v>
      </c>
      <c r="I70" s="6">
        <v>200</v>
      </c>
      <c r="J70" s="6">
        <v>100</v>
      </c>
      <c r="K70" s="6">
        <v>750</v>
      </c>
    </row>
    <row r="71" spans="2:11" x14ac:dyDescent="0.25">
      <c r="B71" s="1"/>
      <c r="C71" s="1"/>
    </row>
    <row r="72" spans="2:11" x14ac:dyDescent="0.25">
      <c r="B72" s="1"/>
      <c r="C72" s="1"/>
    </row>
    <row r="73" spans="2:11" ht="16.2" x14ac:dyDescent="0.25">
      <c r="B73" s="20" t="s">
        <v>2036</v>
      </c>
    </row>
    <row r="74" spans="2:11" x14ac:dyDescent="0.25">
      <c r="B74" s="6" t="s">
        <v>1926</v>
      </c>
      <c r="C74" s="6" t="s">
        <v>2077</v>
      </c>
      <c r="D74" s="6" t="s">
        <v>2035</v>
      </c>
      <c r="E74" s="6" t="s">
        <v>2077</v>
      </c>
    </row>
    <row r="75" spans="2:11" x14ac:dyDescent="0.25">
      <c r="B75" s="6">
        <v>0</v>
      </c>
      <c r="C75" s="11" t="s">
        <v>2078</v>
      </c>
      <c r="D75" s="6">
        <v>0</v>
      </c>
      <c r="E75" s="6" t="s">
        <v>2079</v>
      </c>
    </row>
    <row r="76" spans="2:11" x14ac:dyDescent="0.25">
      <c r="B76" s="6">
        <v>1</v>
      </c>
      <c r="C76" s="6" t="s">
        <v>2080</v>
      </c>
      <c r="D76" s="6">
        <v>1</v>
      </c>
      <c r="E76" s="6" t="s">
        <v>2081</v>
      </c>
    </row>
    <row r="77" spans="2:11" x14ac:dyDescent="0.25">
      <c r="B77" s="6">
        <v>2</v>
      </c>
      <c r="C77" s="6" t="s">
        <v>2082</v>
      </c>
      <c r="D77" s="6">
        <v>2</v>
      </c>
      <c r="E77" s="6" t="s">
        <v>2083</v>
      </c>
    </row>
    <row r="78" spans="2:11" x14ac:dyDescent="0.25">
      <c r="B78" s="6">
        <v>3</v>
      </c>
      <c r="C78" s="6" t="s">
        <v>2074</v>
      </c>
      <c r="D78" s="6">
        <v>3</v>
      </c>
      <c r="E78" s="6" t="s">
        <v>2074</v>
      </c>
    </row>
    <row r="79" spans="2:11" x14ac:dyDescent="0.25">
      <c r="B79" s="1"/>
    </row>
    <row r="80" spans="2:11" x14ac:dyDescent="0.25">
      <c r="B80" s="1"/>
    </row>
    <row r="81" spans="2:3" ht="16.2" x14ac:dyDescent="0.25">
      <c r="B81" s="20" t="s">
        <v>2260</v>
      </c>
    </row>
    <row r="82" spans="2:3" x14ac:dyDescent="0.25">
      <c r="B82" s="6" t="s">
        <v>2043</v>
      </c>
      <c r="C82" s="6" t="s">
        <v>2261</v>
      </c>
    </row>
    <row r="83" spans="2:3" x14ac:dyDescent="0.25">
      <c r="B83" s="6">
        <v>1</v>
      </c>
      <c r="C83" s="11" t="s">
        <v>2262</v>
      </c>
    </row>
    <row r="84" spans="2:3" x14ac:dyDescent="0.25">
      <c r="B84" s="6">
        <v>2</v>
      </c>
      <c r="C84" s="11" t="s">
        <v>2263</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8B56D-3A0D-411C-94BA-E066B375B606}">
  <sheetPr codeName="Sheet4"/>
  <dimension ref="A1:AG7"/>
  <sheetViews>
    <sheetView workbookViewId="0">
      <selection activeCell="F15" sqref="F15"/>
    </sheetView>
  </sheetViews>
  <sheetFormatPr defaultColWidth="12.77734375" defaultRowHeight="15.6" x14ac:dyDescent="0.25"/>
  <cols>
    <col min="1" max="16384" width="12.77734375" style="1"/>
  </cols>
  <sheetData>
    <row r="1" spans="1:33" x14ac:dyDescent="0.25">
      <c r="A1" s="6" t="s">
        <v>41</v>
      </c>
      <c r="B1" s="9" t="s">
        <v>215</v>
      </c>
      <c r="C1" s="7" t="s">
        <v>1861</v>
      </c>
      <c r="D1" s="6" t="s">
        <v>653</v>
      </c>
      <c r="E1" s="6" t="s">
        <v>654</v>
      </c>
      <c r="F1" s="6" t="s">
        <v>794</v>
      </c>
      <c r="G1" s="7" t="s">
        <v>648</v>
      </c>
      <c r="H1" s="6" t="s">
        <v>294</v>
      </c>
      <c r="I1" s="6" t="s">
        <v>298</v>
      </c>
      <c r="J1" s="6" t="s">
        <v>473</v>
      </c>
      <c r="K1" s="6" t="s">
        <v>295</v>
      </c>
      <c r="L1" s="6" t="s">
        <v>298</v>
      </c>
      <c r="M1" s="6" t="s">
        <v>473</v>
      </c>
      <c r="N1" s="6" t="s">
        <v>296</v>
      </c>
      <c r="O1" s="6" t="s">
        <v>298</v>
      </c>
      <c r="P1" s="6" t="s">
        <v>473</v>
      </c>
      <c r="Q1" s="6" t="s">
        <v>297</v>
      </c>
      <c r="R1" s="6" t="s">
        <v>298</v>
      </c>
      <c r="S1" s="6" t="s">
        <v>473</v>
      </c>
      <c r="T1" s="6" t="s">
        <v>571</v>
      </c>
      <c r="U1" s="6" t="s">
        <v>298</v>
      </c>
      <c r="V1" s="6" t="s">
        <v>473</v>
      </c>
      <c r="W1" s="7" t="s">
        <v>899</v>
      </c>
      <c r="X1" s="6" t="s">
        <v>216</v>
      </c>
      <c r="Y1" s="6" t="s">
        <v>291</v>
      </c>
      <c r="Z1" s="6" t="s">
        <v>217</v>
      </c>
      <c r="AA1" s="6" t="s">
        <v>291</v>
      </c>
      <c r="AB1" s="6" t="s">
        <v>218</v>
      </c>
      <c r="AC1" s="6" t="s">
        <v>291</v>
      </c>
      <c r="AD1" s="6" t="s">
        <v>219</v>
      </c>
      <c r="AE1" s="6" t="s">
        <v>291</v>
      </c>
      <c r="AF1" s="6" t="s">
        <v>220</v>
      </c>
      <c r="AG1" s="6" t="s">
        <v>291</v>
      </c>
    </row>
    <row r="2" spans="1:33" x14ac:dyDescent="0.25">
      <c r="A2" s="6">
        <v>1</v>
      </c>
      <c r="B2" s="9" t="s">
        <v>115</v>
      </c>
      <c r="C2" s="7">
        <f>ROUND(_xlfn.XLOOKUP(F2,'02祝福表'!$D:$D,'02祝福表'!$E:$E)+1/3*G2+W2,0)</f>
        <v>10</v>
      </c>
      <c r="D2" s="6">
        <v>7</v>
      </c>
      <c r="E2" s="6">
        <v>3</v>
      </c>
      <c r="F2" s="6"/>
      <c r="G2" s="7">
        <f>ROUND((I2*_xlfn.XLOOKUP(H2,'02效果表'!D:D,'02效果表'!E:E)+L2*_xlfn.XLOOKUP(K2,'02效果表'!D:D,'02效果表'!E:E)+O2*_xlfn.XLOOKUP(N2,'02效果表'!D:D,'02效果表'!E:E)+R2*_xlfn.XLOOKUP(Q2,'02效果表'!D:D,'02效果表'!E:E)+U2*_xlfn.XLOOKUP(T2,'02效果表'!D:D,'02效果表'!E:E)),0)</f>
        <v>18</v>
      </c>
      <c r="H2" s="6" t="s">
        <v>299</v>
      </c>
      <c r="I2" s="6">
        <v>1</v>
      </c>
      <c r="J2" s="6">
        <v>5</v>
      </c>
      <c r="K2" s="6" t="s">
        <v>300</v>
      </c>
      <c r="L2" s="6">
        <v>4</v>
      </c>
      <c r="M2" s="6">
        <v>3</v>
      </c>
      <c r="N2" s="6" t="s">
        <v>301</v>
      </c>
      <c r="O2" s="6">
        <v>1</v>
      </c>
      <c r="P2" s="6">
        <v>1</v>
      </c>
      <c r="Q2" s="6" t="s">
        <v>302</v>
      </c>
      <c r="R2" s="6">
        <v>1</v>
      </c>
      <c r="S2" s="6">
        <v>0</v>
      </c>
      <c r="T2" s="6"/>
      <c r="U2" s="6"/>
      <c r="V2" s="6"/>
      <c r="W2" s="7">
        <f>Y2*_xlfn.XLOOKUP(X2,'02骰子表'!D:D,'02骰子表'!F:F)+AA2*_xlfn.XLOOKUP(Z2,'02骰子表'!D:D,'02骰子表'!F:F)+AC2*_xlfn.XLOOKUP(AB2,'02骰子表'!D:D,'02骰子表'!F:F)+AE2*_xlfn.XLOOKUP(AD2,'02骰子表'!D:D,'02骰子表'!F:F)+AG2*_xlfn.XLOOKUP(AF2,'02骰子表'!D:D,'02骰子表'!F:F)</f>
        <v>3.5</v>
      </c>
      <c r="X2" s="6" t="s">
        <v>292</v>
      </c>
      <c r="Y2" s="6">
        <v>1</v>
      </c>
      <c r="Z2" s="6" t="s">
        <v>221</v>
      </c>
      <c r="AA2" s="6">
        <v>2</v>
      </c>
      <c r="AB2" s="6" t="s">
        <v>222</v>
      </c>
      <c r="AC2" s="6">
        <v>2</v>
      </c>
      <c r="AD2" s="6" t="s">
        <v>223</v>
      </c>
      <c r="AE2" s="6">
        <v>1</v>
      </c>
      <c r="AF2" s="6" t="s">
        <v>224</v>
      </c>
      <c r="AG2" s="6">
        <v>2</v>
      </c>
    </row>
    <row r="3" spans="1:33" x14ac:dyDescent="0.25">
      <c r="A3" s="6">
        <v>2</v>
      </c>
      <c r="B3" s="9" t="s">
        <v>286</v>
      </c>
      <c r="C3" s="7">
        <f>ROUND(_xlfn.XLOOKUP(F3,'02祝福表'!$D:$D,'02祝福表'!$E:$E)+1/3*G3+W3,0)</f>
        <v>8</v>
      </c>
      <c r="D3" s="6">
        <v>7</v>
      </c>
      <c r="E3" s="6">
        <v>3</v>
      </c>
      <c r="F3" s="6"/>
      <c r="G3" s="7">
        <f>ROUND((I3*_xlfn.XLOOKUP(H3,'02效果表'!D:D,'02效果表'!E:E)+L3*_xlfn.XLOOKUP(K3,'02效果表'!D:D,'02效果表'!E:E)+O3*_xlfn.XLOOKUP(N3,'02效果表'!D:D,'02效果表'!E:E)+R3*_xlfn.XLOOKUP(Q3,'02效果表'!D:D,'02效果表'!E:E)+U3*_xlfn.XLOOKUP(T3,'02效果表'!D:D,'02效果表'!E:E)),0)</f>
        <v>20</v>
      </c>
      <c r="H3" s="6" t="s">
        <v>472</v>
      </c>
      <c r="I3" s="6">
        <v>4</v>
      </c>
      <c r="J3" s="6">
        <v>6</v>
      </c>
      <c r="K3" s="6" t="s">
        <v>301</v>
      </c>
      <c r="L3" s="6">
        <v>2</v>
      </c>
      <c r="M3" s="6">
        <v>4</v>
      </c>
      <c r="N3" s="6" t="s">
        <v>416</v>
      </c>
      <c r="O3" s="6">
        <v>2</v>
      </c>
      <c r="P3" s="6">
        <v>2</v>
      </c>
      <c r="Q3" s="6" t="s">
        <v>419</v>
      </c>
      <c r="R3" s="6">
        <v>2</v>
      </c>
      <c r="S3" s="6">
        <v>0</v>
      </c>
      <c r="T3" s="6"/>
      <c r="U3" s="6"/>
      <c r="V3" s="6"/>
      <c r="W3" s="7">
        <f>Y3*_xlfn.XLOOKUP(X3,'02骰子表'!D:D,'02骰子表'!F:F)+AA3*_xlfn.XLOOKUP(Z3,'02骰子表'!D:D,'02骰子表'!F:F)+AC3*_xlfn.XLOOKUP(AB3,'02骰子表'!D:D,'02骰子表'!F:F)+AE3*_xlfn.XLOOKUP(AD3,'02骰子表'!D:D,'02骰子表'!F:F)+AG3*_xlfn.XLOOKUP(AF3,'02骰子表'!D:D,'02骰子表'!F:F)</f>
        <v>1</v>
      </c>
      <c r="X3" s="6" t="s">
        <v>576</v>
      </c>
      <c r="Y3" s="6">
        <v>2</v>
      </c>
      <c r="Z3" s="6" t="s">
        <v>288</v>
      </c>
      <c r="AA3" s="6">
        <v>1</v>
      </c>
      <c r="AB3" s="6" t="s">
        <v>289</v>
      </c>
      <c r="AC3" s="6">
        <v>2</v>
      </c>
      <c r="AD3" s="6" t="s">
        <v>290</v>
      </c>
      <c r="AE3" s="6">
        <v>3</v>
      </c>
      <c r="AF3" s="6"/>
      <c r="AG3" s="6"/>
    </row>
    <row r="4" spans="1:33" x14ac:dyDescent="0.25">
      <c r="A4" s="6">
        <v>3</v>
      </c>
      <c r="B4" s="9" t="s">
        <v>5</v>
      </c>
      <c r="C4" s="7">
        <f>ROUND(_xlfn.XLOOKUP(F4,'02祝福表'!$D:$D,'02祝福表'!$E:$E)+1/3*G4+W4,0)</f>
        <v>11</v>
      </c>
      <c r="D4" s="6">
        <v>7</v>
      </c>
      <c r="E4" s="6">
        <v>2</v>
      </c>
      <c r="F4" s="6" t="s">
        <v>795</v>
      </c>
      <c r="G4" s="7">
        <f>ROUND((I4*_xlfn.XLOOKUP(H4,'02效果表'!D:D,'02效果表'!E:E)+L4*_xlfn.XLOOKUP(K4,'02效果表'!D:D,'02效果表'!E:E)+O4*_xlfn.XLOOKUP(N4,'02效果表'!D:D,'02效果表'!E:E)+R4*_xlfn.XLOOKUP(Q4,'02效果表'!D:D,'02效果表'!E:E)+U4*_xlfn.XLOOKUP(T4,'02效果表'!D:D,'02效果表'!E:E)),0)</f>
        <v>9</v>
      </c>
      <c r="H4" s="6" t="s">
        <v>577</v>
      </c>
      <c r="I4" s="6">
        <v>1</v>
      </c>
      <c r="J4" s="6">
        <v>6</v>
      </c>
      <c r="K4" s="6" t="s">
        <v>300</v>
      </c>
      <c r="L4" s="6">
        <v>3</v>
      </c>
      <c r="M4" s="6">
        <v>4</v>
      </c>
      <c r="N4" s="6" t="s">
        <v>301</v>
      </c>
      <c r="O4" s="6">
        <v>3</v>
      </c>
      <c r="P4" s="6">
        <v>2</v>
      </c>
      <c r="Q4" s="6" t="s">
        <v>579</v>
      </c>
      <c r="R4" s="6">
        <v>3</v>
      </c>
      <c r="S4" s="6">
        <v>1</v>
      </c>
      <c r="T4" s="6" t="s">
        <v>580</v>
      </c>
      <c r="U4" s="6">
        <v>2</v>
      </c>
      <c r="V4" s="6">
        <v>0</v>
      </c>
      <c r="W4" s="7">
        <f>Y4*_xlfn.XLOOKUP(X4,'02骰子表'!D:D,'02骰子表'!F:F)+AA4*_xlfn.XLOOKUP(Z4,'02骰子表'!D:D,'02骰子表'!F:F)+AC4*_xlfn.XLOOKUP(AB4,'02骰子表'!D:D,'02骰子表'!F:F)+AE4*_xlfn.XLOOKUP(AD4,'02骰子表'!D:D,'02骰子表'!F:F)+AG4*_xlfn.XLOOKUP(AF4,'02骰子表'!D:D,'02骰子表'!F:F)</f>
        <v>3</v>
      </c>
      <c r="X4" s="6" t="s">
        <v>292</v>
      </c>
      <c r="Y4" s="6">
        <v>3</v>
      </c>
      <c r="Z4" s="6" t="s">
        <v>289</v>
      </c>
      <c r="AA4" s="6">
        <v>3</v>
      </c>
      <c r="AB4" s="6" t="s">
        <v>293</v>
      </c>
      <c r="AC4" s="6">
        <v>2</v>
      </c>
      <c r="AD4" s="6"/>
      <c r="AE4" s="6"/>
      <c r="AF4" s="6"/>
      <c r="AG4" s="6"/>
    </row>
    <row r="5" spans="1:33" x14ac:dyDescent="0.25">
      <c r="A5" s="6">
        <v>4</v>
      </c>
      <c r="B5" s="9" t="s">
        <v>6</v>
      </c>
      <c r="C5" s="7">
        <f>ROUND(_xlfn.XLOOKUP(F5,'02祝福表'!$D:$D,'02祝福表'!$E:$E)+1/3*G5+W5,0)</f>
        <v>11</v>
      </c>
      <c r="D5" s="6">
        <v>7</v>
      </c>
      <c r="E5" s="6">
        <v>3</v>
      </c>
      <c r="F5" s="6" t="s">
        <v>649</v>
      </c>
      <c r="G5" s="7">
        <f>ROUND((I5*_xlfn.XLOOKUP(H5,'02效果表'!D:D,'02效果表'!E:E)+L5*_xlfn.XLOOKUP(K5,'02效果表'!D:D,'02效果表'!E:E)+O5*_xlfn.XLOOKUP(N5,'02效果表'!D:D,'02效果表'!E:E)+R5*_xlfn.XLOOKUP(Q5,'02效果表'!D:D,'02效果表'!E:E)+U5*_xlfn.XLOOKUP(T5,'02效果表'!D:D,'02效果表'!E:E)),0)</f>
        <v>15</v>
      </c>
      <c r="H5" s="6" t="s">
        <v>570</v>
      </c>
      <c r="I5" s="6">
        <v>4</v>
      </c>
      <c r="J5" s="6">
        <v>5</v>
      </c>
      <c r="K5" s="6" t="s">
        <v>300</v>
      </c>
      <c r="L5" s="6">
        <v>4</v>
      </c>
      <c r="M5" s="6">
        <v>4</v>
      </c>
      <c r="N5" s="6" t="s">
        <v>319</v>
      </c>
      <c r="O5" s="6">
        <v>3</v>
      </c>
      <c r="P5" s="6">
        <v>3</v>
      </c>
      <c r="Q5" s="6" t="s">
        <v>301</v>
      </c>
      <c r="R5" s="6">
        <v>2</v>
      </c>
      <c r="S5" s="6">
        <v>1</v>
      </c>
      <c r="T5" s="6" t="s">
        <v>572</v>
      </c>
      <c r="U5" s="6">
        <v>6</v>
      </c>
      <c r="V5" s="6">
        <v>0</v>
      </c>
      <c r="W5" s="7">
        <f>Y5*_xlfn.XLOOKUP(X5,'02骰子表'!D:D,'02骰子表'!F:F)+AA5*_xlfn.XLOOKUP(Z5,'02骰子表'!D:D,'02骰子表'!F:F)+AC5*_xlfn.XLOOKUP(AB5,'02骰子表'!D:D,'02骰子表'!F:F)+AE5*_xlfn.XLOOKUP(AD5,'02骰子表'!D:D,'02骰子表'!F:F)+AG5*_xlfn.XLOOKUP(AF5,'02骰子表'!D:D,'02骰子表'!F:F)</f>
        <v>2.5</v>
      </c>
      <c r="X5" s="6" t="s">
        <v>292</v>
      </c>
      <c r="Y5" s="6">
        <v>2</v>
      </c>
      <c r="Z5" s="6" t="s">
        <v>289</v>
      </c>
      <c r="AA5" s="6">
        <v>3</v>
      </c>
      <c r="AB5" s="6" t="s">
        <v>573</v>
      </c>
      <c r="AC5" s="6">
        <v>1</v>
      </c>
      <c r="AD5" s="6" t="s">
        <v>575</v>
      </c>
      <c r="AE5" s="6">
        <v>1</v>
      </c>
      <c r="AF5" s="6"/>
      <c r="AG5" s="6"/>
    </row>
    <row r="6" spans="1:33" x14ac:dyDescent="0.25">
      <c r="A6" s="6">
        <v>5</v>
      </c>
      <c r="B6" s="9" t="s">
        <v>7</v>
      </c>
      <c r="C6" s="7">
        <f>ROUND(_xlfn.XLOOKUP(F6,'02祝福表'!$D:$D,'02祝福表'!$E:$E)+1/3*G6+W6,0)</f>
        <v>10</v>
      </c>
      <c r="D6" s="6">
        <v>7</v>
      </c>
      <c r="E6" s="6">
        <v>3</v>
      </c>
      <c r="F6" s="6" t="s">
        <v>756</v>
      </c>
      <c r="G6" s="7">
        <f>ROUND((I6*_xlfn.XLOOKUP(H6,'02效果表'!D:D,'02效果表'!E:E)+L6*_xlfn.XLOOKUP(K6,'02效果表'!D:D,'02效果表'!E:E)+O6*_xlfn.XLOOKUP(N6,'02效果表'!D:D,'02效果表'!E:E)+R6*_xlfn.XLOOKUP(Q6,'02效果表'!D:D,'02效果表'!E:E)+U6*_xlfn.XLOOKUP(T6,'02效果表'!D:D,'02效果表'!E:E)),0)</f>
        <v>16</v>
      </c>
      <c r="H6" s="6" t="s">
        <v>753</v>
      </c>
      <c r="I6" s="6">
        <v>10</v>
      </c>
      <c r="J6" s="6">
        <v>6</v>
      </c>
      <c r="K6" s="6" t="s">
        <v>754</v>
      </c>
      <c r="L6" s="6">
        <v>3</v>
      </c>
      <c r="M6" s="6">
        <v>3</v>
      </c>
      <c r="N6" s="6" t="s">
        <v>301</v>
      </c>
      <c r="O6" s="6">
        <v>3</v>
      </c>
      <c r="P6" s="6">
        <v>1</v>
      </c>
      <c r="Q6" s="6" t="s">
        <v>755</v>
      </c>
      <c r="R6" s="6">
        <v>1</v>
      </c>
      <c r="S6" s="6">
        <v>0</v>
      </c>
      <c r="T6" s="6"/>
      <c r="U6" s="6"/>
      <c r="V6" s="6"/>
      <c r="W6" s="7">
        <f>Y6*_xlfn.XLOOKUP(X6,'02骰子表'!D:D,'02骰子表'!F:F)+AA6*_xlfn.XLOOKUP(Z6,'02骰子表'!D:D,'02骰子表'!F:F)+AC6*_xlfn.XLOOKUP(AB6,'02骰子表'!D:D,'02骰子表'!F:F)+AE6*_xlfn.XLOOKUP(AD6,'02骰子表'!D:D,'02骰子表'!F:F)+AG6*_xlfn.XLOOKUP(AF6,'02骰子表'!D:D,'02骰子表'!F:F)</f>
        <v>2</v>
      </c>
      <c r="X6" s="6" t="s">
        <v>292</v>
      </c>
      <c r="Y6" s="6">
        <v>1</v>
      </c>
      <c r="Z6" s="6" t="s">
        <v>289</v>
      </c>
      <c r="AA6" s="6">
        <v>3</v>
      </c>
      <c r="AB6" s="6" t="s">
        <v>757</v>
      </c>
      <c r="AC6" s="6">
        <v>3</v>
      </c>
      <c r="AD6" s="6" t="s">
        <v>758</v>
      </c>
      <c r="AE6" s="6">
        <v>1</v>
      </c>
      <c r="AF6" s="6"/>
      <c r="AG6" s="6"/>
    </row>
    <row r="7" spans="1:33" x14ac:dyDescent="0.25">
      <c r="A7" s="6">
        <v>6</v>
      </c>
      <c r="B7" s="9" t="s">
        <v>287</v>
      </c>
      <c r="C7" s="7">
        <f>ROUND(_xlfn.XLOOKUP(F7,'02祝福表'!$D:$D,'02祝福表'!$E:$E)+1/3*G7+W7,0)</f>
        <v>11</v>
      </c>
      <c r="D7" s="6">
        <v>7</v>
      </c>
      <c r="E7" s="6">
        <v>3</v>
      </c>
      <c r="F7" s="6" t="s">
        <v>823</v>
      </c>
      <c r="G7" s="7">
        <f>ROUND((I7*_xlfn.XLOOKUP(H7,'02效果表'!D:D,'02效果表'!E:E)+L7*_xlfn.XLOOKUP(K7,'02效果表'!D:D,'02效果表'!E:E)+O7*_xlfn.XLOOKUP(N7,'02效果表'!D:D,'02效果表'!E:E)+R7*_xlfn.XLOOKUP(Q7,'02效果表'!D:D,'02效果表'!E:E)+U7*_xlfn.XLOOKUP(T7,'02效果表'!D:D,'02效果表'!E:E)),0)</f>
        <v>25</v>
      </c>
      <c r="H7" s="6" t="s">
        <v>827</v>
      </c>
      <c r="I7" s="6">
        <v>4</v>
      </c>
      <c r="J7" s="6">
        <v>6</v>
      </c>
      <c r="K7" s="6" t="s">
        <v>828</v>
      </c>
      <c r="L7" s="6">
        <v>1</v>
      </c>
      <c r="M7" s="6">
        <v>4</v>
      </c>
      <c r="N7" s="6" t="s">
        <v>829</v>
      </c>
      <c r="O7" s="6">
        <v>1</v>
      </c>
      <c r="P7" s="6">
        <v>3</v>
      </c>
      <c r="Q7" s="6" t="s">
        <v>301</v>
      </c>
      <c r="R7" s="6">
        <v>3</v>
      </c>
      <c r="S7" s="6">
        <v>1</v>
      </c>
      <c r="T7" s="6" t="s">
        <v>830</v>
      </c>
      <c r="U7" s="6">
        <v>3</v>
      </c>
      <c r="V7" s="6">
        <v>0</v>
      </c>
      <c r="W7" s="7">
        <f>Y7*_xlfn.XLOOKUP(X7,'02骰子表'!D:D,'02骰子表'!F:F)+AA7*_xlfn.XLOOKUP(Z7,'02骰子表'!D:D,'02骰子表'!F:F)+AC7*_xlfn.XLOOKUP(AB7,'02骰子表'!D:D,'02骰子表'!F:F)+AE7*_xlfn.XLOOKUP(AD7,'02骰子表'!D:D,'02骰子表'!F:F)+AG7*_xlfn.XLOOKUP(AF7,'02骰子表'!D:D,'02骰子表'!F:F)</f>
        <v>1</v>
      </c>
      <c r="X7" s="6" t="s">
        <v>292</v>
      </c>
      <c r="Y7" s="6">
        <v>2</v>
      </c>
      <c r="Z7" s="6" t="s">
        <v>824</v>
      </c>
      <c r="AA7" s="6">
        <v>2</v>
      </c>
      <c r="AB7" s="6" t="s">
        <v>825</v>
      </c>
      <c r="AC7" s="6">
        <v>2</v>
      </c>
      <c r="AD7" s="6" t="s">
        <v>826</v>
      </c>
      <c r="AE7" s="6">
        <v>2</v>
      </c>
      <c r="AF7" s="6"/>
      <c r="AG7" s="6"/>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B84FB-FCFA-4366-A27D-E51450EDF70E}">
  <sheetPr codeName="Sheet5"/>
  <dimension ref="A1:U21"/>
  <sheetViews>
    <sheetView zoomScaleNormal="100" workbookViewId="0">
      <selection activeCell="D20" sqref="D20"/>
    </sheetView>
  </sheetViews>
  <sheetFormatPr defaultColWidth="12.77734375" defaultRowHeight="15.6" x14ac:dyDescent="0.25"/>
  <cols>
    <col min="1" max="16384" width="12.77734375" style="1"/>
  </cols>
  <sheetData>
    <row r="1" spans="1:21" x14ac:dyDescent="0.25">
      <c r="A1" s="6" t="s">
        <v>41</v>
      </c>
      <c r="B1" s="6" t="s">
        <v>42</v>
      </c>
      <c r="C1" s="9" t="s">
        <v>40</v>
      </c>
      <c r="D1" s="7" t="s">
        <v>641</v>
      </c>
      <c r="E1" s="6" t="s">
        <v>124</v>
      </c>
      <c r="F1" s="6" t="s">
        <v>119</v>
      </c>
      <c r="G1" s="6" t="s">
        <v>213</v>
      </c>
      <c r="H1" s="6" t="s">
        <v>881</v>
      </c>
      <c r="I1" s="6" t="s">
        <v>211</v>
      </c>
      <c r="J1" s="6" t="s">
        <v>895</v>
      </c>
      <c r="K1" s="6" t="s">
        <v>211</v>
      </c>
      <c r="L1" s="6" t="s">
        <v>710</v>
      </c>
      <c r="M1" s="6" t="s">
        <v>211</v>
      </c>
      <c r="N1" s="6" t="s">
        <v>882</v>
      </c>
      <c r="O1" s="6" t="s">
        <v>211</v>
      </c>
      <c r="P1" s="6" t="s">
        <v>883</v>
      </c>
      <c r="Q1" s="6" t="s">
        <v>211</v>
      </c>
      <c r="R1" s="6" t="s">
        <v>884</v>
      </c>
      <c r="S1" s="6" t="s">
        <v>211</v>
      </c>
      <c r="T1" s="6" t="s">
        <v>885</v>
      </c>
      <c r="U1" s="6" t="s">
        <v>211</v>
      </c>
    </row>
    <row r="2" spans="1:21" x14ac:dyDescent="0.25">
      <c r="A2" s="6">
        <v>1</v>
      </c>
      <c r="B2" s="6" t="s">
        <v>117</v>
      </c>
      <c r="C2" s="9" t="s">
        <v>102</v>
      </c>
      <c r="D2" s="7">
        <f>ROUND(G2*_xlfn.XLOOKUP(F2,'02效果表'!D:D,'02效果表'!E:E)+1/6*(I2*_xlfn.XLOOKUP(H2,'02效果表'!D:D,'02效果表'!E:E)+K2*_xlfn.XLOOKUP(J2,'02效果表'!D:D,'02效果表'!E:E)+M2*_xlfn.XLOOKUP(L2,'02效果表'!D:D,'02效果表'!E:E)+O2*_xlfn.XLOOKUP(N2,'02效果表'!D:D,'02效果表'!E:E)+Q2*_xlfn.XLOOKUP(P2,'02效果表'!D:D,'02效果表'!E:E)+S2*_xlfn.XLOOKUP(R2,'02效果表'!D:D,'02效果表'!E:E)+U2*_xlfn.XLOOKUP(T2,'02效果表'!D:D,'02效果表'!E:E)),0)</f>
        <v>2</v>
      </c>
      <c r="E2" s="6">
        <v>4</v>
      </c>
      <c r="F2" s="6"/>
      <c r="G2" s="6"/>
      <c r="H2" s="6" t="s">
        <v>889</v>
      </c>
      <c r="I2" s="6">
        <v>1</v>
      </c>
      <c r="J2" s="6" t="s">
        <v>889</v>
      </c>
      <c r="K2" s="6">
        <v>1</v>
      </c>
      <c r="L2" s="6"/>
      <c r="M2" s="6"/>
      <c r="N2" s="6" t="s">
        <v>889</v>
      </c>
      <c r="O2" s="6">
        <v>1</v>
      </c>
      <c r="P2" s="6" t="s">
        <v>416</v>
      </c>
      <c r="Q2" s="6">
        <v>1</v>
      </c>
      <c r="R2" s="6" t="s">
        <v>416</v>
      </c>
      <c r="S2" s="6">
        <v>2</v>
      </c>
      <c r="T2" s="6" t="s">
        <v>416</v>
      </c>
      <c r="U2" s="6">
        <v>3</v>
      </c>
    </row>
    <row r="3" spans="1:21" x14ac:dyDescent="0.25">
      <c r="A3" s="6">
        <v>2</v>
      </c>
      <c r="B3" s="6" t="s">
        <v>117</v>
      </c>
      <c r="C3" s="9" t="s">
        <v>105</v>
      </c>
      <c r="D3" s="7">
        <f>ROUND(G3*_xlfn.XLOOKUP(F3,'02效果表'!D:D,'02效果表'!E:E)+1/6*(I3*_xlfn.XLOOKUP(H3,'02效果表'!D:D,'02效果表'!E:E)+K3*_xlfn.XLOOKUP(J3,'02效果表'!D:D,'02效果表'!E:E)+M3*_xlfn.XLOOKUP(L3,'02效果表'!D:D,'02效果表'!E:E)+O3*_xlfn.XLOOKUP(N3,'02效果表'!D:D,'02效果表'!E:E)+Q3*_xlfn.XLOOKUP(P3,'02效果表'!D:D,'02效果表'!E:E)+S3*_xlfn.XLOOKUP(R3,'02效果表'!D:D,'02效果表'!E:E)+U3*_xlfn.XLOOKUP(T3,'02效果表'!D:D,'02效果表'!E:E)),0)</f>
        <v>-3</v>
      </c>
      <c r="E3" s="6">
        <v>7</v>
      </c>
      <c r="F3" s="8" t="s">
        <v>120</v>
      </c>
      <c r="G3" s="8">
        <v>1</v>
      </c>
      <c r="H3" s="6" t="s">
        <v>416</v>
      </c>
      <c r="I3" s="6">
        <v>0</v>
      </c>
      <c r="J3" s="6" t="s">
        <v>416</v>
      </c>
      <c r="K3" s="6">
        <v>0</v>
      </c>
      <c r="L3" s="6"/>
      <c r="M3" s="6"/>
      <c r="N3" s="6" t="s">
        <v>416</v>
      </c>
      <c r="O3" s="6">
        <v>0</v>
      </c>
      <c r="P3" s="6" t="s">
        <v>416</v>
      </c>
      <c r="Q3" s="6">
        <v>0</v>
      </c>
      <c r="R3" s="6" t="s">
        <v>579</v>
      </c>
      <c r="S3" s="6">
        <v>0</v>
      </c>
      <c r="T3" s="6" t="s">
        <v>579</v>
      </c>
      <c r="U3" s="6">
        <v>0</v>
      </c>
    </row>
    <row r="4" spans="1:21" x14ac:dyDescent="0.25">
      <c r="A4" s="6">
        <v>3</v>
      </c>
      <c r="B4" s="6" t="s">
        <v>117</v>
      </c>
      <c r="C4" s="9" t="s">
        <v>107</v>
      </c>
      <c r="D4" s="7">
        <f>ROUND(G4*_xlfn.XLOOKUP(F4,'02效果表'!D:D,'02效果表'!E:E)+1/6*(I4*_xlfn.XLOOKUP(H4,'02效果表'!D:D,'02效果表'!E:E)+K4*_xlfn.XLOOKUP(J4,'02效果表'!D:D,'02效果表'!E:E)+M4*_xlfn.XLOOKUP(L4,'02效果表'!D:D,'02效果表'!E:E)+O4*_xlfn.XLOOKUP(N4,'02效果表'!D:D,'02效果表'!E:E)+Q4*_xlfn.XLOOKUP(P4,'02效果表'!D:D,'02效果表'!E:E)+S4*_xlfn.XLOOKUP(R4,'02效果表'!D:D,'02效果表'!E:E)+U4*_xlfn.XLOOKUP(T4,'02效果表'!D:D,'02效果表'!E:E)),0)</f>
        <v>3</v>
      </c>
      <c r="E4" s="6">
        <v>4</v>
      </c>
      <c r="F4" s="6" t="s">
        <v>214</v>
      </c>
      <c r="G4" s="6">
        <v>2</v>
      </c>
      <c r="H4" s="6" t="s">
        <v>580</v>
      </c>
      <c r="I4" s="6">
        <v>2</v>
      </c>
      <c r="J4" s="6" t="s">
        <v>580</v>
      </c>
      <c r="K4" s="6">
        <v>1</v>
      </c>
      <c r="L4" s="6"/>
      <c r="M4" s="6"/>
      <c r="N4" s="6" t="s">
        <v>580</v>
      </c>
      <c r="O4" s="6">
        <v>1</v>
      </c>
      <c r="P4" s="6" t="s">
        <v>890</v>
      </c>
      <c r="Q4" s="6">
        <v>2</v>
      </c>
      <c r="R4" s="6" t="s">
        <v>416</v>
      </c>
      <c r="S4" s="6">
        <v>1</v>
      </c>
      <c r="T4" s="6" t="s">
        <v>416</v>
      </c>
      <c r="U4" s="6">
        <v>1</v>
      </c>
    </row>
    <row r="5" spans="1:21" x14ac:dyDescent="0.25">
      <c r="A5" s="6">
        <v>4</v>
      </c>
      <c r="B5" s="6" t="s">
        <v>117</v>
      </c>
      <c r="C5" s="9" t="s">
        <v>109</v>
      </c>
      <c r="D5" s="7">
        <f>ROUND(G5*_xlfn.XLOOKUP(F5,'02效果表'!D:D,'02效果表'!E:E)+1/6*(I5*_xlfn.XLOOKUP(H5,'02效果表'!D:D,'02效果表'!E:E)+K5*_xlfn.XLOOKUP(J5,'02效果表'!D:D,'02效果表'!E:E)+M5*_xlfn.XLOOKUP(L5,'02效果表'!D:D,'02效果表'!E:E)+O5*_xlfn.XLOOKUP(N5,'02效果表'!D:D,'02效果表'!E:E)+Q5*_xlfn.XLOOKUP(P5,'02效果表'!D:D,'02效果表'!E:E)+S5*_xlfn.XLOOKUP(R5,'02效果表'!D:D,'02效果表'!E:E)+U5*_xlfn.XLOOKUP(T5,'02效果表'!D:D,'02效果表'!E:E)),0)</f>
        <v>6</v>
      </c>
      <c r="E5" s="6">
        <v>6</v>
      </c>
      <c r="F5" s="6" t="s">
        <v>121</v>
      </c>
      <c r="G5" s="6">
        <v>1</v>
      </c>
      <c r="H5" s="6" t="s">
        <v>416</v>
      </c>
      <c r="I5" s="6">
        <v>1</v>
      </c>
      <c r="J5" s="6" t="s">
        <v>416</v>
      </c>
      <c r="K5" s="6">
        <v>1</v>
      </c>
      <c r="L5" s="6"/>
      <c r="M5" s="6"/>
      <c r="N5" s="6" t="s">
        <v>416</v>
      </c>
      <c r="O5" s="6">
        <v>1</v>
      </c>
      <c r="P5" s="6" t="s">
        <v>416</v>
      </c>
      <c r="Q5" s="6">
        <v>1</v>
      </c>
      <c r="R5" s="6" t="s">
        <v>416</v>
      </c>
      <c r="S5" s="6">
        <v>0</v>
      </c>
      <c r="T5" s="6" t="s">
        <v>416</v>
      </c>
      <c r="U5" s="6">
        <v>0</v>
      </c>
    </row>
    <row r="6" spans="1:21" x14ac:dyDescent="0.25">
      <c r="A6" s="6">
        <v>5</v>
      </c>
      <c r="B6" s="6" t="s">
        <v>117</v>
      </c>
      <c r="C6" s="9" t="s">
        <v>101</v>
      </c>
      <c r="D6" s="7">
        <f>ROUND(G6*_xlfn.XLOOKUP(F6,'02效果表'!D:D,'02效果表'!E:E)+1/6*(I6*_xlfn.XLOOKUP(H6,'02效果表'!D:D,'02效果表'!E:E)+K6*_xlfn.XLOOKUP(J6,'02效果表'!D:D,'02效果表'!E:E)+M6*_xlfn.XLOOKUP(L6,'02效果表'!D:D,'02效果表'!E:E)+O6*_xlfn.XLOOKUP(N6,'02效果表'!D:D,'02效果表'!E:E)+Q6*_xlfn.XLOOKUP(P6,'02效果表'!D:D,'02效果表'!E:E)+S6*_xlfn.XLOOKUP(R6,'02效果表'!D:D,'02效果表'!E:E)+U6*_xlfn.XLOOKUP(T6,'02效果表'!D:D,'02效果表'!E:E)),0)</f>
        <v>4</v>
      </c>
      <c r="E6" s="6">
        <v>4</v>
      </c>
      <c r="F6" s="6" t="s">
        <v>214</v>
      </c>
      <c r="G6" s="6">
        <v>2</v>
      </c>
      <c r="H6" s="6" t="s">
        <v>301</v>
      </c>
      <c r="I6" s="6">
        <v>2</v>
      </c>
      <c r="J6" s="6" t="s">
        <v>301</v>
      </c>
      <c r="K6" s="6">
        <v>2</v>
      </c>
      <c r="L6" s="6"/>
      <c r="M6" s="6"/>
      <c r="N6" s="6" t="s">
        <v>301</v>
      </c>
      <c r="O6" s="6">
        <v>1</v>
      </c>
      <c r="P6" s="6" t="s">
        <v>301</v>
      </c>
      <c r="Q6" s="6">
        <v>1</v>
      </c>
      <c r="R6" s="6" t="s">
        <v>301</v>
      </c>
      <c r="S6" s="6">
        <v>1</v>
      </c>
      <c r="T6" s="6" t="s">
        <v>301</v>
      </c>
      <c r="U6" s="6">
        <v>1</v>
      </c>
    </row>
    <row r="7" spans="1:21" x14ac:dyDescent="0.25">
      <c r="A7" s="6">
        <v>6</v>
      </c>
      <c r="B7" s="6" t="s">
        <v>117</v>
      </c>
      <c r="C7" s="9" t="s">
        <v>111</v>
      </c>
      <c r="D7" s="7">
        <f>ROUND(G7*_xlfn.XLOOKUP(F7,'02效果表'!D:D,'02效果表'!E:E)+1/6*(I7*_xlfn.XLOOKUP(H7,'02效果表'!D:D,'02效果表'!E:E)+K7*_xlfn.XLOOKUP(J7,'02效果表'!D:D,'02效果表'!E:E)+M7*_xlfn.XLOOKUP(L7,'02效果表'!D:D,'02效果表'!E:E)+O7*_xlfn.XLOOKUP(N7,'02效果表'!D:D,'02效果表'!E:E)+Q7*_xlfn.XLOOKUP(P7,'02效果表'!D:D,'02效果表'!E:E)+S7*_xlfn.XLOOKUP(R7,'02效果表'!D:D,'02效果表'!E:E)+U7*_xlfn.XLOOKUP(T7,'02效果表'!D:D,'02效果表'!E:E)),0)</f>
        <v>3</v>
      </c>
      <c r="E7" s="6">
        <v>4</v>
      </c>
      <c r="F7" s="6"/>
      <c r="G7" s="6"/>
      <c r="H7" s="6" t="s">
        <v>416</v>
      </c>
      <c r="I7" s="6">
        <v>4</v>
      </c>
      <c r="J7" s="6" t="s">
        <v>416</v>
      </c>
      <c r="K7" s="6">
        <v>4</v>
      </c>
      <c r="L7" s="6"/>
      <c r="M7" s="6"/>
      <c r="N7" s="6" t="s">
        <v>416</v>
      </c>
      <c r="O7" s="6">
        <v>3</v>
      </c>
      <c r="P7" s="6" t="s">
        <v>416</v>
      </c>
      <c r="Q7" s="6">
        <v>3</v>
      </c>
      <c r="R7" s="6" t="s">
        <v>416</v>
      </c>
      <c r="S7" s="6">
        <v>2</v>
      </c>
      <c r="T7" s="6" t="s">
        <v>416</v>
      </c>
      <c r="U7" s="6">
        <v>2</v>
      </c>
    </row>
    <row r="8" spans="1:21" x14ac:dyDescent="0.25">
      <c r="A8" s="6">
        <v>7</v>
      </c>
      <c r="B8" s="6" t="s">
        <v>117</v>
      </c>
      <c r="C8" s="9" t="s">
        <v>104</v>
      </c>
      <c r="D8" s="7">
        <f>ROUND(G8*_xlfn.XLOOKUP(F8,'02效果表'!D:D,'02效果表'!E:E)+1/6*(I8*_xlfn.XLOOKUP(H8,'02效果表'!D:D,'02效果表'!E:E)+K8*_xlfn.XLOOKUP(J8,'02效果表'!D:D,'02效果表'!E:E)+M8*_xlfn.XLOOKUP(L8,'02效果表'!D:D,'02效果表'!E:E)+O8*_xlfn.XLOOKUP(N8,'02效果表'!D:D,'02效果表'!E:E)+Q8*_xlfn.XLOOKUP(P8,'02效果表'!D:D,'02效果表'!E:E)+S8*_xlfn.XLOOKUP(R8,'02效果表'!D:D,'02效果表'!E:E)+U8*_xlfn.XLOOKUP(T8,'02效果表'!D:D,'02效果表'!E:E)),0)</f>
        <v>6</v>
      </c>
      <c r="E8" s="6">
        <v>4</v>
      </c>
      <c r="F8" s="8" t="s">
        <v>270</v>
      </c>
      <c r="G8" s="8">
        <v>3</v>
      </c>
      <c r="H8" s="6" t="s">
        <v>370</v>
      </c>
      <c r="I8" s="6">
        <v>1</v>
      </c>
      <c r="J8" s="6" t="s">
        <v>416</v>
      </c>
      <c r="K8" s="6">
        <v>3</v>
      </c>
      <c r="L8" s="6"/>
      <c r="M8" s="6"/>
      <c r="N8" s="6" t="s">
        <v>416</v>
      </c>
      <c r="O8" s="6">
        <v>2</v>
      </c>
      <c r="P8" s="6" t="s">
        <v>416</v>
      </c>
      <c r="Q8" s="6">
        <v>1</v>
      </c>
      <c r="R8" s="6" t="s">
        <v>416</v>
      </c>
      <c r="S8" s="6">
        <v>1</v>
      </c>
      <c r="T8" s="6" t="s">
        <v>416</v>
      </c>
      <c r="U8" s="6">
        <v>1</v>
      </c>
    </row>
    <row r="9" spans="1:21" x14ac:dyDescent="0.25">
      <c r="A9" s="6">
        <v>8</v>
      </c>
      <c r="B9" s="6" t="s">
        <v>117</v>
      </c>
      <c r="C9" s="9" t="s">
        <v>103</v>
      </c>
      <c r="D9" s="7">
        <f>ROUND(G9*_xlfn.XLOOKUP(F9,'02效果表'!D:D,'02效果表'!E:E)+1/6*(I9*_xlfn.XLOOKUP(H9,'02效果表'!D:D,'02效果表'!E:E)+K9*_xlfn.XLOOKUP(J9,'02效果表'!D:D,'02效果表'!E:E)+M9*_xlfn.XLOOKUP(L9,'02效果表'!D:D,'02效果表'!E:E)+O9*_xlfn.XLOOKUP(N9,'02效果表'!D:D,'02效果表'!E:E)+Q9*_xlfn.XLOOKUP(P9,'02效果表'!D:D,'02效果表'!E:E)+S9*_xlfn.XLOOKUP(R9,'02效果表'!D:D,'02效果表'!E:E)+U9*_xlfn.XLOOKUP(T9,'02效果表'!D:D,'02效果表'!E:E)),0)</f>
        <v>7</v>
      </c>
      <c r="E9" s="6">
        <v>3</v>
      </c>
      <c r="F9" s="8" t="s">
        <v>270</v>
      </c>
      <c r="G9" s="8">
        <v>3</v>
      </c>
      <c r="H9" s="6" t="s">
        <v>880</v>
      </c>
      <c r="I9" s="6">
        <v>1</v>
      </c>
      <c r="J9" s="6" t="s">
        <v>416</v>
      </c>
      <c r="K9" s="6">
        <v>3</v>
      </c>
      <c r="L9" s="6"/>
      <c r="M9" s="6"/>
      <c r="N9" s="6" t="s">
        <v>416</v>
      </c>
      <c r="O9" s="6">
        <v>2</v>
      </c>
      <c r="P9" s="6" t="s">
        <v>416</v>
      </c>
      <c r="Q9" s="6">
        <v>1</v>
      </c>
      <c r="R9" s="6" t="s">
        <v>416</v>
      </c>
      <c r="S9" s="6">
        <v>1</v>
      </c>
      <c r="T9" s="6" t="s">
        <v>416</v>
      </c>
      <c r="U9" s="6">
        <v>1</v>
      </c>
    </row>
    <row r="10" spans="1:21" x14ac:dyDescent="0.25">
      <c r="A10" s="6">
        <v>9</v>
      </c>
      <c r="B10" s="6" t="s">
        <v>117</v>
      </c>
      <c r="C10" s="9" t="s">
        <v>110</v>
      </c>
      <c r="D10" s="7">
        <f>ROUND(G10*_xlfn.XLOOKUP(F10,'02效果表'!D:D,'02效果表'!E:E)+1/6*(I10*_xlfn.XLOOKUP(H10,'02效果表'!D:D,'02效果表'!E:E)+K10*_xlfn.XLOOKUP(J10,'02效果表'!D:D,'02效果表'!E:E)+M10*_xlfn.XLOOKUP(L10,'02效果表'!D:D,'02效果表'!E:E)+O10*_xlfn.XLOOKUP(N10,'02效果表'!D:D,'02效果表'!E:E)+Q10*_xlfn.XLOOKUP(P10,'02效果表'!D:D,'02效果表'!E:E)+S10*_xlfn.XLOOKUP(R10,'02效果表'!D:D,'02效果表'!E:E)+U10*_xlfn.XLOOKUP(T10,'02效果表'!D:D,'02效果表'!E:E)),0)</f>
        <v>3</v>
      </c>
      <c r="E10" s="6">
        <v>4</v>
      </c>
      <c r="F10" s="6"/>
      <c r="G10" s="6"/>
      <c r="H10" s="6" t="s">
        <v>419</v>
      </c>
      <c r="I10" s="6">
        <v>2</v>
      </c>
      <c r="J10" s="6" t="s">
        <v>419</v>
      </c>
      <c r="K10" s="6">
        <v>1</v>
      </c>
      <c r="L10" s="6"/>
      <c r="M10" s="6"/>
      <c r="N10" s="6" t="s">
        <v>419</v>
      </c>
      <c r="O10" s="6">
        <v>1</v>
      </c>
      <c r="P10" s="6" t="s">
        <v>419</v>
      </c>
      <c r="Q10" s="6">
        <v>1</v>
      </c>
      <c r="R10" s="6" t="s">
        <v>416</v>
      </c>
      <c r="S10" s="6">
        <v>1</v>
      </c>
      <c r="T10" s="6" t="s">
        <v>416</v>
      </c>
      <c r="U10" s="6">
        <v>1</v>
      </c>
    </row>
    <row r="11" spans="1:21" x14ac:dyDescent="0.25">
      <c r="A11" s="6">
        <v>10</v>
      </c>
      <c r="B11" s="6" t="s">
        <v>117</v>
      </c>
      <c r="C11" s="9" t="s">
        <v>112</v>
      </c>
      <c r="D11" s="7">
        <f>ROUND(G11*_xlfn.XLOOKUP(F11,'02效果表'!D:D,'02效果表'!E:E)+1/6*(I11*_xlfn.XLOOKUP(H11,'02效果表'!D:D,'02效果表'!E:E)+K11*_xlfn.XLOOKUP(J11,'02效果表'!D:D,'02效果表'!E:E)+M11*_xlfn.XLOOKUP(L11,'02效果表'!D:D,'02效果表'!E:E)+O11*_xlfn.XLOOKUP(N11,'02效果表'!D:D,'02效果表'!E:E)+Q11*_xlfn.XLOOKUP(P11,'02效果表'!D:D,'02效果表'!E:E)+S11*_xlfn.XLOOKUP(R11,'02效果表'!D:D,'02效果表'!E:E)+U11*_xlfn.XLOOKUP(T11,'02效果表'!D:D,'02效果表'!E:E)),0)</f>
        <v>6</v>
      </c>
      <c r="E11" s="6">
        <v>2</v>
      </c>
      <c r="F11" s="6" t="s">
        <v>22</v>
      </c>
      <c r="G11" s="6">
        <v>3</v>
      </c>
      <c r="H11" s="6" t="s">
        <v>891</v>
      </c>
      <c r="I11" s="6">
        <v>1</v>
      </c>
      <c r="J11" s="6" t="s">
        <v>892</v>
      </c>
      <c r="K11" s="6">
        <v>1</v>
      </c>
      <c r="L11" s="6"/>
      <c r="M11" s="6"/>
      <c r="N11" s="6" t="s">
        <v>416</v>
      </c>
      <c r="O11" s="6">
        <v>3</v>
      </c>
      <c r="P11" s="6" t="s">
        <v>416</v>
      </c>
      <c r="Q11" s="6">
        <v>2</v>
      </c>
      <c r="R11" s="6" t="s">
        <v>416</v>
      </c>
      <c r="S11" s="6">
        <v>1</v>
      </c>
      <c r="T11" s="6" t="s">
        <v>416</v>
      </c>
      <c r="U11" s="6">
        <v>1</v>
      </c>
    </row>
    <row r="12" spans="1:21" x14ac:dyDescent="0.25">
      <c r="A12" s="6">
        <v>11</v>
      </c>
      <c r="B12" s="6" t="s">
        <v>117</v>
      </c>
      <c r="C12" s="9" t="s">
        <v>113</v>
      </c>
      <c r="D12" s="7">
        <f>ROUND(G12*_xlfn.XLOOKUP(F12,'02效果表'!D:D,'02效果表'!E:E)+1/6*(I12*_xlfn.XLOOKUP(H12,'02效果表'!D:D,'02效果表'!E:E)+K12*_xlfn.XLOOKUP(J12,'02效果表'!D:D,'02效果表'!E:E)+M12*_xlfn.XLOOKUP(L12,'02效果表'!D:D,'02效果表'!E:E)+O12*_xlfn.XLOOKUP(N12,'02效果表'!D:D,'02效果表'!E:E)+Q12*_xlfn.XLOOKUP(P12,'02效果表'!D:D,'02效果表'!E:E)+S12*_xlfn.XLOOKUP(R12,'02效果表'!D:D,'02效果表'!E:E)+U12*_xlfn.XLOOKUP(T12,'02效果表'!D:D,'02效果表'!E:E)),0)</f>
        <v>7</v>
      </c>
      <c r="E12" s="6">
        <v>4</v>
      </c>
      <c r="F12" s="6" t="s">
        <v>122</v>
      </c>
      <c r="G12" s="6">
        <v>1</v>
      </c>
      <c r="H12" s="6" t="s">
        <v>893</v>
      </c>
      <c r="I12" s="6">
        <v>20</v>
      </c>
      <c r="J12" s="6" t="s">
        <v>893</v>
      </c>
      <c r="K12" s="6">
        <v>20</v>
      </c>
      <c r="L12" s="6"/>
      <c r="M12" s="6"/>
      <c r="N12" s="6" t="s">
        <v>893</v>
      </c>
      <c r="O12" s="6">
        <v>20</v>
      </c>
      <c r="P12" s="6" t="s">
        <v>893</v>
      </c>
      <c r="Q12" s="6">
        <v>20</v>
      </c>
      <c r="R12" s="6" t="s">
        <v>893</v>
      </c>
      <c r="S12" s="6">
        <v>20</v>
      </c>
      <c r="T12" s="6" t="s">
        <v>893</v>
      </c>
      <c r="U12" s="6">
        <v>20</v>
      </c>
    </row>
    <row r="13" spans="1:21" x14ac:dyDescent="0.25">
      <c r="A13" s="6">
        <v>12</v>
      </c>
      <c r="B13" s="6" t="s">
        <v>117</v>
      </c>
      <c r="C13" s="9" t="s">
        <v>100</v>
      </c>
      <c r="D13" s="7">
        <f>ROUND(G13*_xlfn.XLOOKUP(F13,'02效果表'!D:D,'02效果表'!E:E)+1/6*(I13*_xlfn.XLOOKUP(H13,'02效果表'!D:D,'02效果表'!E:E)+K13*_xlfn.XLOOKUP(J13,'02效果表'!D:D,'02效果表'!E:E)+M13*_xlfn.XLOOKUP(L13,'02效果表'!D:D,'02效果表'!E:E)+O13*_xlfn.XLOOKUP(N13,'02效果表'!D:D,'02效果表'!E:E)+Q13*_xlfn.XLOOKUP(P13,'02效果表'!D:D,'02效果表'!E:E)+S13*_xlfn.XLOOKUP(R13,'02效果表'!D:D,'02效果表'!E:E)+U13*_xlfn.XLOOKUP(T13,'02效果表'!D:D,'02效果表'!E:E)),0)</f>
        <v>4</v>
      </c>
      <c r="E13" s="6">
        <v>3</v>
      </c>
      <c r="F13" s="6"/>
      <c r="G13" s="6"/>
      <c r="H13" s="6" t="s">
        <v>894</v>
      </c>
      <c r="I13" s="6">
        <v>1</v>
      </c>
      <c r="J13" s="6" t="s">
        <v>896</v>
      </c>
      <c r="K13" s="6">
        <v>1</v>
      </c>
      <c r="L13" s="6" t="s">
        <v>416</v>
      </c>
      <c r="M13" s="6">
        <v>1</v>
      </c>
      <c r="N13" s="6" t="s">
        <v>416</v>
      </c>
      <c r="O13" s="6">
        <v>3</v>
      </c>
      <c r="P13" s="6" t="s">
        <v>416</v>
      </c>
      <c r="Q13" s="6">
        <v>2</v>
      </c>
      <c r="R13" s="6" t="s">
        <v>416</v>
      </c>
      <c r="S13" s="6">
        <v>1</v>
      </c>
      <c r="T13" s="6" t="s">
        <v>416</v>
      </c>
      <c r="U13" s="6">
        <v>1</v>
      </c>
    </row>
    <row r="14" spans="1:21" x14ac:dyDescent="0.25">
      <c r="A14" s="6">
        <v>13</v>
      </c>
      <c r="B14" s="6" t="s">
        <v>117</v>
      </c>
      <c r="C14" s="9" t="s">
        <v>106</v>
      </c>
      <c r="D14" s="7">
        <f>ROUND(G14*_xlfn.XLOOKUP(F14,'02效果表'!D:D,'02效果表'!E:E)+1/6*(I14*_xlfn.XLOOKUP(H14,'02效果表'!D:D,'02效果表'!E:E)+K14*_xlfn.XLOOKUP(J14,'02效果表'!D:D,'02效果表'!E:E)+M14*_xlfn.XLOOKUP(L14,'02效果表'!D:D,'02效果表'!E:E)+O14*_xlfn.XLOOKUP(N14,'02效果表'!D:D,'02效果表'!E:E)+Q14*_xlfn.XLOOKUP(P14,'02效果表'!D:D,'02效果表'!E:E)+S14*_xlfn.XLOOKUP(R14,'02效果表'!D:D,'02效果表'!E:E)+U14*_xlfn.XLOOKUP(T14,'02效果表'!D:D,'02效果表'!E:E)),0)</f>
        <v>3</v>
      </c>
      <c r="E14" s="6">
        <v>3</v>
      </c>
      <c r="F14" s="6"/>
      <c r="G14" s="6"/>
      <c r="H14" s="6" t="s">
        <v>299</v>
      </c>
      <c r="I14" s="6">
        <v>1</v>
      </c>
      <c r="J14" s="6" t="s">
        <v>299</v>
      </c>
      <c r="K14" s="6">
        <v>1</v>
      </c>
      <c r="L14" s="6"/>
      <c r="M14" s="6"/>
      <c r="N14" s="6" t="s">
        <v>416</v>
      </c>
      <c r="O14" s="6">
        <v>2</v>
      </c>
      <c r="P14" s="6" t="s">
        <v>416</v>
      </c>
      <c r="Q14" s="6">
        <v>2</v>
      </c>
      <c r="R14" s="6" t="s">
        <v>416</v>
      </c>
      <c r="S14" s="6">
        <v>1</v>
      </c>
      <c r="T14" s="6" t="s">
        <v>416</v>
      </c>
      <c r="U14" s="6">
        <v>1</v>
      </c>
    </row>
    <row r="15" spans="1:21" x14ac:dyDescent="0.25">
      <c r="A15" s="6">
        <v>14</v>
      </c>
      <c r="B15" s="6" t="s">
        <v>117</v>
      </c>
      <c r="C15" s="9" t="s">
        <v>108</v>
      </c>
      <c r="D15" s="7">
        <f>ROUND(G15*_xlfn.XLOOKUP(F15,'02效果表'!D:D,'02效果表'!E:E)+1/6*(I15*_xlfn.XLOOKUP(H15,'02效果表'!D:D,'02效果表'!E:E)+K15*_xlfn.XLOOKUP(J15,'02效果表'!D:D,'02效果表'!E:E)+M15*_xlfn.XLOOKUP(L15,'02效果表'!D:D,'02效果表'!E:E)+O15*_xlfn.XLOOKUP(N15,'02效果表'!D:D,'02效果表'!E:E)+Q15*_xlfn.XLOOKUP(P15,'02效果表'!D:D,'02效果表'!E:E)+S15*_xlfn.XLOOKUP(R15,'02效果表'!D:D,'02效果表'!E:E)+U15*_xlfn.XLOOKUP(T15,'02效果表'!D:D,'02效果表'!E:E)),0)</f>
        <v>5</v>
      </c>
      <c r="E15" s="6">
        <v>3</v>
      </c>
      <c r="F15" s="6" t="s">
        <v>214</v>
      </c>
      <c r="G15" s="6">
        <v>1</v>
      </c>
      <c r="H15" s="6" t="s">
        <v>302</v>
      </c>
      <c r="I15" s="6">
        <v>1</v>
      </c>
      <c r="J15" s="6" t="s">
        <v>302</v>
      </c>
      <c r="K15" s="6">
        <v>1</v>
      </c>
      <c r="L15" s="6"/>
      <c r="M15" s="6"/>
      <c r="N15" s="6" t="s">
        <v>416</v>
      </c>
      <c r="O15" s="6">
        <v>3</v>
      </c>
      <c r="P15" s="6" t="s">
        <v>416</v>
      </c>
      <c r="Q15" s="6">
        <v>2</v>
      </c>
      <c r="R15" s="6" t="s">
        <v>416</v>
      </c>
      <c r="S15" s="6">
        <v>1</v>
      </c>
      <c r="T15" s="6" t="s">
        <v>416</v>
      </c>
      <c r="U15" s="6">
        <v>1</v>
      </c>
    </row>
    <row r="16" spans="1:21" x14ac:dyDescent="0.25">
      <c r="A16" s="6">
        <v>15</v>
      </c>
      <c r="B16" s="6" t="s">
        <v>115</v>
      </c>
      <c r="C16" s="9" t="s">
        <v>114</v>
      </c>
      <c r="D16" s="7">
        <f>ROUND(G16*_xlfn.XLOOKUP(F16,'02效果表'!D:D,'02效果表'!E:E)+1/6*(I16*_xlfn.XLOOKUP(H16,'02效果表'!D:D,'02效果表'!E:E)+K16*_xlfn.XLOOKUP(J16,'02效果表'!D:D,'02效果表'!E:E)+M16*_xlfn.XLOOKUP(L16,'02效果表'!D:D,'02效果表'!E:E)+O16*_xlfn.XLOOKUP(N16,'02效果表'!D:D,'02效果表'!E:E)+Q16*_xlfn.XLOOKUP(P16,'02效果表'!D:D,'02效果表'!E:E)+S16*_xlfn.XLOOKUP(R16,'02效果表'!D:D,'02效果表'!E:E)+U16*_xlfn.XLOOKUP(T16,'02效果表'!D:D,'02效果表'!E:E)),0)</f>
        <v>2</v>
      </c>
      <c r="E16" s="6">
        <v>3</v>
      </c>
      <c r="F16" s="6"/>
      <c r="G16" s="6"/>
      <c r="H16" s="6" t="s">
        <v>582</v>
      </c>
      <c r="I16" s="6">
        <v>1</v>
      </c>
      <c r="J16" s="6" t="s">
        <v>582</v>
      </c>
      <c r="K16" s="6">
        <v>1</v>
      </c>
      <c r="L16" s="6"/>
      <c r="M16" s="6"/>
      <c r="N16" s="6" t="s">
        <v>416</v>
      </c>
      <c r="O16" s="6">
        <v>1</v>
      </c>
      <c r="P16" s="6" t="s">
        <v>416</v>
      </c>
      <c r="Q16" s="6">
        <v>1</v>
      </c>
      <c r="R16" s="6" t="s">
        <v>416</v>
      </c>
      <c r="S16" s="6">
        <v>1</v>
      </c>
      <c r="T16" s="6" t="s">
        <v>416</v>
      </c>
      <c r="U16" s="6">
        <v>1</v>
      </c>
    </row>
    <row r="17" spans="1:21" x14ac:dyDescent="0.25">
      <c r="A17" s="6">
        <v>16</v>
      </c>
      <c r="B17" s="6" t="s">
        <v>116</v>
      </c>
      <c r="C17" s="9" t="s">
        <v>118</v>
      </c>
      <c r="D17" s="7">
        <f>ROUND(G17*_xlfn.XLOOKUP(F17,'02效果表'!D:D,'02效果表'!E:E)+1/6*(I17*_xlfn.XLOOKUP(H17,'02效果表'!D:D,'02效果表'!E:E)+K17*_xlfn.XLOOKUP(J17,'02效果表'!D:D,'02效果表'!E:E)+M17*_xlfn.XLOOKUP(L17,'02效果表'!D:D,'02效果表'!E:E)+O17*_xlfn.XLOOKUP(N17,'02效果表'!D:D,'02效果表'!E:E)+Q17*_xlfn.XLOOKUP(P17,'02效果表'!D:D,'02效果表'!E:E)+S17*_xlfn.XLOOKUP(R17,'02效果表'!D:D,'02效果表'!E:E)+U17*_xlfn.XLOOKUP(T17,'02效果表'!D:D,'02效果表'!E:E)),0)</f>
        <v>3</v>
      </c>
      <c r="E17" s="6">
        <v>3</v>
      </c>
      <c r="F17" s="6" t="s">
        <v>123</v>
      </c>
      <c r="G17" s="6">
        <v>1</v>
      </c>
      <c r="H17" s="6" t="s">
        <v>465</v>
      </c>
      <c r="I17" s="6">
        <v>1</v>
      </c>
      <c r="J17" s="6" t="s">
        <v>465</v>
      </c>
      <c r="K17" s="6">
        <v>1</v>
      </c>
      <c r="L17" s="6"/>
      <c r="M17" s="6"/>
      <c r="N17" s="6" t="s">
        <v>416</v>
      </c>
      <c r="O17" s="6">
        <v>3</v>
      </c>
      <c r="P17" s="6" t="s">
        <v>416</v>
      </c>
      <c r="Q17" s="6">
        <v>2</v>
      </c>
      <c r="R17" s="6" t="s">
        <v>416</v>
      </c>
      <c r="S17" s="6">
        <v>1</v>
      </c>
      <c r="T17" s="6" t="s">
        <v>416</v>
      </c>
      <c r="U17" s="6">
        <v>1</v>
      </c>
    </row>
    <row r="18" spans="1:21" x14ac:dyDescent="0.25">
      <c r="A18" s="6">
        <v>17</v>
      </c>
      <c r="B18" s="6" t="s">
        <v>131</v>
      </c>
      <c r="C18" s="9" t="s">
        <v>886</v>
      </c>
      <c r="D18" s="7">
        <f>ROUND(G18*_xlfn.XLOOKUP(F18,'02效果表'!D:D,'02效果表'!E:E)+1/6*(I18*_xlfn.XLOOKUP(H18,'02效果表'!D:D,'02效果表'!E:E)+K18*_xlfn.XLOOKUP(J18,'02效果表'!D:D,'02效果表'!E:E)+M18*_xlfn.XLOOKUP(L18,'02效果表'!D:D,'02效果表'!E:E)+O18*_xlfn.XLOOKUP(N18,'02效果表'!D:D,'02效果表'!E:E)+Q18*_xlfn.XLOOKUP(P18,'02效果表'!D:D,'02效果表'!E:E)+S18*_xlfn.XLOOKUP(R18,'02效果表'!D:D,'02效果表'!E:E)+U18*_xlfn.XLOOKUP(T18,'02效果表'!D:D,'02效果表'!E:E)),0)</f>
        <v>10</v>
      </c>
      <c r="E18" s="6">
        <v>3</v>
      </c>
      <c r="F18" s="6" t="s">
        <v>1148</v>
      </c>
      <c r="G18" s="6">
        <v>3</v>
      </c>
      <c r="H18" s="6" t="s">
        <v>416</v>
      </c>
      <c r="I18" s="6">
        <v>1</v>
      </c>
      <c r="J18" s="6" t="s">
        <v>416</v>
      </c>
      <c r="K18" s="6">
        <v>1</v>
      </c>
      <c r="L18" s="6"/>
      <c r="M18" s="6"/>
      <c r="N18" s="6" t="s">
        <v>416</v>
      </c>
      <c r="O18" s="6">
        <v>1</v>
      </c>
      <c r="P18" s="6" t="s">
        <v>416</v>
      </c>
      <c r="Q18" s="6">
        <v>1</v>
      </c>
      <c r="R18" s="6" t="s">
        <v>416</v>
      </c>
      <c r="S18" s="6">
        <v>1</v>
      </c>
      <c r="T18" s="6" t="s">
        <v>416</v>
      </c>
      <c r="U18" s="6">
        <v>1</v>
      </c>
    </row>
    <row r="19" spans="1:21" x14ac:dyDescent="0.25">
      <c r="A19" s="6">
        <v>18</v>
      </c>
      <c r="B19" s="6" t="s">
        <v>132</v>
      </c>
      <c r="C19" s="9" t="s">
        <v>1931</v>
      </c>
      <c r="D19" s="7">
        <f>ROUND(G19*_xlfn.XLOOKUP(F19,'02效果表'!D:D,'02效果表'!E:E)+1/6*(I19*_xlfn.XLOOKUP(H19,'02效果表'!D:D,'02效果表'!E:E)+K19*_xlfn.XLOOKUP(J19,'02效果表'!D:D,'02效果表'!E:E)+M19*_xlfn.XLOOKUP(L19,'02效果表'!D:D,'02效果表'!E:E)+O19*_xlfn.XLOOKUP(N19,'02效果表'!D:D,'02效果表'!E:E)+Q19*_xlfn.XLOOKUP(P19,'02效果表'!D:D,'02效果表'!E:E)+S19*_xlfn.XLOOKUP(R19,'02效果表'!D:D,'02效果表'!E:E)+U19*_xlfn.XLOOKUP(T19,'02效果表'!D:D,'02效果表'!E:E)),0)</f>
        <v>5</v>
      </c>
      <c r="E19" s="6">
        <v>3</v>
      </c>
      <c r="F19" s="6" t="s">
        <v>1932</v>
      </c>
      <c r="G19" s="6">
        <v>10</v>
      </c>
      <c r="H19" s="6" t="s">
        <v>1933</v>
      </c>
      <c r="I19" s="6">
        <v>1</v>
      </c>
      <c r="J19" s="6" t="s">
        <v>1934</v>
      </c>
      <c r="K19" s="6">
        <v>1</v>
      </c>
      <c r="L19" s="6"/>
      <c r="M19" s="6"/>
      <c r="N19" s="6" t="s">
        <v>1935</v>
      </c>
      <c r="O19" s="6">
        <v>1</v>
      </c>
      <c r="P19" s="6" t="s">
        <v>1936</v>
      </c>
      <c r="Q19" s="6">
        <v>1</v>
      </c>
      <c r="R19" s="6" t="s">
        <v>1937</v>
      </c>
      <c r="S19" s="6">
        <v>4</v>
      </c>
      <c r="T19" s="6" t="s">
        <v>1938</v>
      </c>
      <c r="U19" s="6">
        <v>3</v>
      </c>
    </row>
    <row r="20" spans="1:21" x14ac:dyDescent="0.25">
      <c r="A20" s="6">
        <v>19</v>
      </c>
      <c r="B20" s="6" t="s">
        <v>133</v>
      </c>
      <c r="C20" s="9" t="s">
        <v>887</v>
      </c>
      <c r="D20" s="7">
        <f>ROUND(G20*_xlfn.XLOOKUP(F20,'02效果表'!D:D,'02效果表'!E:E)+1/6*(I20*_xlfn.XLOOKUP(H20,'02效果表'!D:D,'02效果表'!E:E)+K20*_xlfn.XLOOKUP(J20,'02效果表'!D:D,'02效果表'!E:E)+M20*_xlfn.XLOOKUP(L20,'02效果表'!D:D,'02效果表'!E:E)+O20*_xlfn.XLOOKUP(N20,'02效果表'!D:D,'02效果表'!E:E)+Q20*_xlfn.XLOOKUP(P20,'02效果表'!D:D,'02效果表'!E:E)+S20*_xlfn.XLOOKUP(R20,'02效果表'!D:D,'02效果表'!E:E)+U20*_xlfn.XLOOKUP(T20,'02效果表'!D:D,'02效果表'!E:E)),0)</f>
        <v>3</v>
      </c>
      <c r="E20" s="6">
        <v>3</v>
      </c>
      <c r="F20" s="6" t="s">
        <v>752</v>
      </c>
      <c r="G20" s="6">
        <v>2</v>
      </c>
      <c r="H20" s="6" t="s">
        <v>753</v>
      </c>
      <c r="I20" s="6">
        <v>10</v>
      </c>
      <c r="J20" s="6" t="s">
        <v>753</v>
      </c>
      <c r="K20" s="6">
        <v>8</v>
      </c>
      <c r="L20" s="6"/>
      <c r="M20" s="6"/>
      <c r="N20" s="6" t="s">
        <v>753</v>
      </c>
      <c r="O20" s="6">
        <v>6</v>
      </c>
      <c r="P20" s="6" t="s">
        <v>752</v>
      </c>
      <c r="Q20" s="6">
        <v>1</v>
      </c>
      <c r="R20" s="6" t="s">
        <v>752</v>
      </c>
      <c r="S20" s="6">
        <v>2</v>
      </c>
      <c r="T20" s="6" t="s">
        <v>752</v>
      </c>
      <c r="U20" s="6">
        <v>3</v>
      </c>
    </row>
    <row r="21" spans="1:21" x14ac:dyDescent="0.25">
      <c r="A21" s="6">
        <v>20</v>
      </c>
      <c r="B21" s="6" t="s">
        <v>134</v>
      </c>
      <c r="C21" s="9" t="s">
        <v>888</v>
      </c>
      <c r="D21" s="7">
        <f>ROUND(G21*_xlfn.XLOOKUP(F21,'02效果表'!D:D,'02效果表'!E:E)+1/6*(I21*_xlfn.XLOOKUP(H21,'02效果表'!D:D,'02效果表'!E:E)+K21*_xlfn.XLOOKUP(J21,'02效果表'!D:D,'02效果表'!E:E)+M21*_xlfn.XLOOKUP(L21,'02效果表'!D:D,'02效果表'!E:E)+O21*_xlfn.XLOOKUP(N21,'02效果表'!D:D,'02效果表'!E:E)+Q21*_xlfn.XLOOKUP(P21,'02效果表'!D:D,'02效果表'!E:E)+S21*_xlfn.XLOOKUP(R21,'02效果表'!D:D,'02效果表'!E:E)+U21*_xlfn.XLOOKUP(T21,'02效果表'!D:D,'02效果表'!E:E)),0)</f>
        <v>3</v>
      </c>
      <c r="E21" s="6">
        <v>3</v>
      </c>
      <c r="F21" s="6"/>
      <c r="G21" s="6"/>
      <c r="H21" s="6" t="s">
        <v>827</v>
      </c>
      <c r="I21" s="6">
        <v>1</v>
      </c>
      <c r="J21" s="6" t="s">
        <v>827</v>
      </c>
      <c r="K21" s="6">
        <v>1</v>
      </c>
      <c r="L21" s="6"/>
      <c r="M21" s="6"/>
      <c r="N21" s="6" t="s">
        <v>827</v>
      </c>
      <c r="O21" s="6">
        <v>1</v>
      </c>
      <c r="P21" s="6" t="s">
        <v>897</v>
      </c>
      <c r="Q21" s="6">
        <v>3</v>
      </c>
      <c r="R21" s="6" t="s">
        <v>416</v>
      </c>
      <c r="S21" s="6">
        <v>1</v>
      </c>
      <c r="T21" s="6" t="s">
        <v>416</v>
      </c>
      <c r="U21" s="6">
        <v>1</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BE223-C7EE-4A03-9CA0-F1AA187077CF}">
  <sheetPr codeName="Sheet1"/>
  <dimension ref="A1:AE751"/>
  <sheetViews>
    <sheetView zoomScaleNormal="100" workbookViewId="0">
      <selection activeCell="F31" sqref="F31"/>
    </sheetView>
  </sheetViews>
  <sheetFormatPr defaultColWidth="12.77734375" defaultRowHeight="15.6" x14ac:dyDescent="0.25"/>
  <cols>
    <col min="1" max="7" width="12.77734375" style="1"/>
    <col min="8" max="28" width="13.77734375" style="1" customWidth="1"/>
    <col min="29" max="16384" width="12.77734375" style="1"/>
  </cols>
  <sheetData>
    <row r="1" spans="1:31" x14ac:dyDescent="0.25">
      <c r="A1" s="6" t="s">
        <v>41</v>
      </c>
      <c r="B1" s="6" t="s">
        <v>10</v>
      </c>
      <c r="C1" s="6" t="s">
        <v>11</v>
      </c>
      <c r="D1" s="9" t="s">
        <v>12</v>
      </c>
      <c r="E1" s="7" t="s">
        <v>1239</v>
      </c>
      <c r="F1" s="7" t="s">
        <v>640</v>
      </c>
      <c r="G1" s="7" t="s">
        <v>1240</v>
      </c>
      <c r="H1" s="6" t="s">
        <v>707</v>
      </c>
      <c r="I1" s="6" t="s">
        <v>211</v>
      </c>
      <c r="J1" s="6" t="s">
        <v>708</v>
      </c>
      <c r="K1" s="6" t="s">
        <v>211</v>
      </c>
      <c r="L1" s="6" t="s">
        <v>709</v>
      </c>
      <c r="M1" s="6" t="s">
        <v>211</v>
      </c>
      <c r="N1" s="6" t="s">
        <v>711</v>
      </c>
      <c r="O1" s="6" t="s">
        <v>211</v>
      </c>
      <c r="P1" s="6" t="s">
        <v>712</v>
      </c>
      <c r="Q1" s="6" t="s">
        <v>211</v>
      </c>
      <c r="R1" s="6" t="s">
        <v>713</v>
      </c>
      <c r="S1" s="6" t="s">
        <v>211</v>
      </c>
      <c r="T1" s="6" t="s">
        <v>714</v>
      </c>
      <c r="U1" s="6" t="s">
        <v>211</v>
      </c>
      <c r="V1" s="6" t="s">
        <v>715</v>
      </c>
      <c r="W1" s="6" t="s">
        <v>211</v>
      </c>
      <c r="X1" s="6" t="s">
        <v>716</v>
      </c>
      <c r="Y1" s="6" t="s">
        <v>211</v>
      </c>
      <c r="Z1" s="6" t="s">
        <v>717</v>
      </c>
      <c r="AA1" s="6" t="s">
        <v>211</v>
      </c>
      <c r="AB1" s="6" t="s">
        <v>718</v>
      </c>
      <c r="AC1" s="6" t="s">
        <v>211</v>
      </c>
      <c r="AD1" s="6" t="s">
        <v>719</v>
      </c>
      <c r="AE1" s="6" t="s">
        <v>211</v>
      </c>
    </row>
    <row r="2" spans="1:31" x14ac:dyDescent="0.25">
      <c r="A2" s="6">
        <v>1</v>
      </c>
      <c r="B2" s="6" t="s">
        <v>0</v>
      </c>
      <c r="C2" s="6" t="s">
        <v>1</v>
      </c>
      <c r="D2" s="9" t="s">
        <v>20</v>
      </c>
      <c r="E2" s="7">
        <f>ROUND(G2-F2,0)</f>
        <v>4</v>
      </c>
      <c r="F2" s="7">
        <f>-1*ROUND(1/6*(I2*IF(_xlfn.XLOOKUP(H2,'02效果表'!D:D,'02效果表'!E:E)&lt;0, _xlfn.XLOOKUP(H2,'02效果表'!D:D,'02效果表'!E:E), 0) +
K2*IF(_xlfn.XLOOKUP(J2,'02效果表'!D:D,'02效果表'!E:E)&lt;0, _xlfn.XLOOKUP(J2,'02效果表'!D:D,'02效果表'!E:E), 0) +
M2*IF(_xlfn.XLOOKUP(L2,'02效果表'!D:D,'02效果表'!E:E)&lt;0, _xlfn.XLOOKUP(L2,'02效果表'!D:D,'02效果表'!E:E), 0) +
O2*IF(_xlfn.XLOOKUP(N2,'02效果表'!D:D,'02效果表'!E:E)&lt;0, _xlfn.XLOOKUP(N2,'02效果表'!D:D,'02效果表'!E:E), 0) +
Q2*IF(_xlfn.XLOOKUP(P2,'02效果表'!D:D,'02效果表'!E:E)&lt;0, _xlfn.XLOOKUP(P2,'02效果表'!D:D,'02效果表'!E:E), 0) +
S2*IF(_xlfn.XLOOKUP(R2,'02效果表'!D:D,'02效果表'!E:E)&lt;0, _xlfn.XLOOKUP(R2,'02效果表'!D:D,'02效果表'!E:E), 0) +
U2*IF(_xlfn.XLOOKUP(T2,'02效果表'!D:D,'02效果表'!E:E)&lt;0, _xlfn.XLOOKUP(T2,'02效果表'!D:D,'02效果表'!E:E), 0) +
W2*IF(_xlfn.XLOOKUP(V2,'02效果表'!D:D,'02效果表'!E:E)&lt;0, _xlfn.XLOOKUP(V2,'02效果表'!D:D,'02效果表'!E:E), 0) +
Y2*IF(_xlfn.XLOOKUP(X2,'02效果表'!D:D,'02效果表'!E:E)&lt;0, _xlfn.XLOOKUP(X2,'02效果表'!D:D,'02效果表'!E:E), 0) +
AA2*IF(_xlfn.XLOOKUP(Z2,'02效果表'!D:D,'02效果表'!E:E)&lt;0, _xlfn.XLOOKUP(Z2,'02效果表'!D:D,'02效果表'!E:E), 0) +
AC2*IF(_xlfn.XLOOKUP(AB2,'02效果表'!D:D,'02效果表'!E:E)&lt;0, _xlfn.XLOOKUP(AB2,'02效果表'!D:D,'02效果表'!E:E), 0) +
AE2*IF(_xlfn.XLOOKUP(AD2,'02效果表'!D:D,'02效果表'!E:E)&lt;0, _xlfn.XLOOKUP(AD2,'02效果表'!D:D,'02效果表'!E:E), 0)), 1)</f>
        <v>0</v>
      </c>
      <c r="G2" s="7">
        <f>ROUND(1/6*(I2*MAX(_xlfn.XLOOKUP(H2,'02效果表'!D:D,'02效果表'!E:E),0)+K2*MAX(_xlfn.XLOOKUP(J2,'02效果表'!D:D,'02效果表'!E:E),0)+M2*MAX(_xlfn.XLOOKUP(L2,'02效果表'!D:D,'02效果表'!E:E),0)+O2*MAX(_xlfn.XLOOKUP(N2,'02效果表'!D:D,'02效果表'!E:E),0)+Q2*MAX(_xlfn.XLOOKUP(P2,'02效果表'!D:D,'02效果表'!E:E),0)+S2*MAX(_xlfn.XLOOKUP(R2,'02效果表'!D:D,'02效果表'!E:E),0)+U2*MAX(_xlfn.XLOOKUP(T2,'02效果表'!D:D,'02效果表'!E:E),0)+W2*MAX(_xlfn.XLOOKUP(V2,'02效果表'!D:D,'02效果表'!E:E),0)+Y2*MAX(_xlfn.XLOOKUP(X2,'02效果表'!D:D,'02效果表'!E:E),0)+AA2*MAX(_xlfn.XLOOKUP(Z2,'02效果表'!D:D,'02效果表'!E:E),0)+AC2*MAX(_xlfn.XLOOKUP(AB2,'02效果表'!D:D,'02效果表'!E:E),0)+AE2*MAX(_xlfn.XLOOKUP(AD2,'02效果表'!D:D,'02效果表'!E:E),0)),1)</f>
        <v>4.0999999999999996</v>
      </c>
      <c r="H2" s="6" t="s">
        <v>1219</v>
      </c>
      <c r="I2" s="6">
        <v>2</v>
      </c>
      <c r="J2" s="6" t="s">
        <v>1220</v>
      </c>
      <c r="K2" s="6">
        <v>1</v>
      </c>
      <c r="L2" s="6" t="s">
        <v>1219</v>
      </c>
      <c r="M2" s="6">
        <v>2</v>
      </c>
      <c r="N2" s="6" t="s">
        <v>1220</v>
      </c>
      <c r="O2" s="6">
        <v>1</v>
      </c>
      <c r="P2" s="6" t="s">
        <v>1219</v>
      </c>
      <c r="Q2" s="6">
        <v>1</v>
      </c>
      <c r="R2" s="6" t="s">
        <v>1220</v>
      </c>
      <c r="S2" s="6">
        <v>1</v>
      </c>
      <c r="T2" s="6" t="s">
        <v>1221</v>
      </c>
      <c r="U2" s="6">
        <v>1</v>
      </c>
      <c r="V2" s="6" t="s">
        <v>1219</v>
      </c>
      <c r="W2" s="6">
        <v>2</v>
      </c>
      <c r="X2" s="6" t="s">
        <v>1221</v>
      </c>
      <c r="Y2" s="6">
        <v>1</v>
      </c>
      <c r="Z2" s="6" t="s">
        <v>1219</v>
      </c>
      <c r="AA2" s="6">
        <v>3</v>
      </c>
      <c r="AB2" s="6" t="s">
        <v>1221</v>
      </c>
      <c r="AC2" s="6">
        <v>1</v>
      </c>
      <c r="AD2" s="6" t="s">
        <v>1219</v>
      </c>
      <c r="AE2" s="6">
        <v>3</v>
      </c>
    </row>
    <row r="3" spans="1:31" x14ac:dyDescent="0.25">
      <c r="A3" s="6">
        <v>2</v>
      </c>
      <c r="B3" s="6" t="s">
        <v>0</v>
      </c>
      <c r="C3" s="6" t="s">
        <v>1</v>
      </c>
      <c r="D3" s="9" t="s">
        <v>21</v>
      </c>
      <c r="E3" s="7">
        <f t="shared" ref="E3:E67" si="0">ROUND(G3-F3,0)</f>
        <v>3</v>
      </c>
      <c r="F3" s="7">
        <f>-1*ROUND(1/6*(I3*IF(_xlfn.XLOOKUP(H3,'02效果表'!D:D,'02效果表'!E:E)&lt;0, _xlfn.XLOOKUP(H3,'02效果表'!D:D,'02效果表'!E:E), 0) +
K3*IF(_xlfn.XLOOKUP(J3,'02效果表'!D:D,'02效果表'!E:E)&lt;0, _xlfn.XLOOKUP(J3,'02效果表'!D:D,'02效果表'!E:E), 0) +
M3*IF(_xlfn.XLOOKUP(L3,'02效果表'!D:D,'02效果表'!E:E)&lt;0, _xlfn.XLOOKUP(L3,'02效果表'!D:D,'02效果表'!E:E), 0) +
O3*IF(_xlfn.XLOOKUP(N3,'02效果表'!D:D,'02效果表'!E:E)&lt;0, _xlfn.XLOOKUP(N3,'02效果表'!D:D,'02效果表'!E:E), 0) +
Q3*IF(_xlfn.XLOOKUP(P3,'02效果表'!D:D,'02效果表'!E:E)&lt;0, _xlfn.XLOOKUP(P3,'02效果表'!D:D,'02效果表'!E:E), 0) +
S3*IF(_xlfn.XLOOKUP(R3,'02效果表'!D:D,'02效果表'!E:E)&lt;0, _xlfn.XLOOKUP(R3,'02效果表'!D:D,'02效果表'!E:E), 0) +
U3*IF(_xlfn.XLOOKUP(T3,'02效果表'!D:D,'02效果表'!E:E)&lt;0, _xlfn.XLOOKUP(T3,'02效果表'!D:D,'02效果表'!E:E), 0) +
W3*IF(_xlfn.XLOOKUP(V3,'02效果表'!D:D,'02效果表'!E:E)&lt;0, _xlfn.XLOOKUP(V3,'02效果表'!D:D,'02效果表'!E:E), 0) +
Y3*IF(_xlfn.XLOOKUP(X3,'02效果表'!D:D,'02效果表'!E:E)&lt;0, _xlfn.XLOOKUP(X3,'02效果表'!D:D,'02效果表'!E:E), 0) +
AA3*IF(_xlfn.XLOOKUP(Z3,'02效果表'!D:D,'02效果表'!E:E)&lt;0, _xlfn.XLOOKUP(Z3,'02效果表'!D:D,'02效果表'!E:E), 0) +
AC3*IF(_xlfn.XLOOKUP(AB3,'02效果表'!D:D,'02效果表'!E:E)&lt;0, _xlfn.XLOOKUP(AB3,'02效果表'!D:D,'02效果表'!E:E), 0) +
AE3*IF(_xlfn.XLOOKUP(AD3,'02效果表'!D:D,'02效果表'!E:E)&lt;0, _xlfn.XLOOKUP(AD3,'02效果表'!D:D,'02效果表'!E:E), 0)), 1)</f>
        <v>0</v>
      </c>
      <c r="G3" s="7">
        <f>ROUND(1/6*(I3*MAX(_xlfn.XLOOKUP(H3,'02效果表'!D:D,'02效果表'!E:E),0)+K3*MAX(_xlfn.XLOOKUP(J3,'02效果表'!D:D,'02效果表'!E:E),0)+M3*MAX(_xlfn.XLOOKUP(L3,'02效果表'!D:D,'02效果表'!E:E),0)+O3*MAX(_xlfn.XLOOKUP(N3,'02效果表'!D:D,'02效果表'!E:E),0)+Q3*MAX(_xlfn.XLOOKUP(P3,'02效果表'!D:D,'02效果表'!E:E),0)+S3*MAX(_xlfn.XLOOKUP(R3,'02效果表'!D:D,'02效果表'!E:E),0)+U3*MAX(_xlfn.XLOOKUP(T3,'02效果表'!D:D,'02效果表'!E:E),0)+W3*MAX(_xlfn.XLOOKUP(V3,'02效果表'!D:D,'02效果表'!E:E),0)+Y3*MAX(_xlfn.XLOOKUP(X3,'02效果表'!D:D,'02效果表'!E:E),0)+AA3*MAX(_xlfn.XLOOKUP(Z3,'02效果表'!D:D,'02效果表'!E:E),0)+AC3*MAX(_xlfn.XLOOKUP(AB3,'02效果表'!D:D,'02效果表'!E:E),0)+AE3*MAX(_xlfn.XLOOKUP(AD3,'02效果表'!D:D,'02效果表'!E:E),0)),1)</f>
        <v>2.5</v>
      </c>
      <c r="H3" s="6" t="s">
        <v>1222</v>
      </c>
      <c r="I3" s="6">
        <v>1</v>
      </c>
      <c r="J3" s="6"/>
      <c r="K3" s="6"/>
      <c r="L3" s="6" t="s">
        <v>1222</v>
      </c>
      <c r="M3" s="6">
        <v>1</v>
      </c>
      <c r="N3" s="6"/>
      <c r="O3" s="6"/>
      <c r="P3" s="6" t="s">
        <v>1222</v>
      </c>
      <c r="Q3" s="6">
        <v>1</v>
      </c>
      <c r="R3" s="6"/>
      <c r="S3" s="6"/>
      <c r="T3" s="6" t="s">
        <v>1221</v>
      </c>
      <c r="U3" s="6">
        <v>1</v>
      </c>
      <c r="V3" s="6"/>
      <c r="W3" s="6"/>
      <c r="X3" s="6" t="s">
        <v>1221</v>
      </c>
      <c r="Y3" s="6">
        <v>1</v>
      </c>
      <c r="Z3" s="6"/>
      <c r="AA3" s="6"/>
      <c r="AB3" s="6" t="s">
        <v>1221</v>
      </c>
      <c r="AC3" s="6">
        <v>1</v>
      </c>
      <c r="AD3" s="6"/>
      <c r="AE3" s="6"/>
    </row>
    <row r="4" spans="1:31" x14ac:dyDescent="0.25">
      <c r="A4" s="6">
        <v>3</v>
      </c>
      <c r="B4" s="6" t="s">
        <v>0</v>
      </c>
      <c r="C4" s="6" t="s">
        <v>1</v>
      </c>
      <c r="D4" s="9" t="s">
        <v>22</v>
      </c>
      <c r="E4" s="7">
        <f t="shared" si="0"/>
        <v>1</v>
      </c>
      <c r="F4" s="7">
        <f>-1*ROUND(1/6*(I4*IF(_xlfn.XLOOKUP(H4,'02效果表'!D:D,'02效果表'!E:E)&lt;0, _xlfn.XLOOKUP(H4,'02效果表'!D:D,'02效果表'!E:E), 0) +
K4*IF(_xlfn.XLOOKUP(J4,'02效果表'!D:D,'02效果表'!E:E)&lt;0, _xlfn.XLOOKUP(J4,'02效果表'!D:D,'02效果表'!E:E), 0) +
M4*IF(_xlfn.XLOOKUP(L4,'02效果表'!D:D,'02效果表'!E:E)&lt;0, _xlfn.XLOOKUP(L4,'02效果表'!D:D,'02效果表'!E:E), 0) +
O4*IF(_xlfn.XLOOKUP(N4,'02效果表'!D:D,'02效果表'!E:E)&lt;0, _xlfn.XLOOKUP(N4,'02效果表'!D:D,'02效果表'!E:E), 0) +
Q4*IF(_xlfn.XLOOKUP(P4,'02效果表'!D:D,'02效果表'!E:E)&lt;0, _xlfn.XLOOKUP(P4,'02效果表'!D:D,'02效果表'!E:E), 0) +
S4*IF(_xlfn.XLOOKUP(R4,'02效果表'!D:D,'02效果表'!E:E)&lt;0, _xlfn.XLOOKUP(R4,'02效果表'!D:D,'02效果表'!E:E), 0) +
U4*IF(_xlfn.XLOOKUP(T4,'02效果表'!D:D,'02效果表'!E:E)&lt;0, _xlfn.XLOOKUP(T4,'02效果表'!D:D,'02效果表'!E:E), 0) +
W4*IF(_xlfn.XLOOKUP(V4,'02效果表'!D:D,'02效果表'!E:E)&lt;0, _xlfn.XLOOKUP(V4,'02效果表'!D:D,'02效果表'!E:E), 0) +
Y4*IF(_xlfn.XLOOKUP(X4,'02效果表'!D:D,'02效果表'!E:E)&lt;0, _xlfn.XLOOKUP(X4,'02效果表'!D:D,'02效果表'!E:E), 0) +
AA4*IF(_xlfn.XLOOKUP(Z4,'02效果表'!D:D,'02效果表'!E:E)&lt;0, _xlfn.XLOOKUP(Z4,'02效果表'!D:D,'02效果表'!E:E), 0) +
AC4*IF(_xlfn.XLOOKUP(AB4,'02效果表'!D:D,'02效果表'!E:E)&lt;0, _xlfn.XLOOKUP(AB4,'02效果表'!D:D,'02效果表'!E:E), 0) +
AE4*IF(_xlfn.XLOOKUP(AD4,'02效果表'!D:D,'02效果表'!E:E)&lt;0, _xlfn.XLOOKUP(AD4,'02效果表'!D:D,'02效果表'!E:E), 0)), 1)</f>
        <v>0</v>
      </c>
      <c r="G4" s="7">
        <f>ROUND(1/6*(I4*MAX(_xlfn.XLOOKUP(H4,'02效果表'!D:D,'02效果表'!E:E),0)+K4*MAX(_xlfn.XLOOKUP(J4,'02效果表'!D:D,'02效果表'!E:E),0)+M4*MAX(_xlfn.XLOOKUP(L4,'02效果表'!D:D,'02效果表'!E:E),0)+O4*MAX(_xlfn.XLOOKUP(N4,'02效果表'!D:D,'02效果表'!E:E),0)+Q4*MAX(_xlfn.XLOOKUP(P4,'02效果表'!D:D,'02效果表'!E:E),0)+S4*MAX(_xlfn.XLOOKUP(R4,'02效果表'!D:D,'02效果表'!E:E),0)+U4*MAX(_xlfn.XLOOKUP(T4,'02效果表'!D:D,'02效果表'!E:E),0)+W4*MAX(_xlfn.XLOOKUP(V4,'02效果表'!D:D,'02效果表'!E:E),0)+Y4*MAX(_xlfn.XLOOKUP(X4,'02效果表'!D:D,'02效果表'!E:E),0)+AA4*MAX(_xlfn.XLOOKUP(Z4,'02效果表'!D:D,'02效果表'!E:E),0)+AC4*MAX(_xlfn.XLOOKUP(AB4,'02效果表'!D:D,'02效果表'!E:E),0)+AE4*MAX(_xlfn.XLOOKUP(AD4,'02效果表'!D:D,'02效果表'!E:E),0)),1)</f>
        <v>1</v>
      </c>
      <c r="H4" s="6" t="s">
        <v>1224</v>
      </c>
      <c r="I4" s="6">
        <v>3</v>
      </c>
      <c r="J4" s="6"/>
      <c r="K4" s="6"/>
      <c r="L4" s="6" t="s">
        <v>1224</v>
      </c>
      <c r="M4" s="6">
        <v>3</v>
      </c>
      <c r="N4" s="6"/>
      <c r="O4" s="6"/>
      <c r="P4" s="6" t="s">
        <v>1224</v>
      </c>
      <c r="Q4" s="6">
        <v>2</v>
      </c>
      <c r="R4" s="6"/>
      <c r="S4" s="6"/>
      <c r="T4" s="6" t="s">
        <v>1224</v>
      </c>
      <c r="U4" s="6">
        <v>2</v>
      </c>
      <c r="V4" s="6"/>
      <c r="W4" s="6"/>
      <c r="X4" s="6" t="s">
        <v>1224</v>
      </c>
      <c r="Y4" s="6">
        <v>1</v>
      </c>
      <c r="Z4" s="6"/>
      <c r="AA4" s="6"/>
      <c r="AB4" s="6" t="s">
        <v>1224</v>
      </c>
      <c r="AC4" s="6">
        <v>1</v>
      </c>
      <c r="AD4" s="6"/>
      <c r="AE4" s="6"/>
    </row>
    <row r="5" spans="1:31" x14ac:dyDescent="0.25">
      <c r="A5" s="6">
        <v>4</v>
      </c>
      <c r="B5" s="6" t="s">
        <v>0</v>
      </c>
      <c r="C5" s="6" t="s">
        <v>1</v>
      </c>
      <c r="D5" s="9" t="s">
        <v>334</v>
      </c>
      <c r="E5" s="7">
        <f t="shared" si="0"/>
        <v>4</v>
      </c>
      <c r="F5" s="7">
        <f>-1*ROUND(1/6*(I5*IF(_xlfn.XLOOKUP(H5,'02效果表'!D:D,'02效果表'!E:E)&lt;0, _xlfn.XLOOKUP(H5,'02效果表'!D:D,'02效果表'!E:E), 0) +
K5*IF(_xlfn.XLOOKUP(J5,'02效果表'!D:D,'02效果表'!E:E)&lt;0, _xlfn.XLOOKUP(J5,'02效果表'!D:D,'02效果表'!E:E), 0) +
M5*IF(_xlfn.XLOOKUP(L5,'02效果表'!D:D,'02效果表'!E:E)&lt;0, _xlfn.XLOOKUP(L5,'02效果表'!D:D,'02效果表'!E:E), 0) +
O5*IF(_xlfn.XLOOKUP(N5,'02效果表'!D:D,'02效果表'!E:E)&lt;0, _xlfn.XLOOKUP(N5,'02效果表'!D:D,'02效果表'!E:E), 0) +
Q5*IF(_xlfn.XLOOKUP(P5,'02效果表'!D:D,'02效果表'!E:E)&lt;0, _xlfn.XLOOKUP(P5,'02效果表'!D:D,'02效果表'!E:E), 0) +
S5*IF(_xlfn.XLOOKUP(R5,'02效果表'!D:D,'02效果表'!E:E)&lt;0, _xlfn.XLOOKUP(R5,'02效果表'!D:D,'02效果表'!E:E), 0) +
U5*IF(_xlfn.XLOOKUP(T5,'02效果表'!D:D,'02效果表'!E:E)&lt;0, _xlfn.XLOOKUP(T5,'02效果表'!D:D,'02效果表'!E:E), 0) +
W5*IF(_xlfn.XLOOKUP(V5,'02效果表'!D:D,'02效果表'!E:E)&lt;0, _xlfn.XLOOKUP(V5,'02效果表'!D:D,'02效果表'!E:E), 0) +
Y5*IF(_xlfn.XLOOKUP(X5,'02效果表'!D:D,'02效果表'!E:E)&lt;0, _xlfn.XLOOKUP(X5,'02效果表'!D:D,'02效果表'!E:E), 0) +
AA5*IF(_xlfn.XLOOKUP(Z5,'02效果表'!D:D,'02效果表'!E:E)&lt;0, _xlfn.XLOOKUP(Z5,'02效果表'!D:D,'02效果表'!E:E), 0) +
AC5*IF(_xlfn.XLOOKUP(AB5,'02效果表'!D:D,'02效果表'!E:E)&lt;0, _xlfn.XLOOKUP(AB5,'02效果表'!D:D,'02效果表'!E:E), 0) +
AE5*IF(_xlfn.XLOOKUP(AD5,'02效果表'!D:D,'02效果表'!E:E)&lt;0, _xlfn.XLOOKUP(AD5,'02效果表'!D:D,'02效果表'!E:E), 0)), 1)</f>
        <v>0</v>
      </c>
      <c r="G5" s="7">
        <f>ROUND(1/6*(I5*MAX(_xlfn.XLOOKUP(H5,'02效果表'!D:D,'02效果表'!E:E),0)+K5*MAX(_xlfn.XLOOKUP(J5,'02效果表'!D:D,'02效果表'!E:E),0)+M5*MAX(_xlfn.XLOOKUP(L5,'02效果表'!D:D,'02效果表'!E:E),0)+O5*MAX(_xlfn.XLOOKUP(N5,'02效果表'!D:D,'02效果表'!E:E),0)+Q5*MAX(_xlfn.XLOOKUP(P5,'02效果表'!D:D,'02效果表'!E:E),0)+S5*MAX(_xlfn.XLOOKUP(R5,'02效果表'!D:D,'02效果表'!E:E),0)+U5*MAX(_xlfn.XLOOKUP(T5,'02效果表'!D:D,'02效果表'!E:E),0)+W5*MAX(_xlfn.XLOOKUP(V5,'02效果表'!D:D,'02效果表'!E:E),0)+Y5*MAX(_xlfn.XLOOKUP(X5,'02效果表'!D:D,'02效果表'!E:E),0)+AA5*MAX(_xlfn.XLOOKUP(Z5,'02效果表'!D:D,'02效果表'!E:E),0)+AC5*MAX(_xlfn.XLOOKUP(AB5,'02效果表'!D:D,'02效果表'!E:E),0)+AE5*MAX(_xlfn.XLOOKUP(AD5,'02效果表'!D:D,'02效果表'!E:E),0)),1)</f>
        <v>4.3</v>
      </c>
      <c r="H5" s="6" t="s">
        <v>1225</v>
      </c>
      <c r="I5" s="6">
        <v>1</v>
      </c>
      <c r="J5" s="6" t="s">
        <v>1220</v>
      </c>
      <c r="K5" s="6">
        <v>1</v>
      </c>
      <c r="L5" s="6" t="s">
        <v>1225</v>
      </c>
      <c r="M5" s="6">
        <v>1</v>
      </c>
      <c r="N5" s="6" t="s">
        <v>1220</v>
      </c>
      <c r="O5" s="6">
        <v>1</v>
      </c>
      <c r="P5" s="6" t="s">
        <v>1225</v>
      </c>
      <c r="Q5" s="6">
        <v>1</v>
      </c>
      <c r="R5" s="6" t="s">
        <v>1221</v>
      </c>
      <c r="S5" s="6">
        <v>1</v>
      </c>
      <c r="T5" s="6" t="s">
        <v>1225</v>
      </c>
      <c r="U5" s="6">
        <v>1</v>
      </c>
      <c r="V5" s="6" t="s">
        <v>1221</v>
      </c>
      <c r="W5" s="6">
        <v>1</v>
      </c>
      <c r="X5" s="6" t="s">
        <v>1225</v>
      </c>
      <c r="Y5" s="6">
        <v>1</v>
      </c>
      <c r="Z5" s="6" t="s">
        <v>1221</v>
      </c>
      <c r="AA5" s="6">
        <v>1</v>
      </c>
      <c r="AB5" s="6" t="s">
        <v>1225</v>
      </c>
      <c r="AC5" s="6">
        <v>1</v>
      </c>
      <c r="AD5" s="6" t="s">
        <v>1221</v>
      </c>
      <c r="AE5" s="6">
        <v>1</v>
      </c>
    </row>
    <row r="6" spans="1:31" x14ac:dyDescent="0.25">
      <c r="A6" s="6">
        <v>5</v>
      </c>
      <c r="B6" s="6" t="s">
        <v>0</v>
      </c>
      <c r="C6" s="6" t="s">
        <v>1</v>
      </c>
      <c r="D6" s="9" t="s">
        <v>23</v>
      </c>
      <c r="E6" s="7">
        <f t="shared" si="0"/>
        <v>4</v>
      </c>
      <c r="F6" s="7">
        <f>-1*ROUND(1/6*(I6*IF(_xlfn.XLOOKUP(H6,'02效果表'!D:D,'02效果表'!E:E)&lt;0, _xlfn.XLOOKUP(H6,'02效果表'!D:D,'02效果表'!E:E), 0) +
K6*IF(_xlfn.XLOOKUP(J6,'02效果表'!D:D,'02效果表'!E:E)&lt;0, _xlfn.XLOOKUP(J6,'02效果表'!D:D,'02效果表'!E:E), 0) +
M6*IF(_xlfn.XLOOKUP(L6,'02效果表'!D:D,'02效果表'!E:E)&lt;0, _xlfn.XLOOKUP(L6,'02效果表'!D:D,'02效果表'!E:E), 0) +
O6*IF(_xlfn.XLOOKUP(N6,'02效果表'!D:D,'02效果表'!E:E)&lt;0, _xlfn.XLOOKUP(N6,'02效果表'!D:D,'02效果表'!E:E), 0) +
Q6*IF(_xlfn.XLOOKUP(P6,'02效果表'!D:D,'02效果表'!E:E)&lt;0, _xlfn.XLOOKUP(P6,'02效果表'!D:D,'02效果表'!E:E), 0) +
S6*IF(_xlfn.XLOOKUP(R6,'02效果表'!D:D,'02效果表'!E:E)&lt;0, _xlfn.XLOOKUP(R6,'02效果表'!D:D,'02效果表'!E:E), 0) +
U6*IF(_xlfn.XLOOKUP(T6,'02效果表'!D:D,'02效果表'!E:E)&lt;0, _xlfn.XLOOKUP(T6,'02效果表'!D:D,'02效果表'!E:E), 0) +
W6*IF(_xlfn.XLOOKUP(V6,'02效果表'!D:D,'02效果表'!E:E)&lt;0, _xlfn.XLOOKUP(V6,'02效果表'!D:D,'02效果表'!E:E), 0) +
Y6*IF(_xlfn.XLOOKUP(X6,'02效果表'!D:D,'02效果表'!E:E)&lt;0, _xlfn.XLOOKUP(X6,'02效果表'!D:D,'02效果表'!E:E), 0) +
AA6*IF(_xlfn.XLOOKUP(Z6,'02效果表'!D:D,'02效果表'!E:E)&lt;0, _xlfn.XLOOKUP(Z6,'02效果表'!D:D,'02效果表'!E:E), 0) +
AC6*IF(_xlfn.XLOOKUP(AB6,'02效果表'!D:D,'02效果表'!E:E)&lt;0, _xlfn.XLOOKUP(AB6,'02效果表'!D:D,'02效果表'!E:E), 0) +
AE6*IF(_xlfn.XLOOKUP(AD6,'02效果表'!D:D,'02效果表'!E:E)&lt;0, _xlfn.XLOOKUP(AD6,'02效果表'!D:D,'02效果表'!E:E), 0)), 1)</f>
        <v>0</v>
      </c>
      <c r="G6" s="7">
        <f>ROUND(1/6*(I6*MAX(_xlfn.XLOOKUP(H6,'02效果表'!D:D,'02效果表'!E:E),0)+K6*MAX(_xlfn.XLOOKUP(J6,'02效果表'!D:D,'02效果表'!E:E),0)+M6*MAX(_xlfn.XLOOKUP(L6,'02效果表'!D:D,'02效果表'!E:E),0)+O6*MAX(_xlfn.XLOOKUP(N6,'02效果表'!D:D,'02效果表'!E:E),0)+Q6*MAX(_xlfn.XLOOKUP(P6,'02效果表'!D:D,'02效果表'!E:E),0)+S6*MAX(_xlfn.XLOOKUP(R6,'02效果表'!D:D,'02效果表'!E:E),0)+U6*MAX(_xlfn.XLOOKUP(T6,'02效果表'!D:D,'02效果表'!E:E),0)+W6*MAX(_xlfn.XLOOKUP(V6,'02效果表'!D:D,'02效果表'!E:E),0)+Y6*MAX(_xlfn.XLOOKUP(X6,'02效果表'!D:D,'02效果表'!E:E),0)+AA6*MAX(_xlfn.XLOOKUP(Z6,'02效果表'!D:D,'02效果表'!E:E),0)+AC6*MAX(_xlfn.XLOOKUP(AB6,'02效果表'!D:D,'02效果表'!E:E),0)+AE6*MAX(_xlfn.XLOOKUP(AD6,'02效果表'!D:D,'02效果表'!E:E),0)),1)</f>
        <v>4.3</v>
      </c>
      <c r="H6" s="6" t="s">
        <v>1226</v>
      </c>
      <c r="I6" s="6">
        <v>1</v>
      </c>
      <c r="J6" s="6" t="s">
        <v>1220</v>
      </c>
      <c r="K6" s="6">
        <v>1</v>
      </c>
      <c r="L6" s="6" t="s">
        <v>1226</v>
      </c>
      <c r="M6" s="6">
        <v>1</v>
      </c>
      <c r="N6" s="6" t="s">
        <v>1220</v>
      </c>
      <c r="O6" s="6">
        <v>1</v>
      </c>
      <c r="P6" s="6" t="s">
        <v>1226</v>
      </c>
      <c r="Q6" s="6">
        <v>1</v>
      </c>
      <c r="R6" s="6"/>
      <c r="S6" s="6"/>
      <c r="T6" s="6" t="s">
        <v>1226</v>
      </c>
      <c r="U6" s="6">
        <v>1</v>
      </c>
      <c r="V6" s="6"/>
      <c r="W6" s="6"/>
      <c r="X6" s="6" t="s">
        <v>1221</v>
      </c>
      <c r="Y6" s="6">
        <v>1</v>
      </c>
      <c r="Z6" s="6"/>
      <c r="AA6" s="6"/>
      <c r="AB6" s="6" t="s">
        <v>1221</v>
      </c>
      <c r="AC6" s="6">
        <v>1</v>
      </c>
      <c r="AD6" s="6"/>
      <c r="AE6" s="6"/>
    </row>
    <row r="7" spans="1:31" x14ac:dyDescent="0.25">
      <c r="A7" s="6">
        <v>6</v>
      </c>
      <c r="B7" s="6" t="s">
        <v>0</v>
      </c>
      <c r="C7" s="6" t="s">
        <v>1</v>
      </c>
      <c r="D7" s="9" t="s">
        <v>24</v>
      </c>
      <c r="E7" s="7">
        <f t="shared" si="0"/>
        <v>6</v>
      </c>
      <c r="F7" s="7">
        <f>-1*ROUND(1/6*(I7*IF(_xlfn.XLOOKUP(H7,'02效果表'!D:D,'02效果表'!E:E)&lt;0, _xlfn.XLOOKUP(H7,'02效果表'!D:D,'02效果表'!E:E), 0) +
K7*IF(_xlfn.XLOOKUP(J7,'02效果表'!D:D,'02效果表'!E:E)&lt;0, _xlfn.XLOOKUP(J7,'02效果表'!D:D,'02效果表'!E:E), 0) +
M7*IF(_xlfn.XLOOKUP(L7,'02效果表'!D:D,'02效果表'!E:E)&lt;0, _xlfn.XLOOKUP(L7,'02效果表'!D:D,'02效果表'!E:E), 0) +
O7*IF(_xlfn.XLOOKUP(N7,'02效果表'!D:D,'02效果表'!E:E)&lt;0, _xlfn.XLOOKUP(N7,'02效果表'!D:D,'02效果表'!E:E), 0) +
Q7*IF(_xlfn.XLOOKUP(P7,'02效果表'!D:D,'02效果表'!E:E)&lt;0, _xlfn.XLOOKUP(P7,'02效果表'!D:D,'02效果表'!E:E), 0) +
S7*IF(_xlfn.XLOOKUP(R7,'02效果表'!D:D,'02效果表'!E:E)&lt;0, _xlfn.XLOOKUP(R7,'02效果表'!D:D,'02效果表'!E:E), 0) +
U7*IF(_xlfn.XLOOKUP(T7,'02效果表'!D:D,'02效果表'!E:E)&lt;0, _xlfn.XLOOKUP(T7,'02效果表'!D:D,'02效果表'!E:E), 0) +
W7*IF(_xlfn.XLOOKUP(V7,'02效果表'!D:D,'02效果表'!E:E)&lt;0, _xlfn.XLOOKUP(V7,'02效果表'!D:D,'02效果表'!E:E), 0) +
Y7*IF(_xlfn.XLOOKUP(X7,'02效果表'!D:D,'02效果表'!E:E)&lt;0, _xlfn.XLOOKUP(X7,'02效果表'!D:D,'02效果表'!E:E), 0) +
AA7*IF(_xlfn.XLOOKUP(Z7,'02效果表'!D:D,'02效果表'!E:E)&lt;0, _xlfn.XLOOKUP(Z7,'02效果表'!D:D,'02效果表'!E:E), 0) +
AC7*IF(_xlfn.XLOOKUP(AB7,'02效果表'!D:D,'02效果表'!E:E)&lt;0, _xlfn.XLOOKUP(AB7,'02效果表'!D:D,'02效果表'!E:E), 0) +
AE7*IF(_xlfn.XLOOKUP(AD7,'02效果表'!D:D,'02效果表'!E:E)&lt;0, _xlfn.XLOOKUP(AD7,'02效果表'!D:D,'02效果表'!E:E), 0)), 1)</f>
        <v>0</v>
      </c>
      <c r="G7" s="7">
        <f>ROUND(1/6*(I7*MAX(_xlfn.XLOOKUP(H7,'02效果表'!D:D,'02效果表'!E:E),0)+K7*MAX(_xlfn.XLOOKUP(J7,'02效果表'!D:D,'02效果表'!E:E),0)+M7*MAX(_xlfn.XLOOKUP(L7,'02效果表'!D:D,'02效果表'!E:E),0)+O7*MAX(_xlfn.XLOOKUP(N7,'02效果表'!D:D,'02效果表'!E:E),0)+Q7*MAX(_xlfn.XLOOKUP(P7,'02效果表'!D:D,'02效果表'!E:E),0)+S7*MAX(_xlfn.XLOOKUP(R7,'02效果表'!D:D,'02效果表'!E:E),0)+U7*MAX(_xlfn.XLOOKUP(T7,'02效果表'!D:D,'02效果表'!E:E),0)+W7*MAX(_xlfn.XLOOKUP(V7,'02效果表'!D:D,'02效果表'!E:E),0)+Y7*MAX(_xlfn.XLOOKUP(X7,'02效果表'!D:D,'02效果表'!E:E),0)+AA7*MAX(_xlfn.XLOOKUP(Z7,'02效果表'!D:D,'02效果表'!E:E),0)+AC7*MAX(_xlfn.XLOOKUP(AB7,'02效果表'!D:D,'02效果表'!E:E),0)+AE7*MAX(_xlfn.XLOOKUP(AD7,'02效果表'!D:D,'02效果表'!E:E),0)),1)</f>
        <v>5.8</v>
      </c>
      <c r="H7" s="6" t="s">
        <v>1227</v>
      </c>
      <c r="I7" s="6">
        <v>3</v>
      </c>
      <c r="J7" s="6" t="s">
        <v>1220</v>
      </c>
      <c r="K7" s="6">
        <v>1</v>
      </c>
      <c r="L7" s="6" t="s">
        <v>1227</v>
      </c>
      <c r="M7" s="6">
        <v>3</v>
      </c>
      <c r="N7" s="6" t="s">
        <v>1220</v>
      </c>
      <c r="O7" s="6">
        <v>1</v>
      </c>
      <c r="P7" s="6" t="s">
        <v>1227</v>
      </c>
      <c r="Q7" s="6">
        <v>3</v>
      </c>
      <c r="R7" s="6" t="s">
        <v>1220</v>
      </c>
      <c r="S7" s="6">
        <v>1</v>
      </c>
      <c r="T7" s="6" t="s">
        <v>1227</v>
      </c>
      <c r="U7" s="6">
        <v>4</v>
      </c>
      <c r="V7" s="6"/>
      <c r="W7" s="6"/>
      <c r="X7" s="6" t="s">
        <v>1227</v>
      </c>
      <c r="Y7" s="6">
        <v>4</v>
      </c>
      <c r="Z7" s="6"/>
      <c r="AA7" s="6"/>
      <c r="AB7" s="6" t="s">
        <v>1227</v>
      </c>
      <c r="AC7" s="6">
        <v>3</v>
      </c>
      <c r="AD7" s="6"/>
      <c r="AE7" s="6"/>
    </row>
    <row r="8" spans="1:31" x14ac:dyDescent="0.25">
      <c r="A8" s="6">
        <v>7</v>
      </c>
      <c r="B8" s="6" t="s">
        <v>0</v>
      </c>
      <c r="C8" s="6" t="s">
        <v>1</v>
      </c>
      <c r="D8" s="9" t="s">
        <v>25</v>
      </c>
      <c r="E8" s="7">
        <f t="shared" si="0"/>
        <v>7</v>
      </c>
      <c r="F8" s="7">
        <f>-1*ROUND(1/6*(I8*IF(_xlfn.XLOOKUP(H8,'02效果表'!D:D,'02效果表'!E:E)&lt;0, _xlfn.XLOOKUP(H8,'02效果表'!D:D,'02效果表'!E:E), 0) +
K8*IF(_xlfn.XLOOKUP(J8,'02效果表'!D:D,'02效果表'!E:E)&lt;0, _xlfn.XLOOKUP(J8,'02效果表'!D:D,'02效果表'!E:E), 0) +
M8*IF(_xlfn.XLOOKUP(L8,'02效果表'!D:D,'02效果表'!E:E)&lt;0, _xlfn.XLOOKUP(L8,'02效果表'!D:D,'02效果表'!E:E), 0) +
O8*IF(_xlfn.XLOOKUP(N8,'02效果表'!D:D,'02效果表'!E:E)&lt;0, _xlfn.XLOOKUP(N8,'02效果表'!D:D,'02效果表'!E:E), 0) +
Q8*IF(_xlfn.XLOOKUP(P8,'02效果表'!D:D,'02效果表'!E:E)&lt;0, _xlfn.XLOOKUP(P8,'02效果表'!D:D,'02效果表'!E:E), 0) +
S8*IF(_xlfn.XLOOKUP(R8,'02效果表'!D:D,'02效果表'!E:E)&lt;0, _xlfn.XLOOKUP(R8,'02效果表'!D:D,'02效果表'!E:E), 0) +
U8*IF(_xlfn.XLOOKUP(T8,'02效果表'!D:D,'02效果表'!E:E)&lt;0, _xlfn.XLOOKUP(T8,'02效果表'!D:D,'02效果表'!E:E), 0) +
W8*IF(_xlfn.XLOOKUP(V8,'02效果表'!D:D,'02效果表'!E:E)&lt;0, _xlfn.XLOOKUP(V8,'02效果表'!D:D,'02效果表'!E:E), 0) +
Y8*IF(_xlfn.XLOOKUP(X8,'02效果表'!D:D,'02效果表'!E:E)&lt;0, _xlfn.XLOOKUP(X8,'02效果表'!D:D,'02效果表'!E:E), 0) +
AA8*IF(_xlfn.XLOOKUP(Z8,'02效果表'!D:D,'02效果表'!E:E)&lt;0, _xlfn.XLOOKUP(Z8,'02效果表'!D:D,'02效果表'!E:E), 0) +
AC8*IF(_xlfn.XLOOKUP(AB8,'02效果表'!D:D,'02效果表'!E:E)&lt;0, _xlfn.XLOOKUP(AB8,'02效果表'!D:D,'02效果表'!E:E), 0) +
AE8*IF(_xlfn.XLOOKUP(AD8,'02效果表'!D:D,'02效果表'!E:E)&lt;0, _xlfn.XLOOKUP(AD8,'02效果表'!D:D,'02效果表'!E:E), 0)), 1)</f>
        <v>0</v>
      </c>
      <c r="G8" s="7">
        <f>ROUND(1/6*(I8*MAX(_xlfn.XLOOKUP(H8,'02效果表'!D:D,'02效果表'!E:E),0)+K8*MAX(_xlfn.XLOOKUP(J8,'02效果表'!D:D,'02效果表'!E:E),0)+M8*MAX(_xlfn.XLOOKUP(L8,'02效果表'!D:D,'02效果表'!E:E),0)+O8*MAX(_xlfn.XLOOKUP(N8,'02效果表'!D:D,'02效果表'!E:E),0)+Q8*MAX(_xlfn.XLOOKUP(P8,'02效果表'!D:D,'02效果表'!E:E),0)+S8*MAX(_xlfn.XLOOKUP(R8,'02效果表'!D:D,'02效果表'!E:E),0)+U8*MAX(_xlfn.XLOOKUP(T8,'02效果表'!D:D,'02效果表'!E:E),0)+W8*MAX(_xlfn.XLOOKUP(V8,'02效果表'!D:D,'02效果表'!E:E),0)+Y8*MAX(_xlfn.XLOOKUP(X8,'02效果表'!D:D,'02效果表'!E:E),0)+AA8*MAX(_xlfn.XLOOKUP(Z8,'02效果表'!D:D,'02效果表'!E:E),0)+AC8*MAX(_xlfn.XLOOKUP(AB8,'02效果表'!D:D,'02效果表'!E:E),0)+AE8*MAX(_xlfn.XLOOKUP(AD8,'02效果表'!D:D,'02效果表'!E:E),0)),1)</f>
        <v>6.7</v>
      </c>
      <c r="H8" s="6" t="s">
        <v>1228</v>
      </c>
      <c r="I8" s="6">
        <v>4</v>
      </c>
      <c r="J8" s="6" t="s">
        <v>1220</v>
      </c>
      <c r="K8" s="6">
        <v>1</v>
      </c>
      <c r="L8" s="6" t="s">
        <v>1228</v>
      </c>
      <c r="M8" s="6">
        <v>4</v>
      </c>
      <c r="N8" s="6" t="s">
        <v>1220</v>
      </c>
      <c r="O8" s="6">
        <v>1</v>
      </c>
      <c r="P8" s="6" t="s">
        <v>1228</v>
      </c>
      <c r="Q8" s="6">
        <v>4</v>
      </c>
      <c r="R8" s="6" t="s">
        <v>1220</v>
      </c>
      <c r="S8" s="6">
        <v>1</v>
      </c>
      <c r="T8" s="6" t="s">
        <v>1229</v>
      </c>
      <c r="U8" s="6">
        <v>5</v>
      </c>
      <c r="V8" s="6"/>
      <c r="W8" s="6"/>
      <c r="X8" s="6" t="s">
        <v>1229</v>
      </c>
      <c r="Y8" s="6">
        <v>5</v>
      </c>
      <c r="Z8" s="6"/>
      <c r="AA8" s="6"/>
      <c r="AB8" s="6" t="s">
        <v>1228</v>
      </c>
      <c r="AC8" s="6">
        <v>5</v>
      </c>
      <c r="AD8" s="6"/>
      <c r="AE8" s="6"/>
    </row>
    <row r="9" spans="1:31" x14ac:dyDescent="0.25">
      <c r="A9" s="6">
        <v>8</v>
      </c>
      <c r="B9" s="6" t="s">
        <v>0</v>
      </c>
      <c r="C9" s="6" t="s">
        <v>1</v>
      </c>
      <c r="D9" s="9" t="s">
        <v>26</v>
      </c>
      <c r="E9" s="7">
        <f t="shared" si="0"/>
        <v>3</v>
      </c>
      <c r="F9" s="7">
        <f>-1*ROUND(1/6*(I9*IF(_xlfn.XLOOKUP(H9,'02效果表'!D:D,'02效果表'!E:E)&lt;0, _xlfn.XLOOKUP(H9,'02效果表'!D:D,'02效果表'!E:E), 0) +
K9*IF(_xlfn.XLOOKUP(J9,'02效果表'!D:D,'02效果表'!E:E)&lt;0, _xlfn.XLOOKUP(J9,'02效果表'!D:D,'02效果表'!E:E), 0) +
M9*IF(_xlfn.XLOOKUP(L9,'02效果表'!D:D,'02效果表'!E:E)&lt;0, _xlfn.XLOOKUP(L9,'02效果表'!D:D,'02效果表'!E:E), 0) +
O9*IF(_xlfn.XLOOKUP(N9,'02效果表'!D:D,'02效果表'!E:E)&lt;0, _xlfn.XLOOKUP(N9,'02效果表'!D:D,'02效果表'!E:E), 0) +
Q9*IF(_xlfn.XLOOKUP(P9,'02效果表'!D:D,'02效果表'!E:E)&lt;0, _xlfn.XLOOKUP(P9,'02效果表'!D:D,'02效果表'!E:E), 0) +
S9*IF(_xlfn.XLOOKUP(R9,'02效果表'!D:D,'02效果表'!E:E)&lt;0, _xlfn.XLOOKUP(R9,'02效果表'!D:D,'02效果表'!E:E), 0) +
U9*IF(_xlfn.XLOOKUP(T9,'02效果表'!D:D,'02效果表'!E:E)&lt;0, _xlfn.XLOOKUP(T9,'02效果表'!D:D,'02效果表'!E:E), 0) +
W9*IF(_xlfn.XLOOKUP(V9,'02效果表'!D:D,'02效果表'!E:E)&lt;0, _xlfn.XLOOKUP(V9,'02效果表'!D:D,'02效果表'!E:E), 0) +
Y9*IF(_xlfn.XLOOKUP(X9,'02效果表'!D:D,'02效果表'!E:E)&lt;0, _xlfn.XLOOKUP(X9,'02效果表'!D:D,'02效果表'!E:E), 0) +
AA9*IF(_xlfn.XLOOKUP(Z9,'02效果表'!D:D,'02效果表'!E:E)&lt;0, _xlfn.XLOOKUP(Z9,'02效果表'!D:D,'02效果表'!E:E), 0) +
AC9*IF(_xlfn.XLOOKUP(AB9,'02效果表'!D:D,'02效果表'!E:E)&lt;0, _xlfn.XLOOKUP(AB9,'02效果表'!D:D,'02效果表'!E:E), 0) +
AE9*IF(_xlfn.XLOOKUP(AD9,'02效果表'!D:D,'02效果表'!E:E)&lt;0, _xlfn.XLOOKUP(AD9,'02效果表'!D:D,'02效果表'!E:E), 0)), 1)</f>
        <v>0</v>
      </c>
      <c r="G9" s="7">
        <f>ROUND(1/6*(I9*MAX(_xlfn.XLOOKUP(H9,'02效果表'!D:D,'02效果表'!E:E),0)+K9*MAX(_xlfn.XLOOKUP(J9,'02效果表'!D:D,'02效果表'!E:E),0)+M9*MAX(_xlfn.XLOOKUP(L9,'02效果表'!D:D,'02效果表'!E:E),0)+O9*MAX(_xlfn.XLOOKUP(N9,'02效果表'!D:D,'02效果表'!E:E),0)+Q9*MAX(_xlfn.XLOOKUP(P9,'02效果表'!D:D,'02效果表'!E:E),0)+S9*MAX(_xlfn.XLOOKUP(R9,'02效果表'!D:D,'02效果表'!E:E),0)+U9*MAX(_xlfn.XLOOKUP(T9,'02效果表'!D:D,'02效果表'!E:E),0)+W9*MAX(_xlfn.XLOOKUP(V9,'02效果表'!D:D,'02效果表'!E:E),0)+Y9*MAX(_xlfn.XLOOKUP(X9,'02效果表'!D:D,'02效果表'!E:E),0)+AA9*MAX(_xlfn.XLOOKUP(Z9,'02效果表'!D:D,'02效果表'!E:E),0)+AC9*MAX(_xlfn.XLOOKUP(AB9,'02效果表'!D:D,'02效果表'!E:E),0)+AE9*MAX(_xlfn.XLOOKUP(AD9,'02效果表'!D:D,'02效果表'!E:E),0)),1)</f>
        <v>3</v>
      </c>
      <c r="H9" s="6" t="s">
        <v>1221</v>
      </c>
      <c r="I9" s="6">
        <v>4</v>
      </c>
      <c r="J9" s="6"/>
      <c r="K9" s="6"/>
      <c r="L9" s="6" t="s">
        <v>1221</v>
      </c>
      <c r="M9" s="6">
        <v>4</v>
      </c>
      <c r="N9" s="6"/>
      <c r="O9" s="6"/>
      <c r="P9" s="6" t="s">
        <v>1221</v>
      </c>
      <c r="Q9" s="6">
        <v>3</v>
      </c>
      <c r="R9" s="6"/>
      <c r="S9" s="6"/>
      <c r="T9" s="6" t="s">
        <v>1221</v>
      </c>
      <c r="U9" s="6">
        <v>3</v>
      </c>
      <c r="V9" s="6"/>
      <c r="W9" s="6"/>
      <c r="X9" s="6" t="s">
        <v>1221</v>
      </c>
      <c r="Y9" s="6">
        <v>2</v>
      </c>
      <c r="Z9" s="6"/>
      <c r="AA9" s="6"/>
      <c r="AB9" s="6" t="s">
        <v>1221</v>
      </c>
      <c r="AC9" s="6">
        <v>2</v>
      </c>
      <c r="AD9" s="6"/>
      <c r="AE9" s="6"/>
    </row>
    <row r="10" spans="1:31" x14ac:dyDescent="0.25">
      <c r="A10" s="6">
        <v>9</v>
      </c>
      <c r="B10" s="6" t="s">
        <v>0</v>
      </c>
      <c r="C10" s="6" t="s">
        <v>1</v>
      </c>
      <c r="D10" s="9" t="s">
        <v>27</v>
      </c>
      <c r="E10" s="7">
        <f t="shared" si="0"/>
        <v>4</v>
      </c>
      <c r="F10" s="7">
        <f>-1*ROUND(1/6*(I10*IF(_xlfn.XLOOKUP(H10,'02效果表'!D:D,'02效果表'!E:E)&lt;0, _xlfn.XLOOKUP(H10,'02效果表'!D:D,'02效果表'!E:E), 0) +
K10*IF(_xlfn.XLOOKUP(J10,'02效果表'!D:D,'02效果表'!E:E)&lt;0, _xlfn.XLOOKUP(J10,'02效果表'!D:D,'02效果表'!E:E), 0) +
M10*IF(_xlfn.XLOOKUP(L10,'02效果表'!D:D,'02效果表'!E:E)&lt;0, _xlfn.XLOOKUP(L10,'02效果表'!D:D,'02效果表'!E:E), 0) +
O10*IF(_xlfn.XLOOKUP(N10,'02效果表'!D:D,'02效果表'!E:E)&lt;0, _xlfn.XLOOKUP(N10,'02效果表'!D:D,'02效果表'!E:E), 0) +
Q10*IF(_xlfn.XLOOKUP(P10,'02效果表'!D:D,'02效果表'!E:E)&lt;0, _xlfn.XLOOKUP(P10,'02效果表'!D:D,'02效果表'!E:E), 0) +
S10*IF(_xlfn.XLOOKUP(R10,'02效果表'!D:D,'02效果表'!E:E)&lt;0, _xlfn.XLOOKUP(R10,'02效果表'!D:D,'02效果表'!E:E), 0) +
U10*IF(_xlfn.XLOOKUP(T10,'02效果表'!D:D,'02效果表'!E:E)&lt;0, _xlfn.XLOOKUP(T10,'02效果表'!D:D,'02效果表'!E:E), 0) +
W10*IF(_xlfn.XLOOKUP(V10,'02效果表'!D:D,'02效果表'!E:E)&lt;0, _xlfn.XLOOKUP(V10,'02效果表'!D:D,'02效果表'!E:E), 0) +
Y10*IF(_xlfn.XLOOKUP(X10,'02效果表'!D:D,'02效果表'!E:E)&lt;0, _xlfn.XLOOKUP(X10,'02效果表'!D:D,'02效果表'!E:E), 0) +
AA10*IF(_xlfn.XLOOKUP(Z10,'02效果表'!D:D,'02效果表'!E:E)&lt;0, _xlfn.XLOOKUP(Z10,'02效果表'!D:D,'02效果表'!E:E), 0) +
AC10*IF(_xlfn.XLOOKUP(AB10,'02效果表'!D:D,'02效果表'!E:E)&lt;0, _xlfn.XLOOKUP(AB10,'02效果表'!D:D,'02效果表'!E:E), 0) +
AE10*IF(_xlfn.XLOOKUP(AD10,'02效果表'!D:D,'02效果表'!E:E)&lt;0, _xlfn.XLOOKUP(AD10,'02效果表'!D:D,'02效果表'!E:E), 0)), 1)</f>
        <v>0</v>
      </c>
      <c r="G10" s="7">
        <f>ROUND(1/6*(I10*MAX(_xlfn.XLOOKUP(H10,'02效果表'!D:D,'02效果表'!E:E),0)+K10*MAX(_xlfn.XLOOKUP(J10,'02效果表'!D:D,'02效果表'!E:E),0)+M10*MAX(_xlfn.XLOOKUP(L10,'02效果表'!D:D,'02效果表'!E:E),0)+O10*MAX(_xlfn.XLOOKUP(N10,'02效果表'!D:D,'02效果表'!E:E),0)+Q10*MAX(_xlfn.XLOOKUP(P10,'02效果表'!D:D,'02效果表'!E:E),0)+S10*MAX(_xlfn.XLOOKUP(R10,'02效果表'!D:D,'02效果表'!E:E),0)+U10*MAX(_xlfn.XLOOKUP(T10,'02效果表'!D:D,'02效果表'!E:E),0)+W10*MAX(_xlfn.XLOOKUP(V10,'02效果表'!D:D,'02效果表'!E:E),0)+Y10*MAX(_xlfn.XLOOKUP(X10,'02效果表'!D:D,'02效果表'!E:E),0)+AA10*MAX(_xlfn.XLOOKUP(Z10,'02效果表'!D:D,'02效果表'!E:E),0)+AC10*MAX(_xlfn.XLOOKUP(AB10,'02效果表'!D:D,'02效果表'!E:E),0)+AE10*MAX(_xlfn.XLOOKUP(AD10,'02效果表'!D:D,'02效果表'!E:E),0)),1)</f>
        <v>3.7</v>
      </c>
      <c r="H10" s="6" t="s">
        <v>1221</v>
      </c>
      <c r="I10" s="6">
        <v>1</v>
      </c>
      <c r="J10" s="6" t="s">
        <v>1220</v>
      </c>
      <c r="K10" s="6">
        <v>1</v>
      </c>
      <c r="L10" s="6" t="s">
        <v>1221</v>
      </c>
      <c r="M10" s="6">
        <v>1</v>
      </c>
      <c r="N10" s="6" t="s">
        <v>1220</v>
      </c>
      <c r="O10" s="6">
        <v>1</v>
      </c>
      <c r="P10" s="6" t="s">
        <v>1221</v>
      </c>
      <c r="Q10" s="6">
        <v>1</v>
      </c>
      <c r="R10" s="6" t="s">
        <v>1220</v>
      </c>
      <c r="S10" s="6">
        <v>1</v>
      </c>
      <c r="T10" s="6" t="s">
        <v>1230</v>
      </c>
      <c r="U10" s="6">
        <v>1</v>
      </c>
      <c r="V10" s="6"/>
      <c r="W10" s="6"/>
      <c r="X10" s="6" t="s">
        <v>1230</v>
      </c>
      <c r="Y10" s="6">
        <v>2</v>
      </c>
      <c r="Z10" s="6"/>
      <c r="AA10" s="6"/>
      <c r="AB10" s="6" t="s">
        <v>1221</v>
      </c>
      <c r="AC10" s="6">
        <v>2</v>
      </c>
      <c r="AD10" s="6"/>
      <c r="AE10" s="6"/>
    </row>
    <row r="11" spans="1:31" x14ac:dyDescent="0.25">
      <c r="A11" s="6">
        <v>10</v>
      </c>
      <c r="B11" s="6" t="s">
        <v>0</v>
      </c>
      <c r="C11" s="6" t="s">
        <v>1</v>
      </c>
      <c r="D11" s="9" t="s">
        <v>28</v>
      </c>
      <c r="E11" s="7">
        <f t="shared" si="0"/>
        <v>5</v>
      </c>
      <c r="F11" s="7">
        <f>-1*ROUND(1/6*(I11*IF(_xlfn.XLOOKUP(H11,'02效果表'!D:D,'02效果表'!E:E)&lt;0, _xlfn.XLOOKUP(H11,'02效果表'!D:D,'02效果表'!E:E), 0) +
K11*IF(_xlfn.XLOOKUP(J11,'02效果表'!D:D,'02效果表'!E:E)&lt;0, _xlfn.XLOOKUP(J11,'02效果表'!D:D,'02效果表'!E:E), 0) +
M11*IF(_xlfn.XLOOKUP(L11,'02效果表'!D:D,'02效果表'!E:E)&lt;0, _xlfn.XLOOKUP(L11,'02效果表'!D:D,'02效果表'!E:E), 0) +
O11*IF(_xlfn.XLOOKUP(N11,'02效果表'!D:D,'02效果表'!E:E)&lt;0, _xlfn.XLOOKUP(N11,'02效果表'!D:D,'02效果表'!E:E), 0) +
Q11*IF(_xlfn.XLOOKUP(P11,'02效果表'!D:D,'02效果表'!E:E)&lt;0, _xlfn.XLOOKUP(P11,'02效果表'!D:D,'02效果表'!E:E), 0) +
S11*IF(_xlfn.XLOOKUP(R11,'02效果表'!D:D,'02效果表'!E:E)&lt;0, _xlfn.XLOOKUP(R11,'02效果表'!D:D,'02效果表'!E:E), 0) +
U11*IF(_xlfn.XLOOKUP(T11,'02效果表'!D:D,'02效果表'!E:E)&lt;0, _xlfn.XLOOKUP(T11,'02效果表'!D:D,'02效果表'!E:E), 0) +
W11*IF(_xlfn.XLOOKUP(V11,'02效果表'!D:D,'02效果表'!E:E)&lt;0, _xlfn.XLOOKUP(V11,'02效果表'!D:D,'02效果表'!E:E), 0) +
Y11*IF(_xlfn.XLOOKUP(X11,'02效果表'!D:D,'02效果表'!E:E)&lt;0, _xlfn.XLOOKUP(X11,'02效果表'!D:D,'02效果表'!E:E), 0) +
AA11*IF(_xlfn.XLOOKUP(Z11,'02效果表'!D:D,'02效果表'!E:E)&lt;0, _xlfn.XLOOKUP(Z11,'02效果表'!D:D,'02效果表'!E:E), 0) +
AC11*IF(_xlfn.XLOOKUP(AB11,'02效果表'!D:D,'02效果表'!E:E)&lt;0, _xlfn.XLOOKUP(AB11,'02效果表'!D:D,'02效果表'!E:E), 0) +
AE11*IF(_xlfn.XLOOKUP(AD11,'02效果表'!D:D,'02效果表'!E:E)&lt;0, _xlfn.XLOOKUP(AD11,'02效果表'!D:D,'02效果表'!E:E), 0)), 1)</f>
        <v>0</v>
      </c>
      <c r="G11" s="7">
        <f>ROUND(1/6*(I11*MAX(_xlfn.XLOOKUP(H11,'02效果表'!D:D,'02效果表'!E:E),0)+K11*MAX(_xlfn.XLOOKUP(J11,'02效果表'!D:D,'02效果表'!E:E),0)+M11*MAX(_xlfn.XLOOKUP(L11,'02效果表'!D:D,'02效果表'!E:E),0)+O11*MAX(_xlfn.XLOOKUP(N11,'02效果表'!D:D,'02效果表'!E:E),0)+Q11*MAX(_xlfn.XLOOKUP(P11,'02效果表'!D:D,'02效果表'!E:E),0)+S11*MAX(_xlfn.XLOOKUP(R11,'02效果表'!D:D,'02效果表'!E:E),0)+U11*MAX(_xlfn.XLOOKUP(T11,'02效果表'!D:D,'02效果表'!E:E),0)+W11*MAX(_xlfn.XLOOKUP(V11,'02效果表'!D:D,'02效果表'!E:E),0)+Y11*MAX(_xlfn.XLOOKUP(X11,'02效果表'!D:D,'02效果表'!E:E),0)+AA11*MAX(_xlfn.XLOOKUP(Z11,'02效果表'!D:D,'02效果表'!E:E),0)+AC11*MAX(_xlfn.XLOOKUP(AB11,'02效果表'!D:D,'02效果表'!E:E),0)+AE11*MAX(_xlfn.XLOOKUP(AD11,'02效果表'!D:D,'02效果表'!E:E),0)),1)</f>
        <v>4.5</v>
      </c>
      <c r="H11" s="6" t="s">
        <v>1221</v>
      </c>
      <c r="I11" s="6">
        <v>2</v>
      </c>
      <c r="J11" s="6" t="s">
        <v>1231</v>
      </c>
      <c r="K11" s="6">
        <v>1</v>
      </c>
      <c r="L11" s="6" t="s">
        <v>1221</v>
      </c>
      <c r="M11" s="6">
        <v>1</v>
      </c>
      <c r="N11" s="6" t="s">
        <v>1231</v>
      </c>
      <c r="O11" s="6">
        <v>1</v>
      </c>
      <c r="P11" s="6" t="s">
        <v>1221</v>
      </c>
      <c r="Q11" s="6">
        <v>1</v>
      </c>
      <c r="R11" s="6" t="s">
        <v>1231</v>
      </c>
      <c r="S11" s="6">
        <v>1</v>
      </c>
      <c r="T11" s="6" t="s">
        <v>1221</v>
      </c>
      <c r="U11" s="6">
        <v>1</v>
      </c>
      <c r="V11" s="6" t="s">
        <v>1231</v>
      </c>
      <c r="W11" s="6">
        <v>1</v>
      </c>
      <c r="X11" s="6" t="s">
        <v>1221</v>
      </c>
      <c r="Y11" s="6">
        <v>1</v>
      </c>
      <c r="Z11" s="6"/>
      <c r="AA11" s="6"/>
      <c r="AB11" s="6" t="s">
        <v>1221</v>
      </c>
      <c r="AC11" s="6">
        <v>1</v>
      </c>
      <c r="AD11" s="6"/>
      <c r="AE11" s="6"/>
    </row>
    <row r="12" spans="1:31" x14ac:dyDescent="0.25">
      <c r="A12" s="6">
        <v>11</v>
      </c>
      <c r="B12" s="6" t="s">
        <v>0</v>
      </c>
      <c r="C12" s="6" t="s">
        <v>1</v>
      </c>
      <c r="D12" s="9" t="s">
        <v>29</v>
      </c>
      <c r="E12" s="7">
        <f t="shared" si="0"/>
        <v>4</v>
      </c>
      <c r="F12" s="7">
        <f>-1*ROUND(1/6*(I12*IF(_xlfn.XLOOKUP(H12,'02效果表'!D:D,'02效果表'!E:E)&lt;0, _xlfn.XLOOKUP(H12,'02效果表'!D:D,'02效果表'!E:E), 0) +
K12*IF(_xlfn.XLOOKUP(J12,'02效果表'!D:D,'02效果表'!E:E)&lt;0, _xlfn.XLOOKUP(J12,'02效果表'!D:D,'02效果表'!E:E), 0) +
M12*IF(_xlfn.XLOOKUP(L12,'02效果表'!D:D,'02效果表'!E:E)&lt;0, _xlfn.XLOOKUP(L12,'02效果表'!D:D,'02效果表'!E:E), 0) +
O12*IF(_xlfn.XLOOKUP(N12,'02效果表'!D:D,'02效果表'!E:E)&lt;0, _xlfn.XLOOKUP(N12,'02效果表'!D:D,'02效果表'!E:E), 0) +
Q12*IF(_xlfn.XLOOKUP(P12,'02效果表'!D:D,'02效果表'!E:E)&lt;0, _xlfn.XLOOKUP(P12,'02效果表'!D:D,'02效果表'!E:E), 0) +
S12*IF(_xlfn.XLOOKUP(R12,'02效果表'!D:D,'02效果表'!E:E)&lt;0, _xlfn.XLOOKUP(R12,'02效果表'!D:D,'02效果表'!E:E), 0) +
U12*IF(_xlfn.XLOOKUP(T12,'02效果表'!D:D,'02效果表'!E:E)&lt;0, _xlfn.XLOOKUP(T12,'02效果表'!D:D,'02效果表'!E:E), 0) +
W12*IF(_xlfn.XLOOKUP(V12,'02效果表'!D:D,'02效果表'!E:E)&lt;0, _xlfn.XLOOKUP(V12,'02效果表'!D:D,'02效果表'!E:E), 0) +
Y12*IF(_xlfn.XLOOKUP(X12,'02效果表'!D:D,'02效果表'!E:E)&lt;0, _xlfn.XLOOKUP(X12,'02效果表'!D:D,'02效果表'!E:E), 0) +
AA12*IF(_xlfn.XLOOKUP(Z12,'02效果表'!D:D,'02效果表'!E:E)&lt;0, _xlfn.XLOOKUP(Z12,'02效果表'!D:D,'02效果表'!E:E), 0) +
AC12*IF(_xlfn.XLOOKUP(AB12,'02效果表'!D:D,'02效果表'!E:E)&lt;0, _xlfn.XLOOKUP(AB12,'02效果表'!D:D,'02效果表'!E:E), 0) +
AE12*IF(_xlfn.XLOOKUP(AD12,'02效果表'!D:D,'02效果表'!E:E)&lt;0, _xlfn.XLOOKUP(AD12,'02效果表'!D:D,'02效果表'!E:E), 0)), 1)</f>
        <v>0</v>
      </c>
      <c r="G12" s="7">
        <f>ROUND(1/6*(I12*MAX(_xlfn.XLOOKUP(H12,'02效果表'!D:D,'02效果表'!E:E),0)+K12*MAX(_xlfn.XLOOKUP(J12,'02效果表'!D:D,'02效果表'!E:E),0)+M12*MAX(_xlfn.XLOOKUP(L12,'02效果表'!D:D,'02效果表'!E:E),0)+O12*MAX(_xlfn.XLOOKUP(N12,'02效果表'!D:D,'02效果表'!E:E),0)+Q12*MAX(_xlfn.XLOOKUP(P12,'02效果表'!D:D,'02效果表'!E:E),0)+S12*MAX(_xlfn.XLOOKUP(R12,'02效果表'!D:D,'02效果表'!E:E),0)+U12*MAX(_xlfn.XLOOKUP(T12,'02效果表'!D:D,'02效果表'!E:E),0)+W12*MAX(_xlfn.XLOOKUP(V12,'02效果表'!D:D,'02效果表'!E:E),0)+Y12*MAX(_xlfn.XLOOKUP(X12,'02效果表'!D:D,'02效果表'!E:E),0)+AA12*MAX(_xlfn.XLOOKUP(Z12,'02效果表'!D:D,'02效果表'!E:E),0)+AC12*MAX(_xlfn.XLOOKUP(AB12,'02效果表'!D:D,'02效果表'!E:E),0)+AE12*MAX(_xlfn.XLOOKUP(AD12,'02效果表'!D:D,'02效果表'!E:E),0)),1)</f>
        <v>4.2</v>
      </c>
      <c r="H12" s="6" t="s">
        <v>1232</v>
      </c>
      <c r="I12" s="6">
        <v>2</v>
      </c>
      <c r="J12" s="6"/>
      <c r="K12" s="6"/>
      <c r="L12" s="6" t="s">
        <v>1232</v>
      </c>
      <c r="M12" s="6">
        <v>1</v>
      </c>
      <c r="N12" s="6"/>
      <c r="O12" s="6"/>
      <c r="P12" s="6" t="s">
        <v>1232</v>
      </c>
      <c r="Q12" s="6">
        <v>1</v>
      </c>
      <c r="R12" s="6"/>
      <c r="S12" s="6"/>
      <c r="T12" s="6" t="s">
        <v>1221</v>
      </c>
      <c r="U12" s="6">
        <v>1</v>
      </c>
      <c r="V12" s="6"/>
      <c r="W12" s="6"/>
      <c r="X12" s="6" t="s">
        <v>1221</v>
      </c>
      <c r="Y12" s="6">
        <v>1</v>
      </c>
      <c r="Z12" s="6"/>
      <c r="AA12" s="6"/>
      <c r="AB12" s="6" t="s">
        <v>1221</v>
      </c>
      <c r="AC12" s="6">
        <v>1</v>
      </c>
      <c r="AD12" s="6"/>
      <c r="AE12" s="6"/>
    </row>
    <row r="13" spans="1:31" x14ac:dyDescent="0.25">
      <c r="A13" s="6">
        <v>12</v>
      </c>
      <c r="B13" s="6" t="s">
        <v>0</v>
      </c>
      <c r="C13" s="6" t="s">
        <v>1</v>
      </c>
      <c r="D13" s="9" t="s">
        <v>30</v>
      </c>
      <c r="E13" s="7">
        <f t="shared" si="0"/>
        <v>4</v>
      </c>
      <c r="F13" s="7">
        <f>-1*ROUND(1/6*(I13*IF(_xlfn.XLOOKUP(H13,'02效果表'!D:D,'02效果表'!E:E)&lt;0, _xlfn.XLOOKUP(H13,'02效果表'!D:D,'02效果表'!E:E), 0) +
K13*IF(_xlfn.XLOOKUP(J13,'02效果表'!D:D,'02效果表'!E:E)&lt;0, _xlfn.XLOOKUP(J13,'02效果表'!D:D,'02效果表'!E:E), 0) +
M13*IF(_xlfn.XLOOKUP(L13,'02效果表'!D:D,'02效果表'!E:E)&lt;0, _xlfn.XLOOKUP(L13,'02效果表'!D:D,'02效果表'!E:E), 0) +
O13*IF(_xlfn.XLOOKUP(N13,'02效果表'!D:D,'02效果表'!E:E)&lt;0, _xlfn.XLOOKUP(N13,'02效果表'!D:D,'02效果表'!E:E), 0) +
Q13*IF(_xlfn.XLOOKUP(P13,'02效果表'!D:D,'02效果表'!E:E)&lt;0, _xlfn.XLOOKUP(P13,'02效果表'!D:D,'02效果表'!E:E), 0) +
S13*IF(_xlfn.XLOOKUP(R13,'02效果表'!D:D,'02效果表'!E:E)&lt;0, _xlfn.XLOOKUP(R13,'02效果表'!D:D,'02效果表'!E:E), 0) +
U13*IF(_xlfn.XLOOKUP(T13,'02效果表'!D:D,'02效果表'!E:E)&lt;0, _xlfn.XLOOKUP(T13,'02效果表'!D:D,'02效果表'!E:E), 0) +
W13*IF(_xlfn.XLOOKUP(V13,'02效果表'!D:D,'02效果表'!E:E)&lt;0, _xlfn.XLOOKUP(V13,'02效果表'!D:D,'02效果表'!E:E), 0) +
Y13*IF(_xlfn.XLOOKUP(X13,'02效果表'!D:D,'02效果表'!E:E)&lt;0, _xlfn.XLOOKUP(X13,'02效果表'!D:D,'02效果表'!E:E), 0) +
AA13*IF(_xlfn.XLOOKUP(Z13,'02效果表'!D:D,'02效果表'!E:E)&lt;0, _xlfn.XLOOKUP(Z13,'02效果表'!D:D,'02效果表'!E:E), 0) +
AC13*IF(_xlfn.XLOOKUP(AB13,'02效果表'!D:D,'02效果表'!E:E)&lt;0, _xlfn.XLOOKUP(AB13,'02效果表'!D:D,'02效果表'!E:E), 0) +
AE13*IF(_xlfn.XLOOKUP(AD13,'02效果表'!D:D,'02效果表'!E:E)&lt;0, _xlfn.XLOOKUP(AD13,'02效果表'!D:D,'02效果表'!E:E), 0)), 1)</f>
        <v>0</v>
      </c>
      <c r="G13" s="7">
        <f>ROUND(1/6*(I13*MAX(_xlfn.XLOOKUP(H13,'02效果表'!D:D,'02效果表'!E:E),0)+K13*MAX(_xlfn.XLOOKUP(J13,'02效果表'!D:D,'02效果表'!E:E),0)+M13*MAX(_xlfn.XLOOKUP(L13,'02效果表'!D:D,'02效果表'!E:E),0)+O13*MAX(_xlfn.XLOOKUP(N13,'02效果表'!D:D,'02效果表'!E:E),0)+Q13*MAX(_xlfn.XLOOKUP(P13,'02效果表'!D:D,'02效果表'!E:E),0)+S13*MAX(_xlfn.XLOOKUP(R13,'02效果表'!D:D,'02效果表'!E:E),0)+U13*MAX(_xlfn.XLOOKUP(T13,'02效果表'!D:D,'02效果表'!E:E),0)+W13*MAX(_xlfn.XLOOKUP(V13,'02效果表'!D:D,'02效果表'!E:E),0)+Y13*MAX(_xlfn.XLOOKUP(X13,'02效果表'!D:D,'02效果表'!E:E),0)+AA13*MAX(_xlfn.XLOOKUP(Z13,'02效果表'!D:D,'02效果表'!E:E),0)+AC13*MAX(_xlfn.XLOOKUP(AB13,'02效果表'!D:D,'02效果表'!E:E),0)+AE13*MAX(_xlfn.XLOOKUP(AD13,'02效果表'!D:D,'02效果表'!E:E),0)),1)</f>
        <v>4.3</v>
      </c>
      <c r="H13" s="6" t="s">
        <v>1233</v>
      </c>
      <c r="I13" s="6">
        <v>1</v>
      </c>
      <c r="J13" s="6"/>
      <c r="K13" s="6"/>
      <c r="L13" s="6" t="s">
        <v>1233</v>
      </c>
      <c r="M13" s="6">
        <v>1</v>
      </c>
      <c r="N13" s="6"/>
      <c r="O13" s="6"/>
      <c r="P13" s="6" t="s">
        <v>1221</v>
      </c>
      <c r="Q13" s="6">
        <v>2</v>
      </c>
      <c r="R13" s="6"/>
      <c r="S13" s="6"/>
      <c r="T13" s="6" t="s">
        <v>1221</v>
      </c>
      <c r="U13" s="6">
        <v>2</v>
      </c>
      <c r="V13" s="6"/>
      <c r="W13" s="6"/>
      <c r="X13" s="6" t="s">
        <v>1221</v>
      </c>
      <c r="Y13" s="6">
        <v>1</v>
      </c>
      <c r="Z13" s="6"/>
      <c r="AA13" s="6"/>
      <c r="AB13" s="6" t="s">
        <v>1221</v>
      </c>
      <c r="AC13" s="6">
        <v>1</v>
      </c>
      <c r="AD13" s="6"/>
      <c r="AE13" s="6"/>
    </row>
    <row r="14" spans="1:31" x14ac:dyDescent="0.25">
      <c r="A14" s="6">
        <v>13</v>
      </c>
      <c r="B14" s="6" t="s">
        <v>0</v>
      </c>
      <c r="C14" s="6" t="s">
        <v>1</v>
      </c>
      <c r="D14" s="9" t="s">
        <v>31</v>
      </c>
      <c r="E14" s="7">
        <f t="shared" si="0"/>
        <v>3</v>
      </c>
      <c r="F14" s="7">
        <f>-1*ROUND(1/6*(I14*IF(_xlfn.XLOOKUP(H14,'02效果表'!D:D,'02效果表'!E:E)&lt;0, _xlfn.XLOOKUP(H14,'02效果表'!D:D,'02效果表'!E:E), 0) +
K14*IF(_xlfn.XLOOKUP(J14,'02效果表'!D:D,'02效果表'!E:E)&lt;0, _xlfn.XLOOKUP(J14,'02效果表'!D:D,'02效果表'!E:E), 0) +
M14*IF(_xlfn.XLOOKUP(L14,'02效果表'!D:D,'02效果表'!E:E)&lt;0, _xlfn.XLOOKUP(L14,'02效果表'!D:D,'02效果表'!E:E), 0) +
O14*IF(_xlfn.XLOOKUP(N14,'02效果表'!D:D,'02效果表'!E:E)&lt;0, _xlfn.XLOOKUP(N14,'02效果表'!D:D,'02效果表'!E:E), 0) +
Q14*IF(_xlfn.XLOOKUP(P14,'02效果表'!D:D,'02效果表'!E:E)&lt;0, _xlfn.XLOOKUP(P14,'02效果表'!D:D,'02效果表'!E:E), 0) +
S14*IF(_xlfn.XLOOKUP(R14,'02效果表'!D:D,'02效果表'!E:E)&lt;0, _xlfn.XLOOKUP(R14,'02效果表'!D:D,'02效果表'!E:E), 0) +
U14*IF(_xlfn.XLOOKUP(T14,'02效果表'!D:D,'02效果表'!E:E)&lt;0, _xlfn.XLOOKUP(T14,'02效果表'!D:D,'02效果表'!E:E), 0) +
W14*IF(_xlfn.XLOOKUP(V14,'02效果表'!D:D,'02效果表'!E:E)&lt;0, _xlfn.XLOOKUP(V14,'02效果表'!D:D,'02效果表'!E:E), 0) +
Y14*IF(_xlfn.XLOOKUP(X14,'02效果表'!D:D,'02效果表'!E:E)&lt;0, _xlfn.XLOOKUP(X14,'02效果表'!D:D,'02效果表'!E:E), 0) +
AA14*IF(_xlfn.XLOOKUP(Z14,'02效果表'!D:D,'02效果表'!E:E)&lt;0, _xlfn.XLOOKUP(Z14,'02效果表'!D:D,'02效果表'!E:E), 0) +
AC14*IF(_xlfn.XLOOKUP(AB14,'02效果表'!D:D,'02效果表'!E:E)&lt;0, _xlfn.XLOOKUP(AB14,'02效果表'!D:D,'02效果表'!E:E), 0) +
AE14*IF(_xlfn.XLOOKUP(AD14,'02效果表'!D:D,'02效果表'!E:E)&lt;0, _xlfn.XLOOKUP(AD14,'02效果表'!D:D,'02效果表'!E:E), 0)), 1)</f>
        <v>0</v>
      </c>
      <c r="G14" s="7">
        <f>ROUND(1/6*(I14*MAX(_xlfn.XLOOKUP(H14,'02效果表'!D:D,'02效果表'!E:E),0)+K14*MAX(_xlfn.XLOOKUP(J14,'02效果表'!D:D,'02效果表'!E:E),0)+M14*MAX(_xlfn.XLOOKUP(L14,'02效果表'!D:D,'02效果表'!E:E),0)+O14*MAX(_xlfn.XLOOKUP(N14,'02效果表'!D:D,'02效果表'!E:E),0)+Q14*MAX(_xlfn.XLOOKUP(P14,'02效果表'!D:D,'02效果表'!E:E),0)+S14*MAX(_xlfn.XLOOKUP(R14,'02效果表'!D:D,'02效果表'!E:E),0)+U14*MAX(_xlfn.XLOOKUP(T14,'02效果表'!D:D,'02效果表'!E:E),0)+W14*MAX(_xlfn.XLOOKUP(V14,'02效果表'!D:D,'02效果表'!E:E),0)+Y14*MAX(_xlfn.XLOOKUP(X14,'02效果表'!D:D,'02效果表'!E:E),0)+AA14*MAX(_xlfn.XLOOKUP(Z14,'02效果表'!D:D,'02效果表'!E:E),0)+AC14*MAX(_xlfn.XLOOKUP(AB14,'02效果表'!D:D,'02效果表'!E:E),0)+AE14*MAX(_xlfn.XLOOKUP(AD14,'02效果表'!D:D,'02效果表'!E:E),0)),1)</f>
        <v>2.7</v>
      </c>
      <c r="H14" s="6" t="s">
        <v>1234</v>
      </c>
      <c r="I14" s="6">
        <v>2</v>
      </c>
      <c r="J14" s="6"/>
      <c r="K14" s="6"/>
      <c r="L14" s="6" t="s">
        <v>1234</v>
      </c>
      <c r="M14" s="6">
        <v>2</v>
      </c>
      <c r="N14" s="6"/>
      <c r="O14" s="6"/>
      <c r="P14" s="6" t="s">
        <v>1234</v>
      </c>
      <c r="Q14" s="6">
        <v>1</v>
      </c>
      <c r="R14" s="6"/>
      <c r="S14" s="6"/>
      <c r="T14" s="6" t="s">
        <v>1234</v>
      </c>
      <c r="U14" s="6">
        <v>1</v>
      </c>
      <c r="V14" s="6"/>
      <c r="W14" s="6"/>
      <c r="X14" s="6" t="s">
        <v>1234</v>
      </c>
      <c r="Y14" s="6">
        <v>1</v>
      </c>
      <c r="Z14" s="6"/>
      <c r="AA14" s="6"/>
      <c r="AB14" s="6" t="s">
        <v>1234</v>
      </c>
      <c r="AC14" s="6">
        <v>1</v>
      </c>
      <c r="AD14" s="6"/>
      <c r="AE14" s="6"/>
    </row>
    <row r="15" spans="1:31" x14ac:dyDescent="0.25">
      <c r="A15" s="6">
        <v>14</v>
      </c>
      <c r="B15" s="6" t="s">
        <v>0</v>
      </c>
      <c r="C15" s="6" t="s">
        <v>1</v>
      </c>
      <c r="D15" s="9" t="s">
        <v>544</v>
      </c>
      <c r="E15" s="7">
        <f t="shared" si="0"/>
        <v>7</v>
      </c>
      <c r="F15" s="7">
        <f>-1*ROUND(1/6*(I15*IF(_xlfn.XLOOKUP(H15,'02效果表'!D:D,'02效果表'!E:E)&lt;0, _xlfn.XLOOKUP(H15,'02效果表'!D:D,'02效果表'!E:E), 0) +
K15*IF(_xlfn.XLOOKUP(J15,'02效果表'!D:D,'02效果表'!E:E)&lt;0, _xlfn.XLOOKUP(J15,'02效果表'!D:D,'02效果表'!E:E), 0) +
M15*IF(_xlfn.XLOOKUP(L15,'02效果表'!D:D,'02效果表'!E:E)&lt;0, _xlfn.XLOOKUP(L15,'02效果表'!D:D,'02效果表'!E:E), 0) +
O15*IF(_xlfn.XLOOKUP(N15,'02效果表'!D:D,'02效果表'!E:E)&lt;0, _xlfn.XLOOKUP(N15,'02效果表'!D:D,'02效果表'!E:E), 0) +
Q15*IF(_xlfn.XLOOKUP(P15,'02效果表'!D:D,'02效果表'!E:E)&lt;0, _xlfn.XLOOKUP(P15,'02效果表'!D:D,'02效果表'!E:E), 0) +
S15*IF(_xlfn.XLOOKUP(R15,'02效果表'!D:D,'02效果表'!E:E)&lt;0, _xlfn.XLOOKUP(R15,'02效果表'!D:D,'02效果表'!E:E), 0) +
U15*IF(_xlfn.XLOOKUP(T15,'02效果表'!D:D,'02效果表'!E:E)&lt;0, _xlfn.XLOOKUP(T15,'02效果表'!D:D,'02效果表'!E:E), 0) +
W15*IF(_xlfn.XLOOKUP(V15,'02效果表'!D:D,'02效果表'!E:E)&lt;0, _xlfn.XLOOKUP(V15,'02效果表'!D:D,'02效果表'!E:E), 0) +
Y15*IF(_xlfn.XLOOKUP(X15,'02效果表'!D:D,'02效果表'!E:E)&lt;0, _xlfn.XLOOKUP(X15,'02效果表'!D:D,'02效果表'!E:E), 0) +
AA15*IF(_xlfn.XLOOKUP(Z15,'02效果表'!D:D,'02效果表'!E:E)&lt;0, _xlfn.XLOOKUP(Z15,'02效果表'!D:D,'02效果表'!E:E), 0) +
AC15*IF(_xlfn.XLOOKUP(AB15,'02效果表'!D:D,'02效果表'!E:E)&lt;0, _xlfn.XLOOKUP(AB15,'02效果表'!D:D,'02效果表'!E:E), 0) +
AE15*IF(_xlfn.XLOOKUP(AD15,'02效果表'!D:D,'02效果表'!E:E)&lt;0, _xlfn.XLOOKUP(AD15,'02效果表'!D:D,'02效果表'!E:E), 0)), 1)</f>
        <v>0</v>
      </c>
      <c r="G15" s="7">
        <f>ROUND(1/6*(I15*MAX(_xlfn.XLOOKUP(H15,'02效果表'!D:D,'02效果表'!E:E),0)+K15*MAX(_xlfn.XLOOKUP(J15,'02效果表'!D:D,'02效果表'!E:E),0)+M15*MAX(_xlfn.XLOOKUP(L15,'02效果表'!D:D,'02效果表'!E:E),0)+O15*MAX(_xlfn.XLOOKUP(N15,'02效果表'!D:D,'02效果表'!E:E),0)+Q15*MAX(_xlfn.XLOOKUP(P15,'02效果表'!D:D,'02效果表'!E:E),0)+S15*MAX(_xlfn.XLOOKUP(R15,'02效果表'!D:D,'02效果表'!E:E),0)+U15*MAX(_xlfn.XLOOKUP(T15,'02效果表'!D:D,'02效果表'!E:E),0)+W15*MAX(_xlfn.XLOOKUP(V15,'02效果表'!D:D,'02效果表'!E:E),0)+Y15*MAX(_xlfn.XLOOKUP(X15,'02效果表'!D:D,'02效果表'!E:E),0)+AA15*MAX(_xlfn.XLOOKUP(Z15,'02效果表'!D:D,'02效果表'!E:E),0)+AC15*MAX(_xlfn.XLOOKUP(AB15,'02效果表'!D:D,'02效果表'!E:E),0)+AE15*MAX(_xlfn.XLOOKUP(AD15,'02效果表'!D:D,'02效果表'!E:E),0)),1)</f>
        <v>7</v>
      </c>
      <c r="H15" s="6" t="s">
        <v>1235</v>
      </c>
      <c r="I15" s="6">
        <v>1</v>
      </c>
      <c r="J15" s="6"/>
      <c r="K15" s="6"/>
      <c r="L15" s="6" t="s">
        <v>1235</v>
      </c>
      <c r="M15" s="6">
        <v>1</v>
      </c>
      <c r="N15" s="6"/>
      <c r="O15" s="6"/>
      <c r="P15" s="6" t="s">
        <v>1235</v>
      </c>
      <c r="Q15" s="6">
        <v>1</v>
      </c>
      <c r="R15" s="6"/>
      <c r="S15" s="6"/>
      <c r="T15" s="6" t="s">
        <v>1235</v>
      </c>
      <c r="U15" s="6">
        <v>1</v>
      </c>
      <c r="V15" s="6"/>
      <c r="W15" s="6"/>
      <c r="X15" s="6" t="s">
        <v>1221</v>
      </c>
      <c r="Y15" s="6">
        <v>1</v>
      </c>
      <c r="Z15" s="6"/>
      <c r="AA15" s="6"/>
      <c r="AB15" s="6" t="s">
        <v>1221</v>
      </c>
      <c r="AC15" s="6">
        <v>1</v>
      </c>
      <c r="AD15" s="6"/>
      <c r="AE15" s="6"/>
    </row>
    <row r="16" spans="1:31" x14ac:dyDescent="0.25">
      <c r="A16" s="6">
        <v>15</v>
      </c>
      <c r="B16" s="6" t="s">
        <v>0</v>
      </c>
      <c r="C16" s="6" t="s">
        <v>1</v>
      </c>
      <c r="D16" s="9" t="s">
        <v>32</v>
      </c>
      <c r="E16" s="7">
        <f t="shared" si="0"/>
        <v>7</v>
      </c>
      <c r="F16" s="7">
        <f>-1*ROUND(1/6*(I16*IF(_xlfn.XLOOKUP(H16,'02效果表'!D:D,'02效果表'!E:E)&lt;0, _xlfn.XLOOKUP(H16,'02效果表'!D:D,'02效果表'!E:E), 0) +
K16*IF(_xlfn.XLOOKUP(J16,'02效果表'!D:D,'02效果表'!E:E)&lt;0, _xlfn.XLOOKUP(J16,'02效果表'!D:D,'02效果表'!E:E), 0) +
M16*IF(_xlfn.XLOOKUP(L16,'02效果表'!D:D,'02效果表'!E:E)&lt;0, _xlfn.XLOOKUP(L16,'02效果表'!D:D,'02效果表'!E:E), 0) +
O16*IF(_xlfn.XLOOKUP(N16,'02效果表'!D:D,'02效果表'!E:E)&lt;0, _xlfn.XLOOKUP(N16,'02效果表'!D:D,'02效果表'!E:E), 0) +
Q16*IF(_xlfn.XLOOKUP(P16,'02效果表'!D:D,'02效果表'!E:E)&lt;0, _xlfn.XLOOKUP(P16,'02效果表'!D:D,'02效果表'!E:E), 0) +
S16*IF(_xlfn.XLOOKUP(R16,'02效果表'!D:D,'02效果表'!E:E)&lt;0, _xlfn.XLOOKUP(R16,'02效果表'!D:D,'02效果表'!E:E), 0) +
U16*IF(_xlfn.XLOOKUP(T16,'02效果表'!D:D,'02效果表'!E:E)&lt;0, _xlfn.XLOOKUP(T16,'02效果表'!D:D,'02效果表'!E:E), 0) +
W16*IF(_xlfn.XLOOKUP(V16,'02效果表'!D:D,'02效果表'!E:E)&lt;0, _xlfn.XLOOKUP(V16,'02效果表'!D:D,'02效果表'!E:E), 0) +
Y16*IF(_xlfn.XLOOKUP(X16,'02效果表'!D:D,'02效果表'!E:E)&lt;0, _xlfn.XLOOKUP(X16,'02效果表'!D:D,'02效果表'!E:E), 0) +
AA16*IF(_xlfn.XLOOKUP(Z16,'02效果表'!D:D,'02效果表'!E:E)&lt;0, _xlfn.XLOOKUP(Z16,'02效果表'!D:D,'02效果表'!E:E), 0) +
AC16*IF(_xlfn.XLOOKUP(AB16,'02效果表'!D:D,'02效果表'!E:E)&lt;0, _xlfn.XLOOKUP(AB16,'02效果表'!D:D,'02效果表'!E:E), 0) +
AE16*IF(_xlfn.XLOOKUP(AD16,'02效果表'!D:D,'02效果表'!E:E)&lt;0, _xlfn.XLOOKUP(AD16,'02效果表'!D:D,'02效果表'!E:E), 0)), 1)</f>
        <v>0</v>
      </c>
      <c r="G16" s="7">
        <f>ROUND(1/6*(I16*MAX(_xlfn.XLOOKUP(H16,'02效果表'!D:D,'02效果表'!E:E),0)+K16*MAX(_xlfn.XLOOKUP(J16,'02效果表'!D:D,'02效果表'!E:E),0)+M16*MAX(_xlfn.XLOOKUP(L16,'02效果表'!D:D,'02效果表'!E:E),0)+O16*MAX(_xlfn.XLOOKUP(N16,'02效果表'!D:D,'02效果表'!E:E),0)+Q16*MAX(_xlfn.XLOOKUP(P16,'02效果表'!D:D,'02效果表'!E:E),0)+S16*MAX(_xlfn.XLOOKUP(R16,'02效果表'!D:D,'02效果表'!E:E),0)+U16*MAX(_xlfn.XLOOKUP(T16,'02效果表'!D:D,'02效果表'!E:E),0)+W16*MAX(_xlfn.XLOOKUP(V16,'02效果表'!D:D,'02效果表'!E:E),0)+Y16*MAX(_xlfn.XLOOKUP(X16,'02效果表'!D:D,'02效果表'!E:E),0)+AA16*MAX(_xlfn.XLOOKUP(Z16,'02效果表'!D:D,'02效果表'!E:E),0)+AC16*MAX(_xlfn.XLOOKUP(AB16,'02效果表'!D:D,'02效果表'!E:E),0)+AE16*MAX(_xlfn.XLOOKUP(AD16,'02效果表'!D:D,'02效果表'!E:E),0)),1)</f>
        <v>6.7</v>
      </c>
      <c r="H16" s="6" t="s">
        <v>1236</v>
      </c>
      <c r="I16" s="6">
        <v>3</v>
      </c>
      <c r="J16" s="6" t="s">
        <v>1220</v>
      </c>
      <c r="K16" s="6">
        <v>1</v>
      </c>
      <c r="L16" s="6" t="s">
        <v>1236</v>
      </c>
      <c r="M16" s="6">
        <v>3</v>
      </c>
      <c r="N16" s="6" t="s">
        <v>1220</v>
      </c>
      <c r="O16" s="6">
        <v>1</v>
      </c>
      <c r="P16" s="6" t="s">
        <v>1236</v>
      </c>
      <c r="Q16" s="6">
        <v>4</v>
      </c>
      <c r="R16" s="6"/>
      <c r="S16" s="6"/>
      <c r="T16" s="6" t="s">
        <v>1236</v>
      </c>
      <c r="U16" s="6">
        <v>4</v>
      </c>
      <c r="V16" s="6"/>
      <c r="W16" s="6"/>
      <c r="X16" s="6" t="s">
        <v>1236</v>
      </c>
      <c r="Y16" s="6">
        <v>3</v>
      </c>
      <c r="Z16" s="6"/>
      <c r="AA16" s="6"/>
      <c r="AB16" s="6" t="s">
        <v>1236</v>
      </c>
      <c r="AC16" s="6">
        <v>3</v>
      </c>
      <c r="AD16" s="6"/>
      <c r="AE16" s="6"/>
    </row>
    <row r="17" spans="1:31" x14ac:dyDescent="0.25">
      <c r="A17" s="6">
        <v>16</v>
      </c>
      <c r="B17" s="6" t="s">
        <v>0</v>
      </c>
      <c r="C17" s="6" t="s">
        <v>1</v>
      </c>
      <c r="D17" s="9" t="s">
        <v>33</v>
      </c>
      <c r="E17" s="7">
        <f t="shared" si="0"/>
        <v>5</v>
      </c>
      <c r="F17" s="7">
        <f>-1*ROUND(1/6*(I17*IF(_xlfn.XLOOKUP(H17,'02效果表'!D:D,'02效果表'!E:E)&lt;0, _xlfn.XLOOKUP(H17,'02效果表'!D:D,'02效果表'!E:E), 0) +
K17*IF(_xlfn.XLOOKUP(J17,'02效果表'!D:D,'02效果表'!E:E)&lt;0, _xlfn.XLOOKUP(J17,'02效果表'!D:D,'02效果表'!E:E), 0) +
M17*IF(_xlfn.XLOOKUP(L17,'02效果表'!D:D,'02效果表'!E:E)&lt;0, _xlfn.XLOOKUP(L17,'02效果表'!D:D,'02效果表'!E:E), 0) +
O17*IF(_xlfn.XLOOKUP(N17,'02效果表'!D:D,'02效果表'!E:E)&lt;0, _xlfn.XLOOKUP(N17,'02效果表'!D:D,'02效果表'!E:E), 0) +
Q17*IF(_xlfn.XLOOKUP(P17,'02效果表'!D:D,'02效果表'!E:E)&lt;0, _xlfn.XLOOKUP(P17,'02效果表'!D:D,'02效果表'!E:E), 0) +
S17*IF(_xlfn.XLOOKUP(R17,'02效果表'!D:D,'02效果表'!E:E)&lt;0, _xlfn.XLOOKUP(R17,'02效果表'!D:D,'02效果表'!E:E), 0) +
U17*IF(_xlfn.XLOOKUP(T17,'02效果表'!D:D,'02效果表'!E:E)&lt;0, _xlfn.XLOOKUP(T17,'02效果表'!D:D,'02效果表'!E:E), 0) +
W17*IF(_xlfn.XLOOKUP(V17,'02效果表'!D:D,'02效果表'!E:E)&lt;0, _xlfn.XLOOKUP(V17,'02效果表'!D:D,'02效果表'!E:E), 0) +
Y17*IF(_xlfn.XLOOKUP(X17,'02效果表'!D:D,'02效果表'!E:E)&lt;0, _xlfn.XLOOKUP(X17,'02效果表'!D:D,'02效果表'!E:E), 0) +
AA17*IF(_xlfn.XLOOKUP(Z17,'02效果表'!D:D,'02效果表'!E:E)&lt;0, _xlfn.XLOOKUP(Z17,'02效果表'!D:D,'02效果表'!E:E), 0) +
AC17*IF(_xlfn.XLOOKUP(AB17,'02效果表'!D:D,'02效果表'!E:E)&lt;0, _xlfn.XLOOKUP(AB17,'02效果表'!D:D,'02效果表'!E:E), 0) +
AE17*IF(_xlfn.XLOOKUP(AD17,'02效果表'!D:D,'02效果表'!E:E)&lt;0, _xlfn.XLOOKUP(AD17,'02效果表'!D:D,'02效果表'!E:E), 0)), 1)</f>
        <v>0</v>
      </c>
      <c r="G17" s="7">
        <f>ROUND(1/6*(I17*MAX(_xlfn.XLOOKUP(H17,'02效果表'!D:D,'02效果表'!E:E),0)+K17*MAX(_xlfn.XLOOKUP(J17,'02效果表'!D:D,'02效果表'!E:E),0)+M17*MAX(_xlfn.XLOOKUP(L17,'02效果表'!D:D,'02效果表'!E:E),0)+O17*MAX(_xlfn.XLOOKUP(N17,'02效果表'!D:D,'02效果表'!E:E),0)+Q17*MAX(_xlfn.XLOOKUP(P17,'02效果表'!D:D,'02效果表'!E:E),0)+S17*MAX(_xlfn.XLOOKUP(R17,'02效果表'!D:D,'02效果表'!E:E),0)+U17*MAX(_xlfn.XLOOKUP(T17,'02效果表'!D:D,'02效果表'!E:E),0)+W17*MAX(_xlfn.XLOOKUP(V17,'02效果表'!D:D,'02效果表'!E:E),0)+Y17*MAX(_xlfn.XLOOKUP(X17,'02效果表'!D:D,'02效果表'!E:E),0)+AA17*MAX(_xlfn.XLOOKUP(Z17,'02效果表'!D:D,'02效果表'!E:E),0)+AC17*MAX(_xlfn.XLOOKUP(AB17,'02效果表'!D:D,'02效果表'!E:E),0)+AE17*MAX(_xlfn.XLOOKUP(AD17,'02效果表'!D:D,'02效果表'!E:E),0)),1)</f>
        <v>5.3</v>
      </c>
      <c r="H17" s="6" t="s">
        <v>1236</v>
      </c>
      <c r="I17" s="6">
        <v>2</v>
      </c>
      <c r="J17" s="6" t="s">
        <v>1227</v>
      </c>
      <c r="K17" s="6">
        <v>4</v>
      </c>
      <c r="L17" s="6" t="s">
        <v>1236</v>
      </c>
      <c r="M17" s="6">
        <v>2</v>
      </c>
      <c r="N17" s="6" t="s">
        <v>1227</v>
      </c>
      <c r="O17" s="6">
        <v>3</v>
      </c>
      <c r="P17" s="6" t="s">
        <v>1236</v>
      </c>
      <c r="Q17" s="6">
        <v>2</v>
      </c>
      <c r="R17" s="6" t="s">
        <v>1227</v>
      </c>
      <c r="S17" s="6">
        <v>2</v>
      </c>
      <c r="T17" s="6" t="s">
        <v>1236</v>
      </c>
      <c r="U17" s="6">
        <v>1</v>
      </c>
      <c r="V17" s="6" t="s">
        <v>1227</v>
      </c>
      <c r="W17" s="6">
        <v>2</v>
      </c>
      <c r="X17" s="6" t="s">
        <v>1236</v>
      </c>
      <c r="Y17" s="6">
        <v>1</v>
      </c>
      <c r="Z17" s="6" t="s">
        <v>1227</v>
      </c>
      <c r="AA17" s="6">
        <v>3</v>
      </c>
      <c r="AB17" s="6" t="s">
        <v>1236</v>
      </c>
      <c r="AC17" s="6">
        <v>1</v>
      </c>
      <c r="AD17" s="6" t="s">
        <v>1227</v>
      </c>
      <c r="AE17" s="6">
        <v>4</v>
      </c>
    </row>
    <row r="18" spans="1:31" x14ac:dyDescent="0.25">
      <c r="A18" s="6">
        <v>17</v>
      </c>
      <c r="B18" s="6" t="s">
        <v>0</v>
      </c>
      <c r="C18" s="6" t="s">
        <v>1</v>
      </c>
      <c r="D18" s="9" t="s">
        <v>34</v>
      </c>
      <c r="E18" s="7">
        <f t="shared" si="0"/>
        <v>7</v>
      </c>
      <c r="F18" s="7">
        <f>-1*ROUND(1/6*(I18*IF(_xlfn.XLOOKUP(H18,'02效果表'!D:D,'02效果表'!E:E)&lt;0, _xlfn.XLOOKUP(H18,'02效果表'!D:D,'02效果表'!E:E), 0) +
K18*IF(_xlfn.XLOOKUP(J18,'02效果表'!D:D,'02效果表'!E:E)&lt;0, _xlfn.XLOOKUP(J18,'02效果表'!D:D,'02效果表'!E:E), 0) +
M18*IF(_xlfn.XLOOKUP(L18,'02效果表'!D:D,'02效果表'!E:E)&lt;0, _xlfn.XLOOKUP(L18,'02效果表'!D:D,'02效果表'!E:E), 0) +
O18*IF(_xlfn.XLOOKUP(N18,'02效果表'!D:D,'02效果表'!E:E)&lt;0, _xlfn.XLOOKUP(N18,'02效果表'!D:D,'02效果表'!E:E), 0) +
Q18*IF(_xlfn.XLOOKUP(P18,'02效果表'!D:D,'02效果表'!E:E)&lt;0, _xlfn.XLOOKUP(P18,'02效果表'!D:D,'02效果表'!E:E), 0) +
S18*IF(_xlfn.XLOOKUP(R18,'02效果表'!D:D,'02效果表'!E:E)&lt;0, _xlfn.XLOOKUP(R18,'02效果表'!D:D,'02效果表'!E:E), 0) +
U18*IF(_xlfn.XLOOKUP(T18,'02效果表'!D:D,'02效果表'!E:E)&lt;0, _xlfn.XLOOKUP(T18,'02效果表'!D:D,'02效果表'!E:E), 0) +
W18*IF(_xlfn.XLOOKUP(V18,'02效果表'!D:D,'02效果表'!E:E)&lt;0, _xlfn.XLOOKUP(V18,'02效果表'!D:D,'02效果表'!E:E), 0) +
Y18*IF(_xlfn.XLOOKUP(X18,'02效果表'!D:D,'02效果表'!E:E)&lt;0, _xlfn.XLOOKUP(X18,'02效果表'!D:D,'02效果表'!E:E), 0) +
AA18*IF(_xlfn.XLOOKUP(Z18,'02效果表'!D:D,'02效果表'!E:E)&lt;0, _xlfn.XLOOKUP(Z18,'02效果表'!D:D,'02效果表'!E:E), 0) +
AC18*IF(_xlfn.XLOOKUP(AB18,'02效果表'!D:D,'02效果表'!E:E)&lt;0, _xlfn.XLOOKUP(AB18,'02效果表'!D:D,'02效果表'!E:E), 0) +
AE18*IF(_xlfn.XLOOKUP(AD18,'02效果表'!D:D,'02效果表'!E:E)&lt;0, _xlfn.XLOOKUP(AD18,'02效果表'!D:D,'02效果表'!E:E), 0)), 1)</f>
        <v>0</v>
      </c>
      <c r="G18" s="7">
        <f>ROUND(1/6*(I18*MAX(_xlfn.XLOOKUP(H18,'02效果表'!D:D,'02效果表'!E:E),0)+K18*MAX(_xlfn.XLOOKUP(J18,'02效果表'!D:D,'02效果表'!E:E),0)+M18*MAX(_xlfn.XLOOKUP(L18,'02效果表'!D:D,'02效果表'!E:E),0)+O18*MAX(_xlfn.XLOOKUP(N18,'02效果表'!D:D,'02效果表'!E:E),0)+Q18*MAX(_xlfn.XLOOKUP(P18,'02效果表'!D:D,'02效果表'!E:E),0)+S18*MAX(_xlfn.XLOOKUP(R18,'02效果表'!D:D,'02效果表'!E:E),0)+U18*MAX(_xlfn.XLOOKUP(T18,'02效果表'!D:D,'02效果表'!E:E),0)+W18*MAX(_xlfn.XLOOKUP(V18,'02效果表'!D:D,'02效果表'!E:E),0)+Y18*MAX(_xlfn.XLOOKUP(X18,'02效果表'!D:D,'02效果表'!E:E),0)+AA18*MAX(_xlfn.XLOOKUP(Z18,'02效果表'!D:D,'02效果表'!E:E),0)+AC18*MAX(_xlfn.XLOOKUP(AB18,'02效果表'!D:D,'02效果表'!E:E),0)+AE18*MAX(_xlfn.XLOOKUP(AD18,'02效果表'!D:D,'02效果表'!E:E),0)),1)</f>
        <v>6.7</v>
      </c>
      <c r="H18" s="6" t="s">
        <v>1237</v>
      </c>
      <c r="I18" s="6">
        <v>2</v>
      </c>
      <c r="J18" s="6"/>
      <c r="K18" s="6"/>
      <c r="L18" s="6" t="s">
        <v>1237</v>
      </c>
      <c r="M18" s="6">
        <v>2</v>
      </c>
      <c r="N18" s="6"/>
      <c r="O18" s="6"/>
      <c r="P18" s="6" t="s">
        <v>1237</v>
      </c>
      <c r="Q18" s="6">
        <v>1</v>
      </c>
      <c r="R18" s="6"/>
      <c r="S18" s="6"/>
      <c r="T18" s="6" t="s">
        <v>1237</v>
      </c>
      <c r="U18" s="6">
        <v>1</v>
      </c>
      <c r="V18" s="6"/>
      <c r="W18" s="6"/>
      <c r="X18" s="6" t="s">
        <v>1237</v>
      </c>
      <c r="Y18" s="6">
        <v>1</v>
      </c>
      <c r="Z18" s="6"/>
      <c r="AA18" s="6"/>
      <c r="AB18" s="6" t="s">
        <v>1237</v>
      </c>
      <c r="AC18" s="6">
        <v>1</v>
      </c>
      <c r="AD18" s="6"/>
      <c r="AE18" s="6"/>
    </row>
    <row r="19" spans="1:31" x14ac:dyDescent="0.35">
      <c r="A19" s="6">
        <v>18</v>
      </c>
      <c r="B19" s="6" t="s">
        <v>0</v>
      </c>
      <c r="C19" s="10" t="s">
        <v>2</v>
      </c>
      <c r="D19" s="9" t="s">
        <v>47</v>
      </c>
      <c r="E19" s="7">
        <f t="shared" si="0"/>
        <v>4</v>
      </c>
      <c r="F19" s="7">
        <f>-1*ROUND(1/6*(I19*IF(_xlfn.XLOOKUP(H19,'02效果表'!D:D,'02效果表'!E:E)&lt;0, _xlfn.XLOOKUP(H19,'02效果表'!D:D,'02效果表'!E:E), 0) +
K19*IF(_xlfn.XLOOKUP(J19,'02效果表'!D:D,'02效果表'!E:E)&lt;0, _xlfn.XLOOKUP(J19,'02效果表'!D:D,'02效果表'!E:E), 0) +
M19*IF(_xlfn.XLOOKUP(L19,'02效果表'!D:D,'02效果表'!E:E)&lt;0, _xlfn.XLOOKUP(L19,'02效果表'!D:D,'02效果表'!E:E), 0) +
O19*IF(_xlfn.XLOOKUP(N19,'02效果表'!D:D,'02效果表'!E:E)&lt;0, _xlfn.XLOOKUP(N19,'02效果表'!D:D,'02效果表'!E:E), 0) +
Q19*IF(_xlfn.XLOOKUP(P19,'02效果表'!D:D,'02效果表'!E:E)&lt;0, _xlfn.XLOOKUP(P19,'02效果表'!D:D,'02效果表'!E:E), 0) +
S19*IF(_xlfn.XLOOKUP(R19,'02效果表'!D:D,'02效果表'!E:E)&lt;0, _xlfn.XLOOKUP(R19,'02效果表'!D:D,'02效果表'!E:E), 0) +
U19*IF(_xlfn.XLOOKUP(T19,'02效果表'!D:D,'02效果表'!E:E)&lt;0, _xlfn.XLOOKUP(T19,'02效果表'!D:D,'02效果表'!E:E), 0) +
W19*IF(_xlfn.XLOOKUP(V19,'02效果表'!D:D,'02效果表'!E:E)&lt;0, _xlfn.XLOOKUP(V19,'02效果表'!D:D,'02效果表'!E:E), 0) +
Y19*IF(_xlfn.XLOOKUP(X19,'02效果表'!D:D,'02效果表'!E:E)&lt;0, _xlfn.XLOOKUP(X19,'02效果表'!D:D,'02效果表'!E:E), 0) +
AA19*IF(_xlfn.XLOOKUP(Z19,'02效果表'!D:D,'02效果表'!E:E)&lt;0, _xlfn.XLOOKUP(Z19,'02效果表'!D:D,'02效果表'!E:E), 0) +
AC19*IF(_xlfn.XLOOKUP(AB19,'02效果表'!D:D,'02效果表'!E:E)&lt;0, _xlfn.XLOOKUP(AB19,'02效果表'!D:D,'02效果表'!E:E), 0) +
AE19*IF(_xlfn.XLOOKUP(AD19,'02效果表'!D:D,'02效果表'!E:E)&lt;0, _xlfn.XLOOKUP(AD19,'02效果表'!D:D,'02效果表'!E:E), 0)), 1)</f>
        <v>0.5</v>
      </c>
      <c r="G19" s="7">
        <f>ROUND(1/6*(I19*MAX(_xlfn.XLOOKUP(H19,'02效果表'!D:D,'02效果表'!E:E),0)+K19*MAX(_xlfn.XLOOKUP(J19,'02效果表'!D:D,'02效果表'!E:E),0)+M19*MAX(_xlfn.XLOOKUP(L19,'02效果表'!D:D,'02效果表'!E:E),0)+O19*MAX(_xlfn.XLOOKUP(N19,'02效果表'!D:D,'02效果表'!E:E),0)+Q19*MAX(_xlfn.XLOOKUP(P19,'02效果表'!D:D,'02效果表'!E:E),0)+S19*MAX(_xlfn.XLOOKUP(R19,'02效果表'!D:D,'02效果表'!E:E),0)+U19*MAX(_xlfn.XLOOKUP(T19,'02效果表'!D:D,'02效果表'!E:E),0)+W19*MAX(_xlfn.XLOOKUP(V19,'02效果表'!D:D,'02效果表'!E:E),0)+Y19*MAX(_xlfn.XLOOKUP(X19,'02效果表'!D:D,'02效果表'!E:E),0)+AA19*MAX(_xlfn.XLOOKUP(Z19,'02效果表'!D:D,'02效果表'!E:E),0)+AC19*MAX(_xlfn.XLOOKUP(AB19,'02效果表'!D:D,'02效果表'!E:E),0)+AE19*MAX(_xlfn.XLOOKUP(AD19,'02效果表'!D:D,'02效果表'!E:E),0)),1)</f>
        <v>4.2</v>
      </c>
      <c r="H19" s="6" t="s">
        <v>1219</v>
      </c>
      <c r="I19" s="6">
        <v>5</v>
      </c>
      <c r="J19" s="6" t="s">
        <v>1220</v>
      </c>
      <c r="K19" s="6">
        <v>1</v>
      </c>
      <c r="L19" s="6" t="s">
        <v>1219</v>
      </c>
      <c r="M19" s="6">
        <v>4</v>
      </c>
      <c r="N19" s="6" t="s">
        <v>1220</v>
      </c>
      <c r="O19" s="6">
        <v>1</v>
      </c>
      <c r="P19" s="6" t="s">
        <v>1221</v>
      </c>
      <c r="Q19" s="6">
        <v>2</v>
      </c>
      <c r="R19" s="6" t="s">
        <v>1219</v>
      </c>
      <c r="S19" s="6">
        <v>7</v>
      </c>
      <c r="T19" s="6" t="s">
        <v>1221</v>
      </c>
      <c r="U19" s="6">
        <v>2</v>
      </c>
      <c r="V19" s="6" t="s">
        <v>1219</v>
      </c>
      <c r="W19" s="6">
        <v>6</v>
      </c>
      <c r="X19" s="6" t="s">
        <v>1238</v>
      </c>
      <c r="Y19" s="6">
        <v>1</v>
      </c>
      <c r="Z19" s="6"/>
      <c r="AA19" s="6"/>
      <c r="AB19" s="6" t="s">
        <v>1238</v>
      </c>
      <c r="AC19" s="6">
        <v>2</v>
      </c>
      <c r="AD19" s="6"/>
      <c r="AE19" s="6"/>
    </row>
    <row r="20" spans="1:31" x14ac:dyDescent="0.35">
      <c r="A20" s="6">
        <v>19</v>
      </c>
      <c r="B20" s="6" t="s">
        <v>0</v>
      </c>
      <c r="C20" s="10" t="s">
        <v>2</v>
      </c>
      <c r="D20" s="9" t="s">
        <v>48</v>
      </c>
      <c r="E20" s="7">
        <f t="shared" si="0"/>
        <v>2</v>
      </c>
      <c r="F20" s="7">
        <f>-1*ROUND(1/6*(I20*IF(_xlfn.XLOOKUP(H20,'02效果表'!D:D,'02效果表'!E:E)&lt;0, _xlfn.XLOOKUP(H20,'02效果表'!D:D,'02效果表'!E:E), 0) +
K20*IF(_xlfn.XLOOKUP(J20,'02效果表'!D:D,'02效果表'!E:E)&lt;0, _xlfn.XLOOKUP(J20,'02效果表'!D:D,'02效果表'!E:E), 0) +
M20*IF(_xlfn.XLOOKUP(L20,'02效果表'!D:D,'02效果表'!E:E)&lt;0, _xlfn.XLOOKUP(L20,'02效果表'!D:D,'02效果表'!E:E), 0) +
O20*IF(_xlfn.XLOOKUP(N20,'02效果表'!D:D,'02效果表'!E:E)&lt;0, _xlfn.XLOOKUP(N20,'02效果表'!D:D,'02效果表'!E:E), 0) +
Q20*IF(_xlfn.XLOOKUP(P20,'02效果表'!D:D,'02效果表'!E:E)&lt;0, _xlfn.XLOOKUP(P20,'02效果表'!D:D,'02效果表'!E:E), 0) +
S20*IF(_xlfn.XLOOKUP(R20,'02效果表'!D:D,'02效果表'!E:E)&lt;0, _xlfn.XLOOKUP(R20,'02效果表'!D:D,'02效果表'!E:E), 0) +
U20*IF(_xlfn.XLOOKUP(T20,'02效果表'!D:D,'02效果表'!E:E)&lt;0, _xlfn.XLOOKUP(T20,'02效果表'!D:D,'02效果表'!E:E), 0) +
W20*IF(_xlfn.XLOOKUP(V20,'02效果表'!D:D,'02效果表'!E:E)&lt;0, _xlfn.XLOOKUP(V20,'02效果表'!D:D,'02效果表'!E:E), 0) +
Y20*IF(_xlfn.XLOOKUP(X20,'02效果表'!D:D,'02效果表'!E:E)&lt;0, _xlfn.XLOOKUP(X20,'02效果表'!D:D,'02效果表'!E:E), 0) +
AA20*IF(_xlfn.XLOOKUP(Z20,'02效果表'!D:D,'02效果表'!E:E)&lt;0, _xlfn.XLOOKUP(Z20,'02效果表'!D:D,'02效果表'!E:E), 0) +
AC20*IF(_xlfn.XLOOKUP(AB20,'02效果表'!D:D,'02效果表'!E:E)&lt;0, _xlfn.XLOOKUP(AB20,'02效果表'!D:D,'02效果表'!E:E), 0) +
AE20*IF(_xlfn.XLOOKUP(AD20,'02效果表'!D:D,'02效果表'!E:E)&lt;0, _xlfn.XLOOKUP(AD20,'02效果表'!D:D,'02效果表'!E:E), 0)), 1)</f>
        <v>0.3</v>
      </c>
      <c r="G20" s="7">
        <f>ROUND(1/6*(I20*MAX(_xlfn.XLOOKUP(H20,'02效果表'!D:D,'02效果表'!E:E),0)+K20*MAX(_xlfn.XLOOKUP(J20,'02效果表'!D:D,'02效果表'!E:E),0)+M20*MAX(_xlfn.XLOOKUP(L20,'02效果表'!D:D,'02效果表'!E:E),0)+O20*MAX(_xlfn.XLOOKUP(N20,'02效果表'!D:D,'02效果表'!E:E),0)+Q20*MAX(_xlfn.XLOOKUP(P20,'02效果表'!D:D,'02效果表'!E:E),0)+S20*MAX(_xlfn.XLOOKUP(R20,'02效果表'!D:D,'02效果表'!E:E),0)+U20*MAX(_xlfn.XLOOKUP(T20,'02效果表'!D:D,'02效果表'!E:E),0)+W20*MAX(_xlfn.XLOOKUP(V20,'02效果表'!D:D,'02效果表'!E:E),0)+Y20*MAX(_xlfn.XLOOKUP(X20,'02效果表'!D:D,'02效果表'!E:E),0)+AA20*MAX(_xlfn.XLOOKUP(Z20,'02效果表'!D:D,'02效果表'!E:E),0)+AC20*MAX(_xlfn.XLOOKUP(AB20,'02效果表'!D:D,'02效果表'!E:E),0)+AE20*MAX(_xlfn.XLOOKUP(AD20,'02效果表'!D:D,'02效果表'!E:E),0)),1)</f>
        <v>2</v>
      </c>
      <c r="H20" s="6" t="s">
        <v>1224</v>
      </c>
      <c r="I20" s="6">
        <v>2</v>
      </c>
      <c r="J20" s="6" t="s">
        <v>1221</v>
      </c>
      <c r="K20" s="6">
        <v>3</v>
      </c>
      <c r="L20" s="6" t="s">
        <v>1224</v>
      </c>
      <c r="M20" s="6">
        <v>2</v>
      </c>
      <c r="N20" s="6" t="s">
        <v>1221</v>
      </c>
      <c r="O20" s="6">
        <v>2</v>
      </c>
      <c r="P20" s="6" t="s">
        <v>1224</v>
      </c>
      <c r="Q20" s="6">
        <v>1</v>
      </c>
      <c r="R20" s="6" t="s">
        <v>1221</v>
      </c>
      <c r="S20" s="6">
        <v>2</v>
      </c>
      <c r="T20" s="6" t="s">
        <v>1224</v>
      </c>
      <c r="U20" s="6">
        <v>1</v>
      </c>
      <c r="V20" s="6" t="s">
        <v>1221</v>
      </c>
      <c r="W20" s="6">
        <v>2</v>
      </c>
      <c r="X20" s="6" t="s">
        <v>1238</v>
      </c>
      <c r="Y20" s="6">
        <v>1</v>
      </c>
      <c r="Z20" s="6"/>
      <c r="AA20" s="6"/>
      <c r="AB20" s="6" t="s">
        <v>1238</v>
      </c>
      <c r="AC20" s="6">
        <v>1</v>
      </c>
      <c r="AD20" s="6"/>
      <c r="AE20" s="6"/>
    </row>
    <row r="21" spans="1:31" x14ac:dyDescent="0.35">
      <c r="A21" s="6">
        <v>20</v>
      </c>
      <c r="B21" s="6" t="s">
        <v>0</v>
      </c>
      <c r="C21" s="10" t="s">
        <v>2</v>
      </c>
      <c r="D21" s="9" t="s">
        <v>1241</v>
      </c>
      <c r="E21" s="7">
        <f t="shared" si="0"/>
        <v>1</v>
      </c>
      <c r="F21" s="7">
        <f>-1*ROUND(1/6*(I21*IF(_xlfn.XLOOKUP(H21,'02效果表'!D:D,'02效果表'!E:E)&lt;0, _xlfn.XLOOKUP(H21,'02效果表'!D:D,'02效果表'!E:E), 0) +
K21*IF(_xlfn.XLOOKUP(J21,'02效果表'!D:D,'02效果表'!E:E)&lt;0, _xlfn.XLOOKUP(J21,'02效果表'!D:D,'02效果表'!E:E), 0) +
M21*IF(_xlfn.XLOOKUP(L21,'02效果表'!D:D,'02效果表'!E:E)&lt;0, _xlfn.XLOOKUP(L21,'02效果表'!D:D,'02效果表'!E:E), 0) +
O21*IF(_xlfn.XLOOKUP(N21,'02效果表'!D:D,'02效果表'!E:E)&lt;0, _xlfn.XLOOKUP(N21,'02效果表'!D:D,'02效果表'!E:E), 0) +
Q21*IF(_xlfn.XLOOKUP(P21,'02效果表'!D:D,'02效果表'!E:E)&lt;0, _xlfn.XLOOKUP(P21,'02效果表'!D:D,'02效果表'!E:E), 0) +
S21*IF(_xlfn.XLOOKUP(R21,'02效果表'!D:D,'02效果表'!E:E)&lt;0, _xlfn.XLOOKUP(R21,'02效果表'!D:D,'02效果表'!E:E), 0) +
U21*IF(_xlfn.XLOOKUP(T21,'02效果表'!D:D,'02效果表'!E:E)&lt;0, _xlfn.XLOOKUP(T21,'02效果表'!D:D,'02效果表'!E:E), 0) +
W21*IF(_xlfn.XLOOKUP(V21,'02效果表'!D:D,'02效果表'!E:E)&lt;0, _xlfn.XLOOKUP(V21,'02效果表'!D:D,'02效果表'!E:E), 0) +
Y21*IF(_xlfn.XLOOKUP(X21,'02效果表'!D:D,'02效果表'!E:E)&lt;0, _xlfn.XLOOKUP(X21,'02效果表'!D:D,'02效果表'!E:E), 0) +
AA21*IF(_xlfn.XLOOKUP(Z21,'02效果表'!D:D,'02效果表'!E:E)&lt;0, _xlfn.XLOOKUP(Z21,'02效果表'!D:D,'02效果表'!E:E), 0) +
AC21*IF(_xlfn.XLOOKUP(AB21,'02效果表'!D:D,'02效果表'!E:E)&lt;0, _xlfn.XLOOKUP(AB21,'02效果表'!D:D,'02效果表'!E:E), 0) +
AE21*IF(_xlfn.XLOOKUP(AD21,'02效果表'!D:D,'02效果表'!E:E)&lt;0, _xlfn.XLOOKUP(AD21,'02效果表'!D:D,'02效果表'!E:E), 0)), 1)</f>
        <v>1.5</v>
      </c>
      <c r="G21" s="7">
        <f>ROUND(1/6*(I21*MAX(_xlfn.XLOOKUP(H21,'02效果表'!D:D,'02效果表'!E:E),0)+K21*MAX(_xlfn.XLOOKUP(J21,'02效果表'!D:D,'02效果表'!E:E),0)+M21*MAX(_xlfn.XLOOKUP(L21,'02效果表'!D:D,'02效果表'!E:E),0)+O21*MAX(_xlfn.XLOOKUP(N21,'02效果表'!D:D,'02效果表'!E:E),0)+Q21*MAX(_xlfn.XLOOKUP(P21,'02效果表'!D:D,'02效果表'!E:E),0)+S21*MAX(_xlfn.XLOOKUP(R21,'02效果表'!D:D,'02效果表'!E:E),0)+U21*MAX(_xlfn.XLOOKUP(T21,'02效果表'!D:D,'02效果表'!E:E),0)+W21*MAX(_xlfn.XLOOKUP(V21,'02效果表'!D:D,'02效果表'!E:E),0)+Y21*MAX(_xlfn.XLOOKUP(X21,'02效果表'!D:D,'02效果表'!E:E),0)+AA21*MAX(_xlfn.XLOOKUP(Z21,'02效果表'!D:D,'02效果表'!E:E),0)+AC21*MAX(_xlfn.XLOOKUP(AB21,'02效果表'!D:D,'02效果表'!E:E),0)+AE21*MAX(_xlfn.XLOOKUP(AD21,'02效果表'!D:D,'02效果表'!E:E),0)),1)</f>
        <v>2.2000000000000002</v>
      </c>
      <c r="H21" s="6" t="s">
        <v>1224</v>
      </c>
      <c r="I21" s="6">
        <v>2</v>
      </c>
      <c r="J21" s="6" t="s">
        <v>1220</v>
      </c>
      <c r="K21" s="6">
        <v>1</v>
      </c>
      <c r="L21" s="6" t="s">
        <v>1224</v>
      </c>
      <c r="M21" s="6">
        <v>2</v>
      </c>
      <c r="N21" s="6" t="s">
        <v>1220</v>
      </c>
      <c r="O21" s="6">
        <v>1</v>
      </c>
      <c r="P21" s="6" t="s">
        <v>1224</v>
      </c>
      <c r="Q21" s="6">
        <v>2</v>
      </c>
      <c r="R21" s="6"/>
      <c r="S21" s="6"/>
      <c r="T21" s="6" t="s">
        <v>1193</v>
      </c>
      <c r="U21" s="6">
        <v>2</v>
      </c>
      <c r="V21" s="6"/>
      <c r="W21" s="6"/>
      <c r="X21" s="6" t="s">
        <v>1193</v>
      </c>
      <c r="Y21" s="6">
        <v>3</v>
      </c>
      <c r="Z21" s="6"/>
      <c r="AA21" s="6"/>
      <c r="AB21" s="6" t="s">
        <v>1193</v>
      </c>
      <c r="AC21" s="6">
        <v>4</v>
      </c>
      <c r="AD21" s="6"/>
      <c r="AE21" s="6"/>
    </row>
    <row r="22" spans="1:31" x14ac:dyDescent="0.35">
      <c r="A22" s="6">
        <v>21</v>
      </c>
      <c r="B22" s="6" t="s">
        <v>0</v>
      </c>
      <c r="C22" s="10" t="s">
        <v>2</v>
      </c>
      <c r="D22" s="9" t="s">
        <v>49</v>
      </c>
      <c r="E22" s="7">
        <f t="shared" si="0"/>
        <v>3</v>
      </c>
      <c r="F22" s="7">
        <f>-1*ROUND(1/6*(I22*IF(_xlfn.XLOOKUP(H22,'02效果表'!D:D,'02效果表'!E:E)&lt;0, _xlfn.XLOOKUP(H22,'02效果表'!D:D,'02效果表'!E:E), 0) +
K22*IF(_xlfn.XLOOKUP(J22,'02效果表'!D:D,'02效果表'!E:E)&lt;0, _xlfn.XLOOKUP(J22,'02效果表'!D:D,'02效果表'!E:E), 0) +
M22*IF(_xlfn.XLOOKUP(L22,'02效果表'!D:D,'02效果表'!E:E)&lt;0, _xlfn.XLOOKUP(L22,'02效果表'!D:D,'02效果表'!E:E), 0) +
O22*IF(_xlfn.XLOOKUP(N22,'02效果表'!D:D,'02效果表'!E:E)&lt;0, _xlfn.XLOOKUP(N22,'02效果表'!D:D,'02效果表'!E:E), 0) +
Q22*IF(_xlfn.XLOOKUP(P22,'02效果表'!D:D,'02效果表'!E:E)&lt;0, _xlfn.XLOOKUP(P22,'02效果表'!D:D,'02效果表'!E:E), 0) +
S22*IF(_xlfn.XLOOKUP(R22,'02效果表'!D:D,'02效果表'!E:E)&lt;0, _xlfn.XLOOKUP(R22,'02效果表'!D:D,'02效果表'!E:E), 0) +
U22*IF(_xlfn.XLOOKUP(T22,'02效果表'!D:D,'02效果表'!E:E)&lt;0, _xlfn.XLOOKUP(T22,'02效果表'!D:D,'02效果表'!E:E), 0) +
W22*IF(_xlfn.XLOOKUP(V22,'02效果表'!D:D,'02效果表'!E:E)&lt;0, _xlfn.XLOOKUP(V22,'02效果表'!D:D,'02效果表'!E:E), 0) +
Y22*IF(_xlfn.XLOOKUP(X22,'02效果表'!D:D,'02效果表'!E:E)&lt;0, _xlfn.XLOOKUP(X22,'02效果表'!D:D,'02效果表'!E:E), 0) +
AA22*IF(_xlfn.XLOOKUP(Z22,'02效果表'!D:D,'02效果表'!E:E)&lt;0, _xlfn.XLOOKUP(Z22,'02效果表'!D:D,'02效果表'!E:E), 0) +
AC22*IF(_xlfn.XLOOKUP(AB22,'02效果表'!D:D,'02效果表'!E:E)&lt;0, _xlfn.XLOOKUP(AB22,'02效果表'!D:D,'02效果表'!E:E), 0) +
AE22*IF(_xlfn.XLOOKUP(AD22,'02效果表'!D:D,'02效果表'!E:E)&lt;0, _xlfn.XLOOKUP(AD22,'02效果表'!D:D,'02效果表'!E:E), 0)), 1)</f>
        <v>1</v>
      </c>
      <c r="G22" s="7">
        <f>ROUND(1/6*(I22*MAX(_xlfn.XLOOKUP(H22,'02效果表'!D:D,'02效果表'!E:E),0)+K22*MAX(_xlfn.XLOOKUP(J22,'02效果表'!D:D,'02效果表'!E:E),0)+M22*MAX(_xlfn.XLOOKUP(L22,'02效果表'!D:D,'02效果表'!E:E),0)+O22*MAX(_xlfn.XLOOKUP(N22,'02效果表'!D:D,'02效果表'!E:E),0)+Q22*MAX(_xlfn.XLOOKUP(P22,'02效果表'!D:D,'02效果表'!E:E),0)+S22*MAX(_xlfn.XLOOKUP(R22,'02效果表'!D:D,'02效果表'!E:E),0)+U22*MAX(_xlfn.XLOOKUP(T22,'02效果表'!D:D,'02效果表'!E:E),0)+W22*MAX(_xlfn.XLOOKUP(V22,'02效果表'!D:D,'02效果表'!E:E),0)+Y22*MAX(_xlfn.XLOOKUP(X22,'02效果表'!D:D,'02效果表'!E:E),0)+AA22*MAX(_xlfn.XLOOKUP(Z22,'02效果表'!D:D,'02效果表'!E:E),0)+AC22*MAX(_xlfn.XLOOKUP(AB22,'02效果表'!D:D,'02效果表'!E:E),0)+AE22*MAX(_xlfn.XLOOKUP(AD22,'02效果表'!D:D,'02效果表'!E:E),0)),1)</f>
        <v>4</v>
      </c>
      <c r="H22" s="6" t="s">
        <v>1222</v>
      </c>
      <c r="I22" s="6">
        <v>2</v>
      </c>
      <c r="J22" s="6"/>
      <c r="K22" s="6"/>
      <c r="L22" s="6" t="s">
        <v>1222</v>
      </c>
      <c r="M22" s="6">
        <v>2</v>
      </c>
      <c r="N22" s="6"/>
      <c r="O22" s="6"/>
      <c r="P22" s="6" t="s">
        <v>1222</v>
      </c>
      <c r="Q22" s="6">
        <v>1</v>
      </c>
      <c r="R22" s="6"/>
      <c r="S22" s="6"/>
      <c r="T22" s="6" t="s">
        <v>1222</v>
      </c>
      <c r="U22" s="6">
        <v>1</v>
      </c>
      <c r="V22" s="6"/>
      <c r="W22" s="6"/>
      <c r="X22" s="6" t="s">
        <v>1238</v>
      </c>
      <c r="Y22" s="6">
        <v>3</v>
      </c>
      <c r="Z22" s="6"/>
      <c r="AA22" s="6"/>
      <c r="AB22" s="6" t="s">
        <v>1242</v>
      </c>
      <c r="AC22" s="6">
        <v>1</v>
      </c>
      <c r="AD22" s="6"/>
      <c r="AE22" s="6"/>
    </row>
    <row r="23" spans="1:31" x14ac:dyDescent="0.35">
      <c r="A23" s="6">
        <v>22</v>
      </c>
      <c r="B23" s="6" t="s">
        <v>0</v>
      </c>
      <c r="C23" s="10" t="s">
        <v>2</v>
      </c>
      <c r="D23" s="9" t="s">
        <v>50</v>
      </c>
      <c r="E23" s="7">
        <f t="shared" si="0"/>
        <v>1</v>
      </c>
      <c r="F23" s="7">
        <f>-1*ROUND(1/6*(I23*IF(_xlfn.XLOOKUP(H23,'02效果表'!D:D,'02效果表'!E:E)&lt;0, _xlfn.XLOOKUP(H23,'02效果表'!D:D,'02效果表'!E:E), 0) +
K23*IF(_xlfn.XLOOKUP(J23,'02效果表'!D:D,'02效果表'!E:E)&lt;0, _xlfn.XLOOKUP(J23,'02效果表'!D:D,'02效果表'!E:E), 0) +
M23*IF(_xlfn.XLOOKUP(L23,'02效果表'!D:D,'02效果表'!E:E)&lt;0, _xlfn.XLOOKUP(L23,'02效果表'!D:D,'02效果表'!E:E), 0) +
O23*IF(_xlfn.XLOOKUP(N23,'02效果表'!D:D,'02效果表'!E:E)&lt;0, _xlfn.XLOOKUP(N23,'02效果表'!D:D,'02效果表'!E:E), 0) +
Q23*IF(_xlfn.XLOOKUP(P23,'02效果表'!D:D,'02效果表'!E:E)&lt;0, _xlfn.XLOOKUP(P23,'02效果表'!D:D,'02效果表'!E:E), 0) +
S23*IF(_xlfn.XLOOKUP(R23,'02效果表'!D:D,'02效果表'!E:E)&lt;0, _xlfn.XLOOKUP(R23,'02效果表'!D:D,'02效果表'!E:E), 0) +
U23*IF(_xlfn.XLOOKUP(T23,'02效果表'!D:D,'02效果表'!E:E)&lt;0, _xlfn.XLOOKUP(T23,'02效果表'!D:D,'02效果表'!E:E), 0) +
W23*IF(_xlfn.XLOOKUP(V23,'02效果表'!D:D,'02效果表'!E:E)&lt;0, _xlfn.XLOOKUP(V23,'02效果表'!D:D,'02效果表'!E:E), 0) +
Y23*IF(_xlfn.XLOOKUP(X23,'02效果表'!D:D,'02效果表'!E:E)&lt;0, _xlfn.XLOOKUP(X23,'02效果表'!D:D,'02效果表'!E:E), 0) +
AA23*IF(_xlfn.XLOOKUP(Z23,'02效果表'!D:D,'02效果表'!E:E)&lt;0, _xlfn.XLOOKUP(Z23,'02效果表'!D:D,'02效果表'!E:E), 0) +
AC23*IF(_xlfn.XLOOKUP(AB23,'02效果表'!D:D,'02效果表'!E:E)&lt;0, _xlfn.XLOOKUP(AB23,'02效果表'!D:D,'02效果表'!E:E), 0) +
AE23*IF(_xlfn.XLOOKUP(AD23,'02效果表'!D:D,'02效果表'!E:E)&lt;0, _xlfn.XLOOKUP(AD23,'02效果表'!D:D,'02效果表'!E:E), 0)), 1)</f>
        <v>0.3</v>
      </c>
      <c r="G23" s="7">
        <f>ROUND(1/6*(I23*MAX(_xlfn.XLOOKUP(H23,'02效果表'!D:D,'02效果表'!E:E),0)+K23*MAX(_xlfn.XLOOKUP(J23,'02效果表'!D:D,'02效果表'!E:E),0)+M23*MAX(_xlfn.XLOOKUP(L23,'02效果表'!D:D,'02效果表'!E:E),0)+O23*MAX(_xlfn.XLOOKUP(N23,'02效果表'!D:D,'02效果表'!E:E),0)+Q23*MAX(_xlfn.XLOOKUP(P23,'02效果表'!D:D,'02效果表'!E:E),0)+S23*MAX(_xlfn.XLOOKUP(R23,'02效果表'!D:D,'02效果表'!E:E),0)+U23*MAX(_xlfn.XLOOKUP(T23,'02效果表'!D:D,'02效果表'!E:E),0)+W23*MAX(_xlfn.XLOOKUP(V23,'02效果表'!D:D,'02效果表'!E:E),0)+Y23*MAX(_xlfn.XLOOKUP(X23,'02效果表'!D:D,'02效果表'!E:E),0)+AA23*MAX(_xlfn.XLOOKUP(Z23,'02效果表'!D:D,'02效果表'!E:E),0)+AC23*MAX(_xlfn.XLOOKUP(AB23,'02效果表'!D:D,'02效果表'!E:E),0)+AE23*MAX(_xlfn.XLOOKUP(AD23,'02效果表'!D:D,'02效果表'!E:E),0)),1)</f>
        <v>1.3</v>
      </c>
      <c r="H23" s="6" t="s">
        <v>1224</v>
      </c>
      <c r="I23" s="6">
        <v>5</v>
      </c>
      <c r="J23" s="6"/>
      <c r="K23" s="6"/>
      <c r="L23" s="6" t="s">
        <v>1224</v>
      </c>
      <c r="M23" s="6">
        <v>4</v>
      </c>
      <c r="N23" s="6"/>
      <c r="O23" s="6"/>
      <c r="P23" s="6" t="s">
        <v>1224</v>
      </c>
      <c r="Q23" s="6">
        <v>4</v>
      </c>
      <c r="R23" s="6"/>
      <c r="S23" s="6"/>
      <c r="T23" s="6" t="s">
        <v>1224</v>
      </c>
      <c r="U23" s="6">
        <v>3</v>
      </c>
      <c r="V23" s="6"/>
      <c r="W23" s="6"/>
      <c r="X23" s="6" t="s">
        <v>1238</v>
      </c>
      <c r="Y23" s="6">
        <v>1</v>
      </c>
      <c r="Z23" s="6"/>
      <c r="AA23" s="6"/>
      <c r="AB23" s="6" t="s">
        <v>1238</v>
      </c>
      <c r="AC23" s="6">
        <v>1</v>
      </c>
      <c r="AD23" s="6"/>
      <c r="AE23" s="6"/>
    </row>
    <row r="24" spans="1:31" x14ac:dyDescent="0.35">
      <c r="A24" s="6">
        <v>23</v>
      </c>
      <c r="B24" s="6" t="s">
        <v>0</v>
      </c>
      <c r="C24" s="10" t="s">
        <v>2</v>
      </c>
      <c r="D24" s="9" t="s">
        <v>51</v>
      </c>
      <c r="E24" s="7">
        <f t="shared" si="0"/>
        <v>2</v>
      </c>
      <c r="F24" s="7">
        <f>-1*ROUND(1/6*(I24*IF(_xlfn.XLOOKUP(H24,'02效果表'!D:D,'02效果表'!E:E)&lt;0, _xlfn.XLOOKUP(H24,'02效果表'!D:D,'02效果表'!E:E), 0) +
K24*IF(_xlfn.XLOOKUP(J24,'02效果表'!D:D,'02效果表'!E:E)&lt;0, _xlfn.XLOOKUP(J24,'02效果表'!D:D,'02效果表'!E:E), 0) +
M24*IF(_xlfn.XLOOKUP(L24,'02效果表'!D:D,'02效果表'!E:E)&lt;0, _xlfn.XLOOKUP(L24,'02效果表'!D:D,'02效果表'!E:E), 0) +
O24*IF(_xlfn.XLOOKUP(N24,'02效果表'!D:D,'02效果表'!E:E)&lt;0, _xlfn.XLOOKUP(N24,'02效果表'!D:D,'02效果表'!E:E), 0) +
Q24*IF(_xlfn.XLOOKUP(P24,'02效果表'!D:D,'02效果表'!E:E)&lt;0, _xlfn.XLOOKUP(P24,'02效果表'!D:D,'02效果表'!E:E), 0) +
S24*IF(_xlfn.XLOOKUP(R24,'02效果表'!D:D,'02效果表'!E:E)&lt;0, _xlfn.XLOOKUP(R24,'02效果表'!D:D,'02效果表'!E:E), 0) +
U24*IF(_xlfn.XLOOKUP(T24,'02效果表'!D:D,'02效果表'!E:E)&lt;0, _xlfn.XLOOKUP(T24,'02效果表'!D:D,'02效果表'!E:E), 0) +
W24*IF(_xlfn.XLOOKUP(V24,'02效果表'!D:D,'02效果表'!E:E)&lt;0, _xlfn.XLOOKUP(V24,'02效果表'!D:D,'02效果表'!E:E), 0) +
Y24*IF(_xlfn.XLOOKUP(X24,'02效果表'!D:D,'02效果表'!E:E)&lt;0, _xlfn.XLOOKUP(X24,'02效果表'!D:D,'02效果表'!E:E), 0) +
AA24*IF(_xlfn.XLOOKUP(Z24,'02效果表'!D:D,'02效果表'!E:E)&lt;0, _xlfn.XLOOKUP(Z24,'02效果表'!D:D,'02效果表'!E:E), 0) +
AC24*IF(_xlfn.XLOOKUP(AB24,'02效果表'!D:D,'02效果表'!E:E)&lt;0, _xlfn.XLOOKUP(AB24,'02效果表'!D:D,'02效果表'!E:E), 0) +
AE24*IF(_xlfn.XLOOKUP(AD24,'02效果表'!D:D,'02效果表'!E:E)&lt;0, _xlfn.XLOOKUP(AD24,'02效果表'!D:D,'02效果表'!E:E), 0)), 1)</f>
        <v>1.5</v>
      </c>
      <c r="G24" s="7">
        <f>ROUND(1/6*(I24*MAX(_xlfn.XLOOKUP(H24,'02效果表'!D:D,'02效果表'!E:E),0)+K24*MAX(_xlfn.XLOOKUP(J24,'02效果表'!D:D,'02效果表'!E:E),0)+M24*MAX(_xlfn.XLOOKUP(L24,'02效果表'!D:D,'02效果表'!E:E),0)+O24*MAX(_xlfn.XLOOKUP(N24,'02效果表'!D:D,'02效果表'!E:E),0)+Q24*MAX(_xlfn.XLOOKUP(P24,'02效果表'!D:D,'02效果表'!E:E),0)+S24*MAX(_xlfn.XLOOKUP(R24,'02效果表'!D:D,'02效果表'!E:E),0)+U24*MAX(_xlfn.XLOOKUP(T24,'02效果表'!D:D,'02效果表'!E:E),0)+W24*MAX(_xlfn.XLOOKUP(V24,'02效果表'!D:D,'02效果表'!E:E),0)+Y24*MAX(_xlfn.XLOOKUP(X24,'02效果表'!D:D,'02效果表'!E:E),0)+AA24*MAX(_xlfn.XLOOKUP(Z24,'02效果表'!D:D,'02效果表'!E:E),0)+AC24*MAX(_xlfn.XLOOKUP(AB24,'02效果表'!D:D,'02效果表'!E:E),0)+AE24*MAX(_xlfn.XLOOKUP(AD24,'02效果表'!D:D,'02效果表'!E:E),0)),1)</f>
        <v>3.9</v>
      </c>
      <c r="H24" s="6" t="s">
        <v>1243</v>
      </c>
      <c r="I24" s="6">
        <v>1</v>
      </c>
      <c r="J24" s="6" t="s">
        <v>1220</v>
      </c>
      <c r="K24" s="6">
        <v>1</v>
      </c>
      <c r="L24" s="6" t="s">
        <v>1243</v>
      </c>
      <c r="M24" s="6">
        <v>1</v>
      </c>
      <c r="N24" s="6" t="s">
        <v>1220</v>
      </c>
      <c r="O24" s="6">
        <v>1</v>
      </c>
      <c r="P24" s="6" t="s">
        <v>1243</v>
      </c>
      <c r="Q24" s="6">
        <v>1</v>
      </c>
      <c r="R24" s="6"/>
      <c r="S24" s="6"/>
      <c r="T24" s="6" t="s">
        <v>1238</v>
      </c>
      <c r="U24" s="6">
        <v>2</v>
      </c>
      <c r="V24" s="6"/>
      <c r="W24" s="6"/>
      <c r="X24" s="6" t="s">
        <v>1238</v>
      </c>
      <c r="Y24" s="6">
        <v>3</v>
      </c>
      <c r="Z24" s="6"/>
      <c r="AA24" s="6"/>
      <c r="AB24" s="6" t="s">
        <v>1238</v>
      </c>
      <c r="AC24" s="6">
        <v>4</v>
      </c>
      <c r="AD24" s="6"/>
      <c r="AE24" s="6"/>
    </row>
    <row r="25" spans="1:31" x14ac:dyDescent="0.35">
      <c r="A25" s="6">
        <v>24</v>
      </c>
      <c r="B25" s="6" t="s">
        <v>0</v>
      </c>
      <c r="C25" s="10" t="s">
        <v>2</v>
      </c>
      <c r="D25" s="9" t="s">
        <v>1244</v>
      </c>
      <c r="E25" s="7">
        <f t="shared" ref="E25:E26" si="1">ROUND(G25-F25,0)</f>
        <v>4</v>
      </c>
      <c r="F25" s="7">
        <f>-1*ROUND(1/6*(I25*IF(_xlfn.XLOOKUP(H25,'02效果表'!D:D,'02效果表'!E:E)&lt;0, _xlfn.XLOOKUP(H25,'02效果表'!D:D,'02效果表'!E:E), 0) +
K25*IF(_xlfn.XLOOKUP(J25,'02效果表'!D:D,'02效果表'!E:E)&lt;0, _xlfn.XLOOKUP(J25,'02效果表'!D:D,'02效果表'!E:E), 0) +
M25*IF(_xlfn.XLOOKUP(L25,'02效果表'!D:D,'02效果表'!E:E)&lt;0, _xlfn.XLOOKUP(L25,'02效果表'!D:D,'02效果表'!E:E), 0) +
O25*IF(_xlfn.XLOOKUP(N25,'02效果表'!D:D,'02效果表'!E:E)&lt;0, _xlfn.XLOOKUP(N25,'02效果表'!D:D,'02效果表'!E:E), 0) +
Q25*IF(_xlfn.XLOOKUP(P25,'02效果表'!D:D,'02效果表'!E:E)&lt;0, _xlfn.XLOOKUP(P25,'02效果表'!D:D,'02效果表'!E:E), 0) +
S25*IF(_xlfn.XLOOKUP(R25,'02效果表'!D:D,'02效果表'!E:E)&lt;0, _xlfn.XLOOKUP(R25,'02效果表'!D:D,'02效果表'!E:E), 0) +
U25*IF(_xlfn.XLOOKUP(T25,'02效果表'!D:D,'02效果表'!E:E)&lt;0, _xlfn.XLOOKUP(T25,'02效果表'!D:D,'02效果表'!E:E), 0) +
W25*IF(_xlfn.XLOOKUP(V25,'02效果表'!D:D,'02效果表'!E:E)&lt;0, _xlfn.XLOOKUP(V25,'02效果表'!D:D,'02效果表'!E:E), 0) +
Y25*IF(_xlfn.XLOOKUP(X25,'02效果表'!D:D,'02效果表'!E:E)&lt;0, _xlfn.XLOOKUP(X25,'02效果表'!D:D,'02效果表'!E:E), 0) +
AA25*IF(_xlfn.XLOOKUP(Z25,'02效果表'!D:D,'02效果表'!E:E)&lt;0, _xlfn.XLOOKUP(Z25,'02效果表'!D:D,'02效果表'!E:E), 0) +
AC25*IF(_xlfn.XLOOKUP(AB25,'02效果表'!D:D,'02效果表'!E:E)&lt;0, _xlfn.XLOOKUP(AB25,'02效果表'!D:D,'02效果表'!E:E), 0) +
AE25*IF(_xlfn.XLOOKUP(AD25,'02效果表'!D:D,'02效果表'!E:E)&lt;0, _xlfn.XLOOKUP(AD25,'02效果表'!D:D,'02效果表'!E:E), 0)), 1)</f>
        <v>0.5</v>
      </c>
      <c r="G25" s="7">
        <f>ROUND(1/6*(I25*MAX(_xlfn.XLOOKUP(H25,'02效果表'!D:D,'02效果表'!E:E),0)+K25*MAX(_xlfn.XLOOKUP(J25,'02效果表'!D:D,'02效果表'!E:E),0)+M25*MAX(_xlfn.XLOOKUP(L25,'02效果表'!D:D,'02效果表'!E:E),0)+O25*MAX(_xlfn.XLOOKUP(N25,'02效果表'!D:D,'02效果表'!E:E),0)+Q25*MAX(_xlfn.XLOOKUP(P25,'02效果表'!D:D,'02效果表'!E:E),0)+S25*MAX(_xlfn.XLOOKUP(R25,'02效果表'!D:D,'02效果表'!E:E),0)+U25*MAX(_xlfn.XLOOKUP(T25,'02效果表'!D:D,'02效果表'!E:E),0)+W25*MAX(_xlfn.XLOOKUP(V25,'02效果表'!D:D,'02效果表'!E:E),0)+Y25*MAX(_xlfn.XLOOKUP(X25,'02效果表'!D:D,'02效果表'!E:E),0)+AA25*MAX(_xlfn.XLOOKUP(Z25,'02效果表'!D:D,'02效果表'!E:E),0)+AC25*MAX(_xlfn.XLOOKUP(AB25,'02效果表'!D:D,'02效果表'!E:E),0)+AE25*MAX(_xlfn.XLOOKUP(AD25,'02效果表'!D:D,'02效果表'!E:E),0)),1)</f>
        <v>4</v>
      </c>
      <c r="H25" s="6" t="s">
        <v>1225</v>
      </c>
      <c r="I25" s="6">
        <v>4</v>
      </c>
      <c r="J25" s="6"/>
      <c r="K25" s="6"/>
      <c r="L25" s="6" t="s">
        <v>1225</v>
      </c>
      <c r="M25" s="6">
        <v>3</v>
      </c>
      <c r="N25" s="6"/>
      <c r="O25" s="6"/>
      <c r="P25" s="6" t="s">
        <v>1225</v>
      </c>
      <c r="Q25" s="6">
        <v>3</v>
      </c>
      <c r="R25" s="6"/>
      <c r="S25" s="6"/>
      <c r="T25" s="6" t="s">
        <v>1225</v>
      </c>
      <c r="U25" s="6">
        <v>2</v>
      </c>
      <c r="V25" s="6"/>
      <c r="W25" s="6"/>
      <c r="X25" s="6" t="s">
        <v>1238</v>
      </c>
      <c r="Y25" s="6">
        <v>1</v>
      </c>
      <c r="Z25" s="6"/>
      <c r="AA25" s="6"/>
      <c r="AB25" s="6" t="s">
        <v>1238</v>
      </c>
      <c r="AC25" s="6">
        <v>2</v>
      </c>
      <c r="AD25" s="6"/>
      <c r="AE25" s="6"/>
    </row>
    <row r="26" spans="1:31" x14ac:dyDescent="0.35">
      <c r="A26" s="6">
        <v>24</v>
      </c>
      <c r="B26" s="6" t="s">
        <v>0</v>
      </c>
      <c r="C26" s="10" t="s">
        <v>2</v>
      </c>
      <c r="D26" s="9" t="s">
        <v>1245</v>
      </c>
      <c r="E26" s="7">
        <f t="shared" si="1"/>
        <v>1</v>
      </c>
      <c r="F26" s="7">
        <f>-1*ROUND(1/6*(I26*IF(_xlfn.XLOOKUP(H26,'02效果表'!D:D,'02效果表'!E:E)&lt;0, _xlfn.XLOOKUP(H26,'02效果表'!D:D,'02效果表'!E:E), 0) +
K26*IF(_xlfn.XLOOKUP(J26,'02效果表'!D:D,'02效果表'!E:E)&lt;0, _xlfn.XLOOKUP(J26,'02效果表'!D:D,'02效果表'!E:E), 0) +
M26*IF(_xlfn.XLOOKUP(L26,'02效果表'!D:D,'02效果表'!E:E)&lt;0, _xlfn.XLOOKUP(L26,'02效果表'!D:D,'02效果表'!E:E), 0) +
O26*IF(_xlfn.XLOOKUP(N26,'02效果表'!D:D,'02效果表'!E:E)&lt;0, _xlfn.XLOOKUP(N26,'02效果表'!D:D,'02效果表'!E:E), 0) +
Q26*IF(_xlfn.XLOOKUP(P26,'02效果表'!D:D,'02效果表'!E:E)&lt;0, _xlfn.XLOOKUP(P26,'02效果表'!D:D,'02效果表'!E:E), 0) +
S26*IF(_xlfn.XLOOKUP(R26,'02效果表'!D:D,'02效果表'!E:E)&lt;0, _xlfn.XLOOKUP(R26,'02效果表'!D:D,'02效果表'!E:E), 0) +
U26*IF(_xlfn.XLOOKUP(T26,'02效果表'!D:D,'02效果表'!E:E)&lt;0, _xlfn.XLOOKUP(T26,'02效果表'!D:D,'02效果表'!E:E), 0) +
W26*IF(_xlfn.XLOOKUP(V26,'02效果表'!D:D,'02效果表'!E:E)&lt;0, _xlfn.XLOOKUP(V26,'02效果表'!D:D,'02效果表'!E:E), 0) +
Y26*IF(_xlfn.XLOOKUP(X26,'02效果表'!D:D,'02效果表'!E:E)&lt;0, _xlfn.XLOOKUP(X26,'02效果表'!D:D,'02效果表'!E:E), 0) +
AA26*IF(_xlfn.XLOOKUP(Z26,'02效果表'!D:D,'02效果表'!E:E)&lt;0, _xlfn.XLOOKUP(Z26,'02效果表'!D:D,'02效果表'!E:E), 0) +
AC26*IF(_xlfn.XLOOKUP(AB26,'02效果表'!D:D,'02效果表'!E:E)&lt;0, _xlfn.XLOOKUP(AB26,'02效果表'!D:D,'02效果表'!E:E), 0) +
AE26*IF(_xlfn.XLOOKUP(AD26,'02效果表'!D:D,'02效果表'!E:E)&lt;0, _xlfn.XLOOKUP(AD26,'02效果表'!D:D,'02效果表'!E:E), 0)), 1)</f>
        <v>0.3</v>
      </c>
      <c r="G26" s="7">
        <f>ROUND(1/6*(I26*MAX(_xlfn.XLOOKUP(H26,'02效果表'!D:D,'02效果表'!E:E),0)+K26*MAX(_xlfn.XLOOKUP(J26,'02效果表'!D:D,'02效果表'!E:E),0)+M26*MAX(_xlfn.XLOOKUP(L26,'02效果表'!D:D,'02效果表'!E:E),0)+O26*MAX(_xlfn.XLOOKUP(N26,'02效果表'!D:D,'02效果表'!E:E),0)+Q26*MAX(_xlfn.XLOOKUP(P26,'02效果表'!D:D,'02效果表'!E:E),0)+S26*MAX(_xlfn.XLOOKUP(R26,'02效果表'!D:D,'02效果表'!E:E),0)+U26*MAX(_xlfn.XLOOKUP(T26,'02效果表'!D:D,'02效果表'!E:E),0)+W26*MAX(_xlfn.XLOOKUP(V26,'02效果表'!D:D,'02效果表'!E:E),0)+Y26*MAX(_xlfn.XLOOKUP(X26,'02效果表'!D:D,'02效果表'!E:E),0)+AA26*MAX(_xlfn.XLOOKUP(Z26,'02效果表'!D:D,'02效果表'!E:E),0)+AC26*MAX(_xlfn.XLOOKUP(AB26,'02效果表'!D:D,'02效果表'!E:E),0)+AE26*MAX(_xlfn.XLOOKUP(AD26,'02效果表'!D:D,'02效果表'!E:E),0)),1)</f>
        <v>1.2</v>
      </c>
      <c r="H26" s="6" t="s">
        <v>1246</v>
      </c>
      <c r="I26" s="6">
        <v>3</v>
      </c>
      <c r="J26" s="6"/>
      <c r="K26" s="6"/>
      <c r="L26" s="6" t="s">
        <v>1246</v>
      </c>
      <c r="M26" s="6">
        <v>3</v>
      </c>
      <c r="N26" s="6"/>
      <c r="O26" s="6"/>
      <c r="P26" s="6" t="s">
        <v>1246</v>
      </c>
      <c r="Q26" s="6">
        <v>2</v>
      </c>
      <c r="R26" s="6"/>
      <c r="S26" s="6"/>
      <c r="T26" s="6" t="s">
        <v>1246</v>
      </c>
      <c r="U26" s="6">
        <v>2</v>
      </c>
      <c r="V26" s="6"/>
      <c r="W26" s="6"/>
      <c r="X26" s="6" t="s">
        <v>1238</v>
      </c>
      <c r="Y26" s="6">
        <v>1</v>
      </c>
      <c r="Z26" s="6"/>
      <c r="AA26" s="6"/>
      <c r="AB26" s="6" t="s">
        <v>1238</v>
      </c>
      <c r="AC26" s="6">
        <v>1</v>
      </c>
      <c r="AD26" s="6"/>
      <c r="AE26" s="6"/>
    </row>
    <row r="27" spans="1:31" x14ac:dyDescent="0.35">
      <c r="A27" s="6">
        <v>24</v>
      </c>
      <c r="B27" s="6" t="s">
        <v>0</v>
      </c>
      <c r="C27" s="10" t="s">
        <v>2</v>
      </c>
      <c r="D27" s="9" t="s">
        <v>52</v>
      </c>
      <c r="E27" s="7">
        <f t="shared" si="0"/>
        <v>3</v>
      </c>
      <c r="F27" s="7">
        <f>-1*ROUND(1/6*(I27*IF(_xlfn.XLOOKUP(H27,'02效果表'!D:D,'02效果表'!E:E)&lt;0, _xlfn.XLOOKUP(H27,'02效果表'!D:D,'02效果表'!E:E), 0) +
K27*IF(_xlfn.XLOOKUP(J27,'02效果表'!D:D,'02效果表'!E:E)&lt;0, _xlfn.XLOOKUP(J27,'02效果表'!D:D,'02效果表'!E:E), 0) +
M27*IF(_xlfn.XLOOKUP(L27,'02效果表'!D:D,'02效果表'!E:E)&lt;0, _xlfn.XLOOKUP(L27,'02效果表'!D:D,'02效果表'!E:E), 0) +
O27*IF(_xlfn.XLOOKUP(N27,'02效果表'!D:D,'02效果表'!E:E)&lt;0, _xlfn.XLOOKUP(N27,'02效果表'!D:D,'02效果表'!E:E), 0) +
Q27*IF(_xlfn.XLOOKUP(P27,'02效果表'!D:D,'02效果表'!E:E)&lt;0, _xlfn.XLOOKUP(P27,'02效果表'!D:D,'02效果表'!E:E), 0) +
S27*IF(_xlfn.XLOOKUP(R27,'02效果表'!D:D,'02效果表'!E:E)&lt;0, _xlfn.XLOOKUP(R27,'02效果表'!D:D,'02效果表'!E:E), 0) +
U27*IF(_xlfn.XLOOKUP(T27,'02效果表'!D:D,'02效果表'!E:E)&lt;0, _xlfn.XLOOKUP(T27,'02效果表'!D:D,'02效果表'!E:E), 0) +
W27*IF(_xlfn.XLOOKUP(V27,'02效果表'!D:D,'02效果表'!E:E)&lt;0, _xlfn.XLOOKUP(V27,'02效果表'!D:D,'02效果表'!E:E), 0) +
Y27*IF(_xlfn.XLOOKUP(X27,'02效果表'!D:D,'02效果表'!E:E)&lt;0, _xlfn.XLOOKUP(X27,'02效果表'!D:D,'02效果表'!E:E), 0) +
AA27*IF(_xlfn.XLOOKUP(Z27,'02效果表'!D:D,'02效果表'!E:E)&lt;0, _xlfn.XLOOKUP(Z27,'02效果表'!D:D,'02效果表'!E:E), 0) +
AC27*IF(_xlfn.XLOOKUP(AB27,'02效果表'!D:D,'02效果表'!E:E)&lt;0, _xlfn.XLOOKUP(AB27,'02效果表'!D:D,'02效果表'!E:E), 0) +
AE27*IF(_xlfn.XLOOKUP(AD27,'02效果表'!D:D,'02效果表'!E:E)&lt;0, _xlfn.XLOOKUP(AD27,'02效果表'!D:D,'02效果表'!E:E), 0)), 1)</f>
        <v>1.2</v>
      </c>
      <c r="G27" s="7">
        <f>ROUND(1/6*(I27*MAX(_xlfn.XLOOKUP(H27,'02效果表'!D:D,'02效果表'!E:E),0)+K27*MAX(_xlfn.XLOOKUP(J27,'02效果表'!D:D,'02效果表'!E:E),0)+M27*MAX(_xlfn.XLOOKUP(L27,'02效果表'!D:D,'02效果表'!E:E),0)+O27*MAX(_xlfn.XLOOKUP(N27,'02效果表'!D:D,'02效果表'!E:E),0)+Q27*MAX(_xlfn.XLOOKUP(P27,'02效果表'!D:D,'02效果表'!E:E),0)+S27*MAX(_xlfn.XLOOKUP(R27,'02效果表'!D:D,'02效果表'!E:E),0)+U27*MAX(_xlfn.XLOOKUP(T27,'02效果表'!D:D,'02效果表'!E:E),0)+W27*MAX(_xlfn.XLOOKUP(V27,'02效果表'!D:D,'02效果表'!E:E),0)+Y27*MAX(_xlfn.XLOOKUP(X27,'02效果表'!D:D,'02效果表'!E:E),0)+AA27*MAX(_xlfn.XLOOKUP(Z27,'02效果表'!D:D,'02效果表'!E:E),0)+AC27*MAX(_xlfn.XLOOKUP(AB27,'02效果表'!D:D,'02效果表'!E:E),0)+AE27*MAX(_xlfn.XLOOKUP(AD27,'02效果表'!D:D,'02效果表'!E:E),0)),1)</f>
        <v>3.8</v>
      </c>
      <c r="H27" s="6" t="s">
        <v>1224</v>
      </c>
      <c r="I27" s="6">
        <v>2</v>
      </c>
      <c r="J27" s="6" t="s">
        <v>1231</v>
      </c>
      <c r="K27" s="6">
        <v>2</v>
      </c>
      <c r="L27" s="6" t="s">
        <v>1224</v>
      </c>
      <c r="M27" s="6">
        <v>2</v>
      </c>
      <c r="N27" s="6" t="s">
        <v>1231</v>
      </c>
      <c r="O27" s="6">
        <v>1</v>
      </c>
      <c r="P27" s="6" t="s">
        <v>1224</v>
      </c>
      <c r="Q27" s="6">
        <v>2</v>
      </c>
      <c r="R27" s="6" t="s">
        <v>1231</v>
      </c>
      <c r="S27" s="6">
        <v>1</v>
      </c>
      <c r="T27" s="6" t="s">
        <v>1193</v>
      </c>
      <c r="U27" s="6">
        <v>2</v>
      </c>
      <c r="V27" s="6"/>
      <c r="W27" s="6"/>
      <c r="X27" s="6" t="s">
        <v>1193</v>
      </c>
      <c r="Y27" s="6">
        <v>2</v>
      </c>
      <c r="Z27" s="6"/>
      <c r="AA27" s="6"/>
      <c r="AB27" s="6" t="s">
        <v>1193</v>
      </c>
      <c r="AC27" s="6">
        <v>3</v>
      </c>
      <c r="AD27" s="6"/>
      <c r="AE27" s="6"/>
    </row>
    <row r="28" spans="1:31" x14ac:dyDescent="0.35">
      <c r="A28" s="6">
        <v>25</v>
      </c>
      <c r="B28" s="6" t="s">
        <v>0</v>
      </c>
      <c r="C28" s="10" t="s">
        <v>2</v>
      </c>
      <c r="D28" s="9" t="s">
        <v>53</v>
      </c>
      <c r="E28" s="7">
        <f t="shared" si="0"/>
        <v>6</v>
      </c>
      <c r="F28" s="7">
        <f>-1*ROUND(1/6*(I28*IF(_xlfn.XLOOKUP(H28,'02效果表'!D:D,'02效果表'!E:E)&lt;0, _xlfn.XLOOKUP(H28,'02效果表'!D:D,'02效果表'!E:E), 0) +
K28*IF(_xlfn.XLOOKUP(J28,'02效果表'!D:D,'02效果表'!E:E)&lt;0, _xlfn.XLOOKUP(J28,'02效果表'!D:D,'02效果表'!E:E), 0) +
M28*IF(_xlfn.XLOOKUP(L28,'02效果表'!D:D,'02效果表'!E:E)&lt;0, _xlfn.XLOOKUP(L28,'02效果表'!D:D,'02效果表'!E:E), 0) +
O28*IF(_xlfn.XLOOKUP(N28,'02效果表'!D:D,'02效果表'!E:E)&lt;0, _xlfn.XLOOKUP(N28,'02效果表'!D:D,'02效果表'!E:E), 0) +
Q28*IF(_xlfn.XLOOKUP(P28,'02效果表'!D:D,'02效果表'!E:E)&lt;0, _xlfn.XLOOKUP(P28,'02效果表'!D:D,'02效果表'!E:E), 0) +
S28*IF(_xlfn.XLOOKUP(R28,'02效果表'!D:D,'02效果表'!E:E)&lt;0, _xlfn.XLOOKUP(R28,'02效果表'!D:D,'02效果表'!E:E), 0) +
U28*IF(_xlfn.XLOOKUP(T28,'02效果表'!D:D,'02效果表'!E:E)&lt;0, _xlfn.XLOOKUP(T28,'02效果表'!D:D,'02效果表'!E:E), 0) +
W28*IF(_xlfn.XLOOKUP(V28,'02效果表'!D:D,'02效果表'!E:E)&lt;0, _xlfn.XLOOKUP(V28,'02效果表'!D:D,'02效果表'!E:E), 0) +
Y28*IF(_xlfn.XLOOKUP(X28,'02效果表'!D:D,'02效果表'!E:E)&lt;0, _xlfn.XLOOKUP(X28,'02效果表'!D:D,'02效果表'!E:E), 0) +
AA28*IF(_xlfn.XLOOKUP(Z28,'02效果表'!D:D,'02效果表'!E:E)&lt;0, _xlfn.XLOOKUP(Z28,'02效果表'!D:D,'02效果表'!E:E), 0) +
AC28*IF(_xlfn.XLOOKUP(AB28,'02效果表'!D:D,'02效果表'!E:E)&lt;0, _xlfn.XLOOKUP(AB28,'02效果表'!D:D,'02效果表'!E:E), 0) +
AE28*IF(_xlfn.XLOOKUP(AD28,'02效果表'!D:D,'02效果表'!E:E)&lt;0, _xlfn.XLOOKUP(AD28,'02效果表'!D:D,'02效果表'!E:E), 0)), 1)</f>
        <v>0.7</v>
      </c>
      <c r="G28" s="7">
        <f>ROUND(1/6*(I28*MAX(_xlfn.XLOOKUP(H28,'02效果表'!D:D,'02效果表'!E:E),0)+K28*MAX(_xlfn.XLOOKUP(J28,'02效果表'!D:D,'02效果表'!E:E),0)+M28*MAX(_xlfn.XLOOKUP(L28,'02效果表'!D:D,'02效果表'!E:E),0)+O28*MAX(_xlfn.XLOOKUP(N28,'02效果表'!D:D,'02效果表'!E:E),0)+Q28*MAX(_xlfn.XLOOKUP(P28,'02效果表'!D:D,'02效果表'!E:E),0)+S28*MAX(_xlfn.XLOOKUP(R28,'02效果表'!D:D,'02效果表'!E:E),0)+U28*MAX(_xlfn.XLOOKUP(T28,'02效果表'!D:D,'02效果表'!E:E),0)+W28*MAX(_xlfn.XLOOKUP(V28,'02效果表'!D:D,'02效果表'!E:E),0)+Y28*MAX(_xlfn.XLOOKUP(X28,'02效果表'!D:D,'02效果表'!E:E),0)+AA28*MAX(_xlfn.XLOOKUP(Z28,'02效果表'!D:D,'02效果表'!E:E),0)+AC28*MAX(_xlfn.XLOOKUP(AB28,'02效果表'!D:D,'02效果表'!E:E),0)+AE28*MAX(_xlfn.XLOOKUP(AD28,'02效果表'!D:D,'02效果表'!E:E),0)),1)</f>
        <v>6.7</v>
      </c>
      <c r="H28" s="6" t="s">
        <v>1247</v>
      </c>
      <c r="I28" s="6">
        <v>6</v>
      </c>
      <c r="J28" s="6"/>
      <c r="K28" s="6"/>
      <c r="L28" s="6" t="s">
        <v>1247</v>
      </c>
      <c r="M28" s="6">
        <v>5</v>
      </c>
      <c r="N28" s="6"/>
      <c r="O28" s="6"/>
      <c r="P28" s="6" t="s">
        <v>1247</v>
      </c>
      <c r="Q28" s="6">
        <v>5</v>
      </c>
      <c r="R28" s="6"/>
      <c r="S28" s="6"/>
      <c r="T28" s="6" t="s">
        <v>1247</v>
      </c>
      <c r="U28" s="6">
        <v>4</v>
      </c>
      <c r="V28" s="6"/>
      <c r="W28" s="6"/>
      <c r="X28" s="6" t="s">
        <v>1248</v>
      </c>
      <c r="Y28" s="6">
        <v>1</v>
      </c>
      <c r="Z28" s="6"/>
      <c r="AA28" s="6"/>
      <c r="AB28" s="6" t="s">
        <v>1248</v>
      </c>
      <c r="AC28" s="6">
        <v>1</v>
      </c>
      <c r="AD28" s="6"/>
      <c r="AE28" s="6"/>
    </row>
    <row r="29" spans="1:31" x14ac:dyDescent="0.35">
      <c r="A29" s="6">
        <v>26</v>
      </c>
      <c r="B29" s="6" t="s">
        <v>0</v>
      </c>
      <c r="C29" s="10" t="s">
        <v>2</v>
      </c>
      <c r="D29" s="9" t="s">
        <v>54</v>
      </c>
      <c r="E29" s="7">
        <f t="shared" si="0"/>
        <v>2</v>
      </c>
      <c r="F29" s="7">
        <f>-1*ROUND(1/6*(I29*IF(_xlfn.XLOOKUP(H29,'02效果表'!D:D,'02效果表'!E:E)&lt;0, _xlfn.XLOOKUP(H29,'02效果表'!D:D,'02效果表'!E:E), 0) +
K29*IF(_xlfn.XLOOKUP(J29,'02效果表'!D:D,'02效果表'!E:E)&lt;0, _xlfn.XLOOKUP(J29,'02效果表'!D:D,'02效果表'!E:E), 0) +
M29*IF(_xlfn.XLOOKUP(L29,'02效果表'!D:D,'02效果表'!E:E)&lt;0, _xlfn.XLOOKUP(L29,'02效果表'!D:D,'02效果表'!E:E), 0) +
O29*IF(_xlfn.XLOOKUP(N29,'02效果表'!D:D,'02效果表'!E:E)&lt;0, _xlfn.XLOOKUP(N29,'02效果表'!D:D,'02效果表'!E:E), 0) +
Q29*IF(_xlfn.XLOOKUP(P29,'02效果表'!D:D,'02效果表'!E:E)&lt;0, _xlfn.XLOOKUP(P29,'02效果表'!D:D,'02效果表'!E:E), 0) +
S29*IF(_xlfn.XLOOKUP(R29,'02效果表'!D:D,'02效果表'!E:E)&lt;0, _xlfn.XLOOKUP(R29,'02效果表'!D:D,'02效果表'!E:E), 0) +
U29*IF(_xlfn.XLOOKUP(T29,'02效果表'!D:D,'02效果表'!E:E)&lt;0, _xlfn.XLOOKUP(T29,'02效果表'!D:D,'02效果表'!E:E), 0) +
W29*IF(_xlfn.XLOOKUP(V29,'02效果表'!D:D,'02效果表'!E:E)&lt;0, _xlfn.XLOOKUP(V29,'02效果表'!D:D,'02效果表'!E:E), 0) +
Y29*IF(_xlfn.XLOOKUP(X29,'02效果表'!D:D,'02效果表'!E:E)&lt;0, _xlfn.XLOOKUP(X29,'02效果表'!D:D,'02效果表'!E:E), 0) +
AA29*IF(_xlfn.XLOOKUP(Z29,'02效果表'!D:D,'02效果表'!E:E)&lt;0, _xlfn.XLOOKUP(Z29,'02效果表'!D:D,'02效果表'!E:E), 0) +
AC29*IF(_xlfn.XLOOKUP(AB29,'02效果表'!D:D,'02效果表'!E:E)&lt;0, _xlfn.XLOOKUP(AB29,'02效果表'!D:D,'02效果表'!E:E), 0) +
AE29*IF(_xlfn.XLOOKUP(AD29,'02效果表'!D:D,'02效果表'!E:E)&lt;0, _xlfn.XLOOKUP(AD29,'02效果表'!D:D,'02效果表'!E:E), 0)), 1)</f>
        <v>2.2999999999999998</v>
      </c>
      <c r="G29" s="7">
        <f>ROUND(1/6*(I29*MAX(_xlfn.XLOOKUP(H29,'02效果表'!D:D,'02效果表'!E:E),0)+K29*MAX(_xlfn.XLOOKUP(J29,'02效果表'!D:D,'02效果表'!E:E),0)+M29*MAX(_xlfn.XLOOKUP(L29,'02效果表'!D:D,'02效果表'!E:E),0)+O29*MAX(_xlfn.XLOOKUP(N29,'02效果表'!D:D,'02效果表'!E:E),0)+Q29*MAX(_xlfn.XLOOKUP(P29,'02效果表'!D:D,'02效果表'!E:E),0)+S29*MAX(_xlfn.XLOOKUP(R29,'02效果表'!D:D,'02效果表'!E:E),0)+U29*MAX(_xlfn.XLOOKUP(T29,'02效果表'!D:D,'02效果表'!E:E),0)+W29*MAX(_xlfn.XLOOKUP(V29,'02效果表'!D:D,'02效果表'!E:E),0)+Y29*MAX(_xlfn.XLOOKUP(X29,'02效果表'!D:D,'02效果表'!E:E),0)+AA29*MAX(_xlfn.XLOOKUP(Z29,'02效果表'!D:D,'02效果表'!E:E),0)+AC29*MAX(_xlfn.XLOOKUP(AB29,'02效果表'!D:D,'02效果表'!E:E),0)+AE29*MAX(_xlfn.XLOOKUP(AD29,'02效果表'!D:D,'02效果表'!E:E),0)),1)</f>
        <v>4.0999999999999996</v>
      </c>
      <c r="H29" s="6" t="s">
        <v>1226</v>
      </c>
      <c r="I29" s="6">
        <v>3</v>
      </c>
      <c r="J29" s="6"/>
      <c r="K29" s="6"/>
      <c r="L29" s="6" t="s">
        <v>1226</v>
      </c>
      <c r="M29" s="6">
        <v>2</v>
      </c>
      <c r="N29" s="6"/>
      <c r="O29" s="6"/>
      <c r="P29" s="6" t="s">
        <v>1226</v>
      </c>
      <c r="Q29" s="6">
        <v>2</v>
      </c>
      <c r="R29" s="6"/>
      <c r="S29" s="6"/>
      <c r="T29" s="6" t="s">
        <v>1249</v>
      </c>
      <c r="U29" s="6">
        <v>1</v>
      </c>
      <c r="V29" s="6"/>
      <c r="W29" s="6"/>
      <c r="X29" s="6" t="s">
        <v>1249</v>
      </c>
      <c r="Y29" s="6">
        <v>1</v>
      </c>
      <c r="Z29" s="6"/>
      <c r="AA29" s="6"/>
      <c r="AB29" s="6" t="s">
        <v>1249</v>
      </c>
      <c r="AC29" s="6">
        <v>2</v>
      </c>
      <c r="AD29" s="6"/>
      <c r="AE29" s="6"/>
    </row>
    <row r="30" spans="1:31" x14ac:dyDescent="0.35">
      <c r="A30" s="6">
        <v>27</v>
      </c>
      <c r="B30" s="6" t="s">
        <v>0</v>
      </c>
      <c r="C30" s="10" t="s">
        <v>2</v>
      </c>
      <c r="D30" s="9" t="s">
        <v>55</v>
      </c>
      <c r="E30" s="7">
        <f t="shared" si="0"/>
        <v>5</v>
      </c>
      <c r="F30" s="7">
        <f>-1*ROUND(1/6*(I30*IF(_xlfn.XLOOKUP(H30,'02效果表'!D:D,'02效果表'!E:E)&lt;0, _xlfn.XLOOKUP(H30,'02效果表'!D:D,'02效果表'!E:E), 0) +
K30*IF(_xlfn.XLOOKUP(J30,'02效果表'!D:D,'02效果表'!E:E)&lt;0, _xlfn.XLOOKUP(J30,'02效果表'!D:D,'02效果表'!E:E), 0) +
M30*IF(_xlfn.XLOOKUP(L30,'02效果表'!D:D,'02效果表'!E:E)&lt;0, _xlfn.XLOOKUP(L30,'02效果表'!D:D,'02效果表'!E:E), 0) +
O30*IF(_xlfn.XLOOKUP(N30,'02效果表'!D:D,'02效果表'!E:E)&lt;0, _xlfn.XLOOKUP(N30,'02效果表'!D:D,'02效果表'!E:E), 0) +
Q30*IF(_xlfn.XLOOKUP(P30,'02效果表'!D:D,'02效果表'!E:E)&lt;0, _xlfn.XLOOKUP(P30,'02效果表'!D:D,'02效果表'!E:E), 0) +
S30*IF(_xlfn.XLOOKUP(R30,'02效果表'!D:D,'02效果表'!E:E)&lt;0, _xlfn.XLOOKUP(R30,'02效果表'!D:D,'02效果表'!E:E), 0) +
U30*IF(_xlfn.XLOOKUP(T30,'02效果表'!D:D,'02效果表'!E:E)&lt;0, _xlfn.XLOOKUP(T30,'02效果表'!D:D,'02效果表'!E:E), 0) +
W30*IF(_xlfn.XLOOKUP(V30,'02效果表'!D:D,'02效果表'!E:E)&lt;0, _xlfn.XLOOKUP(V30,'02效果表'!D:D,'02效果表'!E:E), 0) +
Y30*IF(_xlfn.XLOOKUP(X30,'02效果表'!D:D,'02效果表'!E:E)&lt;0, _xlfn.XLOOKUP(X30,'02效果表'!D:D,'02效果表'!E:E), 0) +
AA30*IF(_xlfn.XLOOKUP(Z30,'02效果表'!D:D,'02效果表'!E:E)&lt;0, _xlfn.XLOOKUP(Z30,'02效果表'!D:D,'02效果表'!E:E), 0) +
AC30*IF(_xlfn.XLOOKUP(AB30,'02效果表'!D:D,'02效果表'!E:E)&lt;0, _xlfn.XLOOKUP(AB30,'02效果表'!D:D,'02效果表'!E:E), 0) +
AE30*IF(_xlfn.XLOOKUP(AD30,'02效果表'!D:D,'02效果表'!E:E)&lt;0, _xlfn.XLOOKUP(AD30,'02效果表'!D:D,'02效果表'!E:E), 0)), 1)</f>
        <v>0.3</v>
      </c>
      <c r="G30" s="7">
        <f>ROUND(1/6*(I30*MAX(_xlfn.XLOOKUP(H30,'02效果表'!D:D,'02效果表'!E:E),0)+K30*MAX(_xlfn.XLOOKUP(J30,'02效果表'!D:D,'02效果表'!E:E),0)+M30*MAX(_xlfn.XLOOKUP(L30,'02效果表'!D:D,'02效果表'!E:E),0)+O30*MAX(_xlfn.XLOOKUP(N30,'02效果表'!D:D,'02效果表'!E:E),0)+Q30*MAX(_xlfn.XLOOKUP(P30,'02效果表'!D:D,'02效果表'!E:E),0)+S30*MAX(_xlfn.XLOOKUP(R30,'02效果表'!D:D,'02效果表'!E:E),0)+U30*MAX(_xlfn.XLOOKUP(T30,'02效果表'!D:D,'02效果表'!E:E),0)+W30*MAX(_xlfn.XLOOKUP(V30,'02效果表'!D:D,'02效果表'!E:E),0)+Y30*MAX(_xlfn.XLOOKUP(X30,'02效果表'!D:D,'02效果表'!E:E),0)+AA30*MAX(_xlfn.XLOOKUP(Z30,'02效果表'!D:D,'02效果表'!E:E),0)+AC30*MAX(_xlfn.XLOOKUP(AB30,'02效果表'!D:D,'02效果表'!E:E),0)+AE30*MAX(_xlfn.XLOOKUP(AD30,'02效果表'!D:D,'02效果表'!E:E),0)),1)</f>
        <v>5.3</v>
      </c>
      <c r="H30" s="6" t="s">
        <v>1227</v>
      </c>
      <c r="I30" s="6">
        <v>6</v>
      </c>
      <c r="J30" s="6" t="s">
        <v>1220</v>
      </c>
      <c r="K30" s="6">
        <v>1</v>
      </c>
      <c r="L30" s="6" t="s">
        <v>1227</v>
      </c>
      <c r="M30" s="6">
        <v>6</v>
      </c>
      <c r="N30" s="6" t="s">
        <v>1220</v>
      </c>
      <c r="O30" s="6">
        <v>1</v>
      </c>
      <c r="P30" s="6" t="s">
        <v>1227</v>
      </c>
      <c r="Q30" s="6">
        <v>5</v>
      </c>
      <c r="R30" s="6"/>
      <c r="S30" s="6"/>
      <c r="T30" s="6" t="s">
        <v>1227</v>
      </c>
      <c r="U30" s="6">
        <v>5</v>
      </c>
      <c r="V30" s="6"/>
      <c r="W30" s="6"/>
      <c r="X30" s="6" t="s">
        <v>1193</v>
      </c>
      <c r="Y30" s="6">
        <v>1</v>
      </c>
      <c r="Z30" s="6"/>
      <c r="AA30" s="6"/>
      <c r="AB30" s="6" t="s">
        <v>1193</v>
      </c>
      <c r="AC30" s="6">
        <v>1</v>
      </c>
      <c r="AD30" s="6"/>
      <c r="AE30" s="6"/>
    </row>
    <row r="31" spans="1:31" x14ac:dyDescent="0.35">
      <c r="A31" s="6">
        <v>28</v>
      </c>
      <c r="B31" s="6" t="s">
        <v>0</v>
      </c>
      <c r="C31" s="10" t="s">
        <v>2</v>
      </c>
      <c r="D31" s="9" t="s">
        <v>1250</v>
      </c>
      <c r="E31" s="7">
        <f t="shared" ref="E31" si="2">ROUND(G31-F31,0)</f>
        <v>5</v>
      </c>
      <c r="F31" s="7">
        <f>-1*ROUND(1/6*(I31*IF(_xlfn.XLOOKUP(H31,'02效果表'!D:D,'02效果表'!E:E)&lt;0, _xlfn.XLOOKUP(H31,'02效果表'!D:D,'02效果表'!E:E), 0) +
K31*IF(_xlfn.XLOOKUP(J31,'02效果表'!D:D,'02效果表'!E:E)&lt;0, _xlfn.XLOOKUP(J31,'02效果表'!D:D,'02效果表'!E:E), 0) +
M31*IF(_xlfn.XLOOKUP(L31,'02效果表'!D:D,'02效果表'!E:E)&lt;0, _xlfn.XLOOKUP(L31,'02效果表'!D:D,'02效果表'!E:E), 0) +
O31*IF(_xlfn.XLOOKUP(N31,'02效果表'!D:D,'02效果表'!E:E)&lt;0, _xlfn.XLOOKUP(N31,'02效果表'!D:D,'02效果表'!E:E), 0) +
Q31*IF(_xlfn.XLOOKUP(P31,'02效果表'!D:D,'02效果表'!E:E)&lt;0, _xlfn.XLOOKUP(P31,'02效果表'!D:D,'02效果表'!E:E), 0) +
S31*IF(_xlfn.XLOOKUP(R31,'02效果表'!D:D,'02效果表'!E:E)&lt;0, _xlfn.XLOOKUP(R31,'02效果表'!D:D,'02效果表'!E:E), 0) +
U31*IF(_xlfn.XLOOKUP(T31,'02效果表'!D:D,'02效果表'!E:E)&lt;0, _xlfn.XLOOKUP(T31,'02效果表'!D:D,'02效果表'!E:E), 0) +
W31*IF(_xlfn.XLOOKUP(V31,'02效果表'!D:D,'02效果表'!E:E)&lt;0, _xlfn.XLOOKUP(V31,'02效果表'!D:D,'02效果表'!E:E), 0) +
Y31*IF(_xlfn.XLOOKUP(X31,'02效果表'!D:D,'02效果表'!E:E)&lt;0, _xlfn.XLOOKUP(X31,'02效果表'!D:D,'02效果表'!E:E), 0) +
AA31*IF(_xlfn.XLOOKUP(Z31,'02效果表'!D:D,'02效果表'!E:E)&lt;0, _xlfn.XLOOKUP(Z31,'02效果表'!D:D,'02效果表'!E:E), 0) +
AC31*IF(_xlfn.XLOOKUP(AB31,'02效果表'!D:D,'02效果表'!E:E)&lt;0, _xlfn.XLOOKUP(AB31,'02效果表'!D:D,'02效果表'!E:E), 0) +
AE31*IF(_xlfn.XLOOKUP(AD31,'02效果表'!D:D,'02效果表'!E:E)&lt;0, _xlfn.XLOOKUP(AD31,'02效果表'!D:D,'02效果表'!E:E), 0)), 1)</f>
        <v>0</v>
      </c>
      <c r="G31" s="7">
        <f>ROUND(1/6*(I31*MAX(_xlfn.XLOOKUP(H31,'02效果表'!D:D,'02效果表'!E:E),0)+K31*MAX(_xlfn.XLOOKUP(J31,'02效果表'!D:D,'02效果表'!E:E),0)+M31*MAX(_xlfn.XLOOKUP(L31,'02效果表'!D:D,'02效果表'!E:E),0)+O31*MAX(_xlfn.XLOOKUP(N31,'02效果表'!D:D,'02效果表'!E:E),0)+Q31*MAX(_xlfn.XLOOKUP(P31,'02效果表'!D:D,'02效果表'!E:E),0)+S31*MAX(_xlfn.XLOOKUP(R31,'02效果表'!D:D,'02效果表'!E:E),0)+U31*MAX(_xlfn.XLOOKUP(T31,'02效果表'!D:D,'02效果表'!E:E),0)+W31*MAX(_xlfn.XLOOKUP(V31,'02效果表'!D:D,'02效果表'!E:E),0)+Y31*MAX(_xlfn.XLOOKUP(X31,'02效果表'!D:D,'02效果表'!E:E),0)+AA31*MAX(_xlfn.XLOOKUP(Z31,'02效果表'!D:D,'02效果表'!E:E),0)+AC31*MAX(_xlfn.XLOOKUP(AB31,'02效果表'!D:D,'02效果表'!E:E),0)+AE31*MAX(_xlfn.XLOOKUP(AD31,'02效果表'!D:D,'02效果表'!E:E),0)),1)</f>
        <v>4.8</v>
      </c>
      <c r="H31" s="6" t="s">
        <v>1251</v>
      </c>
      <c r="I31" s="6">
        <v>12</v>
      </c>
      <c r="J31" s="6"/>
      <c r="K31" s="6"/>
      <c r="L31" s="6" t="s">
        <v>1251</v>
      </c>
      <c r="M31" s="6">
        <v>11</v>
      </c>
      <c r="N31" s="6"/>
      <c r="O31" s="6"/>
      <c r="P31" s="6" t="s">
        <v>1251</v>
      </c>
      <c r="Q31" s="6">
        <v>10</v>
      </c>
      <c r="R31" s="6"/>
      <c r="S31" s="6"/>
      <c r="T31" s="6" t="s">
        <v>1251</v>
      </c>
      <c r="U31" s="6">
        <v>9</v>
      </c>
      <c r="V31" s="6"/>
      <c r="W31" s="6"/>
      <c r="X31" s="6" t="s">
        <v>1251</v>
      </c>
      <c r="Y31" s="6">
        <v>8</v>
      </c>
      <c r="Z31" s="6"/>
      <c r="AA31" s="6"/>
      <c r="AB31" s="6" t="s">
        <v>1251</v>
      </c>
      <c r="AC31" s="6">
        <v>7</v>
      </c>
      <c r="AD31" s="6"/>
      <c r="AE31" s="6"/>
    </row>
    <row r="32" spans="1:31" x14ac:dyDescent="0.35">
      <c r="A32" s="6">
        <v>28</v>
      </c>
      <c r="B32" s="6" t="s">
        <v>0</v>
      </c>
      <c r="C32" s="10" t="s">
        <v>2</v>
      </c>
      <c r="D32" s="9" t="s">
        <v>56</v>
      </c>
      <c r="E32" s="7">
        <f t="shared" si="0"/>
        <v>6</v>
      </c>
      <c r="F32" s="7">
        <f>-1*ROUND(1/6*(I32*IF(_xlfn.XLOOKUP(H32,'02效果表'!D:D,'02效果表'!E:E)&lt;0, _xlfn.XLOOKUP(H32,'02效果表'!D:D,'02效果表'!E:E), 0) +
K32*IF(_xlfn.XLOOKUP(J32,'02效果表'!D:D,'02效果表'!E:E)&lt;0, _xlfn.XLOOKUP(J32,'02效果表'!D:D,'02效果表'!E:E), 0) +
M32*IF(_xlfn.XLOOKUP(L32,'02效果表'!D:D,'02效果表'!E:E)&lt;0, _xlfn.XLOOKUP(L32,'02效果表'!D:D,'02效果表'!E:E), 0) +
O32*IF(_xlfn.XLOOKUP(N32,'02效果表'!D:D,'02效果表'!E:E)&lt;0, _xlfn.XLOOKUP(N32,'02效果表'!D:D,'02效果表'!E:E), 0) +
Q32*IF(_xlfn.XLOOKUP(P32,'02效果表'!D:D,'02效果表'!E:E)&lt;0, _xlfn.XLOOKUP(P32,'02效果表'!D:D,'02效果表'!E:E), 0) +
S32*IF(_xlfn.XLOOKUP(R32,'02效果表'!D:D,'02效果表'!E:E)&lt;0, _xlfn.XLOOKUP(R32,'02效果表'!D:D,'02效果表'!E:E), 0) +
U32*IF(_xlfn.XLOOKUP(T32,'02效果表'!D:D,'02效果表'!E:E)&lt;0, _xlfn.XLOOKUP(T32,'02效果表'!D:D,'02效果表'!E:E), 0) +
W32*IF(_xlfn.XLOOKUP(V32,'02效果表'!D:D,'02效果表'!E:E)&lt;0, _xlfn.XLOOKUP(V32,'02效果表'!D:D,'02效果表'!E:E), 0) +
Y32*IF(_xlfn.XLOOKUP(X32,'02效果表'!D:D,'02效果表'!E:E)&lt;0, _xlfn.XLOOKUP(X32,'02效果表'!D:D,'02效果表'!E:E), 0) +
AA32*IF(_xlfn.XLOOKUP(Z32,'02效果表'!D:D,'02效果表'!E:E)&lt;0, _xlfn.XLOOKUP(Z32,'02效果表'!D:D,'02效果表'!E:E), 0) +
AC32*IF(_xlfn.XLOOKUP(AB32,'02效果表'!D:D,'02效果表'!E:E)&lt;0, _xlfn.XLOOKUP(AB32,'02效果表'!D:D,'02效果表'!E:E), 0) +
AE32*IF(_xlfn.XLOOKUP(AD32,'02效果表'!D:D,'02效果表'!E:E)&lt;0, _xlfn.XLOOKUP(AD32,'02效果表'!D:D,'02效果表'!E:E), 0)), 1)</f>
        <v>0.3</v>
      </c>
      <c r="G32" s="7">
        <f>ROUND(1/6*(I32*MAX(_xlfn.XLOOKUP(H32,'02效果表'!D:D,'02效果表'!E:E),0)+K32*MAX(_xlfn.XLOOKUP(J32,'02效果表'!D:D,'02效果表'!E:E),0)+M32*MAX(_xlfn.XLOOKUP(L32,'02效果表'!D:D,'02效果表'!E:E),0)+O32*MAX(_xlfn.XLOOKUP(N32,'02效果表'!D:D,'02效果表'!E:E),0)+Q32*MAX(_xlfn.XLOOKUP(P32,'02效果表'!D:D,'02效果表'!E:E),0)+S32*MAX(_xlfn.XLOOKUP(R32,'02效果表'!D:D,'02效果表'!E:E),0)+U32*MAX(_xlfn.XLOOKUP(T32,'02效果表'!D:D,'02效果表'!E:E),0)+W32*MAX(_xlfn.XLOOKUP(V32,'02效果表'!D:D,'02效果表'!E:E),0)+Y32*MAX(_xlfn.XLOOKUP(X32,'02效果表'!D:D,'02效果表'!E:E),0)+AA32*MAX(_xlfn.XLOOKUP(Z32,'02效果表'!D:D,'02效果表'!E:E),0)+AC32*MAX(_xlfn.XLOOKUP(AB32,'02效果表'!D:D,'02效果表'!E:E),0)+AE32*MAX(_xlfn.XLOOKUP(AD32,'02效果表'!D:D,'02效果表'!E:E),0)),1)</f>
        <v>6.7</v>
      </c>
      <c r="H32" s="6" t="s">
        <v>1228</v>
      </c>
      <c r="I32" s="6">
        <v>7</v>
      </c>
      <c r="J32" s="6" t="s">
        <v>1220</v>
      </c>
      <c r="K32" s="6">
        <v>1</v>
      </c>
      <c r="L32" s="6" t="s">
        <v>1228</v>
      </c>
      <c r="M32" s="6">
        <v>7</v>
      </c>
      <c r="N32" s="6" t="s">
        <v>1220</v>
      </c>
      <c r="O32" s="6">
        <v>1</v>
      </c>
      <c r="P32" s="6" t="s">
        <v>1228</v>
      </c>
      <c r="Q32" s="6">
        <v>8</v>
      </c>
      <c r="R32" s="6"/>
      <c r="S32" s="6"/>
      <c r="T32" s="6" t="s">
        <v>1228</v>
      </c>
      <c r="U32" s="6">
        <v>8</v>
      </c>
      <c r="V32" s="6"/>
      <c r="W32" s="6"/>
      <c r="X32" s="6" t="s">
        <v>1252</v>
      </c>
      <c r="Y32" s="6">
        <v>1</v>
      </c>
      <c r="Z32" s="6"/>
      <c r="AA32" s="6"/>
      <c r="AB32" s="6" t="s">
        <v>1252</v>
      </c>
      <c r="AC32" s="6">
        <v>1</v>
      </c>
      <c r="AD32" s="6"/>
      <c r="AE32" s="6"/>
    </row>
    <row r="33" spans="1:31" x14ac:dyDescent="0.35">
      <c r="A33" s="6">
        <v>29</v>
      </c>
      <c r="B33" s="6" t="s">
        <v>0</v>
      </c>
      <c r="C33" s="10" t="s">
        <v>2</v>
      </c>
      <c r="D33" s="9" t="s">
        <v>57</v>
      </c>
      <c r="E33" s="7">
        <f t="shared" si="0"/>
        <v>3</v>
      </c>
      <c r="F33" s="7">
        <f>-1*ROUND(1/6*(I33*IF(_xlfn.XLOOKUP(H33,'02效果表'!D:D,'02效果表'!E:E)&lt;0, _xlfn.XLOOKUP(H33,'02效果表'!D:D,'02效果表'!E:E), 0) +
K33*IF(_xlfn.XLOOKUP(J33,'02效果表'!D:D,'02效果表'!E:E)&lt;0, _xlfn.XLOOKUP(J33,'02效果表'!D:D,'02效果表'!E:E), 0) +
M33*IF(_xlfn.XLOOKUP(L33,'02效果表'!D:D,'02效果表'!E:E)&lt;0, _xlfn.XLOOKUP(L33,'02效果表'!D:D,'02效果表'!E:E), 0) +
O33*IF(_xlfn.XLOOKUP(N33,'02效果表'!D:D,'02效果表'!E:E)&lt;0, _xlfn.XLOOKUP(N33,'02效果表'!D:D,'02效果表'!E:E), 0) +
Q33*IF(_xlfn.XLOOKUP(P33,'02效果表'!D:D,'02效果表'!E:E)&lt;0, _xlfn.XLOOKUP(P33,'02效果表'!D:D,'02效果表'!E:E), 0) +
S33*IF(_xlfn.XLOOKUP(R33,'02效果表'!D:D,'02效果表'!E:E)&lt;0, _xlfn.XLOOKUP(R33,'02效果表'!D:D,'02效果表'!E:E), 0) +
U33*IF(_xlfn.XLOOKUP(T33,'02效果表'!D:D,'02效果表'!E:E)&lt;0, _xlfn.XLOOKUP(T33,'02效果表'!D:D,'02效果表'!E:E), 0) +
W33*IF(_xlfn.XLOOKUP(V33,'02效果表'!D:D,'02效果表'!E:E)&lt;0, _xlfn.XLOOKUP(V33,'02效果表'!D:D,'02效果表'!E:E), 0) +
Y33*IF(_xlfn.XLOOKUP(X33,'02效果表'!D:D,'02效果表'!E:E)&lt;0, _xlfn.XLOOKUP(X33,'02效果表'!D:D,'02效果表'!E:E), 0) +
AA33*IF(_xlfn.XLOOKUP(Z33,'02效果表'!D:D,'02效果表'!E:E)&lt;0, _xlfn.XLOOKUP(Z33,'02效果表'!D:D,'02效果表'!E:E), 0) +
AC33*IF(_xlfn.XLOOKUP(AB33,'02效果表'!D:D,'02效果表'!E:E)&lt;0, _xlfn.XLOOKUP(AB33,'02效果表'!D:D,'02效果表'!E:E), 0) +
AE33*IF(_xlfn.XLOOKUP(AD33,'02效果表'!D:D,'02效果表'!E:E)&lt;0, _xlfn.XLOOKUP(AD33,'02效果表'!D:D,'02效果表'!E:E), 0)), 1)</f>
        <v>0.3</v>
      </c>
      <c r="G33" s="7">
        <f>ROUND(1/6*(I33*MAX(_xlfn.XLOOKUP(H33,'02效果表'!D:D,'02效果表'!E:E),0)+K33*MAX(_xlfn.XLOOKUP(J33,'02效果表'!D:D,'02效果表'!E:E),0)+M33*MAX(_xlfn.XLOOKUP(L33,'02效果表'!D:D,'02效果表'!E:E),0)+O33*MAX(_xlfn.XLOOKUP(N33,'02效果表'!D:D,'02效果表'!E:E),0)+Q33*MAX(_xlfn.XLOOKUP(P33,'02效果表'!D:D,'02效果表'!E:E),0)+S33*MAX(_xlfn.XLOOKUP(R33,'02效果表'!D:D,'02效果表'!E:E),0)+U33*MAX(_xlfn.XLOOKUP(T33,'02效果表'!D:D,'02效果表'!E:E),0)+W33*MAX(_xlfn.XLOOKUP(V33,'02效果表'!D:D,'02效果表'!E:E),0)+Y33*MAX(_xlfn.XLOOKUP(X33,'02效果表'!D:D,'02效果表'!E:E),0)+AA33*MAX(_xlfn.XLOOKUP(Z33,'02效果表'!D:D,'02效果表'!E:E),0)+AC33*MAX(_xlfn.XLOOKUP(AB33,'02效果表'!D:D,'02效果表'!E:E),0)+AE33*MAX(_xlfn.XLOOKUP(AD33,'02效果表'!D:D,'02效果表'!E:E),0)),1)</f>
        <v>3.7</v>
      </c>
      <c r="H33" s="6" t="s">
        <v>1221</v>
      </c>
      <c r="I33" s="6">
        <v>6</v>
      </c>
      <c r="J33" s="6"/>
      <c r="K33" s="6"/>
      <c r="L33" s="6" t="s">
        <v>1221</v>
      </c>
      <c r="M33" s="6">
        <v>6</v>
      </c>
      <c r="N33" s="6"/>
      <c r="O33" s="6"/>
      <c r="P33" s="6" t="s">
        <v>1221</v>
      </c>
      <c r="Q33" s="6">
        <v>5</v>
      </c>
      <c r="R33" s="6"/>
      <c r="S33" s="6"/>
      <c r="T33" s="6" t="s">
        <v>1221</v>
      </c>
      <c r="U33" s="6">
        <v>5</v>
      </c>
      <c r="V33" s="6"/>
      <c r="W33" s="6"/>
      <c r="X33" s="6" t="s">
        <v>1238</v>
      </c>
      <c r="Y33" s="6">
        <v>1</v>
      </c>
      <c r="Z33" s="6"/>
      <c r="AA33" s="6"/>
      <c r="AB33" s="6" t="s">
        <v>1238</v>
      </c>
      <c r="AC33" s="6">
        <v>1</v>
      </c>
      <c r="AD33" s="6"/>
      <c r="AE33" s="6"/>
    </row>
    <row r="34" spans="1:31" x14ac:dyDescent="0.35">
      <c r="A34" s="6">
        <v>30</v>
      </c>
      <c r="B34" s="6" t="s">
        <v>0</v>
      </c>
      <c r="C34" s="10" t="s">
        <v>2</v>
      </c>
      <c r="D34" s="9" t="s">
        <v>58</v>
      </c>
      <c r="E34" s="7">
        <f t="shared" si="0"/>
        <v>2</v>
      </c>
      <c r="F34" s="7">
        <f>-1*ROUND(1/6*(I34*IF(_xlfn.XLOOKUP(H34,'02效果表'!D:D,'02效果表'!E:E)&lt;0, _xlfn.XLOOKUP(H34,'02效果表'!D:D,'02效果表'!E:E), 0) +
K34*IF(_xlfn.XLOOKUP(J34,'02效果表'!D:D,'02效果表'!E:E)&lt;0, _xlfn.XLOOKUP(J34,'02效果表'!D:D,'02效果表'!E:E), 0) +
M34*IF(_xlfn.XLOOKUP(L34,'02效果表'!D:D,'02效果表'!E:E)&lt;0, _xlfn.XLOOKUP(L34,'02效果表'!D:D,'02效果表'!E:E), 0) +
O34*IF(_xlfn.XLOOKUP(N34,'02效果表'!D:D,'02效果表'!E:E)&lt;0, _xlfn.XLOOKUP(N34,'02效果表'!D:D,'02效果表'!E:E), 0) +
Q34*IF(_xlfn.XLOOKUP(P34,'02效果表'!D:D,'02效果表'!E:E)&lt;0, _xlfn.XLOOKUP(P34,'02效果表'!D:D,'02效果表'!E:E), 0) +
S34*IF(_xlfn.XLOOKUP(R34,'02效果表'!D:D,'02效果表'!E:E)&lt;0, _xlfn.XLOOKUP(R34,'02效果表'!D:D,'02效果表'!E:E), 0) +
U34*IF(_xlfn.XLOOKUP(T34,'02效果表'!D:D,'02效果表'!E:E)&lt;0, _xlfn.XLOOKUP(T34,'02效果表'!D:D,'02效果表'!E:E), 0) +
W34*IF(_xlfn.XLOOKUP(V34,'02效果表'!D:D,'02效果表'!E:E)&lt;0, _xlfn.XLOOKUP(V34,'02效果表'!D:D,'02效果表'!E:E), 0) +
Y34*IF(_xlfn.XLOOKUP(X34,'02效果表'!D:D,'02效果表'!E:E)&lt;0, _xlfn.XLOOKUP(X34,'02效果表'!D:D,'02效果表'!E:E), 0) +
AA34*IF(_xlfn.XLOOKUP(Z34,'02效果表'!D:D,'02效果表'!E:E)&lt;0, _xlfn.XLOOKUP(Z34,'02效果表'!D:D,'02效果表'!E:E), 0) +
AC34*IF(_xlfn.XLOOKUP(AB34,'02效果表'!D:D,'02效果表'!E:E)&lt;0, _xlfn.XLOOKUP(AB34,'02效果表'!D:D,'02效果表'!E:E), 0) +
AE34*IF(_xlfn.XLOOKUP(AD34,'02效果表'!D:D,'02效果表'!E:E)&lt;0, _xlfn.XLOOKUP(AD34,'02效果表'!D:D,'02效果表'!E:E), 0)), 1)</f>
        <v>1.5</v>
      </c>
      <c r="G34" s="7">
        <f>ROUND(1/6*(I34*MAX(_xlfn.XLOOKUP(H34,'02效果表'!D:D,'02效果表'!E:E),0)+K34*MAX(_xlfn.XLOOKUP(J34,'02效果表'!D:D,'02效果表'!E:E),0)+M34*MAX(_xlfn.XLOOKUP(L34,'02效果表'!D:D,'02效果表'!E:E),0)+O34*MAX(_xlfn.XLOOKUP(N34,'02效果表'!D:D,'02效果表'!E:E),0)+Q34*MAX(_xlfn.XLOOKUP(P34,'02效果表'!D:D,'02效果表'!E:E),0)+S34*MAX(_xlfn.XLOOKUP(R34,'02效果表'!D:D,'02效果表'!E:E),0)+U34*MAX(_xlfn.XLOOKUP(T34,'02效果表'!D:D,'02效果表'!E:E),0)+W34*MAX(_xlfn.XLOOKUP(V34,'02效果表'!D:D,'02效果表'!E:E),0)+Y34*MAX(_xlfn.XLOOKUP(X34,'02效果表'!D:D,'02效果表'!E:E),0)+AA34*MAX(_xlfn.XLOOKUP(Z34,'02效果表'!D:D,'02效果表'!E:E),0)+AC34*MAX(_xlfn.XLOOKUP(AB34,'02效果表'!D:D,'02效果表'!E:E),0)+AE34*MAX(_xlfn.XLOOKUP(AD34,'02效果表'!D:D,'02效果表'!E:E),0)),1)</f>
        <v>3.2</v>
      </c>
      <c r="H34" s="6" t="s">
        <v>1221</v>
      </c>
      <c r="I34" s="6">
        <v>3</v>
      </c>
      <c r="J34" s="6" t="s">
        <v>1220</v>
      </c>
      <c r="K34" s="6">
        <v>1</v>
      </c>
      <c r="L34" s="6" t="s">
        <v>1221</v>
      </c>
      <c r="M34" s="6">
        <v>3</v>
      </c>
      <c r="N34" s="6" t="s">
        <v>1220</v>
      </c>
      <c r="O34" s="6">
        <v>1</v>
      </c>
      <c r="P34" s="6" t="s">
        <v>1221</v>
      </c>
      <c r="Q34" s="6">
        <v>3</v>
      </c>
      <c r="R34" s="6"/>
      <c r="S34" s="6"/>
      <c r="T34" s="6" t="s">
        <v>1193</v>
      </c>
      <c r="U34" s="6">
        <v>2</v>
      </c>
      <c r="V34" s="6"/>
      <c r="W34" s="6"/>
      <c r="X34" s="6" t="s">
        <v>1193</v>
      </c>
      <c r="Y34" s="6">
        <v>2</v>
      </c>
      <c r="Z34" s="6"/>
      <c r="AA34" s="6"/>
      <c r="AB34" s="6" t="s">
        <v>1253</v>
      </c>
      <c r="AC34" s="6">
        <v>4</v>
      </c>
      <c r="AD34" s="6"/>
      <c r="AE34" s="6"/>
    </row>
    <row r="35" spans="1:31" x14ac:dyDescent="0.35">
      <c r="A35" s="6">
        <v>31</v>
      </c>
      <c r="B35" s="6" t="s">
        <v>0</v>
      </c>
      <c r="C35" s="10" t="s">
        <v>2</v>
      </c>
      <c r="D35" s="9" t="s">
        <v>59</v>
      </c>
      <c r="E35" s="7">
        <f t="shared" si="0"/>
        <v>5</v>
      </c>
      <c r="F35" s="7">
        <f>-1*ROUND(1/6*(I35*IF(_xlfn.XLOOKUP(H35,'02效果表'!D:D,'02效果表'!E:E)&lt;0, _xlfn.XLOOKUP(H35,'02效果表'!D:D,'02效果表'!E:E), 0) +
K35*IF(_xlfn.XLOOKUP(J35,'02效果表'!D:D,'02效果表'!E:E)&lt;0, _xlfn.XLOOKUP(J35,'02效果表'!D:D,'02效果表'!E:E), 0) +
M35*IF(_xlfn.XLOOKUP(L35,'02效果表'!D:D,'02效果表'!E:E)&lt;0, _xlfn.XLOOKUP(L35,'02效果表'!D:D,'02效果表'!E:E), 0) +
O35*IF(_xlfn.XLOOKUP(N35,'02效果表'!D:D,'02效果表'!E:E)&lt;0, _xlfn.XLOOKUP(N35,'02效果表'!D:D,'02效果表'!E:E), 0) +
Q35*IF(_xlfn.XLOOKUP(P35,'02效果表'!D:D,'02效果表'!E:E)&lt;0, _xlfn.XLOOKUP(P35,'02效果表'!D:D,'02效果表'!E:E), 0) +
S35*IF(_xlfn.XLOOKUP(R35,'02效果表'!D:D,'02效果表'!E:E)&lt;0, _xlfn.XLOOKUP(R35,'02效果表'!D:D,'02效果表'!E:E), 0) +
U35*IF(_xlfn.XLOOKUP(T35,'02效果表'!D:D,'02效果表'!E:E)&lt;0, _xlfn.XLOOKUP(T35,'02效果表'!D:D,'02效果表'!E:E), 0) +
W35*IF(_xlfn.XLOOKUP(V35,'02效果表'!D:D,'02效果表'!E:E)&lt;0, _xlfn.XLOOKUP(V35,'02效果表'!D:D,'02效果表'!E:E), 0) +
Y35*IF(_xlfn.XLOOKUP(X35,'02效果表'!D:D,'02效果表'!E:E)&lt;0, _xlfn.XLOOKUP(X35,'02效果表'!D:D,'02效果表'!E:E), 0) +
AA35*IF(_xlfn.XLOOKUP(Z35,'02效果表'!D:D,'02效果表'!E:E)&lt;0, _xlfn.XLOOKUP(Z35,'02效果表'!D:D,'02效果表'!E:E), 0) +
AC35*IF(_xlfn.XLOOKUP(AB35,'02效果表'!D:D,'02效果表'!E:E)&lt;0, _xlfn.XLOOKUP(AB35,'02效果表'!D:D,'02效果表'!E:E), 0) +
AE35*IF(_xlfn.XLOOKUP(AD35,'02效果表'!D:D,'02效果表'!E:E)&lt;0, _xlfn.XLOOKUP(AD35,'02效果表'!D:D,'02效果表'!E:E), 0)), 1)</f>
        <v>0.8</v>
      </c>
      <c r="G35" s="7">
        <f>ROUND(1/6*(I35*MAX(_xlfn.XLOOKUP(H35,'02效果表'!D:D,'02效果表'!E:E),0)+K35*MAX(_xlfn.XLOOKUP(J35,'02效果表'!D:D,'02效果表'!E:E),0)+M35*MAX(_xlfn.XLOOKUP(L35,'02效果表'!D:D,'02效果表'!E:E),0)+O35*MAX(_xlfn.XLOOKUP(N35,'02效果表'!D:D,'02效果表'!E:E),0)+Q35*MAX(_xlfn.XLOOKUP(P35,'02效果表'!D:D,'02效果表'!E:E),0)+S35*MAX(_xlfn.XLOOKUP(R35,'02效果表'!D:D,'02效果表'!E:E),0)+U35*MAX(_xlfn.XLOOKUP(T35,'02效果表'!D:D,'02效果表'!E:E),0)+W35*MAX(_xlfn.XLOOKUP(V35,'02效果表'!D:D,'02效果表'!E:E),0)+Y35*MAX(_xlfn.XLOOKUP(X35,'02效果表'!D:D,'02效果表'!E:E),0)+AA35*MAX(_xlfn.XLOOKUP(Z35,'02效果表'!D:D,'02效果表'!E:E),0)+AC35*MAX(_xlfn.XLOOKUP(AB35,'02效果表'!D:D,'02效果表'!E:E),0)+AE35*MAX(_xlfn.XLOOKUP(AD35,'02效果表'!D:D,'02效果表'!E:E),0)),1)</f>
        <v>6.2</v>
      </c>
      <c r="H35" s="6" t="s">
        <v>1221</v>
      </c>
      <c r="I35" s="6">
        <v>2</v>
      </c>
      <c r="J35" s="6" t="s">
        <v>1231</v>
      </c>
      <c r="K35" s="6">
        <v>2</v>
      </c>
      <c r="L35" s="6" t="s">
        <v>1221</v>
      </c>
      <c r="M35" s="6">
        <v>2</v>
      </c>
      <c r="N35" s="6" t="s">
        <v>1231</v>
      </c>
      <c r="O35" s="6">
        <v>2</v>
      </c>
      <c r="P35" s="6" t="s">
        <v>1221</v>
      </c>
      <c r="Q35" s="6">
        <v>2</v>
      </c>
      <c r="R35" s="6" t="s">
        <v>1231</v>
      </c>
      <c r="S35" s="6">
        <v>1</v>
      </c>
      <c r="T35" s="6" t="s">
        <v>1221</v>
      </c>
      <c r="U35" s="6">
        <v>1</v>
      </c>
      <c r="V35" s="6" t="s">
        <v>1231</v>
      </c>
      <c r="W35" s="6">
        <v>1</v>
      </c>
      <c r="X35" s="6" t="s">
        <v>1238</v>
      </c>
      <c r="Y35" s="6">
        <v>2</v>
      </c>
      <c r="Z35" s="6"/>
      <c r="AA35" s="6"/>
      <c r="AB35" s="6" t="s">
        <v>1238</v>
      </c>
      <c r="AC35" s="6">
        <v>3</v>
      </c>
      <c r="AD35" s="6"/>
      <c r="AE35" s="6"/>
    </row>
    <row r="36" spans="1:31" x14ac:dyDescent="0.35">
      <c r="A36" s="6">
        <v>32</v>
      </c>
      <c r="B36" s="6" t="s">
        <v>0</v>
      </c>
      <c r="C36" s="10" t="s">
        <v>2</v>
      </c>
      <c r="D36" s="9" t="s">
        <v>60</v>
      </c>
      <c r="E36" s="7">
        <f t="shared" si="0"/>
        <v>5</v>
      </c>
      <c r="F36" s="7">
        <f>-1*ROUND(1/6*(I36*IF(_xlfn.XLOOKUP(H36,'02效果表'!D:D,'02效果表'!E:E)&lt;0, _xlfn.XLOOKUP(H36,'02效果表'!D:D,'02效果表'!E:E), 0) +
K36*IF(_xlfn.XLOOKUP(J36,'02效果表'!D:D,'02效果表'!E:E)&lt;0, _xlfn.XLOOKUP(J36,'02效果表'!D:D,'02效果表'!E:E), 0) +
M36*IF(_xlfn.XLOOKUP(L36,'02效果表'!D:D,'02效果表'!E:E)&lt;0, _xlfn.XLOOKUP(L36,'02效果表'!D:D,'02效果表'!E:E), 0) +
O36*IF(_xlfn.XLOOKUP(N36,'02效果表'!D:D,'02效果表'!E:E)&lt;0, _xlfn.XLOOKUP(N36,'02效果表'!D:D,'02效果表'!E:E), 0) +
Q36*IF(_xlfn.XLOOKUP(P36,'02效果表'!D:D,'02效果表'!E:E)&lt;0, _xlfn.XLOOKUP(P36,'02效果表'!D:D,'02效果表'!E:E), 0) +
S36*IF(_xlfn.XLOOKUP(R36,'02效果表'!D:D,'02效果表'!E:E)&lt;0, _xlfn.XLOOKUP(R36,'02效果表'!D:D,'02效果表'!E:E), 0) +
U36*IF(_xlfn.XLOOKUP(T36,'02效果表'!D:D,'02效果表'!E:E)&lt;0, _xlfn.XLOOKUP(T36,'02效果表'!D:D,'02效果表'!E:E), 0) +
W36*IF(_xlfn.XLOOKUP(V36,'02效果表'!D:D,'02效果表'!E:E)&lt;0, _xlfn.XLOOKUP(V36,'02效果表'!D:D,'02效果表'!E:E), 0) +
Y36*IF(_xlfn.XLOOKUP(X36,'02效果表'!D:D,'02效果表'!E:E)&lt;0, _xlfn.XLOOKUP(X36,'02效果表'!D:D,'02效果表'!E:E), 0) +
AA36*IF(_xlfn.XLOOKUP(Z36,'02效果表'!D:D,'02效果表'!E:E)&lt;0, _xlfn.XLOOKUP(Z36,'02效果表'!D:D,'02效果表'!E:E), 0) +
AC36*IF(_xlfn.XLOOKUP(AB36,'02效果表'!D:D,'02效果表'!E:E)&lt;0, _xlfn.XLOOKUP(AB36,'02效果表'!D:D,'02效果表'!E:E), 0) +
AE36*IF(_xlfn.XLOOKUP(AD36,'02效果表'!D:D,'02效果表'!E:E)&lt;0, _xlfn.XLOOKUP(AD36,'02效果表'!D:D,'02效果表'!E:E), 0)), 1)</f>
        <v>0.8</v>
      </c>
      <c r="G36" s="7">
        <f>ROUND(1/6*(I36*MAX(_xlfn.XLOOKUP(H36,'02效果表'!D:D,'02效果表'!E:E),0)+K36*MAX(_xlfn.XLOOKUP(J36,'02效果表'!D:D,'02效果表'!E:E),0)+M36*MAX(_xlfn.XLOOKUP(L36,'02效果表'!D:D,'02效果表'!E:E),0)+O36*MAX(_xlfn.XLOOKUP(N36,'02效果表'!D:D,'02效果表'!E:E),0)+Q36*MAX(_xlfn.XLOOKUP(P36,'02效果表'!D:D,'02效果表'!E:E),0)+S36*MAX(_xlfn.XLOOKUP(R36,'02效果表'!D:D,'02效果表'!E:E),0)+U36*MAX(_xlfn.XLOOKUP(T36,'02效果表'!D:D,'02效果表'!E:E),0)+W36*MAX(_xlfn.XLOOKUP(V36,'02效果表'!D:D,'02效果表'!E:E),0)+Y36*MAX(_xlfn.XLOOKUP(X36,'02效果表'!D:D,'02效果表'!E:E),0)+AA36*MAX(_xlfn.XLOOKUP(Z36,'02效果表'!D:D,'02效果表'!E:E),0)+AC36*MAX(_xlfn.XLOOKUP(AB36,'02效果表'!D:D,'02效果表'!E:E),0)+AE36*MAX(_xlfn.XLOOKUP(AD36,'02效果表'!D:D,'02效果表'!E:E),0)),1)</f>
        <v>5.5</v>
      </c>
      <c r="H36" s="6" t="s">
        <v>1233</v>
      </c>
      <c r="I36" s="6">
        <v>1</v>
      </c>
      <c r="J36" s="6"/>
      <c r="K36" s="6"/>
      <c r="L36" s="6" t="s">
        <v>1233</v>
      </c>
      <c r="M36" s="6">
        <v>1</v>
      </c>
      <c r="N36" s="6"/>
      <c r="O36" s="6"/>
      <c r="P36" s="6" t="s">
        <v>1233</v>
      </c>
      <c r="Q36" s="6">
        <v>1</v>
      </c>
      <c r="R36" s="6"/>
      <c r="S36" s="6"/>
      <c r="T36" s="6" t="s">
        <v>1221</v>
      </c>
      <c r="U36" s="6">
        <v>3</v>
      </c>
      <c r="V36" s="6"/>
      <c r="W36" s="6"/>
      <c r="X36" s="6" t="s">
        <v>1238</v>
      </c>
      <c r="Y36" s="6">
        <v>2</v>
      </c>
      <c r="Z36" s="6"/>
      <c r="AA36" s="6"/>
      <c r="AB36" s="6" t="s">
        <v>1238</v>
      </c>
      <c r="AC36" s="6">
        <v>3</v>
      </c>
      <c r="AD36" s="6"/>
      <c r="AE36" s="6"/>
    </row>
    <row r="37" spans="1:31" x14ac:dyDescent="0.35">
      <c r="A37" s="6">
        <v>33</v>
      </c>
      <c r="B37" s="6" t="s">
        <v>0</v>
      </c>
      <c r="C37" s="10" t="s">
        <v>2</v>
      </c>
      <c r="D37" s="9" t="s">
        <v>61</v>
      </c>
      <c r="E37" s="7">
        <f t="shared" si="0"/>
        <v>2</v>
      </c>
      <c r="F37" s="7">
        <f>-1*ROUND(1/6*(I37*IF(_xlfn.XLOOKUP(H37,'02效果表'!D:D,'02效果表'!E:E)&lt;0, _xlfn.XLOOKUP(H37,'02效果表'!D:D,'02效果表'!E:E), 0) +
K37*IF(_xlfn.XLOOKUP(J37,'02效果表'!D:D,'02效果表'!E:E)&lt;0, _xlfn.XLOOKUP(J37,'02效果表'!D:D,'02效果表'!E:E), 0) +
M37*IF(_xlfn.XLOOKUP(L37,'02效果表'!D:D,'02效果表'!E:E)&lt;0, _xlfn.XLOOKUP(L37,'02效果表'!D:D,'02效果表'!E:E), 0) +
O37*IF(_xlfn.XLOOKUP(N37,'02效果表'!D:D,'02效果表'!E:E)&lt;0, _xlfn.XLOOKUP(N37,'02效果表'!D:D,'02效果表'!E:E), 0) +
Q37*IF(_xlfn.XLOOKUP(P37,'02效果表'!D:D,'02效果表'!E:E)&lt;0, _xlfn.XLOOKUP(P37,'02效果表'!D:D,'02效果表'!E:E), 0) +
S37*IF(_xlfn.XLOOKUP(R37,'02效果表'!D:D,'02效果表'!E:E)&lt;0, _xlfn.XLOOKUP(R37,'02效果表'!D:D,'02效果表'!E:E), 0) +
U37*IF(_xlfn.XLOOKUP(T37,'02效果表'!D:D,'02效果表'!E:E)&lt;0, _xlfn.XLOOKUP(T37,'02效果表'!D:D,'02效果表'!E:E), 0) +
W37*IF(_xlfn.XLOOKUP(V37,'02效果表'!D:D,'02效果表'!E:E)&lt;0, _xlfn.XLOOKUP(V37,'02效果表'!D:D,'02效果表'!E:E), 0) +
Y37*IF(_xlfn.XLOOKUP(X37,'02效果表'!D:D,'02效果表'!E:E)&lt;0, _xlfn.XLOOKUP(X37,'02效果表'!D:D,'02效果表'!E:E), 0) +
AA37*IF(_xlfn.XLOOKUP(Z37,'02效果表'!D:D,'02效果表'!E:E)&lt;0, _xlfn.XLOOKUP(Z37,'02效果表'!D:D,'02效果表'!E:E), 0) +
AC37*IF(_xlfn.XLOOKUP(AB37,'02效果表'!D:D,'02效果表'!E:E)&lt;0, _xlfn.XLOOKUP(AB37,'02效果表'!D:D,'02效果表'!E:E), 0) +
AE37*IF(_xlfn.XLOOKUP(AD37,'02效果表'!D:D,'02效果表'!E:E)&lt;0, _xlfn.XLOOKUP(AD37,'02效果表'!D:D,'02效果表'!E:E), 0)), 1)</f>
        <v>0.8</v>
      </c>
      <c r="G37" s="7">
        <f>ROUND(1/6*(I37*MAX(_xlfn.XLOOKUP(H37,'02效果表'!D:D,'02效果表'!E:E),0)+K37*MAX(_xlfn.XLOOKUP(J37,'02效果表'!D:D,'02效果表'!E:E),0)+M37*MAX(_xlfn.XLOOKUP(L37,'02效果表'!D:D,'02效果表'!E:E),0)+O37*MAX(_xlfn.XLOOKUP(N37,'02效果表'!D:D,'02效果表'!E:E),0)+Q37*MAX(_xlfn.XLOOKUP(P37,'02效果表'!D:D,'02效果表'!E:E),0)+S37*MAX(_xlfn.XLOOKUP(R37,'02效果表'!D:D,'02效果表'!E:E),0)+U37*MAX(_xlfn.XLOOKUP(T37,'02效果表'!D:D,'02效果表'!E:E),0)+W37*MAX(_xlfn.XLOOKUP(V37,'02效果表'!D:D,'02效果表'!E:E),0)+Y37*MAX(_xlfn.XLOOKUP(X37,'02效果表'!D:D,'02效果表'!E:E),0)+AA37*MAX(_xlfn.XLOOKUP(Z37,'02效果表'!D:D,'02效果表'!E:E),0)+AC37*MAX(_xlfn.XLOOKUP(AB37,'02效果表'!D:D,'02效果表'!E:E),0)+AE37*MAX(_xlfn.XLOOKUP(AD37,'02效果表'!D:D,'02效果表'!E:E),0)),1)</f>
        <v>2.8</v>
      </c>
      <c r="H37" s="6" t="s">
        <v>1220</v>
      </c>
      <c r="I37" s="6">
        <v>2</v>
      </c>
      <c r="J37" s="6"/>
      <c r="K37" s="6"/>
      <c r="L37" s="6" t="s">
        <v>1221</v>
      </c>
      <c r="M37" s="6">
        <v>4</v>
      </c>
      <c r="N37" s="6"/>
      <c r="O37" s="6"/>
      <c r="P37" s="6" t="s">
        <v>1221</v>
      </c>
      <c r="Q37" s="6">
        <v>3</v>
      </c>
      <c r="R37" s="6"/>
      <c r="S37" s="6"/>
      <c r="T37" s="6" t="s">
        <v>1238</v>
      </c>
      <c r="U37" s="6">
        <v>1</v>
      </c>
      <c r="V37" s="6"/>
      <c r="W37" s="6"/>
      <c r="X37" s="6" t="s">
        <v>1238</v>
      </c>
      <c r="Y37" s="6">
        <v>2</v>
      </c>
      <c r="Z37" s="6"/>
      <c r="AA37" s="6"/>
      <c r="AB37" s="6" t="s">
        <v>1238</v>
      </c>
      <c r="AC37" s="6">
        <v>2</v>
      </c>
      <c r="AD37" s="6"/>
      <c r="AE37" s="6"/>
    </row>
    <row r="38" spans="1:31" x14ac:dyDescent="0.35">
      <c r="A38" s="6">
        <v>33</v>
      </c>
      <c r="B38" s="6" t="s">
        <v>0</v>
      </c>
      <c r="C38" s="10" t="s">
        <v>2</v>
      </c>
      <c r="D38" s="9" t="s">
        <v>1254</v>
      </c>
      <c r="E38" s="7">
        <f t="shared" si="0"/>
        <v>3</v>
      </c>
      <c r="F38" s="7">
        <f>-1*ROUND(1/6*(I38*IF(_xlfn.XLOOKUP(H38,'02效果表'!D:D,'02效果表'!E:E)&lt;0, _xlfn.XLOOKUP(H38,'02效果表'!D:D,'02效果表'!E:E), 0) +
K38*IF(_xlfn.XLOOKUP(J38,'02效果表'!D:D,'02效果表'!E:E)&lt;0, _xlfn.XLOOKUP(J38,'02效果表'!D:D,'02效果表'!E:E), 0) +
M38*IF(_xlfn.XLOOKUP(L38,'02效果表'!D:D,'02效果表'!E:E)&lt;0, _xlfn.XLOOKUP(L38,'02效果表'!D:D,'02效果表'!E:E), 0) +
O38*IF(_xlfn.XLOOKUP(N38,'02效果表'!D:D,'02效果表'!E:E)&lt;0, _xlfn.XLOOKUP(N38,'02效果表'!D:D,'02效果表'!E:E), 0) +
Q38*IF(_xlfn.XLOOKUP(P38,'02效果表'!D:D,'02效果表'!E:E)&lt;0, _xlfn.XLOOKUP(P38,'02效果表'!D:D,'02效果表'!E:E), 0) +
S38*IF(_xlfn.XLOOKUP(R38,'02效果表'!D:D,'02效果表'!E:E)&lt;0, _xlfn.XLOOKUP(R38,'02效果表'!D:D,'02效果表'!E:E), 0) +
U38*IF(_xlfn.XLOOKUP(T38,'02效果表'!D:D,'02效果表'!E:E)&lt;0, _xlfn.XLOOKUP(T38,'02效果表'!D:D,'02效果表'!E:E), 0) +
W38*IF(_xlfn.XLOOKUP(V38,'02效果表'!D:D,'02效果表'!E:E)&lt;0, _xlfn.XLOOKUP(V38,'02效果表'!D:D,'02效果表'!E:E), 0) +
Y38*IF(_xlfn.XLOOKUP(X38,'02效果表'!D:D,'02效果表'!E:E)&lt;0, _xlfn.XLOOKUP(X38,'02效果表'!D:D,'02效果表'!E:E), 0) +
AA38*IF(_xlfn.XLOOKUP(Z38,'02效果表'!D:D,'02效果表'!E:E)&lt;0, _xlfn.XLOOKUP(Z38,'02效果表'!D:D,'02效果表'!E:E), 0) +
AC38*IF(_xlfn.XLOOKUP(AB38,'02效果表'!D:D,'02效果表'!E:E)&lt;0, _xlfn.XLOOKUP(AB38,'02效果表'!D:D,'02效果表'!E:E), 0) +
AE38*IF(_xlfn.XLOOKUP(AD38,'02效果表'!D:D,'02效果表'!E:E)&lt;0, _xlfn.XLOOKUP(AD38,'02效果表'!D:D,'02效果表'!E:E), 0)), 1)</f>
        <v>1.4</v>
      </c>
      <c r="G38" s="7">
        <f>ROUND(1/6*(I38*MAX(_xlfn.XLOOKUP(H38,'02效果表'!D:D,'02效果表'!E:E),0)+K38*MAX(_xlfn.XLOOKUP(J38,'02效果表'!D:D,'02效果表'!E:E),0)+M38*MAX(_xlfn.XLOOKUP(L38,'02效果表'!D:D,'02效果表'!E:E),0)+O38*MAX(_xlfn.XLOOKUP(N38,'02效果表'!D:D,'02效果表'!E:E),0)+Q38*MAX(_xlfn.XLOOKUP(P38,'02效果表'!D:D,'02效果表'!E:E),0)+S38*MAX(_xlfn.XLOOKUP(R38,'02效果表'!D:D,'02效果表'!E:E),0)+U38*MAX(_xlfn.XLOOKUP(T38,'02效果表'!D:D,'02效果表'!E:E),0)+W38*MAX(_xlfn.XLOOKUP(V38,'02效果表'!D:D,'02效果表'!E:E),0)+Y38*MAX(_xlfn.XLOOKUP(X38,'02效果表'!D:D,'02效果表'!E:E),0)+AA38*MAX(_xlfn.XLOOKUP(Z38,'02效果表'!D:D,'02效果表'!E:E),0)+AC38*MAX(_xlfn.XLOOKUP(AB38,'02效果表'!D:D,'02效果表'!E:E),0)+AE38*MAX(_xlfn.XLOOKUP(AD38,'02效果表'!D:D,'02效果表'!E:E),0)),1)</f>
        <v>4.2</v>
      </c>
      <c r="H38" s="6" t="s">
        <v>1220</v>
      </c>
      <c r="I38" s="6">
        <v>1</v>
      </c>
      <c r="J38" s="6" t="s">
        <v>1231</v>
      </c>
      <c r="K38" s="6">
        <v>1</v>
      </c>
      <c r="L38" s="6" t="s">
        <v>1220</v>
      </c>
      <c r="M38" s="6">
        <v>1</v>
      </c>
      <c r="N38" s="6" t="s">
        <v>1231</v>
      </c>
      <c r="O38" s="6">
        <v>1</v>
      </c>
      <c r="P38" s="6" t="s">
        <v>1231</v>
      </c>
      <c r="Q38" s="6">
        <v>1</v>
      </c>
      <c r="R38" s="6"/>
      <c r="S38" s="6"/>
      <c r="T38" s="6" t="s">
        <v>1238</v>
      </c>
      <c r="U38" s="6">
        <v>2</v>
      </c>
      <c r="V38" s="6"/>
      <c r="W38" s="6"/>
      <c r="X38" s="6" t="s">
        <v>1238</v>
      </c>
      <c r="Y38" s="6">
        <v>3</v>
      </c>
      <c r="Z38" s="6"/>
      <c r="AA38" s="6"/>
      <c r="AB38" s="6" t="s">
        <v>1253</v>
      </c>
      <c r="AC38" s="6">
        <v>3</v>
      </c>
      <c r="AD38" s="6"/>
      <c r="AE38" s="6"/>
    </row>
    <row r="39" spans="1:31" x14ac:dyDescent="0.35">
      <c r="A39" s="6">
        <v>33</v>
      </c>
      <c r="B39" s="6" t="s">
        <v>0</v>
      </c>
      <c r="C39" s="10" t="s">
        <v>2</v>
      </c>
      <c r="D39" s="9" t="s">
        <v>1255</v>
      </c>
      <c r="E39" s="7">
        <f t="shared" si="0"/>
        <v>2</v>
      </c>
      <c r="F39" s="7">
        <f>-1*ROUND(1/6*(I39*IF(_xlfn.XLOOKUP(H39,'02效果表'!D:D,'02效果表'!E:E)&lt;0, _xlfn.XLOOKUP(H39,'02效果表'!D:D,'02效果表'!E:E), 0) +
K39*IF(_xlfn.XLOOKUP(J39,'02效果表'!D:D,'02效果表'!E:E)&lt;0, _xlfn.XLOOKUP(J39,'02效果表'!D:D,'02效果表'!E:E), 0) +
M39*IF(_xlfn.XLOOKUP(L39,'02效果表'!D:D,'02效果表'!E:E)&lt;0, _xlfn.XLOOKUP(L39,'02效果表'!D:D,'02效果表'!E:E), 0) +
O39*IF(_xlfn.XLOOKUP(N39,'02效果表'!D:D,'02效果表'!E:E)&lt;0, _xlfn.XLOOKUP(N39,'02效果表'!D:D,'02效果表'!E:E), 0) +
Q39*IF(_xlfn.XLOOKUP(P39,'02效果表'!D:D,'02效果表'!E:E)&lt;0, _xlfn.XLOOKUP(P39,'02效果表'!D:D,'02效果表'!E:E), 0) +
S39*IF(_xlfn.XLOOKUP(R39,'02效果表'!D:D,'02效果表'!E:E)&lt;0, _xlfn.XLOOKUP(R39,'02效果表'!D:D,'02效果表'!E:E), 0) +
U39*IF(_xlfn.XLOOKUP(T39,'02效果表'!D:D,'02效果表'!E:E)&lt;0, _xlfn.XLOOKUP(T39,'02效果表'!D:D,'02效果表'!E:E), 0) +
W39*IF(_xlfn.XLOOKUP(V39,'02效果表'!D:D,'02效果表'!E:E)&lt;0, _xlfn.XLOOKUP(V39,'02效果表'!D:D,'02效果表'!E:E), 0) +
Y39*IF(_xlfn.XLOOKUP(X39,'02效果表'!D:D,'02效果表'!E:E)&lt;0, _xlfn.XLOOKUP(X39,'02效果表'!D:D,'02效果表'!E:E), 0) +
AA39*IF(_xlfn.XLOOKUP(Z39,'02效果表'!D:D,'02效果表'!E:E)&lt;0, _xlfn.XLOOKUP(Z39,'02效果表'!D:D,'02效果表'!E:E), 0) +
AC39*IF(_xlfn.XLOOKUP(AB39,'02效果表'!D:D,'02效果表'!E:E)&lt;0, _xlfn.XLOOKUP(AB39,'02效果表'!D:D,'02效果表'!E:E), 0) +
AE39*IF(_xlfn.XLOOKUP(AD39,'02效果表'!D:D,'02效果表'!E:E)&lt;0, _xlfn.XLOOKUP(AD39,'02效果表'!D:D,'02效果表'!E:E), 0)), 1)</f>
        <v>2.6</v>
      </c>
      <c r="G39" s="7">
        <f>ROUND(1/6*(I39*MAX(_xlfn.XLOOKUP(H39,'02效果表'!D:D,'02效果表'!E:E),0)+K39*MAX(_xlfn.XLOOKUP(J39,'02效果表'!D:D,'02效果表'!E:E),0)+M39*MAX(_xlfn.XLOOKUP(L39,'02效果表'!D:D,'02效果表'!E:E),0)+O39*MAX(_xlfn.XLOOKUP(N39,'02效果表'!D:D,'02效果表'!E:E),0)+Q39*MAX(_xlfn.XLOOKUP(P39,'02效果表'!D:D,'02效果表'!E:E),0)+S39*MAX(_xlfn.XLOOKUP(R39,'02效果表'!D:D,'02效果表'!E:E),0)+U39*MAX(_xlfn.XLOOKUP(T39,'02效果表'!D:D,'02效果表'!E:E),0)+W39*MAX(_xlfn.XLOOKUP(V39,'02效果表'!D:D,'02效果表'!E:E),0)+Y39*MAX(_xlfn.XLOOKUP(X39,'02效果表'!D:D,'02效果表'!E:E),0)+AA39*MAX(_xlfn.XLOOKUP(Z39,'02效果表'!D:D,'02效果表'!E:E),0)+AC39*MAX(_xlfn.XLOOKUP(AB39,'02效果表'!D:D,'02效果表'!E:E),0)+AE39*MAX(_xlfn.XLOOKUP(AD39,'02效果表'!D:D,'02效果表'!E:E),0)),1)</f>
        <v>5</v>
      </c>
      <c r="H39" s="6" t="s">
        <v>1256</v>
      </c>
      <c r="I39" s="6">
        <v>2</v>
      </c>
      <c r="J39" s="6"/>
      <c r="K39" s="6"/>
      <c r="L39" s="6" t="s">
        <v>1256</v>
      </c>
      <c r="M39" s="6">
        <v>2</v>
      </c>
      <c r="N39" s="6"/>
      <c r="O39" s="6"/>
      <c r="P39" s="6" t="s">
        <v>1221</v>
      </c>
      <c r="Q39" s="6">
        <v>2</v>
      </c>
      <c r="R39" s="6"/>
      <c r="S39" s="6"/>
      <c r="T39" s="6" t="s">
        <v>1193</v>
      </c>
      <c r="U39" s="6">
        <v>4</v>
      </c>
      <c r="V39" s="6"/>
      <c r="W39" s="6"/>
      <c r="X39" s="6" t="s">
        <v>1249</v>
      </c>
      <c r="Y39" s="6">
        <v>2</v>
      </c>
      <c r="Z39" s="6"/>
      <c r="AA39" s="6"/>
      <c r="AB39" s="6" t="s">
        <v>1253</v>
      </c>
      <c r="AC39" s="6">
        <v>4</v>
      </c>
      <c r="AD39" s="6"/>
      <c r="AE39" s="6"/>
    </row>
    <row r="40" spans="1:31" x14ac:dyDescent="0.35">
      <c r="A40" s="6">
        <v>34</v>
      </c>
      <c r="B40" s="6" t="s">
        <v>0</v>
      </c>
      <c r="C40" s="10" t="s">
        <v>2</v>
      </c>
      <c r="D40" s="9" t="s">
        <v>62</v>
      </c>
      <c r="E40" s="7">
        <f t="shared" si="0"/>
        <v>0</v>
      </c>
      <c r="F40" s="7">
        <f>-1*ROUND(1/6*(I40*IF(_xlfn.XLOOKUP(H40,'02效果表'!D:D,'02效果表'!E:E)&lt;0, _xlfn.XLOOKUP(H40,'02效果表'!D:D,'02效果表'!E:E), 0) +
K40*IF(_xlfn.XLOOKUP(J40,'02效果表'!D:D,'02效果表'!E:E)&lt;0, _xlfn.XLOOKUP(J40,'02效果表'!D:D,'02效果表'!E:E), 0) +
M40*IF(_xlfn.XLOOKUP(L40,'02效果表'!D:D,'02效果表'!E:E)&lt;0, _xlfn.XLOOKUP(L40,'02效果表'!D:D,'02效果表'!E:E), 0) +
O40*IF(_xlfn.XLOOKUP(N40,'02效果表'!D:D,'02效果表'!E:E)&lt;0, _xlfn.XLOOKUP(N40,'02效果表'!D:D,'02效果表'!E:E), 0) +
Q40*IF(_xlfn.XLOOKUP(P40,'02效果表'!D:D,'02效果表'!E:E)&lt;0, _xlfn.XLOOKUP(P40,'02效果表'!D:D,'02效果表'!E:E), 0) +
S40*IF(_xlfn.XLOOKUP(R40,'02效果表'!D:D,'02效果表'!E:E)&lt;0, _xlfn.XLOOKUP(R40,'02效果表'!D:D,'02效果表'!E:E), 0) +
U40*IF(_xlfn.XLOOKUP(T40,'02效果表'!D:D,'02效果表'!E:E)&lt;0, _xlfn.XLOOKUP(T40,'02效果表'!D:D,'02效果表'!E:E), 0) +
W40*IF(_xlfn.XLOOKUP(V40,'02效果表'!D:D,'02效果表'!E:E)&lt;0, _xlfn.XLOOKUP(V40,'02效果表'!D:D,'02效果表'!E:E), 0) +
Y40*IF(_xlfn.XLOOKUP(X40,'02效果表'!D:D,'02效果表'!E:E)&lt;0, _xlfn.XLOOKUP(X40,'02效果表'!D:D,'02效果表'!E:E), 0) +
AA40*IF(_xlfn.XLOOKUP(Z40,'02效果表'!D:D,'02效果表'!E:E)&lt;0, _xlfn.XLOOKUP(Z40,'02效果表'!D:D,'02效果表'!E:E), 0) +
AC40*IF(_xlfn.XLOOKUP(AB40,'02效果表'!D:D,'02效果表'!E:E)&lt;0, _xlfn.XLOOKUP(AB40,'02效果表'!D:D,'02效果表'!E:E), 0) +
AE40*IF(_xlfn.XLOOKUP(AD40,'02效果表'!D:D,'02效果表'!E:E)&lt;0, _xlfn.XLOOKUP(AD40,'02效果表'!D:D,'02效果表'!E:E), 0)), 1)</f>
        <v>2.2999999999999998</v>
      </c>
      <c r="G40" s="7">
        <f>ROUND(1/6*(I40*MAX(_xlfn.XLOOKUP(H40,'02效果表'!D:D,'02效果表'!E:E),0)+K40*MAX(_xlfn.XLOOKUP(J40,'02效果表'!D:D,'02效果表'!E:E),0)+M40*MAX(_xlfn.XLOOKUP(L40,'02效果表'!D:D,'02效果表'!E:E),0)+O40*MAX(_xlfn.XLOOKUP(N40,'02效果表'!D:D,'02效果表'!E:E),0)+Q40*MAX(_xlfn.XLOOKUP(P40,'02效果表'!D:D,'02效果表'!E:E),0)+S40*MAX(_xlfn.XLOOKUP(R40,'02效果表'!D:D,'02效果表'!E:E),0)+U40*MAX(_xlfn.XLOOKUP(T40,'02效果表'!D:D,'02效果表'!E:E),0)+W40*MAX(_xlfn.XLOOKUP(V40,'02效果表'!D:D,'02效果表'!E:E),0)+Y40*MAX(_xlfn.XLOOKUP(X40,'02效果表'!D:D,'02效果表'!E:E),0)+AA40*MAX(_xlfn.XLOOKUP(Z40,'02效果表'!D:D,'02效果表'!E:E),0)+AC40*MAX(_xlfn.XLOOKUP(AB40,'02效果表'!D:D,'02效果表'!E:E),0)+AE40*MAX(_xlfn.XLOOKUP(AD40,'02效果表'!D:D,'02效果表'!E:E),0)),1)</f>
        <v>2.7</v>
      </c>
      <c r="H40" s="6" t="s">
        <v>1260</v>
      </c>
      <c r="I40" s="6">
        <v>2</v>
      </c>
      <c r="J40" s="6"/>
      <c r="K40" s="6"/>
      <c r="L40" s="6" t="s">
        <v>1260</v>
      </c>
      <c r="M40" s="6">
        <v>1</v>
      </c>
      <c r="N40" s="6"/>
      <c r="O40" s="6"/>
      <c r="P40" s="6" t="s">
        <v>1260</v>
      </c>
      <c r="Q40" s="6">
        <v>1</v>
      </c>
      <c r="R40" s="6"/>
      <c r="S40" s="6"/>
      <c r="T40" s="6" t="s">
        <v>1249</v>
      </c>
      <c r="U40" s="6">
        <v>1</v>
      </c>
      <c r="V40" s="6"/>
      <c r="W40" s="6"/>
      <c r="X40" s="6" t="s">
        <v>1249</v>
      </c>
      <c r="Y40" s="6">
        <v>1</v>
      </c>
      <c r="Z40" s="6"/>
      <c r="AA40" s="6"/>
      <c r="AB40" s="6" t="s">
        <v>1249</v>
      </c>
      <c r="AC40" s="6">
        <v>2</v>
      </c>
      <c r="AD40" s="6"/>
      <c r="AE40" s="6"/>
    </row>
    <row r="41" spans="1:31" x14ac:dyDescent="0.35">
      <c r="A41" s="6">
        <v>35</v>
      </c>
      <c r="B41" s="6" t="s">
        <v>0</v>
      </c>
      <c r="C41" s="10" t="s">
        <v>2</v>
      </c>
      <c r="D41" s="9" t="s">
        <v>63</v>
      </c>
      <c r="E41" s="7">
        <f t="shared" si="0"/>
        <v>3</v>
      </c>
      <c r="F41" s="7">
        <f>-1*ROUND(1/6*(I41*IF(_xlfn.XLOOKUP(H41,'02效果表'!D:D,'02效果表'!E:E)&lt;0, _xlfn.XLOOKUP(H41,'02效果表'!D:D,'02效果表'!E:E), 0) +
K41*IF(_xlfn.XLOOKUP(J41,'02效果表'!D:D,'02效果表'!E:E)&lt;0, _xlfn.XLOOKUP(J41,'02效果表'!D:D,'02效果表'!E:E), 0) +
M41*IF(_xlfn.XLOOKUP(L41,'02效果表'!D:D,'02效果表'!E:E)&lt;0, _xlfn.XLOOKUP(L41,'02效果表'!D:D,'02效果表'!E:E), 0) +
O41*IF(_xlfn.XLOOKUP(N41,'02效果表'!D:D,'02效果表'!E:E)&lt;0, _xlfn.XLOOKUP(N41,'02效果表'!D:D,'02效果表'!E:E), 0) +
Q41*IF(_xlfn.XLOOKUP(P41,'02效果表'!D:D,'02效果表'!E:E)&lt;0, _xlfn.XLOOKUP(P41,'02效果表'!D:D,'02效果表'!E:E), 0) +
S41*IF(_xlfn.XLOOKUP(R41,'02效果表'!D:D,'02效果表'!E:E)&lt;0, _xlfn.XLOOKUP(R41,'02效果表'!D:D,'02效果表'!E:E), 0) +
U41*IF(_xlfn.XLOOKUP(T41,'02效果表'!D:D,'02效果表'!E:E)&lt;0, _xlfn.XLOOKUP(T41,'02效果表'!D:D,'02效果表'!E:E), 0) +
W41*IF(_xlfn.XLOOKUP(V41,'02效果表'!D:D,'02效果表'!E:E)&lt;0, _xlfn.XLOOKUP(V41,'02效果表'!D:D,'02效果表'!E:E), 0) +
Y41*IF(_xlfn.XLOOKUP(X41,'02效果表'!D:D,'02效果表'!E:E)&lt;0, _xlfn.XLOOKUP(X41,'02效果表'!D:D,'02效果表'!E:E), 0) +
AA41*IF(_xlfn.XLOOKUP(Z41,'02效果表'!D:D,'02效果表'!E:E)&lt;0, _xlfn.XLOOKUP(Z41,'02效果表'!D:D,'02效果表'!E:E), 0) +
AC41*IF(_xlfn.XLOOKUP(AB41,'02效果表'!D:D,'02效果表'!E:E)&lt;0, _xlfn.XLOOKUP(AB41,'02效果表'!D:D,'02效果表'!E:E), 0) +
AE41*IF(_xlfn.XLOOKUP(AD41,'02效果表'!D:D,'02效果表'!E:E)&lt;0, _xlfn.XLOOKUP(AD41,'02效果表'!D:D,'02效果表'!E:E), 0)), 1)</f>
        <v>0.8</v>
      </c>
      <c r="G41" s="7">
        <f>ROUND(1/6*(I41*MAX(_xlfn.XLOOKUP(H41,'02效果表'!D:D,'02效果表'!E:E),0)+K41*MAX(_xlfn.XLOOKUP(J41,'02效果表'!D:D,'02效果表'!E:E),0)+M41*MAX(_xlfn.XLOOKUP(L41,'02效果表'!D:D,'02效果表'!E:E),0)+O41*MAX(_xlfn.XLOOKUP(N41,'02效果表'!D:D,'02效果表'!E:E),0)+Q41*MAX(_xlfn.XLOOKUP(P41,'02效果表'!D:D,'02效果表'!E:E),0)+S41*MAX(_xlfn.XLOOKUP(R41,'02效果表'!D:D,'02效果表'!E:E),0)+U41*MAX(_xlfn.XLOOKUP(T41,'02效果表'!D:D,'02效果表'!E:E),0)+W41*MAX(_xlfn.XLOOKUP(V41,'02效果表'!D:D,'02效果表'!E:E),0)+Y41*MAX(_xlfn.XLOOKUP(X41,'02效果表'!D:D,'02效果表'!E:E),0)+AA41*MAX(_xlfn.XLOOKUP(Z41,'02效果表'!D:D,'02效果表'!E:E),0)+AC41*MAX(_xlfn.XLOOKUP(AB41,'02效果表'!D:D,'02效果表'!E:E),0)+AE41*MAX(_xlfn.XLOOKUP(AD41,'02效果表'!D:D,'02效果表'!E:E),0)),1)</f>
        <v>4</v>
      </c>
      <c r="H41" s="6" t="s">
        <v>1234</v>
      </c>
      <c r="I41" s="6">
        <v>4</v>
      </c>
      <c r="J41" s="6"/>
      <c r="K41" s="6"/>
      <c r="L41" s="6" t="s">
        <v>1234</v>
      </c>
      <c r="M41" s="6">
        <v>3</v>
      </c>
      <c r="N41" s="6"/>
      <c r="O41" s="6"/>
      <c r="P41" s="6" t="s">
        <v>1234</v>
      </c>
      <c r="Q41" s="6">
        <v>3</v>
      </c>
      <c r="R41" s="6"/>
      <c r="S41" s="6"/>
      <c r="T41" s="6" t="s">
        <v>1234</v>
      </c>
      <c r="U41" s="6">
        <v>2</v>
      </c>
      <c r="V41" s="6"/>
      <c r="W41" s="6"/>
      <c r="X41" s="6" t="s">
        <v>1238</v>
      </c>
      <c r="Y41" s="6">
        <v>2</v>
      </c>
      <c r="Z41" s="6"/>
      <c r="AA41" s="6"/>
      <c r="AB41" s="6" t="s">
        <v>1238</v>
      </c>
      <c r="AC41" s="6">
        <v>3</v>
      </c>
      <c r="AD41" s="6"/>
      <c r="AE41" s="6"/>
    </row>
    <row r="42" spans="1:31" x14ac:dyDescent="0.35">
      <c r="A42" s="6">
        <v>36</v>
      </c>
      <c r="B42" s="6" t="s">
        <v>0</v>
      </c>
      <c r="C42" s="10" t="s">
        <v>2</v>
      </c>
      <c r="D42" s="9" t="s">
        <v>64</v>
      </c>
      <c r="E42" s="7">
        <f t="shared" si="0"/>
        <v>2</v>
      </c>
      <c r="F42" s="7">
        <f>-1*ROUND(1/6*(I42*IF(_xlfn.XLOOKUP(H42,'02效果表'!D:D,'02效果表'!E:E)&lt;0, _xlfn.XLOOKUP(H42,'02效果表'!D:D,'02效果表'!E:E), 0) +
K42*IF(_xlfn.XLOOKUP(J42,'02效果表'!D:D,'02效果表'!E:E)&lt;0, _xlfn.XLOOKUP(J42,'02效果表'!D:D,'02效果表'!E:E), 0) +
M42*IF(_xlfn.XLOOKUP(L42,'02效果表'!D:D,'02效果表'!E:E)&lt;0, _xlfn.XLOOKUP(L42,'02效果表'!D:D,'02效果表'!E:E), 0) +
O42*IF(_xlfn.XLOOKUP(N42,'02效果表'!D:D,'02效果表'!E:E)&lt;0, _xlfn.XLOOKUP(N42,'02效果表'!D:D,'02效果表'!E:E), 0) +
Q42*IF(_xlfn.XLOOKUP(P42,'02效果表'!D:D,'02效果表'!E:E)&lt;0, _xlfn.XLOOKUP(P42,'02效果表'!D:D,'02效果表'!E:E), 0) +
S42*IF(_xlfn.XLOOKUP(R42,'02效果表'!D:D,'02效果表'!E:E)&lt;0, _xlfn.XLOOKUP(R42,'02效果表'!D:D,'02效果表'!E:E), 0) +
U42*IF(_xlfn.XLOOKUP(T42,'02效果表'!D:D,'02效果表'!E:E)&lt;0, _xlfn.XLOOKUP(T42,'02效果表'!D:D,'02效果表'!E:E), 0) +
W42*IF(_xlfn.XLOOKUP(V42,'02效果表'!D:D,'02效果表'!E:E)&lt;0, _xlfn.XLOOKUP(V42,'02效果表'!D:D,'02效果表'!E:E), 0) +
Y42*IF(_xlfn.XLOOKUP(X42,'02效果表'!D:D,'02效果表'!E:E)&lt;0, _xlfn.XLOOKUP(X42,'02效果表'!D:D,'02效果表'!E:E), 0) +
AA42*IF(_xlfn.XLOOKUP(Z42,'02效果表'!D:D,'02效果表'!E:E)&lt;0, _xlfn.XLOOKUP(Z42,'02效果表'!D:D,'02效果表'!E:E), 0) +
AC42*IF(_xlfn.XLOOKUP(AB42,'02效果表'!D:D,'02效果表'!E:E)&lt;0, _xlfn.XLOOKUP(AB42,'02效果表'!D:D,'02效果表'!E:E), 0) +
AE42*IF(_xlfn.XLOOKUP(AD42,'02效果表'!D:D,'02效果表'!E:E)&lt;0, _xlfn.XLOOKUP(AD42,'02效果表'!D:D,'02效果表'!E:E), 0)), 1)</f>
        <v>1.8</v>
      </c>
      <c r="G42" s="7">
        <f>ROUND(1/6*(I42*MAX(_xlfn.XLOOKUP(H42,'02效果表'!D:D,'02效果表'!E:E),0)+K42*MAX(_xlfn.XLOOKUP(J42,'02效果表'!D:D,'02效果表'!E:E),0)+M42*MAX(_xlfn.XLOOKUP(L42,'02效果表'!D:D,'02效果表'!E:E),0)+O42*MAX(_xlfn.XLOOKUP(N42,'02效果表'!D:D,'02效果表'!E:E),0)+Q42*MAX(_xlfn.XLOOKUP(P42,'02效果表'!D:D,'02效果表'!E:E),0)+S42*MAX(_xlfn.XLOOKUP(R42,'02效果表'!D:D,'02效果表'!E:E),0)+U42*MAX(_xlfn.XLOOKUP(T42,'02效果表'!D:D,'02效果表'!E:E),0)+W42*MAX(_xlfn.XLOOKUP(V42,'02效果表'!D:D,'02效果表'!E:E),0)+Y42*MAX(_xlfn.XLOOKUP(X42,'02效果表'!D:D,'02效果表'!E:E),0)+AA42*MAX(_xlfn.XLOOKUP(Z42,'02效果表'!D:D,'02效果表'!E:E),0)+AC42*MAX(_xlfn.XLOOKUP(AB42,'02效果表'!D:D,'02效果表'!E:E),0)+AE42*MAX(_xlfn.XLOOKUP(AD42,'02效果表'!D:D,'02效果表'!E:E),0)),1)</f>
        <v>3.3</v>
      </c>
      <c r="H42" s="6" t="s">
        <v>1261</v>
      </c>
      <c r="I42" s="6">
        <v>2</v>
      </c>
      <c r="J42" s="6"/>
      <c r="K42" s="6"/>
      <c r="L42" s="6" t="s">
        <v>1261</v>
      </c>
      <c r="M42" s="6">
        <v>1</v>
      </c>
      <c r="N42" s="6"/>
      <c r="O42" s="6"/>
      <c r="P42" s="6" t="s">
        <v>1261</v>
      </c>
      <c r="Q42" s="6">
        <v>1</v>
      </c>
      <c r="R42" s="6"/>
      <c r="S42" s="6"/>
      <c r="T42" s="6" t="s">
        <v>1238</v>
      </c>
      <c r="U42" s="6">
        <v>4</v>
      </c>
      <c r="V42" s="6"/>
      <c r="W42" s="6"/>
      <c r="X42" s="6" t="s">
        <v>1238</v>
      </c>
      <c r="Y42" s="6">
        <v>4</v>
      </c>
      <c r="Z42" s="6"/>
      <c r="AA42" s="6"/>
      <c r="AB42" s="6" t="s">
        <v>1193</v>
      </c>
      <c r="AC42" s="6">
        <v>3</v>
      </c>
      <c r="AD42" s="6"/>
      <c r="AE42" s="6"/>
    </row>
    <row r="43" spans="1:31" x14ac:dyDescent="0.35">
      <c r="A43" s="6">
        <v>36</v>
      </c>
      <c r="B43" s="6" t="s">
        <v>0</v>
      </c>
      <c r="C43" s="10" t="s">
        <v>2</v>
      </c>
      <c r="D43" s="9"/>
      <c r="E43" s="7"/>
      <c r="F43" s="7"/>
      <c r="G43" s="7"/>
      <c r="H43" s="6"/>
      <c r="I43" s="6"/>
      <c r="J43" s="6"/>
      <c r="K43" s="6"/>
      <c r="L43" s="6"/>
      <c r="M43" s="6"/>
      <c r="N43" s="6"/>
      <c r="O43" s="6"/>
      <c r="P43" s="6"/>
      <c r="Q43" s="6"/>
      <c r="R43" s="6"/>
      <c r="S43" s="6"/>
      <c r="T43" s="6"/>
      <c r="U43" s="6"/>
      <c r="V43" s="6"/>
      <c r="W43" s="6"/>
      <c r="X43" s="6"/>
      <c r="Y43" s="6"/>
      <c r="Z43" s="6"/>
      <c r="AA43" s="6"/>
      <c r="AB43" s="6"/>
      <c r="AC43" s="6"/>
      <c r="AD43" s="6"/>
      <c r="AE43" s="6"/>
    </row>
    <row r="44" spans="1:31" x14ac:dyDescent="0.35">
      <c r="A44" s="6">
        <v>44</v>
      </c>
      <c r="B44" s="6" t="s">
        <v>0</v>
      </c>
      <c r="C44" s="10" t="s">
        <v>16</v>
      </c>
      <c r="D44" s="9" t="s">
        <v>1264</v>
      </c>
      <c r="E44" s="7">
        <f t="shared" ref="E44" si="3">ROUND(G44-F44,0)</f>
        <v>0</v>
      </c>
      <c r="F44" s="7">
        <f>-1*ROUND(1/6*(I44*IF(_xlfn.XLOOKUP(H44,'02效果表'!D:D,'02效果表'!E:E)&lt;0, _xlfn.XLOOKUP(H44,'02效果表'!D:D,'02效果表'!E:E), 0) +
K44*IF(_xlfn.XLOOKUP(J44,'02效果表'!D:D,'02效果表'!E:E)&lt;0, _xlfn.XLOOKUP(J44,'02效果表'!D:D,'02效果表'!E:E), 0) +
M44*IF(_xlfn.XLOOKUP(L44,'02效果表'!D:D,'02效果表'!E:E)&lt;0, _xlfn.XLOOKUP(L44,'02效果表'!D:D,'02效果表'!E:E), 0) +
O44*IF(_xlfn.XLOOKUP(N44,'02效果表'!D:D,'02效果表'!E:E)&lt;0, _xlfn.XLOOKUP(N44,'02效果表'!D:D,'02效果表'!E:E), 0) +
Q44*IF(_xlfn.XLOOKUP(P44,'02效果表'!D:D,'02效果表'!E:E)&lt;0, _xlfn.XLOOKUP(P44,'02效果表'!D:D,'02效果表'!E:E), 0) +
S44*IF(_xlfn.XLOOKUP(R44,'02效果表'!D:D,'02效果表'!E:E)&lt;0, _xlfn.XLOOKUP(R44,'02效果表'!D:D,'02效果表'!E:E), 0) +
U44*IF(_xlfn.XLOOKUP(T44,'02效果表'!D:D,'02效果表'!E:E)&lt;0, _xlfn.XLOOKUP(T44,'02效果表'!D:D,'02效果表'!E:E), 0) +
W44*IF(_xlfn.XLOOKUP(V44,'02效果表'!D:D,'02效果表'!E:E)&lt;0, _xlfn.XLOOKUP(V44,'02效果表'!D:D,'02效果表'!E:E), 0) +
Y44*IF(_xlfn.XLOOKUP(X44,'02效果表'!D:D,'02效果表'!E:E)&lt;0, _xlfn.XLOOKUP(X44,'02效果表'!D:D,'02效果表'!E:E), 0) +
AA44*IF(_xlfn.XLOOKUP(Z44,'02效果表'!D:D,'02效果表'!E:E)&lt;0, _xlfn.XLOOKUP(Z44,'02效果表'!D:D,'02效果表'!E:E), 0) +
AC44*IF(_xlfn.XLOOKUP(AB44,'02效果表'!D:D,'02效果表'!E:E)&lt;0, _xlfn.XLOOKUP(AB44,'02效果表'!D:D,'02效果表'!E:E), 0) +
AE44*IF(_xlfn.XLOOKUP(AD44,'02效果表'!D:D,'02效果表'!E:E)&lt;0, _xlfn.XLOOKUP(AD44,'02效果表'!D:D,'02效果表'!E:E), 0)), 1)</f>
        <v>1.7</v>
      </c>
      <c r="G44" s="7">
        <f>ROUND(1/6*(I44*MAX(_xlfn.XLOOKUP(H44,'02效果表'!D:D,'02效果表'!E:E),0)+K44*MAX(_xlfn.XLOOKUP(J44,'02效果表'!D:D,'02效果表'!E:E),0)+M44*MAX(_xlfn.XLOOKUP(L44,'02效果表'!D:D,'02效果表'!E:E),0)+O44*MAX(_xlfn.XLOOKUP(N44,'02效果表'!D:D,'02效果表'!E:E),0)+Q44*MAX(_xlfn.XLOOKUP(P44,'02效果表'!D:D,'02效果表'!E:E),0)+S44*MAX(_xlfn.XLOOKUP(R44,'02效果表'!D:D,'02效果表'!E:E),0)+U44*MAX(_xlfn.XLOOKUP(T44,'02效果表'!D:D,'02效果表'!E:E),0)+W44*MAX(_xlfn.XLOOKUP(V44,'02效果表'!D:D,'02效果表'!E:E),0)+Y44*MAX(_xlfn.XLOOKUP(X44,'02效果表'!D:D,'02效果表'!E:E),0)+AA44*MAX(_xlfn.XLOOKUP(Z44,'02效果表'!D:D,'02效果表'!E:E),0)+AC44*MAX(_xlfn.XLOOKUP(AB44,'02效果表'!D:D,'02效果表'!E:E),0)+AE44*MAX(_xlfn.XLOOKUP(AD44,'02效果表'!D:D,'02效果表'!E:E),0)),1)</f>
        <v>1.3</v>
      </c>
      <c r="H44" s="6" t="s">
        <v>1262</v>
      </c>
      <c r="I44" s="6">
        <v>3</v>
      </c>
      <c r="J44" s="6"/>
      <c r="K44" s="6"/>
      <c r="L44" s="6" t="s">
        <v>1262</v>
      </c>
      <c r="M44" s="6">
        <v>3</v>
      </c>
      <c r="N44" s="6"/>
      <c r="O44" s="6"/>
      <c r="P44" s="6" t="s">
        <v>1238</v>
      </c>
      <c r="Q44" s="6">
        <v>2</v>
      </c>
      <c r="R44" s="6"/>
      <c r="S44" s="6"/>
      <c r="T44" s="6" t="s">
        <v>1238</v>
      </c>
      <c r="U44" s="6">
        <v>2</v>
      </c>
      <c r="V44" s="6"/>
      <c r="W44" s="6"/>
      <c r="X44" s="6" t="s">
        <v>1238</v>
      </c>
      <c r="Y44" s="6">
        <v>3</v>
      </c>
      <c r="Z44" s="6"/>
      <c r="AA44" s="6"/>
      <c r="AB44" s="6" t="s">
        <v>1238</v>
      </c>
      <c r="AC44" s="6">
        <v>3</v>
      </c>
      <c r="AD44" s="6"/>
      <c r="AE44" s="6"/>
    </row>
    <row r="45" spans="1:31" x14ac:dyDescent="0.35">
      <c r="A45" s="6">
        <v>44</v>
      </c>
      <c r="B45" s="6" t="s">
        <v>0</v>
      </c>
      <c r="C45" s="10" t="s">
        <v>16</v>
      </c>
      <c r="D45" s="9" t="s">
        <v>65</v>
      </c>
      <c r="E45" s="7">
        <f t="shared" si="0"/>
        <v>1</v>
      </c>
      <c r="F45" s="7">
        <f>-1*ROUND(1/6*(I45*IF(_xlfn.XLOOKUP(H45,'02效果表'!D:D,'02效果表'!E:E)&lt;0, _xlfn.XLOOKUP(H45,'02效果表'!D:D,'02效果表'!E:E), 0) +
K45*IF(_xlfn.XLOOKUP(J45,'02效果表'!D:D,'02效果表'!E:E)&lt;0, _xlfn.XLOOKUP(J45,'02效果表'!D:D,'02效果表'!E:E), 0) +
M45*IF(_xlfn.XLOOKUP(L45,'02效果表'!D:D,'02效果表'!E:E)&lt;0, _xlfn.XLOOKUP(L45,'02效果表'!D:D,'02效果表'!E:E), 0) +
O45*IF(_xlfn.XLOOKUP(N45,'02效果表'!D:D,'02效果表'!E:E)&lt;0, _xlfn.XLOOKUP(N45,'02效果表'!D:D,'02效果表'!E:E), 0) +
Q45*IF(_xlfn.XLOOKUP(P45,'02效果表'!D:D,'02效果表'!E:E)&lt;0, _xlfn.XLOOKUP(P45,'02效果表'!D:D,'02效果表'!E:E), 0) +
S45*IF(_xlfn.XLOOKUP(R45,'02效果表'!D:D,'02效果表'!E:E)&lt;0, _xlfn.XLOOKUP(R45,'02效果表'!D:D,'02效果表'!E:E), 0) +
U45*IF(_xlfn.XLOOKUP(T45,'02效果表'!D:D,'02效果表'!E:E)&lt;0, _xlfn.XLOOKUP(T45,'02效果表'!D:D,'02效果表'!E:E), 0) +
W45*IF(_xlfn.XLOOKUP(V45,'02效果表'!D:D,'02效果表'!E:E)&lt;0, _xlfn.XLOOKUP(V45,'02效果表'!D:D,'02效果表'!E:E), 0) +
Y45*IF(_xlfn.XLOOKUP(X45,'02效果表'!D:D,'02效果表'!E:E)&lt;0, _xlfn.XLOOKUP(X45,'02效果表'!D:D,'02效果表'!E:E), 0) +
AA45*IF(_xlfn.XLOOKUP(Z45,'02效果表'!D:D,'02效果表'!E:E)&lt;0, _xlfn.XLOOKUP(Z45,'02效果表'!D:D,'02效果表'!E:E), 0) +
AC45*IF(_xlfn.XLOOKUP(AB45,'02效果表'!D:D,'02效果表'!E:E)&lt;0, _xlfn.XLOOKUP(AB45,'02效果表'!D:D,'02效果表'!E:E), 0) +
AE45*IF(_xlfn.XLOOKUP(AD45,'02效果表'!D:D,'02效果表'!E:E)&lt;0, _xlfn.XLOOKUP(AD45,'02效果表'!D:D,'02效果表'!E:E), 0)), 1)</f>
        <v>1</v>
      </c>
      <c r="G45" s="7">
        <f>ROUND(1/6*(I45*MAX(_xlfn.XLOOKUP(H45,'02效果表'!D:D,'02效果表'!E:E),0)+K45*MAX(_xlfn.XLOOKUP(J45,'02效果表'!D:D,'02效果表'!E:E),0)+M45*MAX(_xlfn.XLOOKUP(L45,'02效果表'!D:D,'02效果表'!E:E),0)+O45*MAX(_xlfn.XLOOKUP(N45,'02效果表'!D:D,'02效果表'!E:E),0)+Q45*MAX(_xlfn.XLOOKUP(P45,'02效果表'!D:D,'02效果表'!E:E),0)+S45*MAX(_xlfn.XLOOKUP(R45,'02效果表'!D:D,'02效果表'!E:E),0)+U45*MAX(_xlfn.XLOOKUP(T45,'02效果表'!D:D,'02效果表'!E:E),0)+W45*MAX(_xlfn.XLOOKUP(V45,'02效果表'!D:D,'02效果表'!E:E),0)+Y45*MAX(_xlfn.XLOOKUP(X45,'02效果表'!D:D,'02效果表'!E:E),0)+AA45*MAX(_xlfn.XLOOKUP(Z45,'02效果表'!D:D,'02效果表'!E:E),0)+AC45*MAX(_xlfn.XLOOKUP(AB45,'02效果表'!D:D,'02效果表'!E:E),0)+AE45*MAX(_xlfn.XLOOKUP(AD45,'02效果表'!D:D,'02效果表'!E:E),0)),1)</f>
        <v>2.1</v>
      </c>
      <c r="H45" s="6" t="s">
        <v>1224</v>
      </c>
      <c r="I45" s="6">
        <v>4</v>
      </c>
      <c r="J45" s="6" t="s">
        <v>1221</v>
      </c>
      <c r="K45" s="6">
        <v>5</v>
      </c>
      <c r="L45" s="6" t="s">
        <v>1224</v>
      </c>
      <c r="M45" s="6">
        <v>3</v>
      </c>
      <c r="N45" s="6" t="s">
        <v>1221</v>
      </c>
      <c r="O45" s="6">
        <v>4</v>
      </c>
      <c r="P45" s="6" t="s">
        <v>1238</v>
      </c>
      <c r="Q45" s="6">
        <v>1</v>
      </c>
      <c r="R45" s="6"/>
      <c r="S45" s="6"/>
      <c r="T45" s="6" t="s">
        <v>1238</v>
      </c>
      <c r="U45" s="6">
        <v>1</v>
      </c>
      <c r="V45" s="6"/>
      <c r="W45" s="6"/>
      <c r="X45" s="6" t="s">
        <v>1238</v>
      </c>
      <c r="Y45" s="6">
        <v>2</v>
      </c>
      <c r="Z45" s="6"/>
      <c r="AA45" s="6"/>
      <c r="AB45" s="6" t="s">
        <v>1238</v>
      </c>
      <c r="AC45" s="6">
        <v>2</v>
      </c>
      <c r="AD45" s="6"/>
      <c r="AE45" s="6"/>
    </row>
    <row r="46" spans="1:31" x14ac:dyDescent="0.35">
      <c r="A46" s="6">
        <v>45</v>
      </c>
      <c r="B46" s="6" t="s">
        <v>0</v>
      </c>
      <c r="C46" s="10" t="s">
        <v>16</v>
      </c>
      <c r="D46" s="9" t="s">
        <v>66</v>
      </c>
      <c r="E46" s="7">
        <f t="shared" si="0"/>
        <v>2</v>
      </c>
      <c r="F46" s="7">
        <f>-1*ROUND(1/6*(I46*IF(_xlfn.XLOOKUP(H46,'02效果表'!D:D,'02效果表'!E:E)&lt;0, _xlfn.XLOOKUP(H46,'02效果表'!D:D,'02效果表'!E:E), 0) +
K46*IF(_xlfn.XLOOKUP(J46,'02效果表'!D:D,'02效果表'!E:E)&lt;0, _xlfn.XLOOKUP(J46,'02效果表'!D:D,'02效果表'!E:E), 0) +
M46*IF(_xlfn.XLOOKUP(L46,'02效果表'!D:D,'02效果表'!E:E)&lt;0, _xlfn.XLOOKUP(L46,'02效果表'!D:D,'02效果表'!E:E), 0) +
O46*IF(_xlfn.XLOOKUP(N46,'02效果表'!D:D,'02效果表'!E:E)&lt;0, _xlfn.XLOOKUP(N46,'02效果表'!D:D,'02效果表'!E:E), 0) +
Q46*IF(_xlfn.XLOOKUP(P46,'02效果表'!D:D,'02效果表'!E:E)&lt;0, _xlfn.XLOOKUP(P46,'02效果表'!D:D,'02效果表'!E:E), 0) +
S46*IF(_xlfn.XLOOKUP(R46,'02效果表'!D:D,'02效果表'!E:E)&lt;0, _xlfn.XLOOKUP(R46,'02效果表'!D:D,'02效果表'!E:E), 0) +
U46*IF(_xlfn.XLOOKUP(T46,'02效果表'!D:D,'02效果表'!E:E)&lt;0, _xlfn.XLOOKUP(T46,'02效果表'!D:D,'02效果表'!E:E), 0) +
W46*IF(_xlfn.XLOOKUP(V46,'02效果表'!D:D,'02效果表'!E:E)&lt;0, _xlfn.XLOOKUP(V46,'02效果表'!D:D,'02效果表'!E:E), 0) +
Y46*IF(_xlfn.XLOOKUP(X46,'02效果表'!D:D,'02效果表'!E:E)&lt;0, _xlfn.XLOOKUP(X46,'02效果表'!D:D,'02效果表'!E:E), 0) +
AA46*IF(_xlfn.XLOOKUP(Z46,'02效果表'!D:D,'02效果表'!E:E)&lt;0, _xlfn.XLOOKUP(Z46,'02效果表'!D:D,'02效果表'!E:E), 0) +
AC46*IF(_xlfn.XLOOKUP(AB46,'02效果表'!D:D,'02效果表'!E:E)&lt;0, _xlfn.XLOOKUP(AB46,'02效果表'!D:D,'02效果表'!E:E), 0) +
AE46*IF(_xlfn.XLOOKUP(AD46,'02效果表'!D:D,'02效果表'!E:E)&lt;0, _xlfn.XLOOKUP(AD46,'02效果表'!D:D,'02效果表'!E:E), 0)), 1)</f>
        <v>4.7</v>
      </c>
      <c r="G46" s="7">
        <f>ROUND(1/6*(I46*MAX(_xlfn.XLOOKUP(H46,'02效果表'!D:D,'02效果表'!E:E),0)+K46*MAX(_xlfn.XLOOKUP(J46,'02效果表'!D:D,'02效果表'!E:E),0)+M46*MAX(_xlfn.XLOOKUP(L46,'02效果表'!D:D,'02效果表'!E:E),0)+O46*MAX(_xlfn.XLOOKUP(N46,'02效果表'!D:D,'02效果表'!E:E),0)+Q46*MAX(_xlfn.XLOOKUP(P46,'02效果表'!D:D,'02效果表'!E:E),0)+S46*MAX(_xlfn.XLOOKUP(R46,'02效果表'!D:D,'02效果表'!E:E),0)+U46*MAX(_xlfn.XLOOKUP(T46,'02效果表'!D:D,'02效果表'!E:E),0)+W46*MAX(_xlfn.XLOOKUP(V46,'02效果表'!D:D,'02效果表'!E:E),0)+Y46*MAX(_xlfn.XLOOKUP(X46,'02效果表'!D:D,'02效果表'!E:E),0)+AA46*MAX(_xlfn.XLOOKUP(Z46,'02效果表'!D:D,'02效果表'!E:E),0)+AC46*MAX(_xlfn.XLOOKUP(AB46,'02效果表'!D:D,'02效果表'!E:E),0)+AE46*MAX(_xlfn.XLOOKUP(AD46,'02效果表'!D:D,'02效果表'!E:E),0)),1)</f>
        <v>6.7</v>
      </c>
      <c r="H46" s="6" t="s">
        <v>1238</v>
      </c>
      <c r="I46" s="6">
        <v>5</v>
      </c>
      <c r="J46" s="6" t="s">
        <v>1263</v>
      </c>
      <c r="K46" s="6">
        <v>1</v>
      </c>
      <c r="L46" s="6" t="s">
        <v>1238</v>
      </c>
      <c r="M46" s="6">
        <v>5</v>
      </c>
      <c r="N46" s="6" t="s">
        <v>1263</v>
      </c>
      <c r="O46" s="6">
        <v>1</v>
      </c>
      <c r="P46" s="6" t="s">
        <v>1238</v>
      </c>
      <c r="Q46" s="6">
        <v>6</v>
      </c>
      <c r="R46" s="6" t="s">
        <v>1263</v>
      </c>
      <c r="S46" s="6">
        <v>1</v>
      </c>
      <c r="T46" s="6" t="s">
        <v>1238</v>
      </c>
      <c r="U46" s="6">
        <v>6</v>
      </c>
      <c r="V46" s="6" t="s">
        <v>1263</v>
      </c>
      <c r="W46" s="6">
        <v>1</v>
      </c>
      <c r="X46" s="6" t="s">
        <v>1238</v>
      </c>
      <c r="Y46" s="6">
        <v>3</v>
      </c>
      <c r="Z46" s="6"/>
      <c r="AA46" s="6"/>
      <c r="AB46" s="6" t="s">
        <v>1238</v>
      </c>
      <c r="AC46" s="6">
        <v>3</v>
      </c>
      <c r="AD46" s="6"/>
      <c r="AE46" s="6"/>
    </row>
    <row r="47" spans="1:31" x14ac:dyDescent="0.35">
      <c r="A47" s="6">
        <v>46</v>
      </c>
      <c r="B47" s="6" t="s">
        <v>0</v>
      </c>
      <c r="C47" s="10" t="s">
        <v>16</v>
      </c>
      <c r="D47" s="9" t="s">
        <v>67</v>
      </c>
      <c r="E47" s="7">
        <f t="shared" si="0"/>
        <v>3</v>
      </c>
      <c r="F47" s="7">
        <f>-1*ROUND(1/6*(I47*IF(_xlfn.XLOOKUP(H47,'02效果表'!D:D,'02效果表'!E:E)&lt;0, _xlfn.XLOOKUP(H47,'02效果表'!D:D,'02效果表'!E:E), 0) +
K47*IF(_xlfn.XLOOKUP(J47,'02效果表'!D:D,'02效果表'!E:E)&lt;0, _xlfn.XLOOKUP(J47,'02效果表'!D:D,'02效果表'!E:E), 0) +
M47*IF(_xlfn.XLOOKUP(L47,'02效果表'!D:D,'02效果表'!E:E)&lt;0, _xlfn.XLOOKUP(L47,'02效果表'!D:D,'02效果表'!E:E), 0) +
O47*IF(_xlfn.XLOOKUP(N47,'02效果表'!D:D,'02效果表'!E:E)&lt;0, _xlfn.XLOOKUP(N47,'02效果表'!D:D,'02效果表'!E:E), 0) +
Q47*IF(_xlfn.XLOOKUP(P47,'02效果表'!D:D,'02效果表'!E:E)&lt;0, _xlfn.XLOOKUP(P47,'02效果表'!D:D,'02效果表'!E:E), 0) +
S47*IF(_xlfn.XLOOKUP(R47,'02效果表'!D:D,'02效果表'!E:E)&lt;0, _xlfn.XLOOKUP(R47,'02效果表'!D:D,'02效果表'!E:E), 0) +
U47*IF(_xlfn.XLOOKUP(T47,'02效果表'!D:D,'02效果表'!E:E)&lt;0, _xlfn.XLOOKUP(T47,'02效果表'!D:D,'02效果表'!E:E), 0) +
W47*IF(_xlfn.XLOOKUP(V47,'02效果表'!D:D,'02效果表'!E:E)&lt;0, _xlfn.XLOOKUP(V47,'02效果表'!D:D,'02效果表'!E:E), 0) +
Y47*IF(_xlfn.XLOOKUP(X47,'02效果表'!D:D,'02效果表'!E:E)&lt;0, _xlfn.XLOOKUP(X47,'02效果表'!D:D,'02效果表'!E:E), 0) +
AA47*IF(_xlfn.XLOOKUP(Z47,'02效果表'!D:D,'02效果表'!E:E)&lt;0, _xlfn.XLOOKUP(Z47,'02效果表'!D:D,'02效果表'!E:E), 0) +
AC47*IF(_xlfn.XLOOKUP(AB47,'02效果表'!D:D,'02效果表'!E:E)&lt;0, _xlfn.XLOOKUP(AB47,'02效果表'!D:D,'02效果表'!E:E), 0) +
AE47*IF(_xlfn.XLOOKUP(AD47,'02效果表'!D:D,'02效果表'!E:E)&lt;0, _xlfn.XLOOKUP(AD47,'02效果表'!D:D,'02效果表'!E:E), 0)), 1)</f>
        <v>2.2000000000000002</v>
      </c>
      <c r="G47" s="7">
        <f>ROUND(1/6*(I47*MAX(_xlfn.XLOOKUP(H47,'02效果表'!D:D,'02效果表'!E:E),0)+K47*MAX(_xlfn.XLOOKUP(J47,'02效果表'!D:D,'02效果表'!E:E),0)+M47*MAX(_xlfn.XLOOKUP(L47,'02效果表'!D:D,'02效果表'!E:E),0)+O47*MAX(_xlfn.XLOOKUP(N47,'02效果表'!D:D,'02效果表'!E:E),0)+Q47*MAX(_xlfn.XLOOKUP(P47,'02效果表'!D:D,'02效果表'!E:E),0)+S47*MAX(_xlfn.XLOOKUP(R47,'02效果表'!D:D,'02效果表'!E:E),0)+U47*MAX(_xlfn.XLOOKUP(T47,'02效果表'!D:D,'02效果表'!E:E),0)+W47*MAX(_xlfn.XLOOKUP(V47,'02效果表'!D:D,'02效果表'!E:E),0)+Y47*MAX(_xlfn.XLOOKUP(X47,'02效果表'!D:D,'02效果表'!E:E),0)+AA47*MAX(_xlfn.XLOOKUP(Z47,'02效果表'!D:D,'02效果表'!E:E),0)+AC47*MAX(_xlfn.XLOOKUP(AB47,'02效果表'!D:D,'02效果表'!E:E),0)+AE47*MAX(_xlfn.XLOOKUP(AD47,'02效果表'!D:D,'02效果表'!E:E),0)),1)</f>
        <v>5</v>
      </c>
      <c r="H47" s="6" t="s">
        <v>1265</v>
      </c>
      <c r="I47" s="6">
        <v>1</v>
      </c>
      <c r="J47" s="6"/>
      <c r="K47" s="6"/>
      <c r="L47" s="6" t="s">
        <v>1265</v>
      </c>
      <c r="M47" s="6">
        <v>1</v>
      </c>
      <c r="N47" s="6"/>
      <c r="O47" s="6"/>
      <c r="P47" s="6" t="s">
        <v>1193</v>
      </c>
      <c r="Q47" s="6">
        <v>2</v>
      </c>
      <c r="R47" s="6"/>
      <c r="S47" s="6"/>
      <c r="T47" s="6" t="s">
        <v>1193</v>
      </c>
      <c r="U47" s="6">
        <v>3</v>
      </c>
      <c r="V47" s="6"/>
      <c r="W47" s="6"/>
      <c r="X47" s="6" t="s">
        <v>1253</v>
      </c>
      <c r="Y47" s="6">
        <v>3</v>
      </c>
      <c r="Z47" s="6"/>
      <c r="AA47" s="6"/>
      <c r="AB47" s="6" t="s">
        <v>1253</v>
      </c>
      <c r="AC47" s="6">
        <v>4</v>
      </c>
      <c r="AD47" s="6"/>
      <c r="AE47" s="6"/>
    </row>
    <row r="48" spans="1:31" x14ac:dyDescent="0.35">
      <c r="A48" s="6">
        <v>47</v>
      </c>
      <c r="B48" s="6" t="s">
        <v>0</v>
      </c>
      <c r="C48" s="10" t="s">
        <v>16</v>
      </c>
      <c r="D48" s="9" t="s">
        <v>68</v>
      </c>
      <c r="E48" s="7">
        <f t="shared" si="0"/>
        <v>1</v>
      </c>
      <c r="F48" s="7">
        <f>-1*ROUND(1/6*(I48*IF(_xlfn.XLOOKUP(H48,'02效果表'!D:D,'02效果表'!E:E)&lt;0, _xlfn.XLOOKUP(H48,'02效果表'!D:D,'02效果表'!E:E), 0) +
K48*IF(_xlfn.XLOOKUP(J48,'02效果表'!D:D,'02效果表'!E:E)&lt;0, _xlfn.XLOOKUP(J48,'02效果表'!D:D,'02效果表'!E:E), 0) +
M48*IF(_xlfn.XLOOKUP(L48,'02效果表'!D:D,'02效果表'!E:E)&lt;0, _xlfn.XLOOKUP(L48,'02效果表'!D:D,'02效果表'!E:E), 0) +
O48*IF(_xlfn.XLOOKUP(N48,'02效果表'!D:D,'02效果表'!E:E)&lt;0, _xlfn.XLOOKUP(N48,'02效果表'!D:D,'02效果表'!E:E), 0) +
Q48*IF(_xlfn.XLOOKUP(P48,'02效果表'!D:D,'02效果表'!E:E)&lt;0, _xlfn.XLOOKUP(P48,'02效果表'!D:D,'02效果表'!E:E), 0) +
S48*IF(_xlfn.XLOOKUP(R48,'02效果表'!D:D,'02效果表'!E:E)&lt;0, _xlfn.XLOOKUP(R48,'02效果表'!D:D,'02效果表'!E:E), 0) +
U48*IF(_xlfn.XLOOKUP(T48,'02效果表'!D:D,'02效果表'!E:E)&lt;0, _xlfn.XLOOKUP(T48,'02效果表'!D:D,'02效果表'!E:E), 0) +
W48*IF(_xlfn.XLOOKUP(V48,'02效果表'!D:D,'02效果表'!E:E)&lt;0, _xlfn.XLOOKUP(V48,'02效果表'!D:D,'02效果表'!E:E), 0) +
Y48*IF(_xlfn.XLOOKUP(X48,'02效果表'!D:D,'02效果表'!E:E)&lt;0, _xlfn.XLOOKUP(X48,'02效果表'!D:D,'02效果表'!E:E), 0) +
AA48*IF(_xlfn.XLOOKUP(Z48,'02效果表'!D:D,'02效果表'!E:E)&lt;0, _xlfn.XLOOKUP(Z48,'02效果表'!D:D,'02效果表'!E:E), 0) +
AC48*IF(_xlfn.XLOOKUP(AB48,'02效果表'!D:D,'02效果表'!E:E)&lt;0, _xlfn.XLOOKUP(AB48,'02效果表'!D:D,'02效果表'!E:E), 0) +
AE48*IF(_xlfn.XLOOKUP(AD48,'02效果表'!D:D,'02效果表'!E:E)&lt;0, _xlfn.XLOOKUP(AD48,'02效果表'!D:D,'02效果表'!E:E), 0)), 1)</f>
        <v>0.7</v>
      </c>
      <c r="G48" s="7">
        <f>ROUND(1/6*(I48*MAX(_xlfn.XLOOKUP(H48,'02效果表'!D:D,'02效果表'!E:E),0)+K48*MAX(_xlfn.XLOOKUP(J48,'02效果表'!D:D,'02效果表'!E:E),0)+M48*MAX(_xlfn.XLOOKUP(L48,'02效果表'!D:D,'02效果表'!E:E),0)+O48*MAX(_xlfn.XLOOKUP(N48,'02效果表'!D:D,'02效果表'!E:E),0)+Q48*MAX(_xlfn.XLOOKUP(P48,'02效果表'!D:D,'02效果表'!E:E),0)+S48*MAX(_xlfn.XLOOKUP(R48,'02效果表'!D:D,'02效果表'!E:E),0)+U48*MAX(_xlfn.XLOOKUP(T48,'02效果表'!D:D,'02效果表'!E:E),0)+W48*MAX(_xlfn.XLOOKUP(V48,'02效果表'!D:D,'02效果表'!E:E),0)+Y48*MAX(_xlfn.XLOOKUP(X48,'02效果表'!D:D,'02效果表'!E:E),0)+AA48*MAX(_xlfn.XLOOKUP(Z48,'02效果表'!D:D,'02效果表'!E:E),0)+AC48*MAX(_xlfn.XLOOKUP(AB48,'02效果表'!D:D,'02效果表'!E:E),0)+AE48*MAX(_xlfn.XLOOKUP(AD48,'02效果表'!D:D,'02效果表'!E:E),0)),1)</f>
        <v>1.6</v>
      </c>
      <c r="H48" s="6" t="s">
        <v>1224</v>
      </c>
      <c r="I48" s="6">
        <v>9</v>
      </c>
      <c r="J48" s="6"/>
      <c r="K48" s="6"/>
      <c r="L48" s="6" t="s">
        <v>1224</v>
      </c>
      <c r="M48" s="6">
        <v>10</v>
      </c>
      <c r="N48" s="6"/>
      <c r="O48" s="6"/>
      <c r="P48" s="6" t="s">
        <v>1238</v>
      </c>
      <c r="Q48" s="6">
        <v>1</v>
      </c>
      <c r="R48" s="6"/>
      <c r="S48" s="6"/>
      <c r="T48" s="6" t="s">
        <v>1238</v>
      </c>
      <c r="U48" s="6">
        <v>1</v>
      </c>
      <c r="V48" s="6"/>
      <c r="W48" s="6"/>
      <c r="X48" s="6" t="s">
        <v>1238</v>
      </c>
      <c r="Y48" s="6">
        <v>1</v>
      </c>
      <c r="Z48" s="6"/>
      <c r="AA48" s="6"/>
      <c r="AB48" s="6" t="s">
        <v>1238</v>
      </c>
      <c r="AC48" s="6">
        <v>1</v>
      </c>
      <c r="AD48" s="6"/>
      <c r="AE48" s="6"/>
    </row>
    <row r="49" spans="1:31" x14ac:dyDescent="0.35">
      <c r="A49" s="6">
        <v>48</v>
      </c>
      <c r="B49" s="6" t="s">
        <v>0</v>
      </c>
      <c r="C49" s="10" t="s">
        <v>16</v>
      </c>
      <c r="D49" s="9" t="s">
        <v>69</v>
      </c>
      <c r="E49" s="7">
        <f t="shared" si="0"/>
        <v>3</v>
      </c>
      <c r="F49" s="7">
        <f>-1*ROUND(1/6*(I49*IF(_xlfn.XLOOKUP(H49,'02效果表'!D:D,'02效果表'!E:E)&lt;0, _xlfn.XLOOKUP(H49,'02效果表'!D:D,'02效果表'!E:E), 0) +
K49*IF(_xlfn.XLOOKUP(J49,'02效果表'!D:D,'02效果表'!E:E)&lt;0, _xlfn.XLOOKUP(J49,'02效果表'!D:D,'02效果表'!E:E), 0) +
M49*IF(_xlfn.XLOOKUP(L49,'02效果表'!D:D,'02效果表'!E:E)&lt;0, _xlfn.XLOOKUP(L49,'02效果表'!D:D,'02效果表'!E:E), 0) +
O49*IF(_xlfn.XLOOKUP(N49,'02效果表'!D:D,'02效果表'!E:E)&lt;0, _xlfn.XLOOKUP(N49,'02效果表'!D:D,'02效果表'!E:E), 0) +
Q49*IF(_xlfn.XLOOKUP(P49,'02效果表'!D:D,'02效果表'!E:E)&lt;0, _xlfn.XLOOKUP(P49,'02效果表'!D:D,'02效果表'!E:E), 0) +
S49*IF(_xlfn.XLOOKUP(R49,'02效果表'!D:D,'02效果表'!E:E)&lt;0, _xlfn.XLOOKUP(R49,'02效果表'!D:D,'02效果表'!E:E), 0) +
U49*IF(_xlfn.XLOOKUP(T49,'02效果表'!D:D,'02效果表'!E:E)&lt;0, _xlfn.XLOOKUP(T49,'02效果表'!D:D,'02效果表'!E:E), 0) +
W49*IF(_xlfn.XLOOKUP(V49,'02效果表'!D:D,'02效果表'!E:E)&lt;0, _xlfn.XLOOKUP(V49,'02效果表'!D:D,'02效果表'!E:E), 0) +
Y49*IF(_xlfn.XLOOKUP(X49,'02效果表'!D:D,'02效果表'!E:E)&lt;0, _xlfn.XLOOKUP(X49,'02效果表'!D:D,'02效果表'!E:E), 0) +
AA49*IF(_xlfn.XLOOKUP(Z49,'02效果表'!D:D,'02效果表'!E:E)&lt;0, _xlfn.XLOOKUP(Z49,'02效果表'!D:D,'02效果表'!E:E), 0) +
AC49*IF(_xlfn.XLOOKUP(AB49,'02效果表'!D:D,'02效果表'!E:E)&lt;0, _xlfn.XLOOKUP(AB49,'02效果表'!D:D,'02效果表'!E:E), 0) +
AE49*IF(_xlfn.XLOOKUP(AD49,'02效果表'!D:D,'02效果表'!E:E)&lt;0, _xlfn.XLOOKUP(AD49,'02效果表'!D:D,'02效果表'!E:E), 0)), 1)</f>
        <v>2</v>
      </c>
      <c r="G49" s="7">
        <f>ROUND(1/6*(I49*MAX(_xlfn.XLOOKUP(H49,'02效果表'!D:D,'02效果表'!E:E),0)+K49*MAX(_xlfn.XLOOKUP(J49,'02效果表'!D:D,'02效果表'!E:E),0)+M49*MAX(_xlfn.XLOOKUP(L49,'02效果表'!D:D,'02效果表'!E:E),0)+O49*MAX(_xlfn.XLOOKUP(N49,'02效果表'!D:D,'02效果表'!E:E),0)+Q49*MAX(_xlfn.XLOOKUP(P49,'02效果表'!D:D,'02效果表'!E:E),0)+S49*MAX(_xlfn.XLOOKUP(R49,'02效果表'!D:D,'02效果表'!E:E),0)+U49*MAX(_xlfn.XLOOKUP(T49,'02效果表'!D:D,'02效果表'!E:E),0)+W49*MAX(_xlfn.XLOOKUP(V49,'02效果表'!D:D,'02效果表'!E:E),0)+Y49*MAX(_xlfn.XLOOKUP(X49,'02效果表'!D:D,'02效果表'!E:E),0)+AA49*MAX(_xlfn.XLOOKUP(Z49,'02效果表'!D:D,'02效果表'!E:E),0)+AC49*MAX(_xlfn.XLOOKUP(AB49,'02效果表'!D:D,'02效果表'!E:E),0)+AE49*MAX(_xlfn.XLOOKUP(AD49,'02效果表'!D:D,'02效果表'!E:E),0)),1)</f>
        <v>5.4</v>
      </c>
      <c r="H49" s="6" t="s">
        <v>1243</v>
      </c>
      <c r="I49" s="6">
        <v>3</v>
      </c>
      <c r="J49" s="6" t="s">
        <v>1220</v>
      </c>
      <c r="K49" s="6">
        <v>1</v>
      </c>
      <c r="L49" s="6" t="s">
        <v>1243</v>
      </c>
      <c r="M49" s="6">
        <v>2</v>
      </c>
      <c r="N49" s="6" t="s">
        <v>1220</v>
      </c>
      <c r="O49" s="6">
        <v>1</v>
      </c>
      <c r="P49" s="6" t="s">
        <v>1238</v>
      </c>
      <c r="Q49" s="6">
        <v>2</v>
      </c>
      <c r="R49" s="6"/>
      <c r="S49" s="6"/>
      <c r="T49" s="6" t="s">
        <v>1238</v>
      </c>
      <c r="U49" s="6">
        <v>3</v>
      </c>
      <c r="V49" s="6"/>
      <c r="W49" s="6"/>
      <c r="X49" s="6" t="s">
        <v>1238</v>
      </c>
      <c r="Y49" s="6">
        <v>3</v>
      </c>
      <c r="Z49" s="6"/>
      <c r="AA49" s="6"/>
      <c r="AB49" s="6" t="s">
        <v>1238</v>
      </c>
      <c r="AC49" s="6">
        <v>4</v>
      </c>
      <c r="AD49" s="6"/>
      <c r="AE49" s="6"/>
    </row>
    <row r="50" spans="1:31" x14ac:dyDescent="0.35">
      <c r="A50" s="6">
        <v>49</v>
      </c>
      <c r="B50" s="6" t="s">
        <v>0</v>
      </c>
      <c r="C50" s="10" t="s">
        <v>16</v>
      </c>
      <c r="D50" s="9" t="s">
        <v>70</v>
      </c>
      <c r="E50" s="7">
        <f t="shared" si="0"/>
        <v>2</v>
      </c>
      <c r="F50" s="7">
        <f>-1*ROUND(1/6*(I50*IF(_xlfn.XLOOKUP(H50,'02效果表'!D:D,'02效果表'!E:E)&lt;0, _xlfn.XLOOKUP(H50,'02效果表'!D:D,'02效果表'!E:E), 0) +
K50*IF(_xlfn.XLOOKUP(J50,'02效果表'!D:D,'02效果表'!E:E)&lt;0, _xlfn.XLOOKUP(J50,'02效果表'!D:D,'02效果表'!E:E), 0) +
M50*IF(_xlfn.XLOOKUP(L50,'02效果表'!D:D,'02效果表'!E:E)&lt;0, _xlfn.XLOOKUP(L50,'02效果表'!D:D,'02效果表'!E:E), 0) +
O50*IF(_xlfn.XLOOKUP(N50,'02效果表'!D:D,'02效果表'!E:E)&lt;0, _xlfn.XLOOKUP(N50,'02效果表'!D:D,'02效果表'!E:E), 0) +
Q50*IF(_xlfn.XLOOKUP(P50,'02效果表'!D:D,'02效果表'!E:E)&lt;0, _xlfn.XLOOKUP(P50,'02效果表'!D:D,'02效果表'!E:E), 0) +
S50*IF(_xlfn.XLOOKUP(R50,'02效果表'!D:D,'02效果表'!E:E)&lt;0, _xlfn.XLOOKUP(R50,'02效果表'!D:D,'02效果表'!E:E), 0) +
U50*IF(_xlfn.XLOOKUP(T50,'02效果表'!D:D,'02效果表'!E:E)&lt;0, _xlfn.XLOOKUP(T50,'02效果表'!D:D,'02效果表'!E:E), 0) +
W50*IF(_xlfn.XLOOKUP(V50,'02效果表'!D:D,'02效果表'!E:E)&lt;0, _xlfn.XLOOKUP(V50,'02效果表'!D:D,'02效果表'!E:E), 0) +
Y50*IF(_xlfn.XLOOKUP(X50,'02效果表'!D:D,'02效果表'!E:E)&lt;0, _xlfn.XLOOKUP(X50,'02效果表'!D:D,'02效果表'!E:E), 0) +
AA50*IF(_xlfn.XLOOKUP(Z50,'02效果表'!D:D,'02效果表'!E:E)&lt;0, _xlfn.XLOOKUP(Z50,'02效果表'!D:D,'02效果表'!E:E), 0) +
AC50*IF(_xlfn.XLOOKUP(AB50,'02效果表'!D:D,'02效果表'!E:E)&lt;0, _xlfn.XLOOKUP(AB50,'02效果表'!D:D,'02效果表'!E:E), 0) +
AE50*IF(_xlfn.XLOOKUP(AD50,'02效果表'!D:D,'02效果表'!E:E)&lt;0, _xlfn.XLOOKUP(AD50,'02效果表'!D:D,'02效果表'!E:E), 0)), 1)</f>
        <v>1.7</v>
      </c>
      <c r="G50" s="7">
        <f>ROUND(1/6*(I50*MAX(_xlfn.XLOOKUP(H50,'02效果表'!D:D,'02效果表'!E:E),0)+K50*MAX(_xlfn.XLOOKUP(J50,'02效果表'!D:D,'02效果表'!E:E),0)+M50*MAX(_xlfn.XLOOKUP(L50,'02效果表'!D:D,'02效果表'!E:E),0)+O50*MAX(_xlfn.XLOOKUP(N50,'02效果表'!D:D,'02效果表'!E:E),0)+Q50*MAX(_xlfn.XLOOKUP(P50,'02效果表'!D:D,'02效果表'!E:E),0)+S50*MAX(_xlfn.XLOOKUP(R50,'02效果表'!D:D,'02效果表'!E:E),0)+U50*MAX(_xlfn.XLOOKUP(T50,'02效果表'!D:D,'02效果表'!E:E),0)+W50*MAX(_xlfn.XLOOKUP(V50,'02效果表'!D:D,'02效果表'!E:E),0)+Y50*MAX(_xlfn.XLOOKUP(X50,'02效果表'!D:D,'02效果表'!E:E),0)+AA50*MAX(_xlfn.XLOOKUP(Z50,'02效果表'!D:D,'02效果表'!E:E),0)+AC50*MAX(_xlfn.XLOOKUP(AB50,'02效果表'!D:D,'02效果表'!E:E),0)+AE50*MAX(_xlfn.XLOOKUP(AD50,'02效果表'!D:D,'02效果表'!E:E),0)),1)</f>
        <v>3.3</v>
      </c>
      <c r="H50" s="6" t="s">
        <v>1266</v>
      </c>
      <c r="I50" s="6">
        <v>1</v>
      </c>
      <c r="J50" s="6"/>
      <c r="K50" s="6"/>
      <c r="L50" s="6" t="s">
        <v>1266</v>
      </c>
      <c r="M50" s="6">
        <v>1</v>
      </c>
      <c r="N50" s="6"/>
      <c r="O50" s="6"/>
      <c r="P50" s="6" t="s">
        <v>1238</v>
      </c>
      <c r="Q50" s="6">
        <v>2</v>
      </c>
      <c r="R50" s="6"/>
      <c r="S50" s="6"/>
      <c r="T50" s="6" t="s">
        <v>1238</v>
      </c>
      <c r="U50" s="6">
        <v>2</v>
      </c>
      <c r="V50" s="6"/>
      <c r="W50" s="6"/>
      <c r="X50" s="6" t="s">
        <v>1242</v>
      </c>
      <c r="Y50" s="6">
        <v>1</v>
      </c>
      <c r="Z50" s="6"/>
      <c r="AA50" s="6"/>
      <c r="AB50" s="6" t="s">
        <v>1242</v>
      </c>
      <c r="AC50" s="6">
        <v>1</v>
      </c>
      <c r="AD50" s="6"/>
      <c r="AE50" s="6"/>
    </row>
    <row r="51" spans="1:31" x14ac:dyDescent="0.35">
      <c r="A51" s="6">
        <v>50</v>
      </c>
      <c r="B51" s="6" t="s">
        <v>0</v>
      </c>
      <c r="C51" s="10" t="s">
        <v>16</v>
      </c>
      <c r="D51" s="9" t="s">
        <v>129</v>
      </c>
      <c r="E51" s="7">
        <f t="shared" si="0"/>
        <v>4</v>
      </c>
      <c r="F51" s="7">
        <f>-1*ROUND(1/6*(I51*IF(_xlfn.XLOOKUP(H51,'02效果表'!D:D,'02效果表'!E:E)&lt;0, _xlfn.XLOOKUP(H51,'02效果表'!D:D,'02效果表'!E:E), 0) +
K51*IF(_xlfn.XLOOKUP(J51,'02效果表'!D:D,'02效果表'!E:E)&lt;0, _xlfn.XLOOKUP(J51,'02效果表'!D:D,'02效果表'!E:E), 0) +
M51*IF(_xlfn.XLOOKUP(L51,'02效果表'!D:D,'02效果表'!E:E)&lt;0, _xlfn.XLOOKUP(L51,'02效果表'!D:D,'02效果表'!E:E), 0) +
O51*IF(_xlfn.XLOOKUP(N51,'02效果表'!D:D,'02效果表'!E:E)&lt;0, _xlfn.XLOOKUP(N51,'02效果表'!D:D,'02效果表'!E:E), 0) +
Q51*IF(_xlfn.XLOOKUP(P51,'02效果表'!D:D,'02效果表'!E:E)&lt;0, _xlfn.XLOOKUP(P51,'02效果表'!D:D,'02效果表'!E:E), 0) +
S51*IF(_xlfn.XLOOKUP(R51,'02效果表'!D:D,'02效果表'!E:E)&lt;0, _xlfn.XLOOKUP(R51,'02效果表'!D:D,'02效果表'!E:E), 0) +
U51*IF(_xlfn.XLOOKUP(T51,'02效果表'!D:D,'02效果表'!E:E)&lt;0, _xlfn.XLOOKUP(T51,'02效果表'!D:D,'02效果表'!E:E), 0) +
W51*IF(_xlfn.XLOOKUP(V51,'02效果表'!D:D,'02效果表'!E:E)&lt;0, _xlfn.XLOOKUP(V51,'02效果表'!D:D,'02效果表'!E:E), 0) +
Y51*IF(_xlfn.XLOOKUP(X51,'02效果表'!D:D,'02效果表'!E:E)&lt;0, _xlfn.XLOOKUP(X51,'02效果表'!D:D,'02效果表'!E:E), 0) +
AA51*IF(_xlfn.XLOOKUP(Z51,'02效果表'!D:D,'02效果表'!E:E)&lt;0, _xlfn.XLOOKUP(Z51,'02效果表'!D:D,'02效果表'!E:E), 0) +
AC51*IF(_xlfn.XLOOKUP(AB51,'02效果表'!D:D,'02效果表'!E:E)&lt;0, _xlfn.XLOOKUP(AB51,'02效果表'!D:D,'02效果表'!E:E), 0) +
AE51*IF(_xlfn.XLOOKUP(AD51,'02效果表'!D:D,'02效果表'!E:E)&lt;0, _xlfn.XLOOKUP(AD51,'02效果表'!D:D,'02效果表'!E:E), 0)), 1)</f>
        <v>4.3</v>
      </c>
      <c r="G51" s="7">
        <f>ROUND(1/6*(I51*MAX(_xlfn.XLOOKUP(H51,'02效果表'!D:D,'02效果表'!E:E),0)+K51*MAX(_xlfn.XLOOKUP(J51,'02效果表'!D:D,'02效果表'!E:E),0)+M51*MAX(_xlfn.XLOOKUP(L51,'02效果表'!D:D,'02效果表'!E:E),0)+O51*MAX(_xlfn.XLOOKUP(N51,'02效果表'!D:D,'02效果表'!E:E),0)+Q51*MAX(_xlfn.XLOOKUP(P51,'02效果表'!D:D,'02效果表'!E:E),0)+S51*MAX(_xlfn.XLOOKUP(R51,'02效果表'!D:D,'02效果表'!E:E),0)+U51*MAX(_xlfn.XLOOKUP(T51,'02效果表'!D:D,'02效果表'!E:E),0)+W51*MAX(_xlfn.XLOOKUP(V51,'02效果表'!D:D,'02效果表'!E:E),0)+Y51*MAX(_xlfn.XLOOKUP(X51,'02效果表'!D:D,'02效果表'!E:E),0)+AA51*MAX(_xlfn.XLOOKUP(Z51,'02效果表'!D:D,'02效果表'!E:E),0)+AC51*MAX(_xlfn.XLOOKUP(AB51,'02效果表'!D:D,'02效果表'!E:E),0)+AE51*MAX(_xlfn.XLOOKUP(AD51,'02效果表'!D:D,'02效果表'!E:E),0)),1)</f>
        <v>8</v>
      </c>
      <c r="H51" s="6" t="s">
        <v>1267</v>
      </c>
      <c r="I51" s="6">
        <v>1</v>
      </c>
      <c r="J51" s="6"/>
      <c r="K51" s="6"/>
      <c r="L51" s="6" t="s">
        <v>1267</v>
      </c>
      <c r="M51" s="6">
        <v>1</v>
      </c>
      <c r="N51" s="6"/>
      <c r="O51" s="6"/>
      <c r="P51" s="6" t="s">
        <v>1193</v>
      </c>
      <c r="Q51" s="6">
        <v>4</v>
      </c>
      <c r="R51" s="6"/>
      <c r="S51" s="6"/>
      <c r="T51" s="6" t="s">
        <v>1193</v>
      </c>
      <c r="U51" s="6">
        <v>4</v>
      </c>
      <c r="V51" s="6"/>
      <c r="W51" s="6"/>
      <c r="X51" s="6" t="s">
        <v>1268</v>
      </c>
      <c r="Y51" s="6">
        <v>1</v>
      </c>
      <c r="Z51" s="6"/>
      <c r="AA51" s="6"/>
      <c r="AB51" s="6" t="s">
        <v>1268</v>
      </c>
      <c r="AC51" s="6">
        <v>1</v>
      </c>
      <c r="AD51" s="6"/>
      <c r="AE51" s="6"/>
    </row>
    <row r="52" spans="1:31" x14ac:dyDescent="0.35">
      <c r="A52" s="6">
        <v>51</v>
      </c>
      <c r="B52" s="6" t="s">
        <v>0</v>
      </c>
      <c r="C52" s="10" t="s">
        <v>16</v>
      </c>
      <c r="D52" s="9" t="s">
        <v>130</v>
      </c>
      <c r="E52" s="7">
        <f t="shared" si="0"/>
        <v>5</v>
      </c>
      <c r="F52" s="7">
        <f>-1*ROUND(1/6*(I52*IF(_xlfn.XLOOKUP(H52,'02效果表'!D:D,'02效果表'!E:E)&lt;0, _xlfn.XLOOKUP(H52,'02效果表'!D:D,'02效果表'!E:E), 0) +
K52*IF(_xlfn.XLOOKUP(J52,'02效果表'!D:D,'02效果表'!E:E)&lt;0, _xlfn.XLOOKUP(J52,'02效果表'!D:D,'02效果表'!E:E), 0) +
M52*IF(_xlfn.XLOOKUP(L52,'02效果表'!D:D,'02效果表'!E:E)&lt;0, _xlfn.XLOOKUP(L52,'02效果表'!D:D,'02效果表'!E:E), 0) +
O52*IF(_xlfn.XLOOKUP(N52,'02效果表'!D:D,'02效果表'!E:E)&lt;0, _xlfn.XLOOKUP(N52,'02效果表'!D:D,'02效果表'!E:E), 0) +
Q52*IF(_xlfn.XLOOKUP(P52,'02效果表'!D:D,'02效果表'!E:E)&lt;0, _xlfn.XLOOKUP(P52,'02效果表'!D:D,'02效果表'!E:E), 0) +
S52*IF(_xlfn.XLOOKUP(R52,'02效果表'!D:D,'02效果表'!E:E)&lt;0, _xlfn.XLOOKUP(R52,'02效果表'!D:D,'02效果表'!E:E), 0) +
U52*IF(_xlfn.XLOOKUP(T52,'02效果表'!D:D,'02效果表'!E:E)&lt;0, _xlfn.XLOOKUP(T52,'02效果表'!D:D,'02效果表'!E:E), 0) +
W52*IF(_xlfn.XLOOKUP(V52,'02效果表'!D:D,'02效果表'!E:E)&lt;0, _xlfn.XLOOKUP(V52,'02效果表'!D:D,'02效果表'!E:E), 0) +
Y52*IF(_xlfn.XLOOKUP(X52,'02效果表'!D:D,'02效果表'!E:E)&lt;0, _xlfn.XLOOKUP(X52,'02效果表'!D:D,'02效果表'!E:E), 0) +
AA52*IF(_xlfn.XLOOKUP(Z52,'02效果表'!D:D,'02效果表'!E:E)&lt;0, _xlfn.XLOOKUP(Z52,'02效果表'!D:D,'02效果表'!E:E), 0) +
AC52*IF(_xlfn.XLOOKUP(AB52,'02效果表'!D:D,'02效果表'!E:E)&lt;0, _xlfn.XLOOKUP(AB52,'02效果表'!D:D,'02效果表'!E:E), 0) +
AE52*IF(_xlfn.XLOOKUP(AD52,'02效果表'!D:D,'02效果表'!E:E)&lt;0, _xlfn.XLOOKUP(AD52,'02效果表'!D:D,'02效果表'!E:E), 0)), 1)</f>
        <v>1.7</v>
      </c>
      <c r="G52" s="7">
        <f>ROUND(1/6*(I52*MAX(_xlfn.XLOOKUP(H52,'02效果表'!D:D,'02效果表'!E:E),0)+K52*MAX(_xlfn.XLOOKUP(J52,'02效果表'!D:D,'02效果表'!E:E),0)+M52*MAX(_xlfn.XLOOKUP(L52,'02效果表'!D:D,'02效果表'!E:E),0)+O52*MAX(_xlfn.XLOOKUP(N52,'02效果表'!D:D,'02效果表'!E:E),0)+Q52*MAX(_xlfn.XLOOKUP(P52,'02效果表'!D:D,'02效果表'!E:E),0)+S52*MAX(_xlfn.XLOOKUP(R52,'02效果表'!D:D,'02效果表'!E:E),0)+U52*MAX(_xlfn.XLOOKUP(T52,'02效果表'!D:D,'02效果表'!E:E),0)+W52*MAX(_xlfn.XLOOKUP(V52,'02效果表'!D:D,'02效果表'!E:E),0)+Y52*MAX(_xlfn.XLOOKUP(X52,'02效果表'!D:D,'02效果表'!E:E),0)+AA52*MAX(_xlfn.XLOOKUP(Z52,'02效果表'!D:D,'02效果表'!E:E),0)+AC52*MAX(_xlfn.XLOOKUP(AB52,'02效果表'!D:D,'02效果表'!E:E),0)+AE52*MAX(_xlfn.XLOOKUP(AD52,'02效果表'!D:D,'02效果表'!E:E),0)),1)</f>
        <v>7</v>
      </c>
      <c r="H52" s="6" t="s">
        <v>1247</v>
      </c>
      <c r="I52" s="6">
        <v>10</v>
      </c>
      <c r="J52" s="6"/>
      <c r="K52" s="6"/>
      <c r="L52" s="6" t="s">
        <v>1247</v>
      </c>
      <c r="M52" s="6">
        <v>11</v>
      </c>
      <c r="N52" s="6"/>
      <c r="O52" s="6"/>
      <c r="P52" s="6" t="s">
        <v>1248</v>
      </c>
      <c r="Q52" s="6">
        <v>1</v>
      </c>
      <c r="R52" s="6"/>
      <c r="S52" s="6"/>
      <c r="T52" s="6" t="s">
        <v>1248</v>
      </c>
      <c r="U52" s="6">
        <v>1</v>
      </c>
      <c r="V52" s="6"/>
      <c r="W52" s="6"/>
      <c r="X52" s="6" t="s">
        <v>1248</v>
      </c>
      <c r="Y52" s="6">
        <v>1</v>
      </c>
      <c r="Z52" s="6"/>
      <c r="AA52" s="6"/>
      <c r="AB52" s="6" t="s">
        <v>1248</v>
      </c>
      <c r="AC52" s="6">
        <v>2</v>
      </c>
      <c r="AD52" s="6"/>
      <c r="AE52" s="6"/>
    </row>
    <row r="53" spans="1:31" x14ac:dyDescent="0.35">
      <c r="A53" s="6">
        <v>52</v>
      </c>
      <c r="B53" s="6" t="s">
        <v>0</v>
      </c>
      <c r="C53" s="10" t="s">
        <v>16</v>
      </c>
      <c r="D53" s="9" t="s">
        <v>71</v>
      </c>
      <c r="E53" s="7">
        <f t="shared" si="0"/>
        <v>6</v>
      </c>
      <c r="F53" s="7">
        <f>-1*ROUND(1/6*(I53*IF(_xlfn.XLOOKUP(H53,'02效果表'!D:D,'02效果表'!E:E)&lt;0, _xlfn.XLOOKUP(H53,'02效果表'!D:D,'02效果表'!E:E), 0) +
K53*IF(_xlfn.XLOOKUP(J53,'02效果表'!D:D,'02效果表'!E:E)&lt;0, _xlfn.XLOOKUP(J53,'02效果表'!D:D,'02效果表'!E:E), 0) +
M53*IF(_xlfn.XLOOKUP(L53,'02效果表'!D:D,'02效果表'!E:E)&lt;0, _xlfn.XLOOKUP(L53,'02效果表'!D:D,'02效果表'!E:E), 0) +
O53*IF(_xlfn.XLOOKUP(N53,'02效果表'!D:D,'02效果表'!E:E)&lt;0, _xlfn.XLOOKUP(N53,'02效果表'!D:D,'02效果表'!E:E), 0) +
Q53*IF(_xlfn.XLOOKUP(P53,'02效果表'!D:D,'02效果表'!E:E)&lt;0, _xlfn.XLOOKUP(P53,'02效果表'!D:D,'02效果表'!E:E), 0) +
S53*IF(_xlfn.XLOOKUP(R53,'02效果表'!D:D,'02效果表'!E:E)&lt;0, _xlfn.XLOOKUP(R53,'02效果表'!D:D,'02效果表'!E:E), 0) +
U53*IF(_xlfn.XLOOKUP(T53,'02效果表'!D:D,'02效果表'!E:E)&lt;0, _xlfn.XLOOKUP(T53,'02效果表'!D:D,'02效果表'!E:E), 0) +
W53*IF(_xlfn.XLOOKUP(V53,'02效果表'!D:D,'02效果表'!E:E)&lt;0, _xlfn.XLOOKUP(V53,'02效果表'!D:D,'02效果表'!E:E), 0) +
Y53*IF(_xlfn.XLOOKUP(X53,'02效果表'!D:D,'02效果表'!E:E)&lt;0, _xlfn.XLOOKUP(X53,'02效果表'!D:D,'02效果表'!E:E), 0) +
AA53*IF(_xlfn.XLOOKUP(Z53,'02效果表'!D:D,'02效果表'!E:E)&lt;0, _xlfn.XLOOKUP(Z53,'02效果表'!D:D,'02效果表'!E:E), 0) +
AC53*IF(_xlfn.XLOOKUP(AB53,'02效果表'!D:D,'02效果表'!E:E)&lt;0, _xlfn.XLOOKUP(AB53,'02效果表'!D:D,'02效果表'!E:E), 0) +
AE53*IF(_xlfn.XLOOKUP(AD53,'02效果表'!D:D,'02效果表'!E:E)&lt;0, _xlfn.XLOOKUP(AD53,'02效果表'!D:D,'02效果表'!E:E), 0)), 1)</f>
        <v>2.9</v>
      </c>
      <c r="G53" s="7">
        <f>ROUND(1/6*(I53*MAX(_xlfn.XLOOKUP(H53,'02效果表'!D:D,'02效果表'!E:E),0)+K53*MAX(_xlfn.XLOOKUP(J53,'02效果表'!D:D,'02效果表'!E:E),0)+M53*MAX(_xlfn.XLOOKUP(L53,'02效果表'!D:D,'02效果表'!E:E),0)+O53*MAX(_xlfn.XLOOKUP(N53,'02效果表'!D:D,'02效果表'!E:E),0)+Q53*MAX(_xlfn.XLOOKUP(P53,'02效果表'!D:D,'02效果表'!E:E),0)+S53*MAX(_xlfn.XLOOKUP(R53,'02效果表'!D:D,'02效果表'!E:E),0)+U53*MAX(_xlfn.XLOOKUP(T53,'02效果表'!D:D,'02效果表'!E:E),0)+W53*MAX(_xlfn.XLOOKUP(V53,'02效果表'!D:D,'02效果表'!E:E),0)+Y53*MAX(_xlfn.XLOOKUP(X53,'02效果表'!D:D,'02效果表'!E:E),0)+AA53*MAX(_xlfn.XLOOKUP(Z53,'02效果表'!D:D,'02效果表'!E:E),0)+AC53*MAX(_xlfn.XLOOKUP(AB53,'02效果表'!D:D,'02效果表'!E:E),0)+AE53*MAX(_xlfn.XLOOKUP(AD53,'02效果表'!D:D,'02效果表'!E:E),0)),1)</f>
        <v>8.8000000000000007</v>
      </c>
      <c r="H53" s="6" t="s">
        <v>1226</v>
      </c>
      <c r="I53" s="6">
        <v>8</v>
      </c>
      <c r="J53" s="6"/>
      <c r="K53" s="6"/>
      <c r="L53" s="6" t="s">
        <v>1226</v>
      </c>
      <c r="M53" s="6">
        <v>7</v>
      </c>
      <c r="N53" s="6"/>
      <c r="O53" s="6"/>
      <c r="P53" s="6" t="s">
        <v>1249</v>
      </c>
      <c r="Q53" s="6">
        <v>1</v>
      </c>
      <c r="R53" s="6"/>
      <c r="S53" s="6"/>
      <c r="T53" s="6" t="s">
        <v>1249</v>
      </c>
      <c r="U53" s="6">
        <v>1</v>
      </c>
      <c r="V53" s="6"/>
      <c r="W53" s="6"/>
      <c r="X53" s="6" t="s">
        <v>1249</v>
      </c>
      <c r="Y53" s="6">
        <v>1</v>
      </c>
      <c r="Z53" s="6"/>
      <c r="AA53" s="6"/>
      <c r="AB53" s="6" t="s">
        <v>1249</v>
      </c>
      <c r="AC53" s="6">
        <v>2</v>
      </c>
      <c r="AD53" s="6"/>
      <c r="AE53" s="6"/>
    </row>
    <row r="54" spans="1:31" x14ac:dyDescent="0.35">
      <c r="A54" s="6">
        <v>53</v>
      </c>
      <c r="B54" s="6" t="s">
        <v>0</v>
      </c>
      <c r="C54" s="10" t="s">
        <v>16</v>
      </c>
      <c r="D54" s="9" t="s">
        <v>73</v>
      </c>
      <c r="E54" s="7">
        <f t="shared" si="0"/>
        <v>3</v>
      </c>
      <c r="F54" s="7">
        <f>-1*ROUND(1/6*(I54*IF(_xlfn.XLOOKUP(H54,'02效果表'!D:D,'02效果表'!E:E)&lt;0, _xlfn.XLOOKUP(H54,'02效果表'!D:D,'02效果表'!E:E), 0) +
K54*IF(_xlfn.XLOOKUP(J54,'02效果表'!D:D,'02效果表'!E:E)&lt;0, _xlfn.XLOOKUP(J54,'02效果表'!D:D,'02效果表'!E:E), 0) +
M54*IF(_xlfn.XLOOKUP(L54,'02效果表'!D:D,'02效果表'!E:E)&lt;0, _xlfn.XLOOKUP(L54,'02效果表'!D:D,'02效果表'!E:E), 0) +
O54*IF(_xlfn.XLOOKUP(N54,'02效果表'!D:D,'02效果表'!E:E)&lt;0, _xlfn.XLOOKUP(N54,'02效果表'!D:D,'02效果表'!E:E), 0) +
Q54*IF(_xlfn.XLOOKUP(P54,'02效果表'!D:D,'02效果表'!E:E)&lt;0, _xlfn.XLOOKUP(P54,'02效果表'!D:D,'02效果表'!E:E), 0) +
S54*IF(_xlfn.XLOOKUP(R54,'02效果表'!D:D,'02效果表'!E:E)&lt;0, _xlfn.XLOOKUP(R54,'02效果表'!D:D,'02效果表'!E:E), 0) +
U54*IF(_xlfn.XLOOKUP(T54,'02效果表'!D:D,'02效果表'!E:E)&lt;0, _xlfn.XLOOKUP(T54,'02效果表'!D:D,'02效果表'!E:E), 0) +
W54*IF(_xlfn.XLOOKUP(V54,'02效果表'!D:D,'02效果表'!E:E)&lt;0, _xlfn.XLOOKUP(V54,'02效果表'!D:D,'02效果表'!E:E), 0) +
Y54*IF(_xlfn.XLOOKUP(X54,'02效果表'!D:D,'02效果表'!E:E)&lt;0, _xlfn.XLOOKUP(X54,'02效果表'!D:D,'02效果表'!E:E), 0) +
AA54*IF(_xlfn.XLOOKUP(Z54,'02效果表'!D:D,'02效果表'!E:E)&lt;0, _xlfn.XLOOKUP(Z54,'02效果表'!D:D,'02效果表'!E:E), 0) +
AC54*IF(_xlfn.XLOOKUP(AB54,'02效果表'!D:D,'02效果表'!E:E)&lt;0, _xlfn.XLOOKUP(AB54,'02效果表'!D:D,'02效果表'!E:E), 0) +
AE54*IF(_xlfn.XLOOKUP(AD54,'02效果表'!D:D,'02效果表'!E:E)&lt;0, _xlfn.XLOOKUP(AD54,'02效果表'!D:D,'02效果表'!E:E), 0)), 1)</f>
        <v>0.8</v>
      </c>
      <c r="G54" s="7">
        <f>ROUND(1/6*(I54*MAX(_xlfn.XLOOKUP(H54,'02效果表'!D:D,'02效果表'!E:E),0)+K54*MAX(_xlfn.XLOOKUP(J54,'02效果表'!D:D,'02效果表'!E:E),0)+M54*MAX(_xlfn.XLOOKUP(L54,'02效果表'!D:D,'02效果表'!E:E),0)+O54*MAX(_xlfn.XLOOKUP(N54,'02效果表'!D:D,'02效果表'!E:E),0)+Q54*MAX(_xlfn.XLOOKUP(P54,'02效果表'!D:D,'02效果表'!E:E),0)+S54*MAX(_xlfn.XLOOKUP(R54,'02效果表'!D:D,'02效果表'!E:E),0)+U54*MAX(_xlfn.XLOOKUP(T54,'02效果表'!D:D,'02效果表'!E:E),0)+W54*MAX(_xlfn.XLOOKUP(V54,'02效果表'!D:D,'02效果表'!E:E),0)+Y54*MAX(_xlfn.XLOOKUP(X54,'02效果表'!D:D,'02效果表'!E:E),0)+AA54*MAX(_xlfn.XLOOKUP(Z54,'02效果表'!D:D,'02效果表'!E:E),0)+AC54*MAX(_xlfn.XLOOKUP(AB54,'02效果表'!D:D,'02效果表'!E:E),0)+AE54*MAX(_xlfn.XLOOKUP(AD54,'02效果表'!D:D,'02效果表'!E:E),0)),1)</f>
        <v>3.8</v>
      </c>
      <c r="H54" s="6" t="s">
        <v>1221</v>
      </c>
      <c r="I54" s="6">
        <v>12</v>
      </c>
      <c r="J54" s="6"/>
      <c r="K54" s="6"/>
      <c r="L54" s="6" t="s">
        <v>1221</v>
      </c>
      <c r="M54" s="6">
        <v>11</v>
      </c>
      <c r="N54" s="6"/>
      <c r="O54" s="6"/>
      <c r="P54" s="6" t="s">
        <v>1238</v>
      </c>
      <c r="Q54" s="6">
        <v>1</v>
      </c>
      <c r="R54" s="6"/>
      <c r="S54" s="6"/>
      <c r="T54" s="6" t="s">
        <v>1238</v>
      </c>
      <c r="U54" s="6">
        <v>1</v>
      </c>
      <c r="V54" s="6"/>
      <c r="W54" s="6"/>
      <c r="X54" s="6" t="s">
        <v>1238</v>
      </c>
      <c r="Y54" s="6">
        <v>1</v>
      </c>
      <c r="Z54" s="6"/>
      <c r="AA54" s="6"/>
      <c r="AB54" s="6" t="s">
        <v>1238</v>
      </c>
      <c r="AC54" s="6">
        <v>2</v>
      </c>
      <c r="AD54" s="6"/>
      <c r="AE54" s="6"/>
    </row>
    <row r="55" spans="1:31" x14ac:dyDescent="0.35">
      <c r="A55" s="6">
        <v>54</v>
      </c>
      <c r="B55" s="6" t="s">
        <v>0</v>
      </c>
      <c r="C55" s="10" t="s">
        <v>16</v>
      </c>
      <c r="D55" s="9" t="s">
        <v>74</v>
      </c>
      <c r="E55" s="7">
        <f t="shared" si="0"/>
        <v>2</v>
      </c>
      <c r="F55" s="7">
        <f>-1*ROUND(1/6*(I55*IF(_xlfn.XLOOKUP(H55,'02效果表'!D:D,'02效果表'!E:E)&lt;0, _xlfn.XLOOKUP(H55,'02效果表'!D:D,'02效果表'!E:E), 0) +
K55*IF(_xlfn.XLOOKUP(J55,'02效果表'!D:D,'02效果表'!E:E)&lt;0, _xlfn.XLOOKUP(J55,'02效果表'!D:D,'02效果表'!E:E), 0) +
M55*IF(_xlfn.XLOOKUP(L55,'02效果表'!D:D,'02效果表'!E:E)&lt;0, _xlfn.XLOOKUP(L55,'02效果表'!D:D,'02效果表'!E:E), 0) +
O55*IF(_xlfn.XLOOKUP(N55,'02效果表'!D:D,'02效果表'!E:E)&lt;0, _xlfn.XLOOKUP(N55,'02效果表'!D:D,'02效果表'!E:E), 0) +
Q55*IF(_xlfn.XLOOKUP(P55,'02效果表'!D:D,'02效果表'!E:E)&lt;0, _xlfn.XLOOKUP(P55,'02效果表'!D:D,'02效果表'!E:E), 0) +
S55*IF(_xlfn.XLOOKUP(R55,'02效果表'!D:D,'02效果表'!E:E)&lt;0, _xlfn.XLOOKUP(R55,'02效果表'!D:D,'02效果表'!E:E), 0) +
U55*IF(_xlfn.XLOOKUP(T55,'02效果表'!D:D,'02效果表'!E:E)&lt;0, _xlfn.XLOOKUP(T55,'02效果表'!D:D,'02效果表'!E:E), 0) +
W55*IF(_xlfn.XLOOKUP(V55,'02效果表'!D:D,'02效果表'!E:E)&lt;0, _xlfn.XLOOKUP(V55,'02效果表'!D:D,'02效果表'!E:E), 0) +
Y55*IF(_xlfn.XLOOKUP(X55,'02效果表'!D:D,'02效果表'!E:E)&lt;0, _xlfn.XLOOKUP(X55,'02效果表'!D:D,'02效果表'!E:E), 0) +
AA55*IF(_xlfn.XLOOKUP(Z55,'02效果表'!D:D,'02效果表'!E:E)&lt;0, _xlfn.XLOOKUP(Z55,'02效果表'!D:D,'02效果表'!E:E), 0) +
AC55*IF(_xlfn.XLOOKUP(AB55,'02效果表'!D:D,'02效果表'!E:E)&lt;0, _xlfn.XLOOKUP(AB55,'02效果表'!D:D,'02效果表'!E:E), 0) +
AE55*IF(_xlfn.XLOOKUP(AD55,'02效果表'!D:D,'02效果表'!E:E)&lt;0, _xlfn.XLOOKUP(AD55,'02效果表'!D:D,'02效果表'!E:E), 0)), 1)</f>
        <v>2.2999999999999998</v>
      </c>
      <c r="G55" s="7">
        <f>ROUND(1/6*(I55*MAX(_xlfn.XLOOKUP(H55,'02效果表'!D:D,'02效果表'!E:E),0)+K55*MAX(_xlfn.XLOOKUP(J55,'02效果表'!D:D,'02效果表'!E:E),0)+M55*MAX(_xlfn.XLOOKUP(L55,'02效果表'!D:D,'02效果表'!E:E),0)+O55*MAX(_xlfn.XLOOKUP(N55,'02效果表'!D:D,'02效果表'!E:E),0)+Q55*MAX(_xlfn.XLOOKUP(P55,'02效果表'!D:D,'02效果表'!E:E),0)+S55*MAX(_xlfn.XLOOKUP(R55,'02效果表'!D:D,'02效果表'!E:E),0)+U55*MAX(_xlfn.XLOOKUP(T55,'02效果表'!D:D,'02效果表'!E:E),0)+W55*MAX(_xlfn.XLOOKUP(V55,'02效果表'!D:D,'02效果表'!E:E),0)+Y55*MAX(_xlfn.XLOOKUP(X55,'02效果表'!D:D,'02效果表'!E:E),0)+AA55*MAX(_xlfn.XLOOKUP(Z55,'02效果表'!D:D,'02效果表'!E:E),0)+AC55*MAX(_xlfn.XLOOKUP(AB55,'02效果表'!D:D,'02效果表'!E:E),0)+AE55*MAX(_xlfn.XLOOKUP(AD55,'02效果表'!D:D,'02效果表'!E:E),0)),1)</f>
        <v>3.8</v>
      </c>
      <c r="H55" s="6" t="s">
        <v>1221</v>
      </c>
      <c r="I55" s="6">
        <v>6</v>
      </c>
      <c r="J55" s="6" t="s">
        <v>1220</v>
      </c>
      <c r="K55" s="6">
        <v>1</v>
      </c>
      <c r="L55" s="6" t="s">
        <v>1221</v>
      </c>
      <c r="M55" s="6">
        <v>7</v>
      </c>
      <c r="N55" s="6" t="s">
        <v>1220</v>
      </c>
      <c r="O55" s="6">
        <v>1</v>
      </c>
      <c r="P55" s="6" t="s">
        <v>1193</v>
      </c>
      <c r="Q55" s="6">
        <v>2</v>
      </c>
      <c r="R55" s="6"/>
      <c r="S55" s="6"/>
      <c r="T55" s="6" t="s">
        <v>1193</v>
      </c>
      <c r="U55" s="6">
        <v>3</v>
      </c>
      <c r="V55" s="6"/>
      <c r="W55" s="6"/>
      <c r="X55" s="6" t="s">
        <v>1193</v>
      </c>
      <c r="Y55" s="6">
        <v>4</v>
      </c>
      <c r="Z55" s="6"/>
      <c r="AA55" s="6"/>
      <c r="AB55" s="6" t="s">
        <v>1253</v>
      </c>
      <c r="AC55" s="6">
        <v>4</v>
      </c>
      <c r="AD55" s="6"/>
      <c r="AE55" s="6"/>
    </row>
    <row r="56" spans="1:31" x14ac:dyDescent="0.35">
      <c r="A56" s="6">
        <v>55</v>
      </c>
      <c r="B56" s="6" t="s">
        <v>0</v>
      </c>
      <c r="C56" s="10" t="s">
        <v>16</v>
      </c>
      <c r="D56" s="9" t="s">
        <v>75</v>
      </c>
      <c r="E56" s="7">
        <f t="shared" si="0"/>
        <v>2</v>
      </c>
      <c r="F56" s="7">
        <f>-1*ROUND(1/6*(I56*IF(_xlfn.XLOOKUP(H56,'02效果表'!D:D,'02效果表'!E:E)&lt;0, _xlfn.XLOOKUP(H56,'02效果表'!D:D,'02效果表'!E:E), 0) +
K56*IF(_xlfn.XLOOKUP(J56,'02效果表'!D:D,'02效果表'!E:E)&lt;0, _xlfn.XLOOKUP(J56,'02效果表'!D:D,'02效果表'!E:E), 0) +
M56*IF(_xlfn.XLOOKUP(L56,'02效果表'!D:D,'02效果表'!E:E)&lt;0, _xlfn.XLOOKUP(L56,'02效果表'!D:D,'02效果表'!E:E), 0) +
O56*IF(_xlfn.XLOOKUP(N56,'02效果表'!D:D,'02效果表'!E:E)&lt;0, _xlfn.XLOOKUP(N56,'02效果表'!D:D,'02效果表'!E:E), 0) +
Q56*IF(_xlfn.XLOOKUP(P56,'02效果表'!D:D,'02效果表'!E:E)&lt;0, _xlfn.XLOOKUP(P56,'02效果表'!D:D,'02效果表'!E:E), 0) +
S56*IF(_xlfn.XLOOKUP(R56,'02效果表'!D:D,'02效果表'!E:E)&lt;0, _xlfn.XLOOKUP(R56,'02效果表'!D:D,'02效果表'!E:E), 0) +
U56*IF(_xlfn.XLOOKUP(T56,'02效果表'!D:D,'02效果表'!E:E)&lt;0, _xlfn.XLOOKUP(T56,'02效果表'!D:D,'02效果表'!E:E), 0) +
W56*IF(_xlfn.XLOOKUP(V56,'02效果表'!D:D,'02效果表'!E:E)&lt;0, _xlfn.XLOOKUP(V56,'02效果表'!D:D,'02效果表'!E:E), 0) +
Y56*IF(_xlfn.XLOOKUP(X56,'02效果表'!D:D,'02效果表'!E:E)&lt;0, _xlfn.XLOOKUP(X56,'02效果表'!D:D,'02效果表'!E:E), 0) +
AA56*IF(_xlfn.XLOOKUP(Z56,'02效果表'!D:D,'02效果表'!E:E)&lt;0, _xlfn.XLOOKUP(Z56,'02效果表'!D:D,'02效果表'!E:E), 0) +
AC56*IF(_xlfn.XLOOKUP(AB56,'02效果表'!D:D,'02效果表'!E:E)&lt;0, _xlfn.XLOOKUP(AB56,'02效果表'!D:D,'02效果表'!E:E), 0) +
AE56*IF(_xlfn.XLOOKUP(AD56,'02效果表'!D:D,'02效果表'!E:E)&lt;0, _xlfn.XLOOKUP(AD56,'02效果表'!D:D,'02效果表'!E:E), 0)), 1)</f>
        <v>1</v>
      </c>
      <c r="G56" s="7">
        <f>ROUND(1/6*(I56*MAX(_xlfn.XLOOKUP(H56,'02效果表'!D:D,'02效果表'!E:E),0)+K56*MAX(_xlfn.XLOOKUP(J56,'02效果表'!D:D,'02效果表'!E:E),0)+M56*MAX(_xlfn.XLOOKUP(L56,'02效果表'!D:D,'02效果表'!E:E),0)+O56*MAX(_xlfn.XLOOKUP(N56,'02效果表'!D:D,'02效果表'!E:E),0)+Q56*MAX(_xlfn.XLOOKUP(P56,'02效果表'!D:D,'02效果表'!E:E),0)+S56*MAX(_xlfn.XLOOKUP(R56,'02效果表'!D:D,'02效果表'!E:E),0)+U56*MAX(_xlfn.XLOOKUP(T56,'02效果表'!D:D,'02效果表'!E:E),0)+W56*MAX(_xlfn.XLOOKUP(V56,'02效果表'!D:D,'02效果表'!E:E),0)+Y56*MAX(_xlfn.XLOOKUP(X56,'02效果表'!D:D,'02效果表'!E:E),0)+AA56*MAX(_xlfn.XLOOKUP(Z56,'02效果表'!D:D,'02效果表'!E:E),0)+AC56*MAX(_xlfn.XLOOKUP(AB56,'02效果表'!D:D,'02效果表'!E:E),0)+AE56*MAX(_xlfn.XLOOKUP(AD56,'02效果表'!D:D,'02效果表'!E:E),0)),1)</f>
        <v>3.3</v>
      </c>
      <c r="H56" s="6" t="s">
        <v>1269</v>
      </c>
      <c r="I56" s="6">
        <v>1</v>
      </c>
      <c r="J56" s="6"/>
      <c r="K56" s="6"/>
      <c r="L56" s="6" t="s">
        <v>1269</v>
      </c>
      <c r="M56" s="6">
        <v>1</v>
      </c>
      <c r="N56" s="6"/>
      <c r="O56" s="6"/>
      <c r="P56" s="6" t="s">
        <v>1238</v>
      </c>
      <c r="Q56" s="6">
        <v>1</v>
      </c>
      <c r="R56" s="6"/>
      <c r="S56" s="6"/>
      <c r="T56" s="6" t="s">
        <v>1238</v>
      </c>
      <c r="U56" s="6">
        <v>1</v>
      </c>
      <c r="V56" s="6"/>
      <c r="W56" s="6"/>
      <c r="X56" s="6" t="s">
        <v>1238</v>
      </c>
      <c r="Y56" s="6">
        <v>2</v>
      </c>
      <c r="Z56" s="6"/>
      <c r="AA56" s="6"/>
      <c r="AB56" s="6" t="s">
        <v>1238</v>
      </c>
      <c r="AC56" s="6">
        <v>2</v>
      </c>
      <c r="AD56" s="6"/>
      <c r="AE56" s="6"/>
    </row>
    <row r="57" spans="1:31" x14ac:dyDescent="0.35">
      <c r="A57" s="6">
        <v>56</v>
      </c>
      <c r="B57" s="6" t="s">
        <v>0</v>
      </c>
      <c r="C57" s="10" t="s">
        <v>16</v>
      </c>
      <c r="D57" s="9" t="s">
        <v>76</v>
      </c>
      <c r="E57" s="7">
        <f t="shared" si="0"/>
        <v>-1</v>
      </c>
      <c r="F57" s="7">
        <f>-1*ROUND(1/6*(I57*IF(_xlfn.XLOOKUP(H57,'02效果表'!D:D,'02效果表'!E:E)&lt;0, _xlfn.XLOOKUP(H57,'02效果表'!D:D,'02效果表'!E:E), 0) +
K57*IF(_xlfn.XLOOKUP(J57,'02效果表'!D:D,'02效果表'!E:E)&lt;0, _xlfn.XLOOKUP(J57,'02效果表'!D:D,'02效果表'!E:E), 0) +
M57*IF(_xlfn.XLOOKUP(L57,'02效果表'!D:D,'02效果表'!E:E)&lt;0, _xlfn.XLOOKUP(L57,'02效果表'!D:D,'02效果表'!E:E), 0) +
O57*IF(_xlfn.XLOOKUP(N57,'02效果表'!D:D,'02效果表'!E:E)&lt;0, _xlfn.XLOOKUP(N57,'02效果表'!D:D,'02效果表'!E:E), 0) +
Q57*IF(_xlfn.XLOOKUP(P57,'02效果表'!D:D,'02效果表'!E:E)&lt;0, _xlfn.XLOOKUP(P57,'02效果表'!D:D,'02效果表'!E:E), 0) +
S57*IF(_xlfn.XLOOKUP(R57,'02效果表'!D:D,'02效果表'!E:E)&lt;0, _xlfn.XLOOKUP(R57,'02效果表'!D:D,'02效果表'!E:E), 0) +
U57*IF(_xlfn.XLOOKUP(T57,'02效果表'!D:D,'02效果表'!E:E)&lt;0, _xlfn.XLOOKUP(T57,'02效果表'!D:D,'02效果表'!E:E), 0) +
W57*IF(_xlfn.XLOOKUP(V57,'02效果表'!D:D,'02效果表'!E:E)&lt;0, _xlfn.XLOOKUP(V57,'02效果表'!D:D,'02效果表'!E:E), 0) +
Y57*IF(_xlfn.XLOOKUP(X57,'02效果表'!D:D,'02效果表'!E:E)&lt;0, _xlfn.XLOOKUP(X57,'02效果表'!D:D,'02效果表'!E:E), 0) +
AA57*IF(_xlfn.XLOOKUP(Z57,'02效果表'!D:D,'02效果表'!E:E)&lt;0, _xlfn.XLOOKUP(Z57,'02效果表'!D:D,'02效果表'!E:E), 0) +
AC57*IF(_xlfn.XLOOKUP(AB57,'02效果表'!D:D,'02效果表'!E:E)&lt;0, _xlfn.XLOOKUP(AB57,'02效果表'!D:D,'02效果表'!E:E), 0) +
AE57*IF(_xlfn.XLOOKUP(AD57,'02效果表'!D:D,'02效果表'!E:E)&lt;0, _xlfn.XLOOKUP(AD57,'02效果表'!D:D,'02效果表'!E:E), 0)), 1)</f>
        <v>4.4000000000000004</v>
      </c>
      <c r="G57" s="7">
        <f>ROUND(1/6*(I57*MAX(_xlfn.XLOOKUP(H57,'02效果表'!D:D,'02效果表'!E:E),0)+K57*MAX(_xlfn.XLOOKUP(J57,'02效果表'!D:D,'02效果表'!E:E),0)+M57*MAX(_xlfn.XLOOKUP(L57,'02效果表'!D:D,'02效果表'!E:E),0)+O57*MAX(_xlfn.XLOOKUP(N57,'02效果表'!D:D,'02效果表'!E:E),0)+Q57*MAX(_xlfn.XLOOKUP(P57,'02效果表'!D:D,'02效果表'!E:E),0)+S57*MAX(_xlfn.XLOOKUP(R57,'02效果表'!D:D,'02效果表'!E:E),0)+U57*MAX(_xlfn.XLOOKUP(T57,'02效果表'!D:D,'02效果表'!E:E),0)+W57*MAX(_xlfn.XLOOKUP(V57,'02效果表'!D:D,'02效果表'!E:E),0)+Y57*MAX(_xlfn.XLOOKUP(X57,'02效果表'!D:D,'02效果表'!E:E),0)+AA57*MAX(_xlfn.XLOOKUP(Z57,'02效果表'!D:D,'02效果表'!E:E),0)+AC57*MAX(_xlfn.XLOOKUP(AB57,'02效果表'!D:D,'02效果表'!E:E),0)+AE57*MAX(_xlfn.XLOOKUP(AD57,'02效果表'!D:D,'02效果表'!E:E),0)),1)</f>
        <v>3.3</v>
      </c>
      <c r="H57" s="6" t="s">
        <v>1220</v>
      </c>
      <c r="I57" s="6">
        <v>2</v>
      </c>
      <c r="J57" s="6"/>
      <c r="K57" s="6"/>
      <c r="L57" s="6" t="s">
        <v>1220</v>
      </c>
      <c r="M57" s="6">
        <v>2</v>
      </c>
      <c r="N57" s="6"/>
      <c r="O57" s="6"/>
      <c r="P57" s="6" t="s">
        <v>1193</v>
      </c>
      <c r="Q57" s="6">
        <v>4</v>
      </c>
      <c r="R57" s="6"/>
      <c r="S57" s="6"/>
      <c r="T57" s="6" t="s">
        <v>1249</v>
      </c>
      <c r="U57" s="6">
        <v>2</v>
      </c>
      <c r="V57" s="6"/>
      <c r="W57" s="6"/>
      <c r="X57" s="6" t="s">
        <v>1249</v>
      </c>
      <c r="Y57" s="6">
        <v>3</v>
      </c>
      <c r="Z57" s="6"/>
      <c r="AA57" s="6"/>
      <c r="AB57" s="6" t="s">
        <v>1253</v>
      </c>
      <c r="AC57" s="6">
        <v>4</v>
      </c>
      <c r="AD57" s="6"/>
      <c r="AE57" s="6"/>
    </row>
    <row r="58" spans="1:31" x14ac:dyDescent="0.35">
      <c r="A58" s="6">
        <v>57</v>
      </c>
      <c r="B58" s="6" t="s">
        <v>0</v>
      </c>
      <c r="C58" s="10" t="s">
        <v>16</v>
      </c>
      <c r="D58" s="9" t="s">
        <v>1270</v>
      </c>
      <c r="E58" s="7">
        <f t="shared" ref="E58" si="4">ROUND(G58-F58,0)</f>
        <v>2</v>
      </c>
      <c r="F58" s="7">
        <f>-1*ROUND(1/6*(I58*IF(_xlfn.XLOOKUP(H58,'02效果表'!D:D,'02效果表'!E:E)&lt;0, _xlfn.XLOOKUP(H58,'02效果表'!D:D,'02效果表'!E:E), 0) +
K58*IF(_xlfn.XLOOKUP(J58,'02效果表'!D:D,'02效果表'!E:E)&lt;0, _xlfn.XLOOKUP(J58,'02效果表'!D:D,'02效果表'!E:E), 0) +
M58*IF(_xlfn.XLOOKUP(L58,'02效果表'!D:D,'02效果表'!E:E)&lt;0, _xlfn.XLOOKUP(L58,'02效果表'!D:D,'02效果表'!E:E), 0) +
O58*IF(_xlfn.XLOOKUP(N58,'02效果表'!D:D,'02效果表'!E:E)&lt;0, _xlfn.XLOOKUP(N58,'02效果表'!D:D,'02效果表'!E:E), 0) +
Q58*IF(_xlfn.XLOOKUP(P58,'02效果表'!D:D,'02效果表'!E:E)&lt;0, _xlfn.XLOOKUP(P58,'02效果表'!D:D,'02效果表'!E:E), 0) +
S58*IF(_xlfn.XLOOKUP(R58,'02效果表'!D:D,'02效果表'!E:E)&lt;0, _xlfn.XLOOKUP(R58,'02效果表'!D:D,'02效果表'!E:E), 0) +
U58*IF(_xlfn.XLOOKUP(T58,'02效果表'!D:D,'02效果表'!E:E)&lt;0, _xlfn.XLOOKUP(T58,'02效果表'!D:D,'02效果表'!E:E), 0) +
W58*IF(_xlfn.XLOOKUP(V58,'02效果表'!D:D,'02效果表'!E:E)&lt;0, _xlfn.XLOOKUP(V58,'02效果表'!D:D,'02效果表'!E:E), 0) +
Y58*IF(_xlfn.XLOOKUP(X58,'02效果表'!D:D,'02效果表'!E:E)&lt;0, _xlfn.XLOOKUP(X58,'02效果表'!D:D,'02效果表'!E:E), 0) +
AA58*IF(_xlfn.XLOOKUP(Z58,'02效果表'!D:D,'02效果表'!E:E)&lt;0, _xlfn.XLOOKUP(Z58,'02效果表'!D:D,'02效果表'!E:E), 0) +
AC58*IF(_xlfn.XLOOKUP(AB58,'02效果表'!D:D,'02效果表'!E:E)&lt;0, _xlfn.XLOOKUP(AB58,'02效果表'!D:D,'02效果表'!E:E), 0) +
AE58*IF(_xlfn.XLOOKUP(AD58,'02效果表'!D:D,'02效果表'!E:E)&lt;0, _xlfn.XLOOKUP(AD58,'02效果表'!D:D,'02效果表'!E:E), 0)), 1)</f>
        <v>3.1</v>
      </c>
      <c r="G58" s="7">
        <f>ROUND(1/6*(I58*MAX(_xlfn.XLOOKUP(H58,'02效果表'!D:D,'02效果表'!E:E),0)+K58*MAX(_xlfn.XLOOKUP(J58,'02效果表'!D:D,'02效果表'!E:E),0)+M58*MAX(_xlfn.XLOOKUP(L58,'02效果表'!D:D,'02效果表'!E:E),0)+O58*MAX(_xlfn.XLOOKUP(N58,'02效果表'!D:D,'02效果表'!E:E),0)+Q58*MAX(_xlfn.XLOOKUP(P58,'02效果表'!D:D,'02效果表'!E:E),0)+S58*MAX(_xlfn.XLOOKUP(R58,'02效果表'!D:D,'02效果表'!E:E),0)+U58*MAX(_xlfn.XLOOKUP(T58,'02效果表'!D:D,'02效果表'!E:E),0)+W58*MAX(_xlfn.XLOOKUP(V58,'02效果表'!D:D,'02效果表'!E:E),0)+Y58*MAX(_xlfn.XLOOKUP(X58,'02效果表'!D:D,'02效果表'!E:E),0)+AA58*MAX(_xlfn.XLOOKUP(Z58,'02效果表'!D:D,'02效果表'!E:E),0)+AC58*MAX(_xlfn.XLOOKUP(AB58,'02效果表'!D:D,'02效果表'!E:E),0)+AE58*MAX(_xlfn.XLOOKUP(AD58,'02效果表'!D:D,'02效果表'!E:E),0)),1)</f>
        <v>4.7</v>
      </c>
      <c r="H58" s="6" t="s">
        <v>1271</v>
      </c>
      <c r="I58" s="6">
        <v>2</v>
      </c>
      <c r="J58" s="6"/>
      <c r="K58" s="6"/>
      <c r="L58" s="6" t="s">
        <v>1271</v>
      </c>
      <c r="M58" s="6">
        <v>2</v>
      </c>
      <c r="N58" s="6"/>
      <c r="O58" s="6"/>
      <c r="P58" s="6" t="s">
        <v>1193</v>
      </c>
      <c r="Q58" s="6">
        <v>3</v>
      </c>
      <c r="R58" s="6"/>
      <c r="S58" s="6"/>
      <c r="T58" s="6" t="s">
        <v>1249</v>
      </c>
      <c r="U58" s="6">
        <v>1</v>
      </c>
      <c r="V58" s="6"/>
      <c r="W58" s="6"/>
      <c r="X58" s="6" t="s">
        <v>1249</v>
      </c>
      <c r="Y58" s="6">
        <v>2</v>
      </c>
      <c r="Z58" s="6"/>
      <c r="AA58" s="6"/>
      <c r="AB58" s="6" t="s">
        <v>1253</v>
      </c>
      <c r="AC58" s="6">
        <v>4</v>
      </c>
      <c r="AD58" s="6"/>
      <c r="AE58" s="6"/>
    </row>
    <row r="59" spans="1:31" x14ac:dyDescent="0.35">
      <c r="A59" s="6">
        <v>57</v>
      </c>
      <c r="B59" s="6" t="s">
        <v>0</v>
      </c>
      <c r="C59" s="10" t="s">
        <v>16</v>
      </c>
      <c r="D59" s="9" t="s">
        <v>77</v>
      </c>
      <c r="E59" s="7">
        <f t="shared" si="0"/>
        <v>0</v>
      </c>
      <c r="F59" s="7">
        <f>-1*ROUND(1/6*(I59*IF(_xlfn.XLOOKUP(H59,'02效果表'!D:D,'02效果表'!E:E)&lt;0, _xlfn.XLOOKUP(H59,'02效果表'!D:D,'02效果表'!E:E), 0) +
K59*IF(_xlfn.XLOOKUP(J59,'02效果表'!D:D,'02效果表'!E:E)&lt;0, _xlfn.XLOOKUP(J59,'02效果表'!D:D,'02效果表'!E:E), 0) +
M59*IF(_xlfn.XLOOKUP(L59,'02效果表'!D:D,'02效果表'!E:E)&lt;0, _xlfn.XLOOKUP(L59,'02效果表'!D:D,'02效果表'!E:E), 0) +
O59*IF(_xlfn.XLOOKUP(N59,'02效果表'!D:D,'02效果表'!E:E)&lt;0, _xlfn.XLOOKUP(N59,'02效果表'!D:D,'02效果表'!E:E), 0) +
Q59*IF(_xlfn.XLOOKUP(P59,'02效果表'!D:D,'02效果表'!E:E)&lt;0, _xlfn.XLOOKUP(P59,'02效果表'!D:D,'02效果表'!E:E), 0) +
S59*IF(_xlfn.XLOOKUP(R59,'02效果表'!D:D,'02效果表'!E:E)&lt;0, _xlfn.XLOOKUP(R59,'02效果表'!D:D,'02效果表'!E:E), 0) +
U59*IF(_xlfn.XLOOKUP(T59,'02效果表'!D:D,'02效果表'!E:E)&lt;0, _xlfn.XLOOKUP(T59,'02效果表'!D:D,'02效果表'!E:E), 0) +
W59*IF(_xlfn.XLOOKUP(V59,'02效果表'!D:D,'02效果表'!E:E)&lt;0, _xlfn.XLOOKUP(V59,'02效果表'!D:D,'02效果表'!E:E), 0) +
Y59*IF(_xlfn.XLOOKUP(X59,'02效果表'!D:D,'02效果表'!E:E)&lt;0, _xlfn.XLOOKUP(X59,'02效果表'!D:D,'02效果表'!E:E), 0) +
AA59*IF(_xlfn.XLOOKUP(Z59,'02效果表'!D:D,'02效果表'!E:E)&lt;0, _xlfn.XLOOKUP(Z59,'02效果表'!D:D,'02效果表'!E:E), 0) +
AC59*IF(_xlfn.XLOOKUP(AB59,'02效果表'!D:D,'02效果表'!E:E)&lt;0, _xlfn.XLOOKUP(AB59,'02效果表'!D:D,'02效果表'!E:E), 0) +
AE59*IF(_xlfn.XLOOKUP(AD59,'02效果表'!D:D,'02效果表'!E:E)&lt;0, _xlfn.XLOOKUP(AD59,'02效果表'!D:D,'02效果表'!E:E), 0)), 1)</f>
        <v>4.4000000000000004</v>
      </c>
      <c r="G59" s="7">
        <f>ROUND(1/6*(I59*MAX(_xlfn.XLOOKUP(H59,'02效果表'!D:D,'02效果表'!E:E),0)+K59*MAX(_xlfn.XLOOKUP(J59,'02效果表'!D:D,'02效果表'!E:E),0)+M59*MAX(_xlfn.XLOOKUP(L59,'02效果表'!D:D,'02效果表'!E:E),0)+O59*MAX(_xlfn.XLOOKUP(N59,'02效果表'!D:D,'02效果表'!E:E),0)+Q59*MAX(_xlfn.XLOOKUP(P59,'02效果表'!D:D,'02效果表'!E:E),0)+S59*MAX(_xlfn.XLOOKUP(R59,'02效果表'!D:D,'02效果表'!E:E),0)+U59*MAX(_xlfn.XLOOKUP(T59,'02效果表'!D:D,'02效果表'!E:E),0)+W59*MAX(_xlfn.XLOOKUP(V59,'02效果表'!D:D,'02效果表'!E:E),0)+Y59*MAX(_xlfn.XLOOKUP(X59,'02效果表'!D:D,'02效果表'!E:E),0)+AA59*MAX(_xlfn.XLOOKUP(Z59,'02效果表'!D:D,'02效果表'!E:E),0)+AC59*MAX(_xlfn.XLOOKUP(AB59,'02效果表'!D:D,'02效果表'!E:E),0)+AE59*MAX(_xlfn.XLOOKUP(AD59,'02效果表'!D:D,'02效果表'!E:E),0)),1)</f>
        <v>4.7</v>
      </c>
      <c r="H59" s="6" t="s">
        <v>1272</v>
      </c>
      <c r="I59" s="6">
        <v>2</v>
      </c>
      <c r="J59" s="6"/>
      <c r="K59" s="6"/>
      <c r="L59" s="6" t="s">
        <v>1272</v>
      </c>
      <c r="M59" s="6">
        <v>2</v>
      </c>
      <c r="N59" s="6"/>
      <c r="O59" s="6"/>
      <c r="P59" s="6" t="s">
        <v>1193</v>
      </c>
      <c r="Q59" s="6">
        <v>4</v>
      </c>
      <c r="R59" s="6"/>
      <c r="S59" s="6"/>
      <c r="T59" s="6" t="s">
        <v>1249</v>
      </c>
      <c r="U59" s="6">
        <v>2</v>
      </c>
      <c r="V59" s="6"/>
      <c r="W59" s="6"/>
      <c r="X59" s="6" t="s">
        <v>1249</v>
      </c>
      <c r="Y59" s="6">
        <v>3</v>
      </c>
      <c r="Z59" s="6"/>
      <c r="AA59" s="6"/>
      <c r="AB59" s="6" t="s">
        <v>1253</v>
      </c>
      <c r="AC59" s="6">
        <v>4</v>
      </c>
      <c r="AD59" s="6"/>
      <c r="AE59" s="6"/>
    </row>
    <row r="60" spans="1:31" x14ac:dyDescent="0.35">
      <c r="A60" s="6">
        <v>58</v>
      </c>
      <c r="B60" s="6" t="s">
        <v>0</v>
      </c>
      <c r="C60" s="10" t="s">
        <v>16</v>
      </c>
      <c r="D60" s="9" t="s">
        <v>78</v>
      </c>
      <c r="E60" s="7">
        <f t="shared" si="0"/>
        <v>2</v>
      </c>
      <c r="F60" s="7">
        <f>-1*ROUND(1/6*(I60*IF(_xlfn.XLOOKUP(H60,'02效果表'!D:D,'02效果表'!E:E)&lt;0, _xlfn.XLOOKUP(H60,'02效果表'!D:D,'02效果表'!E:E), 0) +
K60*IF(_xlfn.XLOOKUP(J60,'02效果表'!D:D,'02效果表'!E:E)&lt;0, _xlfn.XLOOKUP(J60,'02效果表'!D:D,'02效果表'!E:E), 0) +
M60*IF(_xlfn.XLOOKUP(L60,'02效果表'!D:D,'02效果表'!E:E)&lt;0, _xlfn.XLOOKUP(L60,'02效果表'!D:D,'02效果表'!E:E), 0) +
O60*IF(_xlfn.XLOOKUP(N60,'02效果表'!D:D,'02效果表'!E:E)&lt;0, _xlfn.XLOOKUP(N60,'02效果表'!D:D,'02效果表'!E:E), 0) +
Q60*IF(_xlfn.XLOOKUP(P60,'02效果表'!D:D,'02效果表'!E:E)&lt;0, _xlfn.XLOOKUP(P60,'02效果表'!D:D,'02效果表'!E:E), 0) +
S60*IF(_xlfn.XLOOKUP(R60,'02效果表'!D:D,'02效果表'!E:E)&lt;0, _xlfn.XLOOKUP(R60,'02效果表'!D:D,'02效果表'!E:E), 0) +
U60*IF(_xlfn.XLOOKUP(T60,'02效果表'!D:D,'02效果表'!E:E)&lt;0, _xlfn.XLOOKUP(T60,'02效果表'!D:D,'02效果表'!E:E), 0) +
W60*IF(_xlfn.XLOOKUP(V60,'02效果表'!D:D,'02效果表'!E:E)&lt;0, _xlfn.XLOOKUP(V60,'02效果表'!D:D,'02效果表'!E:E), 0) +
Y60*IF(_xlfn.XLOOKUP(X60,'02效果表'!D:D,'02效果表'!E:E)&lt;0, _xlfn.XLOOKUP(X60,'02效果表'!D:D,'02效果表'!E:E), 0) +
AA60*IF(_xlfn.XLOOKUP(Z60,'02效果表'!D:D,'02效果表'!E:E)&lt;0, _xlfn.XLOOKUP(Z60,'02效果表'!D:D,'02效果表'!E:E), 0) +
AC60*IF(_xlfn.XLOOKUP(AB60,'02效果表'!D:D,'02效果表'!E:E)&lt;0, _xlfn.XLOOKUP(AB60,'02效果表'!D:D,'02效果表'!E:E), 0) +
AE60*IF(_xlfn.XLOOKUP(AD60,'02效果表'!D:D,'02效果表'!E:E)&lt;0, _xlfn.XLOOKUP(AD60,'02效果表'!D:D,'02效果表'!E:E), 0)), 1)</f>
        <v>2.2999999999999998</v>
      </c>
      <c r="G60" s="7">
        <f>ROUND(1/6*(I60*MAX(_xlfn.XLOOKUP(H60,'02效果表'!D:D,'02效果表'!E:E),0)+K60*MAX(_xlfn.XLOOKUP(J60,'02效果表'!D:D,'02效果表'!E:E),0)+M60*MAX(_xlfn.XLOOKUP(L60,'02效果表'!D:D,'02效果表'!E:E),0)+O60*MAX(_xlfn.XLOOKUP(N60,'02效果表'!D:D,'02效果表'!E:E),0)+Q60*MAX(_xlfn.XLOOKUP(P60,'02效果表'!D:D,'02效果表'!E:E),0)+S60*MAX(_xlfn.XLOOKUP(R60,'02效果表'!D:D,'02效果表'!E:E),0)+U60*MAX(_xlfn.XLOOKUP(T60,'02效果表'!D:D,'02效果表'!E:E),0)+W60*MAX(_xlfn.XLOOKUP(V60,'02效果表'!D:D,'02效果表'!E:E),0)+Y60*MAX(_xlfn.XLOOKUP(X60,'02效果表'!D:D,'02效果表'!E:E),0)+AA60*MAX(_xlfn.XLOOKUP(Z60,'02效果表'!D:D,'02效果表'!E:E),0)+AC60*MAX(_xlfn.XLOOKUP(AB60,'02效果表'!D:D,'02效果表'!E:E),0)+AE60*MAX(_xlfn.XLOOKUP(AD60,'02效果表'!D:D,'02效果表'!E:E),0)),1)</f>
        <v>4.7</v>
      </c>
      <c r="H60" s="6" t="s">
        <v>1260</v>
      </c>
      <c r="I60" s="6">
        <v>4</v>
      </c>
      <c r="J60" s="6"/>
      <c r="K60" s="6"/>
      <c r="L60" s="6" t="s">
        <v>1260</v>
      </c>
      <c r="M60" s="6">
        <v>3</v>
      </c>
      <c r="N60" s="6"/>
      <c r="O60" s="6"/>
      <c r="P60" s="6" t="s">
        <v>1238</v>
      </c>
      <c r="Q60" s="6">
        <v>2</v>
      </c>
      <c r="R60" s="6"/>
      <c r="S60" s="6"/>
      <c r="T60" s="6" t="s">
        <v>1238</v>
      </c>
      <c r="U60" s="6">
        <v>2</v>
      </c>
      <c r="V60" s="6"/>
      <c r="W60" s="6"/>
      <c r="X60" s="6" t="s">
        <v>1238</v>
      </c>
      <c r="Y60" s="6">
        <v>3</v>
      </c>
      <c r="Z60" s="6"/>
      <c r="AA60" s="6"/>
      <c r="AB60" s="6" t="s">
        <v>1249</v>
      </c>
      <c r="AC60" s="6">
        <v>2</v>
      </c>
      <c r="AD60" s="6"/>
      <c r="AE60" s="6"/>
    </row>
    <row r="61" spans="1:31" x14ac:dyDescent="0.35">
      <c r="A61" s="6">
        <v>59</v>
      </c>
      <c r="B61" s="6" t="s">
        <v>0</v>
      </c>
      <c r="C61" s="10" t="s">
        <v>16</v>
      </c>
      <c r="D61" s="9" t="s">
        <v>79</v>
      </c>
      <c r="E61" s="7">
        <f t="shared" si="0"/>
        <v>3</v>
      </c>
      <c r="F61" s="7">
        <f>-1*ROUND(1/6*(I61*IF(_xlfn.XLOOKUP(H61,'02效果表'!D:D,'02效果表'!E:E)&lt;0, _xlfn.XLOOKUP(H61,'02效果表'!D:D,'02效果表'!E:E), 0) +
K61*IF(_xlfn.XLOOKUP(J61,'02效果表'!D:D,'02效果表'!E:E)&lt;0, _xlfn.XLOOKUP(J61,'02效果表'!D:D,'02效果表'!E:E), 0) +
M61*IF(_xlfn.XLOOKUP(L61,'02效果表'!D:D,'02效果表'!E:E)&lt;0, _xlfn.XLOOKUP(L61,'02效果表'!D:D,'02效果表'!E:E), 0) +
O61*IF(_xlfn.XLOOKUP(N61,'02效果表'!D:D,'02效果表'!E:E)&lt;0, _xlfn.XLOOKUP(N61,'02效果表'!D:D,'02效果表'!E:E), 0) +
Q61*IF(_xlfn.XLOOKUP(P61,'02效果表'!D:D,'02效果表'!E:E)&lt;0, _xlfn.XLOOKUP(P61,'02效果表'!D:D,'02效果表'!E:E), 0) +
S61*IF(_xlfn.XLOOKUP(R61,'02效果表'!D:D,'02效果表'!E:E)&lt;0, _xlfn.XLOOKUP(R61,'02效果表'!D:D,'02效果表'!E:E), 0) +
U61*IF(_xlfn.XLOOKUP(T61,'02效果表'!D:D,'02效果表'!E:E)&lt;0, _xlfn.XLOOKUP(T61,'02效果表'!D:D,'02效果表'!E:E), 0) +
W61*IF(_xlfn.XLOOKUP(V61,'02效果表'!D:D,'02效果表'!E:E)&lt;0, _xlfn.XLOOKUP(V61,'02效果表'!D:D,'02效果表'!E:E), 0) +
Y61*IF(_xlfn.XLOOKUP(X61,'02效果表'!D:D,'02效果表'!E:E)&lt;0, _xlfn.XLOOKUP(X61,'02效果表'!D:D,'02效果表'!E:E), 0) +
AA61*IF(_xlfn.XLOOKUP(Z61,'02效果表'!D:D,'02效果表'!E:E)&lt;0, _xlfn.XLOOKUP(Z61,'02效果表'!D:D,'02效果表'!E:E), 0) +
AC61*IF(_xlfn.XLOOKUP(AB61,'02效果表'!D:D,'02效果表'!E:E)&lt;0, _xlfn.XLOOKUP(AB61,'02效果表'!D:D,'02效果表'!E:E), 0) +
AE61*IF(_xlfn.XLOOKUP(AD61,'02效果表'!D:D,'02效果表'!E:E)&lt;0, _xlfn.XLOOKUP(AD61,'02效果表'!D:D,'02效果表'!E:E), 0)), 1)</f>
        <v>2</v>
      </c>
      <c r="G61" s="7">
        <f>ROUND(1/6*(I61*MAX(_xlfn.XLOOKUP(H61,'02效果表'!D:D,'02效果表'!E:E),0)+K61*MAX(_xlfn.XLOOKUP(J61,'02效果表'!D:D,'02效果表'!E:E),0)+M61*MAX(_xlfn.XLOOKUP(L61,'02效果表'!D:D,'02效果表'!E:E),0)+O61*MAX(_xlfn.XLOOKUP(N61,'02效果表'!D:D,'02效果表'!E:E),0)+Q61*MAX(_xlfn.XLOOKUP(P61,'02效果表'!D:D,'02效果表'!E:E),0)+S61*MAX(_xlfn.XLOOKUP(R61,'02效果表'!D:D,'02效果表'!E:E),0)+U61*MAX(_xlfn.XLOOKUP(T61,'02效果表'!D:D,'02效果表'!E:E),0)+W61*MAX(_xlfn.XLOOKUP(V61,'02效果表'!D:D,'02效果表'!E:E),0)+Y61*MAX(_xlfn.XLOOKUP(X61,'02效果表'!D:D,'02效果表'!E:E),0)+AA61*MAX(_xlfn.XLOOKUP(Z61,'02效果表'!D:D,'02效果表'!E:E),0)+AC61*MAX(_xlfn.XLOOKUP(AB61,'02效果表'!D:D,'02效果表'!E:E),0)+AE61*MAX(_xlfn.XLOOKUP(AD61,'02效果表'!D:D,'02效果表'!E:E),0)),1)</f>
        <v>5</v>
      </c>
      <c r="H61" s="6" t="s">
        <v>1273</v>
      </c>
      <c r="I61" s="6">
        <v>1</v>
      </c>
      <c r="J61" s="6"/>
      <c r="K61" s="6"/>
      <c r="L61" s="6" t="s">
        <v>1273</v>
      </c>
      <c r="M61" s="6">
        <v>1</v>
      </c>
      <c r="N61" s="6"/>
      <c r="O61" s="6"/>
      <c r="P61" s="6" t="s">
        <v>1238</v>
      </c>
      <c r="Q61" s="6">
        <v>2</v>
      </c>
      <c r="R61" s="6"/>
      <c r="S61" s="6"/>
      <c r="T61" s="6" t="s">
        <v>1238</v>
      </c>
      <c r="U61" s="6">
        <v>3</v>
      </c>
      <c r="V61" s="6"/>
      <c r="W61" s="6"/>
      <c r="X61" s="6" t="s">
        <v>1238</v>
      </c>
      <c r="Y61" s="6">
        <v>3</v>
      </c>
      <c r="Z61" s="6"/>
      <c r="AA61" s="6"/>
      <c r="AB61" s="6" t="s">
        <v>1238</v>
      </c>
      <c r="AC61" s="6">
        <v>4</v>
      </c>
      <c r="AD61" s="6"/>
      <c r="AE61" s="6"/>
    </row>
    <row r="62" spans="1:31" x14ac:dyDescent="0.35">
      <c r="A62" s="6">
        <v>60</v>
      </c>
      <c r="B62" s="6" t="s">
        <v>0</v>
      </c>
      <c r="C62" s="10" t="s">
        <v>16</v>
      </c>
      <c r="D62" s="9" t="s">
        <v>80</v>
      </c>
      <c r="E62" s="7">
        <f t="shared" si="0"/>
        <v>-1</v>
      </c>
      <c r="F62" s="7">
        <f>-1*ROUND(1/6*(I62*IF(_xlfn.XLOOKUP(H62,'02效果表'!D:D,'02效果表'!E:E)&lt;0, _xlfn.XLOOKUP(H62,'02效果表'!D:D,'02效果表'!E:E), 0) +
K62*IF(_xlfn.XLOOKUP(J62,'02效果表'!D:D,'02效果表'!E:E)&lt;0, _xlfn.XLOOKUP(J62,'02效果表'!D:D,'02效果表'!E:E), 0) +
M62*IF(_xlfn.XLOOKUP(L62,'02效果表'!D:D,'02效果表'!E:E)&lt;0, _xlfn.XLOOKUP(L62,'02效果表'!D:D,'02效果表'!E:E), 0) +
O62*IF(_xlfn.XLOOKUP(N62,'02效果表'!D:D,'02效果表'!E:E)&lt;0, _xlfn.XLOOKUP(N62,'02效果表'!D:D,'02效果表'!E:E), 0) +
Q62*IF(_xlfn.XLOOKUP(P62,'02效果表'!D:D,'02效果表'!E:E)&lt;0, _xlfn.XLOOKUP(P62,'02效果表'!D:D,'02效果表'!E:E), 0) +
S62*IF(_xlfn.XLOOKUP(R62,'02效果表'!D:D,'02效果表'!E:E)&lt;0, _xlfn.XLOOKUP(R62,'02效果表'!D:D,'02效果表'!E:E), 0) +
U62*IF(_xlfn.XLOOKUP(T62,'02效果表'!D:D,'02效果表'!E:E)&lt;0, _xlfn.XLOOKUP(T62,'02效果表'!D:D,'02效果表'!E:E), 0) +
W62*IF(_xlfn.XLOOKUP(V62,'02效果表'!D:D,'02效果表'!E:E)&lt;0, _xlfn.XLOOKUP(V62,'02效果表'!D:D,'02效果表'!E:E), 0) +
Y62*IF(_xlfn.XLOOKUP(X62,'02效果表'!D:D,'02效果表'!E:E)&lt;0, _xlfn.XLOOKUP(X62,'02效果表'!D:D,'02效果表'!E:E), 0) +
AA62*IF(_xlfn.XLOOKUP(Z62,'02效果表'!D:D,'02效果表'!E:E)&lt;0, _xlfn.XLOOKUP(Z62,'02效果表'!D:D,'02效果表'!E:E), 0) +
AC62*IF(_xlfn.XLOOKUP(AB62,'02效果表'!D:D,'02效果表'!E:E)&lt;0, _xlfn.XLOOKUP(AB62,'02效果表'!D:D,'02效果表'!E:E), 0) +
AE62*IF(_xlfn.XLOOKUP(AD62,'02效果表'!D:D,'02效果表'!E:E)&lt;0, _xlfn.XLOOKUP(AD62,'02效果表'!D:D,'02效果表'!E:E), 0)), 1)</f>
        <v>4.3</v>
      </c>
      <c r="G62" s="7">
        <f>ROUND(1/6*(I62*MAX(_xlfn.XLOOKUP(H62,'02效果表'!D:D,'02效果表'!E:E),0)+K62*MAX(_xlfn.XLOOKUP(J62,'02效果表'!D:D,'02效果表'!E:E),0)+M62*MAX(_xlfn.XLOOKUP(L62,'02效果表'!D:D,'02效果表'!E:E),0)+O62*MAX(_xlfn.XLOOKUP(N62,'02效果表'!D:D,'02效果表'!E:E),0)+Q62*MAX(_xlfn.XLOOKUP(P62,'02效果表'!D:D,'02效果表'!E:E),0)+S62*MAX(_xlfn.XLOOKUP(R62,'02效果表'!D:D,'02效果表'!E:E),0)+U62*MAX(_xlfn.XLOOKUP(T62,'02效果表'!D:D,'02效果表'!E:E),0)+W62*MAX(_xlfn.XLOOKUP(V62,'02效果表'!D:D,'02效果表'!E:E),0)+Y62*MAX(_xlfn.XLOOKUP(X62,'02效果表'!D:D,'02效果表'!E:E),0)+AA62*MAX(_xlfn.XLOOKUP(Z62,'02效果表'!D:D,'02效果表'!E:E),0)+AC62*MAX(_xlfn.XLOOKUP(AB62,'02效果表'!D:D,'02效果表'!E:E),0)+AE62*MAX(_xlfn.XLOOKUP(AD62,'02效果表'!D:D,'02效果表'!E:E),0)),1)</f>
        <v>3</v>
      </c>
      <c r="H62" s="6" t="s">
        <v>1274</v>
      </c>
      <c r="I62" s="6">
        <v>1</v>
      </c>
      <c r="J62" s="6"/>
      <c r="K62" s="6"/>
      <c r="L62" s="6" t="s">
        <v>1274</v>
      </c>
      <c r="M62" s="6">
        <v>1</v>
      </c>
      <c r="N62" s="6"/>
      <c r="O62" s="6"/>
      <c r="P62" s="6" t="s">
        <v>1193</v>
      </c>
      <c r="Q62" s="6">
        <v>4</v>
      </c>
      <c r="R62" s="6"/>
      <c r="S62" s="6"/>
      <c r="T62" s="6" t="s">
        <v>1193</v>
      </c>
      <c r="U62" s="6">
        <v>4</v>
      </c>
      <c r="V62" s="6"/>
      <c r="W62" s="6"/>
      <c r="X62" s="6" t="s">
        <v>1249</v>
      </c>
      <c r="Y62" s="6">
        <v>2</v>
      </c>
      <c r="Z62" s="6"/>
      <c r="AA62" s="6"/>
      <c r="AB62" s="6" t="s">
        <v>1249</v>
      </c>
      <c r="AC62" s="6">
        <v>3</v>
      </c>
      <c r="AD62" s="6"/>
      <c r="AE62" s="6"/>
    </row>
    <row r="63" spans="1:31" x14ac:dyDescent="0.35">
      <c r="A63" s="6">
        <v>61</v>
      </c>
      <c r="B63" s="6" t="s">
        <v>0</v>
      </c>
      <c r="C63" s="10" t="s">
        <v>16</v>
      </c>
      <c r="D63" s="9" t="s">
        <v>81</v>
      </c>
      <c r="E63" s="7">
        <f t="shared" si="0"/>
        <v>2</v>
      </c>
      <c r="F63" s="7">
        <f>-1*ROUND(1/6*(I63*IF(_xlfn.XLOOKUP(H63,'02效果表'!D:D,'02效果表'!E:E)&lt;0, _xlfn.XLOOKUP(H63,'02效果表'!D:D,'02效果表'!E:E), 0) +
K63*IF(_xlfn.XLOOKUP(J63,'02效果表'!D:D,'02效果表'!E:E)&lt;0, _xlfn.XLOOKUP(J63,'02效果表'!D:D,'02效果表'!E:E), 0) +
M63*IF(_xlfn.XLOOKUP(L63,'02效果表'!D:D,'02效果表'!E:E)&lt;0, _xlfn.XLOOKUP(L63,'02效果表'!D:D,'02效果表'!E:E), 0) +
O63*IF(_xlfn.XLOOKUP(N63,'02效果表'!D:D,'02效果表'!E:E)&lt;0, _xlfn.XLOOKUP(N63,'02效果表'!D:D,'02效果表'!E:E), 0) +
Q63*IF(_xlfn.XLOOKUP(P63,'02效果表'!D:D,'02效果表'!E:E)&lt;0, _xlfn.XLOOKUP(P63,'02效果表'!D:D,'02效果表'!E:E), 0) +
S63*IF(_xlfn.XLOOKUP(R63,'02效果表'!D:D,'02效果表'!E:E)&lt;0, _xlfn.XLOOKUP(R63,'02效果表'!D:D,'02效果表'!E:E), 0) +
U63*IF(_xlfn.XLOOKUP(T63,'02效果表'!D:D,'02效果表'!E:E)&lt;0, _xlfn.XLOOKUP(T63,'02效果表'!D:D,'02效果表'!E:E), 0) +
W63*IF(_xlfn.XLOOKUP(V63,'02效果表'!D:D,'02效果表'!E:E)&lt;0, _xlfn.XLOOKUP(V63,'02效果表'!D:D,'02效果表'!E:E), 0) +
Y63*IF(_xlfn.XLOOKUP(X63,'02效果表'!D:D,'02效果表'!E:E)&lt;0, _xlfn.XLOOKUP(X63,'02效果表'!D:D,'02效果表'!E:E), 0) +
AA63*IF(_xlfn.XLOOKUP(Z63,'02效果表'!D:D,'02效果表'!E:E)&lt;0, _xlfn.XLOOKUP(Z63,'02效果表'!D:D,'02效果表'!E:E), 0) +
AC63*IF(_xlfn.XLOOKUP(AB63,'02效果表'!D:D,'02效果表'!E:E)&lt;0, _xlfn.XLOOKUP(AB63,'02效果表'!D:D,'02效果表'!E:E), 0) +
AE63*IF(_xlfn.XLOOKUP(AD63,'02效果表'!D:D,'02效果表'!E:E)&lt;0, _xlfn.XLOOKUP(AD63,'02效果表'!D:D,'02效果表'!E:E), 0)), 1)</f>
        <v>1</v>
      </c>
      <c r="G63" s="7">
        <f>ROUND(1/6*(I63*MAX(_xlfn.XLOOKUP(H63,'02效果表'!D:D,'02效果表'!E:E),0)+K63*MAX(_xlfn.XLOOKUP(J63,'02效果表'!D:D,'02效果表'!E:E),0)+M63*MAX(_xlfn.XLOOKUP(L63,'02效果表'!D:D,'02效果表'!E:E),0)+O63*MAX(_xlfn.XLOOKUP(N63,'02效果表'!D:D,'02效果表'!E:E),0)+Q63*MAX(_xlfn.XLOOKUP(P63,'02效果表'!D:D,'02效果表'!E:E),0)+S63*MAX(_xlfn.XLOOKUP(R63,'02效果表'!D:D,'02效果表'!E:E),0)+U63*MAX(_xlfn.XLOOKUP(T63,'02效果表'!D:D,'02效果表'!E:E),0)+W63*MAX(_xlfn.XLOOKUP(V63,'02效果表'!D:D,'02效果表'!E:E),0)+Y63*MAX(_xlfn.XLOOKUP(X63,'02效果表'!D:D,'02效果表'!E:E),0)+AA63*MAX(_xlfn.XLOOKUP(Z63,'02效果表'!D:D,'02效果表'!E:E),0)+AC63*MAX(_xlfn.XLOOKUP(AB63,'02效果表'!D:D,'02效果表'!E:E),0)+AE63*MAX(_xlfn.XLOOKUP(AD63,'02效果表'!D:D,'02效果表'!E:E),0)),1)</f>
        <v>3.3</v>
      </c>
      <c r="H63" s="6" t="s">
        <v>1275</v>
      </c>
      <c r="I63" s="6">
        <v>1</v>
      </c>
      <c r="J63" s="6"/>
      <c r="K63" s="6"/>
      <c r="L63" s="6" t="s">
        <v>1275</v>
      </c>
      <c r="M63" s="6">
        <v>1</v>
      </c>
      <c r="N63" s="6"/>
      <c r="O63" s="6"/>
      <c r="P63" s="6" t="s">
        <v>1238</v>
      </c>
      <c r="Q63" s="6">
        <v>1</v>
      </c>
      <c r="R63" s="6"/>
      <c r="S63" s="6"/>
      <c r="T63" s="6" t="s">
        <v>1238</v>
      </c>
      <c r="U63" s="6">
        <v>1</v>
      </c>
      <c r="V63" s="6"/>
      <c r="W63" s="6"/>
      <c r="X63" s="6" t="s">
        <v>1238</v>
      </c>
      <c r="Y63" s="6">
        <v>2</v>
      </c>
      <c r="Z63" s="6"/>
      <c r="AA63" s="6"/>
      <c r="AB63" s="6" t="s">
        <v>1238</v>
      </c>
      <c r="AC63" s="6">
        <v>2</v>
      </c>
      <c r="AD63" s="6"/>
      <c r="AE63" s="6"/>
    </row>
    <row r="64" spans="1:31" x14ac:dyDescent="0.35">
      <c r="A64" s="6">
        <v>64</v>
      </c>
      <c r="B64" s="6" t="s">
        <v>0</v>
      </c>
      <c r="C64" s="10" t="s">
        <v>17</v>
      </c>
      <c r="D64" s="9" t="s">
        <v>1276</v>
      </c>
      <c r="E64" s="7">
        <f t="shared" ref="E64" si="5">ROUND(G64-F64,0)</f>
        <v>2</v>
      </c>
      <c r="F64" s="7">
        <f>-1*ROUND(1/6*(I64*IF(_xlfn.XLOOKUP(H64,'02效果表'!D:D,'02效果表'!E:E)&lt;0, _xlfn.XLOOKUP(H64,'02效果表'!D:D,'02效果表'!E:E), 0) +
K64*IF(_xlfn.XLOOKUP(J64,'02效果表'!D:D,'02效果表'!E:E)&lt;0, _xlfn.XLOOKUP(J64,'02效果表'!D:D,'02效果表'!E:E), 0) +
M64*IF(_xlfn.XLOOKUP(L64,'02效果表'!D:D,'02效果表'!E:E)&lt;0, _xlfn.XLOOKUP(L64,'02效果表'!D:D,'02效果表'!E:E), 0) +
O64*IF(_xlfn.XLOOKUP(N64,'02效果表'!D:D,'02效果表'!E:E)&lt;0, _xlfn.XLOOKUP(N64,'02效果表'!D:D,'02效果表'!E:E), 0) +
Q64*IF(_xlfn.XLOOKUP(P64,'02效果表'!D:D,'02效果表'!E:E)&lt;0, _xlfn.XLOOKUP(P64,'02效果表'!D:D,'02效果表'!E:E), 0) +
S64*IF(_xlfn.XLOOKUP(R64,'02效果表'!D:D,'02效果表'!E:E)&lt;0, _xlfn.XLOOKUP(R64,'02效果表'!D:D,'02效果表'!E:E), 0) +
U64*IF(_xlfn.XLOOKUP(T64,'02效果表'!D:D,'02效果表'!E:E)&lt;0, _xlfn.XLOOKUP(T64,'02效果表'!D:D,'02效果表'!E:E), 0) +
W64*IF(_xlfn.XLOOKUP(V64,'02效果表'!D:D,'02效果表'!E:E)&lt;0, _xlfn.XLOOKUP(V64,'02效果表'!D:D,'02效果表'!E:E), 0) +
Y64*IF(_xlfn.XLOOKUP(X64,'02效果表'!D:D,'02效果表'!E:E)&lt;0, _xlfn.XLOOKUP(X64,'02效果表'!D:D,'02效果表'!E:E), 0) +
AA64*IF(_xlfn.XLOOKUP(Z64,'02效果表'!D:D,'02效果表'!E:E)&lt;0, _xlfn.XLOOKUP(Z64,'02效果表'!D:D,'02效果表'!E:E), 0) +
AC64*IF(_xlfn.XLOOKUP(AB64,'02效果表'!D:D,'02效果表'!E:E)&lt;0, _xlfn.XLOOKUP(AB64,'02效果表'!D:D,'02效果表'!E:E), 0) +
AE64*IF(_xlfn.XLOOKUP(AD64,'02效果表'!D:D,'02效果表'!E:E)&lt;0, _xlfn.XLOOKUP(AD64,'02效果表'!D:D,'02效果表'!E:E), 0)), 1)</f>
        <v>0</v>
      </c>
      <c r="G64" s="7">
        <f>ROUND(1/6*(I64*MAX(_xlfn.XLOOKUP(H64,'02效果表'!D:D,'02效果表'!E:E),0)+K64*MAX(_xlfn.XLOOKUP(J64,'02效果表'!D:D,'02效果表'!E:E),0)+M64*MAX(_xlfn.XLOOKUP(L64,'02效果表'!D:D,'02效果表'!E:E),0)+O64*MAX(_xlfn.XLOOKUP(N64,'02效果表'!D:D,'02效果表'!E:E),0)+Q64*MAX(_xlfn.XLOOKUP(P64,'02效果表'!D:D,'02效果表'!E:E),0)+S64*MAX(_xlfn.XLOOKUP(R64,'02效果表'!D:D,'02效果表'!E:E),0)+U64*MAX(_xlfn.XLOOKUP(T64,'02效果表'!D:D,'02效果表'!E:E),0)+W64*MAX(_xlfn.XLOOKUP(V64,'02效果表'!D:D,'02效果表'!E:E),0)+Y64*MAX(_xlfn.XLOOKUP(X64,'02效果表'!D:D,'02效果表'!E:E),0)+AA64*MAX(_xlfn.XLOOKUP(Z64,'02效果表'!D:D,'02效果表'!E:E),0)+AC64*MAX(_xlfn.XLOOKUP(AB64,'02效果表'!D:D,'02效果表'!E:E),0)+AE64*MAX(_xlfn.XLOOKUP(AD64,'02效果表'!D:D,'02效果表'!E:E),0)),1)</f>
        <v>1.9</v>
      </c>
      <c r="H64" s="6" t="s">
        <v>1262</v>
      </c>
      <c r="I64" s="6">
        <v>2</v>
      </c>
      <c r="J64" s="6"/>
      <c r="K64" s="6"/>
      <c r="L64" s="6" t="s">
        <v>1262</v>
      </c>
      <c r="M64" s="6">
        <v>2</v>
      </c>
      <c r="N64" s="6"/>
      <c r="O64" s="6"/>
      <c r="P64" s="6" t="s">
        <v>1262</v>
      </c>
      <c r="Q64" s="6">
        <v>2</v>
      </c>
      <c r="R64" s="6"/>
      <c r="S64" s="6"/>
      <c r="T64" s="6" t="s">
        <v>1262</v>
      </c>
      <c r="U64" s="6">
        <v>1</v>
      </c>
      <c r="V64" s="6"/>
      <c r="W64" s="6"/>
      <c r="X64" s="6" t="s">
        <v>1262</v>
      </c>
      <c r="Y64" s="6">
        <v>1</v>
      </c>
      <c r="Z64" s="6"/>
      <c r="AA64" s="6"/>
      <c r="AB64" s="6" t="s">
        <v>1262</v>
      </c>
      <c r="AC64" s="6">
        <v>1</v>
      </c>
      <c r="AD64" s="6"/>
      <c r="AE64" s="6"/>
    </row>
    <row r="65" spans="1:31" x14ac:dyDescent="0.35">
      <c r="A65" s="6">
        <v>64</v>
      </c>
      <c r="B65" s="6" t="s">
        <v>0</v>
      </c>
      <c r="C65" s="10" t="s">
        <v>17</v>
      </c>
      <c r="D65" s="9" t="s">
        <v>82</v>
      </c>
      <c r="E65" s="7">
        <f t="shared" si="0"/>
        <v>5</v>
      </c>
      <c r="F65" s="7">
        <f>-1*ROUND(1/6*(I65*IF(_xlfn.XLOOKUP(H65,'02效果表'!D:D,'02效果表'!E:E)&lt;0, _xlfn.XLOOKUP(H65,'02效果表'!D:D,'02效果表'!E:E), 0) +
K65*IF(_xlfn.XLOOKUP(J65,'02效果表'!D:D,'02效果表'!E:E)&lt;0, _xlfn.XLOOKUP(J65,'02效果表'!D:D,'02效果表'!E:E), 0) +
M65*IF(_xlfn.XLOOKUP(L65,'02效果表'!D:D,'02效果表'!E:E)&lt;0, _xlfn.XLOOKUP(L65,'02效果表'!D:D,'02效果表'!E:E), 0) +
O65*IF(_xlfn.XLOOKUP(N65,'02效果表'!D:D,'02效果表'!E:E)&lt;0, _xlfn.XLOOKUP(N65,'02效果表'!D:D,'02效果表'!E:E), 0) +
Q65*IF(_xlfn.XLOOKUP(P65,'02效果表'!D:D,'02效果表'!E:E)&lt;0, _xlfn.XLOOKUP(P65,'02效果表'!D:D,'02效果表'!E:E), 0) +
S65*IF(_xlfn.XLOOKUP(R65,'02效果表'!D:D,'02效果表'!E:E)&lt;0, _xlfn.XLOOKUP(R65,'02效果表'!D:D,'02效果表'!E:E), 0) +
U65*IF(_xlfn.XLOOKUP(T65,'02效果表'!D:D,'02效果表'!E:E)&lt;0, _xlfn.XLOOKUP(T65,'02效果表'!D:D,'02效果表'!E:E), 0) +
W65*IF(_xlfn.XLOOKUP(V65,'02效果表'!D:D,'02效果表'!E:E)&lt;0, _xlfn.XLOOKUP(V65,'02效果表'!D:D,'02效果表'!E:E), 0) +
Y65*IF(_xlfn.XLOOKUP(X65,'02效果表'!D:D,'02效果表'!E:E)&lt;0, _xlfn.XLOOKUP(X65,'02效果表'!D:D,'02效果表'!E:E), 0) +
AA65*IF(_xlfn.XLOOKUP(Z65,'02效果表'!D:D,'02效果表'!E:E)&lt;0, _xlfn.XLOOKUP(Z65,'02效果表'!D:D,'02效果表'!E:E), 0) +
AC65*IF(_xlfn.XLOOKUP(AB65,'02效果表'!D:D,'02效果表'!E:E)&lt;0, _xlfn.XLOOKUP(AB65,'02效果表'!D:D,'02效果表'!E:E), 0) +
AE65*IF(_xlfn.XLOOKUP(AD65,'02效果表'!D:D,'02效果表'!E:E)&lt;0, _xlfn.XLOOKUP(AD65,'02效果表'!D:D,'02效果表'!E:E), 0)), 1)</f>
        <v>0</v>
      </c>
      <c r="G65" s="7">
        <f>ROUND(1/6*(I65*MAX(_xlfn.XLOOKUP(H65,'02效果表'!D:D,'02效果表'!E:E),0)+K65*MAX(_xlfn.XLOOKUP(J65,'02效果表'!D:D,'02效果表'!E:E),0)+M65*MAX(_xlfn.XLOOKUP(L65,'02效果表'!D:D,'02效果表'!E:E),0)+O65*MAX(_xlfn.XLOOKUP(N65,'02效果表'!D:D,'02效果表'!E:E),0)+Q65*MAX(_xlfn.XLOOKUP(P65,'02效果表'!D:D,'02效果表'!E:E),0)+S65*MAX(_xlfn.XLOOKUP(R65,'02效果表'!D:D,'02效果表'!E:E),0)+U65*MAX(_xlfn.XLOOKUP(T65,'02效果表'!D:D,'02效果表'!E:E),0)+W65*MAX(_xlfn.XLOOKUP(V65,'02效果表'!D:D,'02效果表'!E:E),0)+Y65*MAX(_xlfn.XLOOKUP(X65,'02效果表'!D:D,'02效果表'!E:E),0)+AA65*MAX(_xlfn.XLOOKUP(Z65,'02效果表'!D:D,'02效果表'!E:E),0)+AC65*MAX(_xlfn.XLOOKUP(AB65,'02效果表'!D:D,'02效果表'!E:E),0)+AE65*MAX(_xlfn.XLOOKUP(AD65,'02效果表'!D:D,'02效果表'!E:E),0)),1)</f>
        <v>4.8</v>
      </c>
      <c r="H65" s="6" t="s">
        <v>1224</v>
      </c>
      <c r="I65" s="6">
        <v>4</v>
      </c>
      <c r="J65" s="6" t="s">
        <v>1221</v>
      </c>
      <c r="K65" s="6">
        <v>5</v>
      </c>
      <c r="L65" s="6" t="s">
        <v>1224</v>
      </c>
      <c r="M65" s="6">
        <v>3</v>
      </c>
      <c r="N65" s="6" t="s">
        <v>1221</v>
      </c>
      <c r="O65" s="6">
        <v>4</v>
      </c>
      <c r="P65" s="6" t="s">
        <v>1224</v>
      </c>
      <c r="Q65" s="6">
        <v>3</v>
      </c>
      <c r="R65" s="6" t="s">
        <v>1221</v>
      </c>
      <c r="S65" s="6">
        <v>4</v>
      </c>
      <c r="T65" s="6" t="s">
        <v>1224</v>
      </c>
      <c r="U65" s="6">
        <v>2</v>
      </c>
      <c r="V65" s="6" t="s">
        <v>1221</v>
      </c>
      <c r="W65" s="6">
        <v>3</v>
      </c>
      <c r="X65" s="6" t="s">
        <v>1224</v>
      </c>
      <c r="Y65" s="6">
        <v>2</v>
      </c>
      <c r="Z65" s="6" t="s">
        <v>1221</v>
      </c>
      <c r="AA65" s="6">
        <v>3</v>
      </c>
      <c r="AB65" s="6" t="s">
        <v>1224</v>
      </c>
      <c r="AC65" s="6">
        <v>2</v>
      </c>
      <c r="AD65" s="6" t="s">
        <v>1221</v>
      </c>
      <c r="AE65" s="6">
        <v>2</v>
      </c>
    </row>
    <row r="66" spans="1:31" x14ac:dyDescent="0.35">
      <c r="A66" s="6">
        <v>64</v>
      </c>
      <c r="B66" s="6" t="s">
        <v>0</v>
      </c>
      <c r="C66" s="10" t="s">
        <v>17</v>
      </c>
      <c r="D66" s="9" t="s">
        <v>1277</v>
      </c>
      <c r="E66" s="7">
        <f t="shared" ref="E66" si="6">ROUND(G66-F66,0)</f>
        <v>4</v>
      </c>
      <c r="F66" s="7">
        <f>-1*ROUND(1/6*(I66*IF(_xlfn.XLOOKUP(H66,'02效果表'!D:D,'02效果表'!E:E)&lt;0, _xlfn.XLOOKUP(H66,'02效果表'!D:D,'02效果表'!E:E), 0) +
K66*IF(_xlfn.XLOOKUP(J66,'02效果表'!D:D,'02效果表'!E:E)&lt;0, _xlfn.XLOOKUP(J66,'02效果表'!D:D,'02效果表'!E:E), 0) +
M66*IF(_xlfn.XLOOKUP(L66,'02效果表'!D:D,'02效果表'!E:E)&lt;0, _xlfn.XLOOKUP(L66,'02效果表'!D:D,'02效果表'!E:E), 0) +
O66*IF(_xlfn.XLOOKUP(N66,'02效果表'!D:D,'02效果表'!E:E)&lt;0, _xlfn.XLOOKUP(N66,'02效果表'!D:D,'02效果表'!E:E), 0) +
Q66*IF(_xlfn.XLOOKUP(P66,'02效果表'!D:D,'02效果表'!E:E)&lt;0, _xlfn.XLOOKUP(P66,'02效果表'!D:D,'02效果表'!E:E), 0) +
S66*IF(_xlfn.XLOOKUP(R66,'02效果表'!D:D,'02效果表'!E:E)&lt;0, _xlfn.XLOOKUP(R66,'02效果表'!D:D,'02效果表'!E:E), 0) +
U66*IF(_xlfn.XLOOKUP(T66,'02效果表'!D:D,'02效果表'!E:E)&lt;0, _xlfn.XLOOKUP(T66,'02效果表'!D:D,'02效果表'!E:E), 0) +
W66*IF(_xlfn.XLOOKUP(V66,'02效果表'!D:D,'02效果表'!E:E)&lt;0, _xlfn.XLOOKUP(V66,'02效果表'!D:D,'02效果表'!E:E), 0) +
Y66*IF(_xlfn.XLOOKUP(X66,'02效果表'!D:D,'02效果表'!E:E)&lt;0, _xlfn.XLOOKUP(X66,'02效果表'!D:D,'02效果表'!E:E), 0) +
AA66*IF(_xlfn.XLOOKUP(Z66,'02效果表'!D:D,'02效果表'!E:E)&lt;0, _xlfn.XLOOKUP(Z66,'02效果表'!D:D,'02效果表'!E:E), 0) +
AC66*IF(_xlfn.XLOOKUP(AB66,'02效果表'!D:D,'02效果表'!E:E)&lt;0, _xlfn.XLOOKUP(AB66,'02效果表'!D:D,'02效果表'!E:E), 0) +
AE66*IF(_xlfn.XLOOKUP(AD66,'02效果表'!D:D,'02效果表'!E:E)&lt;0, _xlfn.XLOOKUP(AD66,'02效果表'!D:D,'02效果表'!E:E), 0)), 1)</f>
        <v>0</v>
      </c>
      <c r="G66" s="7">
        <f>ROUND(1/6*(I66*MAX(_xlfn.XLOOKUP(H66,'02效果表'!D:D,'02效果表'!E:E),0)+K66*MAX(_xlfn.XLOOKUP(J66,'02效果表'!D:D,'02效果表'!E:E),0)+M66*MAX(_xlfn.XLOOKUP(L66,'02效果表'!D:D,'02效果表'!E:E),0)+O66*MAX(_xlfn.XLOOKUP(N66,'02效果表'!D:D,'02效果表'!E:E),0)+Q66*MAX(_xlfn.XLOOKUP(P66,'02效果表'!D:D,'02效果表'!E:E),0)+S66*MAX(_xlfn.XLOOKUP(R66,'02效果表'!D:D,'02效果表'!E:E),0)+U66*MAX(_xlfn.XLOOKUP(T66,'02效果表'!D:D,'02效果表'!E:E),0)+W66*MAX(_xlfn.XLOOKUP(V66,'02效果表'!D:D,'02效果表'!E:E),0)+Y66*MAX(_xlfn.XLOOKUP(X66,'02效果表'!D:D,'02效果表'!E:E),0)+AA66*MAX(_xlfn.XLOOKUP(Z66,'02效果表'!D:D,'02效果表'!E:E),0)+AC66*MAX(_xlfn.XLOOKUP(AB66,'02效果表'!D:D,'02效果表'!E:E),0)+AE66*MAX(_xlfn.XLOOKUP(AD66,'02效果表'!D:D,'02效果表'!E:E),0)),1)</f>
        <v>3.8</v>
      </c>
      <c r="H66" s="6" t="s">
        <v>1224</v>
      </c>
      <c r="I66" s="6">
        <v>4</v>
      </c>
      <c r="J66" s="6" t="s">
        <v>1220</v>
      </c>
      <c r="K66" s="6">
        <v>1</v>
      </c>
      <c r="L66" s="6" t="s">
        <v>1224</v>
      </c>
      <c r="M66" s="6">
        <v>3</v>
      </c>
      <c r="N66" s="6" t="s">
        <v>1220</v>
      </c>
      <c r="O66" s="6">
        <v>1</v>
      </c>
      <c r="P66" s="6" t="s">
        <v>1224</v>
      </c>
      <c r="Q66" s="6">
        <v>3</v>
      </c>
      <c r="R66" s="6" t="s">
        <v>1220</v>
      </c>
      <c r="S66" s="6">
        <v>1</v>
      </c>
      <c r="T66" s="6" t="s">
        <v>1224</v>
      </c>
      <c r="U66" s="6">
        <v>2</v>
      </c>
      <c r="V66" s="6"/>
      <c r="W66" s="6"/>
      <c r="X66" s="6" t="s">
        <v>1224</v>
      </c>
      <c r="Y66" s="6">
        <v>2</v>
      </c>
      <c r="Z66" s="6"/>
      <c r="AA66" s="6"/>
      <c r="AB66" s="6" t="s">
        <v>1224</v>
      </c>
      <c r="AC66" s="6">
        <v>2</v>
      </c>
      <c r="AD66" s="6"/>
      <c r="AE66" s="6"/>
    </row>
    <row r="67" spans="1:31" x14ac:dyDescent="0.35">
      <c r="A67" s="6">
        <v>65</v>
      </c>
      <c r="B67" s="6" t="s">
        <v>0</v>
      </c>
      <c r="C67" s="10" t="s">
        <v>17</v>
      </c>
      <c r="D67" s="9" t="s">
        <v>83</v>
      </c>
      <c r="E67" s="7">
        <f t="shared" si="0"/>
        <v>7</v>
      </c>
      <c r="F67" s="7">
        <f>-1*ROUND(1/6*(I67*IF(_xlfn.XLOOKUP(H67,'02效果表'!D:D,'02效果表'!E:E)&lt;0, _xlfn.XLOOKUP(H67,'02效果表'!D:D,'02效果表'!E:E), 0) +
K67*IF(_xlfn.XLOOKUP(J67,'02效果表'!D:D,'02效果表'!E:E)&lt;0, _xlfn.XLOOKUP(J67,'02效果表'!D:D,'02效果表'!E:E), 0) +
M67*IF(_xlfn.XLOOKUP(L67,'02效果表'!D:D,'02效果表'!E:E)&lt;0, _xlfn.XLOOKUP(L67,'02效果表'!D:D,'02效果表'!E:E), 0) +
O67*IF(_xlfn.XLOOKUP(N67,'02效果表'!D:D,'02效果表'!E:E)&lt;0, _xlfn.XLOOKUP(N67,'02效果表'!D:D,'02效果表'!E:E), 0) +
Q67*IF(_xlfn.XLOOKUP(P67,'02效果表'!D:D,'02效果表'!E:E)&lt;0, _xlfn.XLOOKUP(P67,'02效果表'!D:D,'02效果表'!E:E), 0) +
S67*IF(_xlfn.XLOOKUP(R67,'02效果表'!D:D,'02效果表'!E:E)&lt;0, _xlfn.XLOOKUP(R67,'02效果表'!D:D,'02效果表'!E:E), 0) +
U67*IF(_xlfn.XLOOKUP(T67,'02效果表'!D:D,'02效果表'!E:E)&lt;0, _xlfn.XLOOKUP(T67,'02效果表'!D:D,'02效果表'!E:E), 0) +
W67*IF(_xlfn.XLOOKUP(V67,'02效果表'!D:D,'02效果表'!E:E)&lt;0, _xlfn.XLOOKUP(V67,'02效果表'!D:D,'02效果表'!E:E), 0) +
Y67*IF(_xlfn.XLOOKUP(X67,'02效果表'!D:D,'02效果表'!E:E)&lt;0, _xlfn.XLOOKUP(X67,'02效果表'!D:D,'02效果表'!E:E), 0) +
AA67*IF(_xlfn.XLOOKUP(Z67,'02效果表'!D:D,'02效果表'!E:E)&lt;0, _xlfn.XLOOKUP(Z67,'02效果表'!D:D,'02效果表'!E:E), 0) +
AC67*IF(_xlfn.XLOOKUP(AB67,'02效果表'!D:D,'02效果表'!E:E)&lt;0, _xlfn.XLOOKUP(AB67,'02效果表'!D:D,'02效果表'!E:E), 0) +
AE67*IF(_xlfn.XLOOKUP(AD67,'02效果表'!D:D,'02效果表'!E:E)&lt;0, _xlfn.XLOOKUP(AD67,'02效果表'!D:D,'02效果表'!E:E), 0)), 1)</f>
        <v>0</v>
      </c>
      <c r="G67" s="7">
        <f>ROUND(1/6*(I67*MAX(_xlfn.XLOOKUP(H67,'02效果表'!D:D,'02效果表'!E:E),0)+K67*MAX(_xlfn.XLOOKUP(J67,'02效果表'!D:D,'02效果表'!E:E),0)+M67*MAX(_xlfn.XLOOKUP(L67,'02效果表'!D:D,'02效果表'!E:E),0)+O67*MAX(_xlfn.XLOOKUP(N67,'02效果表'!D:D,'02效果表'!E:E),0)+Q67*MAX(_xlfn.XLOOKUP(P67,'02效果表'!D:D,'02效果表'!E:E),0)+S67*MAX(_xlfn.XLOOKUP(R67,'02效果表'!D:D,'02效果表'!E:E),0)+U67*MAX(_xlfn.XLOOKUP(T67,'02效果表'!D:D,'02效果表'!E:E),0)+W67*MAX(_xlfn.XLOOKUP(V67,'02效果表'!D:D,'02效果表'!E:E),0)+Y67*MAX(_xlfn.XLOOKUP(X67,'02效果表'!D:D,'02效果表'!E:E),0)+AA67*MAX(_xlfn.XLOOKUP(Z67,'02效果表'!D:D,'02效果表'!E:E),0)+AC67*MAX(_xlfn.XLOOKUP(AB67,'02效果表'!D:D,'02效果表'!E:E),0)+AE67*MAX(_xlfn.XLOOKUP(AD67,'02效果表'!D:D,'02效果表'!E:E),0)),1)</f>
        <v>7</v>
      </c>
      <c r="H67" s="6" t="s">
        <v>1265</v>
      </c>
      <c r="I67" s="6">
        <v>1</v>
      </c>
      <c r="J67" s="6"/>
      <c r="K67" s="6"/>
      <c r="L67" s="6" t="s">
        <v>1265</v>
      </c>
      <c r="M67" s="6">
        <v>1</v>
      </c>
      <c r="N67" s="6"/>
      <c r="O67" s="6"/>
      <c r="P67" s="6" t="s">
        <v>1221</v>
      </c>
      <c r="Q67" s="6">
        <v>3</v>
      </c>
      <c r="R67" s="6"/>
      <c r="S67" s="6"/>
      <c r="T67" s="6" t="s">
        <v>1221</v>
      </c>
      <c r="U67" s="6">
        <v>3</v>
      </c>
      <c r="V67" s="6"/>
      <c r="W67" s="6"/>
      <c r="X67" s="6" t="s">
        <v>1221</v>
      </c>
      <c r="Y67" s="6">
        <v>3</v>
      </c>
      <c r="Z67" s="6"/>
      <c r="AA67" s="6"/>
      <c r="AB67" s="6" t="s">
        <v>1221</v>
      </c>
      <c r="AC67" s="6">
        <v>3</v>
      </c>
      <c r="AD67" s="6"/>
      <c r="AE67" s="6"/>
    </row>
    <row r="68" spans="1:31" x14ac:dyDescent="0.35">
      <c r="A68" s="6">
        <v>66</v>
      </c>
      <c r="B68" s="6" t="s">
        <v>0</v>
      </c>
      <c r="C68" s="10" t="s">
        <v>17</v>
      </c>
      <c r="D68" s="9" t="s">
        <v>84</v>
      </c>
      <c r="E68" s="7">
        <f t="shared" ref="E68:E129" si="7">ROUND(G68-F68,0)</f>
        <v>4</v>
      </c>
      <c r="F68" s="7">
        <f>-1*ROUND(1/6*(I68*IF(_xlfn.XLOOKUP(H68,'02效果表'!D:D,'02效果表'!E:E)&lt;0, _xlfn.XLOOKUP(H68,'02效果表'!D:D,'02效果表'!E:E), 0) +
K68*IF(_xlfn.XLOOKUP(J68,'02效果表'!D:D,'02效果表'!E:E)&lt;0, _xlfn.XLOOKUP(J68,'02效果表'!D:D,'02效果表'!E:E), 0) +
M68*IF(_xlfn.XLOOKUP(L68,'02效果表'!D:D,'02效果表'!E:E)&lt;0, _xlfn.XLOOKUP(L68,'02效果表'!D:D,'02效果表'!E:E), 0) +
O68*IF(_xlfn.XLOOKUP(N68,'02效果表'!D:D,'02效果表'!E:E)&lt;0, _xlfn.XLOOKUP(N68,'02效果表'!D:D,'02效果表'!E:E), 0) +
Q68*IF(_xlfn.XLOOKUP(P68,'02效果表'!D:D,'02效果表'!E:E)&lt;0, _xlfn.XLOOKUP(P68,'02效果表'!D:D,'02效果表'!E:E), 0) +
S68*IF(_xlfn.XLOOKUP(R68,'02效果表'!D:D,'02效果表'!E:E)&lt;0, _xlfn.XLOOKUP(R68,'02效果表'!D:D,'02效果表'!E:E), 0) +
U68*IF(_xlfn.XLOOKUP(T68,'02效果表'!D:D,'02效果表'!E:E)&lt;0, _xlfn.XLOOKUP(T68,'02效果表'!D:D,'02效果表'!E:E), 0) +
W68*IF(_xlfn.XLOOKUP(V68,'02效果表'!D:D,'02效果表'!E:E)&lt;0, _xlfn.XLOOKUP(V68,'02效果表'!D:D,'02效果表'!E:E), 0) +
Y68*IF(_xlfn.XLOOKUP(X68,'02效果表'!D:D,'02效果表'!E:E)&lt;0, _xlfn.XLOOKUP(X68,'02效果表'!D:D,'02效果表'!E:E), 0) +
AA68*IF(_xlfn.XLOOKUP(Z68,'02效果表'!D:D,'02效果表'!E:E)&lt;0, _xlfn.XLOOKUP(Z68,'02效果表'!D:D,'02效果表'!E:E), 0) +
AC68*IF(_xlfn.XLOOKUP(AB68,'02效果表'!D:D,'02效果表'!E:E)&lt;0, _xlfn.XLOOKUP(AB68,'02效果表'!D:D,'02效果表'!E:E), 0) +
AE68*IF(_xlfn.XLOOKUP(AD68,'02效果表'!D:D,'02效果表'!E:E)&lt;0, _xlfn.XLOOKUP(AD68,'02效果表'!D:D,'02效果表'!E:E), 0)), 1)</f>
        <v>0</v>
      </c>
      <c r="G68" s="7">
        <f>ROUND(1/6*(I68*MAX(_xlfn.XLOOKUP(H68,'02效果表'!D:D,'02效果表'!E:E),0)+K68*MAX(_xlfn.XLOOKUP(J68,'02效果表'!D:D,'02效果表'!E:E),0)+M68*MAX(_xlfn.XLOOKUP(L68,'02效果表'!D:D,'02效果表'!E:E),0)+O68*MAX(_xlfn.XLOOKUP(N68,'02效果表'!D:D,'02效果表'!E:E),0)+Q68*MAX(_xlfn.XLOOKUP(P68,'02效果表'!D:D,'02效果表'!E:E),0)+S68*MAX(_xlfn.XLOOKUP(R68,'02效果表'!D:D,'02效果表'!E:E),0)+U68*MAX(_xlfn.XLOOKUP(T68,'02效果表'!D:D,'02效果表'!E:E),0)+W68*MAX(_xlfn.XLOOKUP(V68,'02效果表'!D:D,'02效果表'!E:E),0)+Y68*MAX(_xlfn.XLOOKUP(X68,'02效果表'!D:D,'02效果表'!E:E),0)+AA68*MAX(_xlfn.XLOOKUP(Z68,'02效果表'!D:D,'02效果表'!E:E),0)+AC68*MAX(_xlfn.XLOOKUP(AB68,'02效果表'!D:D,'02效果表'!E:E),0)+AE68*MAX(_xlfn.XLOOKUP(AD68,'02效果表'!D:D,'02效果表'!E:E),0)),1)</f>
        <v>3.5</v>
      </c>
      <c r="H68" s="6" t="s">
        <v>1224</v>
      </c>
      <c r="I68" s="6">
        <v>8</v>
      </c>
      <c r="J68" s="6"/>
      <c r="K68" s="6"/>
      <c r="L68" s="6" t="s">
        <v>1224</v>
      </c>
      <c r="M68" s="6">
        <v>8</v>
      </c>
      <c r="N68" s="6"/>
      <c r="O68" s="6"/>
      <c r="P68" s="6" t="s">
        <v>1224</v>
      </c>
      <c r="Q68" s="6">
        <v>7</v>
      </c>
      <c r="R68" s="6"/>
      <c r="S68" s="6"/>
      <c r="T68" s="6" t="s">
        <v>1224</v>
      </c>
      <c r="U68" s="6">
        <v>7</v>
      </c>
      <c r="V68" s="6"/>
      <c r="W68" s="6"/>
      <c r="X68" s="6" t="s">
        <v>1224</v>
      </c>
      <c r="Y68" s="6">
        <v>6</v>
      </c>
      <c r="Z68" s="6"/>
      <c r="AA68" s="6"/>
      <c r="AB68" s="6" t="s">
        <v>1224</v>
      </c>
      <c r="AC68" s="6">
        <v>6</v>
      </c>
      <c r="AD68" s="6"/>
      <c r="AE68" s="6"/>
    </row>
    <row r="69" spans="1:31" x14ac:dyDescent="0.35">
      <c r="A69" s="6">
        <v>67</v>
      </c>
      <c r="B69" s="6" t="s">
        <v>0</v>
      </c>
      <c r="C69" s="10" t="s">
        <v>17</v>
      </c>
      <c r="D69" s="9" t="s">
        <v>85</v>
      </c>
      <c r="E69" s="7">
        <f t="shared" si="7"/>
        <v>5</v>
      </c>
      <c r="F69" s="7">
        <f>-1*ROUND(1/6*(I69*IF(_xlfn.XLOOKUP(H69,'02效果表'!D:D,'02效果表'!E:E)&lt;0, _xlfn.XLOOKUP(H69,'02效果表'!D:D,'02效果表'!E:E), 0) +
K69*IF(_xlfn.XLOOKUP(J69,'02效果表'!D:D,'02效果表'!E:E)&lt;0, _xlfn.XLOOKUP(J69,'02效果表'!D:D,'02效果表'!E:E), 0) +
M69*IF(_xlfn.XLOOKUP(L69,'02效果表'!D:D,'02效果表'!E:E)&lt;0, _xlfn.XLOOKUP(L69,'02效果表'!D:D,'02效果表'!E:E), 0) +
O69*IF(_xlfn.XLOOKUP(N69,'02效果表'!D:D,'02效果表'!E:E)&lt;0, _xlfn.XLOOKUP(N69,'02效果表'!D:D,'02效果表'!E:E), 0) +
Q69*IF(_xlfn.XLOOKUP(P69,'02效果表'!D:D,'02效果表'!E:E)&lt;0, _xlfn.XLOOKUP(P69,'02效果表'!D:D,'02效果表'!E:E), 0) +
S69*IF(_xlfn.XLOOKUP(R69,'02效果表'!D:D,'02效果表'!E:E)&lt;0, _xlfn.XLOOKUP(R69,'02效果表'!D:D,'02效果表'!E:E), 0) +
U69*IF(_xlfn.XLOOKUP(T69,'02效果表'!D:D,'02效果表'!E:E)&lt;0, _xlfn.XLOOKUP(T69,'02效果表'!D:D,'02效果表'!E:E), 0) +
W69*IF(_xlfn.XLOOKUP(V69,'02效果表'!D:D,'02效果表'!E:E)&lt;0, _xlfn.XLOOKUP(V69,'02效果表'!D:D,'02效果表'!E:E), 0) +
Y69*IF(_xlfn.XLOOKUP(X69,'02效果表'!D:D,'02效果表'!E:E)&lt;0, _xlfn.XLOOKUP(X69,'02效果表'!D:D,'02效果表'!E:E), 0) +
AA69*IF(_xlfn.XLOOKUP(Z69,'02效果表'!D:D,'02效果表'!E:E)&lt;0, _xlfn.XLOOKUP(Z69,'02效果表'!D:D,'02效果表'!E:E), 0) +
AC69*IF(_xlfn.XLOOKUP(AB69,'02效果表'!D:D,'02效果表'!E:E)&lt;0, _xlfn.XLOOKUP(AB69,'02效果表'!D:D,'02效果表'!E:E), 0) +
AE69*IF(_xlfn.XLOOKUP(AD69,'02效果表'!D:D,'02效果表'!E:E)&lt;0, _xlfn.XLOOKUP(AD69,'02效果表'!D:D,'02效果表'!E:E), 0)), 1)</f>
        <v>0</v>
      </c>
      <c r="G69" s="7">
        <f>ROUND(1/6*(I69*MAX(_xlfn.XLOOKUP(H69,'02效果表'!D:D,'02效果表'!E:E),0)+K69*MAX(_xlfn.XLOOKUP(J69,'02效果表'!D:D,'02效果表'!E:E),0)+M69*MAX(_xlfn.XLOOKUP(L69,'02效果表'!D:D,'02效果表'!E:E),0)+O69*MAX(_xlfn.XLOOKUP(N69,'02效果表'!D:D,'02效果表'!E:E),0)+Q69*MAX(_xlfn.XLOOKUP(P69,'02效果表'!D:D,'02效果表'!E:E),0)+S69*MAX(_xlfn.XLOOKUP(R69,'02效果表'!D:D,'02效果表'!E:E),0)+U69*MAX(_xlfn.XLOOKUP(T69,'02效果表'!D:D,'02效果表'!E:E),0)+W69*MAX(_xlfn.XLOOKUP(V69,'02效果表'!D:D,'02效果表'!E:E),0)+Y69*MAX(_xlfn.XLOOKUP(X69,'02效果表'!D:D,'02效果表'!E:E),0)+AA69*MAX(_xlfn.XLOOKUP(Z69,'02效果表'!D:D,'02效果表'!E:E),0)+AC69*MAX(_xlfn.XLOOKUP(AB69,'02效果表'!D:D,'02效果表'!E:E),0)+AE69*MAX(_xlfn.XLOOKUP(AD69,'02效果表'!D:D,'02效果表'!E:E),0)),1)</f>
        <v>5.3</v>
      </c>
      <c r="H69" s="6" t="s">
        <v>1266</v>
      </c>
      <c r="I69" s="6">
        <v>1</v>
      </c>
      <c r="J69" s="6"/>
      <c r="K69" s="6"/>
      <c r="L69" s="6" t="s">
        <v>1266</v>
      </c>
      <c r="M69" s="6">
        <v>1</v>
      </c>
      <c r="N69" s="6"/>
      <c r="O69" s="6"/>
      <c r="P69" s="6" t="s">
        <v>1221</v>
      </c>
      <c r="Q69" s="6">
        <v>3</v>
      </c>
      <c r="R69" s="6"/>
      <c r="S69" s="6"/>
      <c r="T69" s="6" t="s">
        <v>1221</v>
      </c>
      <c r="U69" s="6">
        <v>3</v>
      </c>
      <c r="V69" s="6"/>
      <c r="W69" s="6"/>
      <c r="X69" s="6" t="s">
        <v>1221</v>
      </c>
      <c r="Y69" s="6">
        <v>3</v>
      </c>
      <c r="Z69" s="6"/>
      <c r="AA69" s="6"/>
      <c r="AB69" s="6" t="s">
        <v>1221</v>
      </c>
      <c r="AC69" s="6">
        <v>3</v>
      </c>
      <c r="AD69" s="6"/>
      <c r="AE69" s="6"/>
    </row>
    <row r="70" spans="1:31" x14ac:dyDescent="0.35">
      <c r="A70" s="6">
        <v>68</v>
      </c>
      <c r="B70" s="6" t="s">
        <v>0</v>
      </c>
      <c r="C70" s="10" t="s">
        <v>17</v>
      </c>
      <c r="D70" s="9" t="s">
        <v>1278</v>
      </c>
      <c r="E70" s="7">
        <f t="shared" ref="E70" si="8">ROUND(G70-F70,0)</f>
        <v>2</v>
      </c>
      <c r="F70" s="7">
        <f>-1*ROUND(1/6*(I70*IF(_xlfn.XLOOKUP(H70,'02效果表'!D:D,'02效果表'!E:E)&lt;0, _xlfn.XLOOKUP(H70,'02效果表'!D:D,'02效果表'!E:E), 0) +
K70*IF(_xlfn.XLOOKUP(J70,'02效果表'!D:D,'02效果表'!E:E)&lt;0, _xlfn.XLOOKUP(J70,'02效果表'!D:D,'02效果表'!E:E), 0) +
M70*IF(_xlfn.XLOOKUP(L70,'02效果表'!D:D,'02效果表'!E:E)&lt;0, _xlfn.XLOOKUP(L70,'02效果表'!D:D,'02效果表'!E:E), 0) +
O70*IF(_xlfn.XLOOKUP(N70,'02效果表'!D:D,'02效果表'!E:E)&lt;0, _xlfn.XLOOKUP(N70,'02效果表'!D:D,'02效果表'!E:E), 0) +
Q70*IF(_xlfn.XLOOKUP(P70,'02效果表'!D:D,'02效果表'!E:E)&lt;0, _xlfn.XLOOKUP(P70,'02效果表'!D:D,'02效果表'!E:E), 0) +
S70*IF(_xlfn.XLOOKUP(R70,'02效果表'!D:D,'02效果表'!E:E)&lt;0, _xlfn.XLOOKUP(R70,'02效果表'!D:D,'02效果表'!E:E), 0) +
U70*IF(_xlfn.XLOOKUP(T70,'02效果表'!D:D,'02效果表'!E:E)&lt;0, _xlfn.XLOOKUP(T70,'02效果表'!D:D,'02效果表'!E:E), 0) +
W70*IF(_xlfn.XLOOKUP(V70,'02效果表'!D:D,'02效果表'!E:E)&lt;0, _xlfn.XLOOKUP(V70,'02效果表'!D:D,'02效果表'!E:E), 0) +
Y70*IF(_xlfn.XLOOKUP(X70,'02效果表'!D:D,'02效果表'!E:E)&lt;0, _xlfn.XLOOKUP(X70,'02效果表'!D:D,'02效果表'!E:E), 0) +
AA70*IF(_xlfn.XLOOKUP(Z70,'02效果表'!D:D,'02效果表'!E:E)&lt;0, _xlfn.XLOOKUP(Z70,'02效果表'!D:D,'02效果表'!E:E), 0) +
AC70*IF(_xlfn.XLOOKUP(AB70,'02效果表'!D:D,'02效果表'!E:E)&lt;0, _xlfn.XLOOKUP(AB70,'02效果表'!D:D,'02效果表'!E:E), 0) +
AE70*IF(_xlfn.XLOOKUP(AD70,'02效果表'!D:D,'02效果表'!E:E)&lt;0, _xlfn.XLOOKUP(AD70,'02效果表'!D:D,'02效果表'!E:E), 0)), 1)</f>
        <v>0</v>
      </c>
      <c r="G70" s="7">
        <f>ROUND(1/6*(I70*MAX(_xlfn.XLOOKUP(H70,'02效果表'!D:D,'02效果表'!E:E),0)+K70*MAX(_xlfn.XLOOKUP(J70,'02效果表'!D:D,'02效果表'!E:E),0)+M70*MAX(_xlfn.XLOOKUP(L70,'02效果表'!D:D,'02效果表'!E:E),0)+O70*MAX(_xlfn.XLOOKUP(N70,'02效果表'!D:D,'02效果表'!E:E),0)+Q70*MAX(_xlfn.XLOOKUP(P70,'02效果表'!D:D,'02效果表'!E:E),0)+S70*MAX(_xlfn.XLOOKUP(R70,'02效果表'!D:D,'02效果表'!E:E),0)+U70*MAX(_xlfn.XLOOKUP(T70,'02效果表'!D:D,'02效果表'!E:E),0)+W70*MAX(_xlfn.XLOOKUP(V70,'02效果表'!D:D,'02效果表'!E:E),0)+Y70*MAX(_xlfn.XLOOKUP(X70,'02效果表'!D:D,'02效果表'!E:E),0)+AA70*MAX(_xlfn.XLOOKUP(Z70,'02效果表'!D:D,'02效果表'!E:E),0)+AC70*MAX(_xlfn.XLOOKUP(AB70,'02效果表'!D:D,'02效果表'!E:E),0)+AE70*MAX(_xlfn.XLOOKUP(AD70,'02效果表'!D:D,'02效果表'!E:E),0)),1)</f>
        <v>2.1</v>
      </c>
      <c r="H70" s="6" t="s">
        <v>1246</v>
      </c>
      <c r="I70" s="6">
        <v>4</v>
      </c>
      <c r="J70" s="6"/>
      <c r="K70" s="6"/>
      <c r="L70" s="6" t="s">
        <v>1246</v>
      </c>
      <c r="M70" s="6">
        <v>4</v>
      </c>
      <c r="N70" s="6"/>
      <c r="O70" s="6"/>
      <c r="P70" s="6" t="s">
        <v>1246</v>
      </c>
      <c r="Q70" s="6">
        <v>3</v>
      </c>
      <c r="R70" s="6"/>
      <c r="S70" s="6"/>
      <c r="T70" s="6" t="s">
        <v>1246</v>
      </c>
      <c r="U70" s="6">
        <v>3</v>
      </c>
      <c r="V70" s="6"/>
      <c r="W70" s="6"/>
      <c r="X70" s="6" t="s">
        <v>1246</v>
      </c>
      <c r="Y70" s="6">
        <v>2</v>
      </c>
      <c r="Z70" s="6"/>
      <c r="AA70" s="6"/>
      <c r="AB70" s="6" t="s">
        <v>1246</v>
      </c>
      <c r="AC70" s="6">
        <v>2</v>
      </c>
      <c r="AD70" s="6"/>
      <c r="AE70" s="6"/>
    </row>
    <row r="71" spans="1:31" x14ac:dyDescent="0.35">
      <c r="A71" s="6">
        <v>68</v>
      </c>
      <c r="B71" s="6" t="s">
        <v>0</v>
      </c>
      <c r="C71" s="10" t="s">
        <v>17</v>
      </c>
      <c r="D71" s="9" t="s">
        <v>86</v>
      </c>
      <c r="E71" s="7">
        <f t="shared" si="7"/>
        <v>14</v>
      </c>
      <c r="F71" s="7">
        <f>-1*ROUND(1/6*(I71*IF(_xlfn.XLOOKUP(H71,'02效果表'!D:D,'02效果表'!E:E)&lt;0, _xlfn.XLOOKUP(H71,'02效果表'!D:D,'02效果表'!E:E), 0) +
K71*IF(_xlfn.XLOOKUP(J71,'02效果表'!D:D,'02效果表'!E:E)&lt;0, _xlfn.XLOOKUP(J71,'02效果表'!D:D,'02效果表'!E:E), 0) +
M71*IF(_xlfn.XLOOKUP(L71,'02效果表'!D:D,'02效果表'!E:E)&lt;0, _xlfn.XLOOKUP(L71,'02效果表'!D:D,'02效果表'!E:E), 0) +
O71*IF(_xlfn.XLOOKUP(N71,'02效果表'!D:D,'02效果表'!E:E)&lt;0, _xlfn.XLOOKUP(N71,'02效果表'!D:D,'02效果表'!E:E), 0) +
Q71*IF(_xlfn.XLOOKUP(P71,'02效果表'!D:D,'02效果表'!E:E)&lt;0, _xlfn.XLOOKUP(P71,'02效果表'!D:D,'02效果表'!E:E), 0) +
S71*IF(_xlfn.XLOOKUP(R71,'02效果表'!D:D,'02效果表'!E:E)&lt;0, _xlfn.XLOOKUP(R71,'02效果表'!D:D,'02效果表'!E:E), 0) +
U71*IF(_xlfn.XLOOKUP(T71,'02效果表'!D:D,'02效果表'!E:E)&lt;0, _xlfn.XLOOKUP(T71,'02效果表'!D:D,'02效果表'!E:E), 0) +
W71*IF(_xlfn.XLOOKUP(V71,'02效果表'!D:D,'02效果表'!E:E)&lt;0, _xlfn.XLOOKUP(V71,'02效果表'!D:D,'02效果表'!E:E), 0) +
Y71*IF(_xlfn.XLOOKUP(X71,'02效果表'!D:D,'02效果表'!E:E)&lt;0, _xlfn.XLOOKUP(X71,'02效果表'!D:D,'02效果表'!E:E), 0) +
AA71*IF(_xlfn.XLOOKUP(Z71,'02效果表'!D:D,'02效果表'!E:E)&lt;0, _xlfn.XLOOKUP(Z71,'02效果表'!D:D,'02效果表'!E:E), 0) +
AC71*IF(_xlfn.XLOOKUP(AB71,'02效果表'!D:D,'02效果表'!E:E)&lt;0, _xlfn.XLOOKUP(AB71,'02效果表'!D:D,'02效果表'!E:E), 0) +
AE71*IF(_xlfn.XLOOKUP(AD71,'02效果表'!D:D,'02效果表'!E:E)&lt;0, _xlfn.XLOOKUP(AD71,'02效果表'!D:D,'02效果表'!E:E), 0)), 1)</f>
        <v>0</v>
      </c>
      <c r="G71" s="7">
        <f>ROUND(1/6*(I71*MAX(_xlfn.XLOOKUP(H71,'02效果表'!D:D,'02效果表'!E:E),0)+K71*MAX(_xlfn.XLOOKUP(J71,'02效果表'!D:D,'02效果表'!E:E),0)+M71*MAX(_xlfn.XLOOKUP(L71,'02效果表'!D:D,'02效果表'!E:E),0)+O71*MAX(_xlfn.XLOOKUP(N71,'02效果表'!D:D,'02效果表'!E:E),0)+Q71*MAX(_xlfn.XLOOKUP(P71,'02效果表'!D:D,'02效果表'!E:E),0)+S71*MAX(_xlfn.XLOOKUP(R71,'02效果表'!D:D,'02效果表'!E:E),0)+U71*MAX(_xlfn.XLOOKUP(T71,'02效果表'!D:D,'02效果表'!E:E),0)+W71*MAX(_xlfn.XLOOKUP(V71,'02效果表'!D:D,'02效果表'!E:E),0)+Y71*MAX(_xlfn.XLOOKUP(X71,'02效果表'!D:D,'02效果表'!E:E),0)+AA71*MAX(_xlfn.XLOOKUP(Z71,'02效果表'!D:D,'02效果表'!E:E),0)+AC71*MAX(_xlfn.XLOOKUP(AB71,'02效果表'!D:D,'02效果表'!E:E),0)+AE71*MAX(_xlfn.XLOOKUP(AD71,'02效果表'!D:D,'02效果表'!E:E),0)),1)</f>
        <v>14</v>
      </c>
      <c r="H71" s="6" t="s">
        <v>1247</v>
      </c>
      <c r="I71" s="6">
        <v>8</v>
      </c>
      <c r="J71" s="6"/>
      <c r="K71" s="6"/>
      <c r="L71" s="6" t="s">
        <v>1247</v>
      </c>
      <c r="M71" s="6">
        <v>8</v>
      </c>
      <c r="N71" s="6"/>
      <c r="O71" s="6"/>
      <c r="P71" s="6" t="s">
        <v>1247</v>
      </c>
      <c r="Q71" s="6">
        <v>7</v>
      </c>
      <c r="R71" s="6"/>
      <c r="S71" s="6"/>
      <c r="T71" s="6" t="s">
        <v>1247</v>
      </c>
      <c r="U71" s="6">
        <v>7</v>
      </c>
      <c r="V71" s="6"/>
      <c r="W71" s="6"/>
      <c r="X71" s="6" t="s">
        <v>1247</v>
      </c>
      <c r="Y71" s="6">
        <v>6</v>
      </c>
      <c r="Z71" s="6"/>
      <c r="AA71" s="6"/>
      <c r="AB71" s="6" t="s">
        <v>1247</v>
      </c>
      <c r="AC71" s="6">
        <v>6</v>
      </c>
      <c r="AD71" s="6"/>
      <c r="AE71" s="6"/>
    </row>
    <row r="72" spans="1:31" x14ac:dyDescent="0.35">
      <c r="A72" s="6">
        <v>69</v>
      </c>
      <c r="B72" s="6" t="s">
        <v>0</v>
      </c>
      <c r="C72" s="10" t="s">
        <v>17</v>
      </c>
      <c r="D72" s="9" t="s">
        <v>87</v>
      </c>
      <c r="E72" s="7">
        <f t="shared" si="7"/>
        <v>11</v>
      </c>
      <c r="F72" s="7">
        <f>-1*ROUND(1/6*(I72*IF(_xlfn.XLOOKUP(H72,'02效果表'!D:D,'02效果表'!E:E)&lt;0, _xlfn.XLOOKUP(H72,'02效果表'!D:D,'02效果表'!E:E), 0) +
K72*IF(_xlfn.XLOOKUP(J72,'02效果表'!D:D,'02效果表'!E:E)&lt;0, _xlfn.XLOOKUP(J72,'02效果表'!D:D,'02效果表'!E:E), 0) +
M72*IF(_xlfn.XLOOKUP(L72,'02效果表'!D:D,'02效果表'!E:E)&lt;0, _xlfn.XLOOKUP(L72,'02效果表'!D:D,'02效果表'!E:E), 0) +
O72*IF(_xlfn.XLOOKUP(N72,'02效果表'!D:D,'02效果表'!E:E)&lt;0, _xlfn.XLOOKUP(N72,'02效果表'!D:D,'02效果表'!E:E), 0) +
Q72*IF(_xlfn.XLOOKUP(P72,'02效果表'!D:D,'02效果表'!E:E)&lt;0, _xlfn.XLOOKUP(P72,'02效果表'!D:D,'02效果表'!E:E), 0) +
S72*IF(_xlfn.XLOOKUP(R72,'02效果表'!D:D,'02效果表'!E:E)&lt;0, _xlfn.XLOOKUP(R72,'02效果表'!D:D,'02效果表'!E:E), 0) +
U72*IF(_xlfn.XLOOKUP(T72,'02效果表'!D:D,'02效果表'!E:E)&lt;0, _xlfn.XLOOKUP(T72,'02效果表'!D:D,'02效果表'!E:E), 0) +
W72*IF(_xlfn.XLOOKUP(V72,'02效果表'!D:D,'02效果表'!E:E)&lt;0, _xlfn.XLOOKUP(V72,'02效果表'!D:D,'02效果表'!E:E), 0) +
Y72*IF(_xlfn.XLOOKUP(X72,'02效果表'!D:D,'02效果表'!E:E)&lt;0, _xlfn.XLOOKUP(X72,'02效果表'!D:D,'02效果表'!E:E), 0) +
AA72*IF(_xlfn.XLOOKUP(Z72,'02效果表'!D:D,'02效果表'!E:E)&lt;0, _xlfn.XLOOKUP(Z72,'02效果表'!D:D,'02效果表'!E:E), 0) +
AC72*IF(_xlfn.XLOOKUP(AB72,'02效果表'!D:D,'02效果表'!E:E)&lt;0, _xlfn.XLOOKUP(AB72,'02效果表'!D:D,'02效果表'!E:E), 0) +
AE72*IF(_xlfn.XLOOKUP(AD72,'02效果表'!D:D,'02效果表'!E:E)&lt;0, _xlfn.XLOOKUP(AD72,'02效果表'!D:D,'02效果表'!E:E), 0)), 1)</f>
        <v>0</v>
      </c>
      <c r="G72" s="7">
        <f>ROUND(1/6*(I72*MAX(_xlfn.XLOOKUP(H72,'02效果表'!D:D,'02效果表'!E:E),0)+K72*MAX(_xlfn.XLOOKUP(J72,'02效果表'!D:D,'02效果表'!E:E),0)+M72*MAX(_xlfn.XLOOKUP(L72,'02效果表'!D:D,'02效果表'!E:E),0)+O72*MAX(_xlfn.XLOOKUP(N72,'02效果表'!D:D,'02效果表'!E:E),0)+Q72*MAX(_xlfn.XLOOKUP(P72,'02效果表'!D:D,'02效果表'!E:E),0)+S72*MAX(_xlfn.XLOOKUP(R72,'02效果表'!D:D,'02效果表'!E:E),0)+U72*MAX(_xlfn.XLOOKUP(T72,'02效果表'!D:D,'02效果表'!E:E),0)+W72*MAX(_xlfn.XLOOKUP(V72,'02效果表'!D:D,'02效果表'!E:E),0)+Y72*MAX(_xlfn.XLOOKUP(X72,'02效果表'!D:D,'02效果表'!E:E),0)+AA72*MAX(_xlfn.XLOOKUP(Z72,'02效果表'!D:D,'02效果表'!E:E),0)+AC72*MAX(_xlfn.XLOOKUP(AB72,'02效果表'!D:D,'02效果表'!E:E),0)+AE72*MAX(_xlfn.XLOOKUP(AD72,'02效果表'!D:D,'02效果表'!E:E),0)),1)</f>
        <v>10.5</v>
      </c>
      <c r="H72" s="6" t="s">
        <v>1226</v>
      </c>
      <c r="I72" s="6">
        <v>4</v>
      </c>
      <c r="J72" s="6"/>
      <c r="K72" s="6"/>
      <c r="L72" s="6" t="s">
        <v>1226</v>
      </c>
      <c r="M72" s="6">
        <v>4</v>
      </c>
      <c r="N72" s="6"/>
      <c r="O72" s="6"/>
      <c r="P72" s="6" t="s">
        <v>1226</v>
      </c>
      <c r="Q72" s="6">
        <v>3</v>
      </c>
      <c r="R72" s="6"/>
      <c r="S72" s="6"/>
      <c r="T72" s="6" t="s">
        <v>1226</v>
      </c>
      <c r="U72" s="6">
        <v>3</v>
      </c>
      <c r="V72" s="6"/>
      <c r="W72" s="6"/>
      <c r="X72" s="6" t="s">
        <v>1226</v>
      </c>
      <c r="Y72" s="6">
        <v>2</v>
      </c>
      <c r="Z72" s="6"/>
      <c r="AA72" s="6"/>
      <c r="AB72" s="6" t="s">
        <v>1226</v>
      </c>
      <c r="AC72" s="6">
        <v>2</v>
      </c>
      <c r="AD72" s="6"/>
      <c r="AE72" s="6"/>
    </row>
    <row r="73" spans="1:31" x14ac:dyDescent="0.35">
      <c r="A73" s="6">
        <v>70</v>
      </c>
      <c r="B73" s="6" t="s">
        <v>0</v>
      </c>
      <c r="C73" s="10" t="s">
        <v>17</v>
      </c>
      <c r="D73" s="9" t="s">
        <v>72</v>
      </c>
      <c r="E73" s="7">
        <f t="shared" si="7"/>
        <v>9</v>
      </c>
      <c r="F73" s="7">
        <f>-1*ROUND(1/6*(I73*IF(_xlfn.XLOOKUP(H73,'02效果表'!D:D,'02效果表'!E:E)&lt;0, _xlfn.XLOOKUP(H73,'02效果表'!D:D,'02效果表'!E:E), 0) +
K73*IF(_xlfn.XLOOKUP(J73,'02效果表'!D:D,'02效果表'!E:E)&lt;0, _xlfn.XLOOKUP(J73,'02效果表'!D:D,'02效果表'!E:E), 0) +
M73*IF(_xlfn.XLOOKUP(L73,'02效果表'!D:D,'02效果表'!E:E)&lt;0, _xlfn.XLOOKUP(L73,'02效果表'!D:D,'02效果表'!E:E), 0) +
O73*IF(_xlfn.XLOOKUP(N73,'02效果表'!D:D,'02效果表'!E:E)&lt;0, _xlfn.XLOOKUP(N73,'02效果表'!D:D,'02效果表'!E:E), 0) +
Q73*IF(_xlfn.XLOOKUP(P73,'02效果表'!D:D,'02效果表'!E:E)&lt;0, _xlfn.XLOOKUP(P73,'02效果表'!D:D,'02效果表'!E:E), 0) +
S73*IF(_xlfn.XLOOKUP(R73,'02效果表'!D:D,'02效果表'!E:E)&lt;0, _xlfn.XLOOKUP(R73,'02效果表'!D:D,'02效果表'!E:E), 0) +
U73*IF(_xlfn.XLOOKUP(T73,'02效果表'!D:D,'02效果表'!E:E)&lt;0, _xlfn.XLOOKUP(T73,'02效果表'!D:D,'02效果表'!E:E), 0) +
W73*IF(_xlfn.XLOOKUP(V73,'02效果表'!D:D,'02效果表'!E:E)&lt;0, _xlfn.XLOOKUP(V73,'02效果表'!D:D,'02效果表'!E:E), 0) +
Y73*IF(_xlfn.XLOOKUP(X73,'02效果表'!D:D,'02效果表'!E:E)&lt;0, _xlfn.XLOOKUP(X73,'02效果表'!D:D,'02效果表'!E:E), 0) +
AA73*IF(_xlfn.XLOOKUP(Z73,'02效果表'!D:D,'02效果表'!E:E)&lt;0, _xlfn.XLOOKUP(Z73,'02效果表'!D:D,'02效果表'!E:E), 0) +
AC73*IF(_xlfn.XLOOKUP(AB73,'02效果表'!D:D,'02效果表'!E:E)&lt;0, _xlfn.XLOOKUP(AB73,'02效果表'!D:D,'02效果表'!E:E), 0) +
AE73*IF(_xlfn.XLOOKUP(AD73,'02效果表'!D:D,'02效果表'!E:E)&lt;0, _xlfn.XLOOKUP(AD73,'02效果表'!D:D,'02效果表'!E:E), 0)), 1)</f>
        <v>0</v>
      </c>
      <c r="G73" s="7">
        <f>ROUND(1/6*(I73*MAX(_xlfn.XLOOKUP(H73,'02效果表'!D:D,'02效果表'!E:E),0)+K73*MAX(_xlfn.XLOOKUP(J73,'02效果表'!D:D,'02效果表'!E:E),0)+M73*MAX(_xlfn.XLOOKUP(L73,'02效果表'!D:D,'02效果表'!E:E),0)+O73*MAX(_xlfn.XLOOKUP(N73,'02效果表'!D:D,'02效果表'!E:E),0)+Q73*MAX(_xlfn.XLOOKUP(P73,'02效果表'!D:D,'02效果表'!E:E),0)+S73*MAX(_xlfn.XLOOKUP(R73,'02效果表'!D:D,'02效果表'!E:E),0)+U73*MAX(_xlfn.XLOOKUP(T73,'02效果表'!D:D,'02效果表'!E:E),0)+W73*MAX(_xlfn.XLOOKUP(V73,'02效果表'!D:D,'02效果表'!E:E),0)+Y73*MAX(_xlfn.XLOOKUP(X73,'02效果表'!D:D,'02效果表'!E:E),0)+AA73*MAX(_xlfn.XLOOKUP(Z73,'02效果表'!D:D,'02效果表'!E:E),0)+AC73*MAX(_xlfn.XLOOKUP(AB73,'02效果表'!D:D,'02效果表'!E:E),0)+AE73*MAX(_xlfn.XLOOKUP(AD73,'02效果表'!D:D,'02效果表'!E:E),0)),1)</f>
        <v>9</v>
      </c>
      <c r="H73" s="6" t="s">
        <v>1221</v>
      </c>
      <c r="I73" s="6">
        <v>10</v>
      </c>
      <c r="J73" s="6"/>
      <c r="K73" s="6"/>
      <c r="L73" s="6" t="s">
        <v>1221</v>
      </c>
      <c r="M73" s="6">
        <v>10</v>
      </c>
      <c r="N73" s="6"/>
      <c r="O73" s="6"/>
      <c r="P73" s="6" t="s">
        <v>1221</v>
      </c>
      <c r="Q73" s="6">
        <v>9</v>
      </c>
      <c r="R73" s="6"/>
      <c r="S73" s="6"/>
      <c r="T73" s="6" t="s">
        <v>1221</v>
      </c>
      <c r="U73" s="6">
        <v>9</v>
      </c>
      <c r="V73" s="6"/>
      <c r="W73" s="6"/>
      <c r="X73" s="6" t="s">
        <v>1221</v>
      </c>
      <c r="Y73" s="6">
        <v>8</v>
      </c>
      <c r="Z73" s="6"/>
      <c r="AA73" s="6"/>
      <c r="AB73" s="6" t="s">
        <v>1221</v>
      </c>
      <c r="AC73" s="6">
        <v>8</v>
      </c>
      <c r="AD73" s="6"/>
      <c r="AE73" s="6"/>
    </row>
    <row r="74" spans="1:31" x14ac:dyDescent="0.35">
      <c r="A74" s="6">
        <v>71</v>
      </c>
      <c r="B74" s="6" t="s">
        <v>0</v>
      </c>
      <c r="C74" s="10" t="s">
        <v>17</v>
      </c>
      <c r="D74" s="9" t="s">
        <v>88</v>
      </c>
      <c r="E74" s="7">
        <f t="shared" si="7"/>
        <v>6</v>
      </c>
      <c r="F74" s="7">
        <f>-1*ROUND(1/6*(I74*IF(_xlfn.XLOOKUP(H74,'02效果表'!D:D,'02效果表'!E:E)&lt;0, _xlfn.XLOOKUP(H74,'02效果表'!D:D,'02效果表'!E:E), 0) +
K74*IF(_xlfn.XLOOKUP(J74,'02效果表'!D:D,'02效果表'!E:E)&lt;0, _xlfn.XLOOKUP(J74,'02效果表'!D:D,'02效果表'!E:E), 0) +
M74*IF(_xlfn.XLOOKUP(L74,'02效果表'!D:D,'02效果表'!E:E)&lt;0, _xlfn.XLOOKUP(L74,'02效果表'!D:D,'02效果表'!E:E), 0) +
O74*IF(_xlfn.XLOOKUP(N74,'02效果表'!D:D,'02效果表'!E:E)&lt;0, _xlfn.XLOOKUP(N74,'02效果表'!D:D,'02效果表'!E:E), 0) +
Q74*IF(_xlfn.XLOOKUP(P74,'02效果表'!D:D,'02效果表'!E:E)&lt;0, _xlfn.XLOOKUP(P74,'02效果表'!D:D,'02效果表'!E:E), 0) +
S74*IF(_xlfn.XLOOKUP(R74,'02效果表'!D:D,'02效果表'!E:E)&lt;0, _xlfn.XLOOKUP(R74,'02效果表'!D:D,'02效果表'!E:E), 0) +
U74*IF(_xlfn.XLOOKUP(T74,'02效果表'!D:D,'02效果表'!E:E)&lt;0, _xlfn.XLOOKUP(T74,'02效果表'!D:D,'02效果表'!E:E), 0) +
W74*IF(_xlfn.XLOOKUP(V74,'02效果表'!D:D,'02效果表'!E:E)&lt;0, _xlfn.XLOOKUP(V74,'02效果表'!D:D,'02效果表'!E:E), 0) +
Y74*IF(_xlfn.XLOOKUP(X74,'02效果表'!D:D,'02效果表'!E:E)&lt;0, _xlfn.XLOOKUP(X74,'02效果表'!D:D,'02效果表'!E:E), 0) +
AA74*IF(_xlfn.XLOOKUP(Z74,'02效果表'!D:D,'02效果表'!E:E)&lt;0, _xlfn.XLOOKUP(Z74,'02效果表'!D:D,'02效果表'!E:E), 0) +
AC74*IF(_xlfn.XLOOKUP(AB74,'02效果表'!D:D,'02效果表'!E:E)&lt;0, _xlfn.XLOOKUP(AB74,'02效果表'!D:D,'02效果表'!E:E), 0) +
AE74*IF(_xlfn.XLOOKUP(AD74,'02效果表'!D:D,'02效果表'!E:E)&lt;0, _xlfn.XLOOKUP(AD74,'02效果表'!D:D,'02效果表'!E:E), 0)), 1)</f>
        <v>0</v>
      </c>
      <c r="G74" s="7">
        <f>ROUND(1/6*(I74*MAX(_xlfn.XLOOKUP(H74,'02效果表'!D:D,'02效果表'!E:E),0)+K74*MAX(_xlfn.XLOOKUP(J74,'02效果表'!D:D,'02效果表'!E:E),0)+M74*MAX(_xlfn.XLOOKUP(L74,'02效果表'!D:D,'02效果表'!E:E),0)+O74*MAX(_xlfn.XLOOKUP(N74,'02效果表'!D:D,'02效果表'!E:E),0)+Q74*MAX(_xlfn.XLOOKUP(P74,'02效果表'!D:D,'02效果表'!E:E),0)+S74*MAX(_xlfn.XLOOKUP(R74,'02效果表'!D:D,'02效果表'!E:E),0)+U74*MAX(_xlfn.XLOOKUP(T74,'02效果表'!D:D,'02效果表'!E:E),0)+W74*MAX(_xlfn.XLOOKUP(V74,'02效果表'!D:D,'02效果表'!E:E),0)+Y74*MAX(_xlfn.XLOOKUP(X74,'02效果表'!D:D,'02效果表'!E:E),0)+AA74*MAX(_xlfn.XLOOKUP(Z74,'02效果表'!D:D,'02效果表'!E:E),0)+AC74*MAX(_xlfn.XLOOKUP(AB74,'02效果表'!D:D,'02效果表'!E:E),0)+AE74*MAX(_xlfn.XLOOKUP(AD74,'02效果表'!D:D,'02效果表'!E:E),0)),1)</f>
        <v>6.2</v>
      </c>
      <c r="H74" s="6" t="s">
        <v>1221</v>
      </c>
      <c r="I74" s="6">
        <v>5</v>
      </c>
      <c r="J74" s="6" t="s">
        <v>1220</v>
      </c>
      <c r="K74" s="6">
        <v>1</v>
      </c>
      <c r="L74" s="6" t="s">
        <v>1221</v>
      </c>
      <c r="M74" s="6">
        <v>4</v>
      </c>
      <c r="N74" s="6" t="s">
        <v>1220</v>
      </c>
      <c r="O74" s="6">
        <v>1</v>
      </c>
      <c r="P74" s="6" t="s">
        <v>1221</v>
      </c>
      <c r="Q74" s="6">
        <v>4</v>
      </c>
      <c r="R74" s="6" t="s">
        <v>1220</v>
      </c>
      <c r="S74" s="6">
        <v>1</v>
      </c>
      <c r="T74" s="6" t="s">
        <v>1221</v>
      </c>
      <c r="U74" s="6">
        <v>3</v>
      </c>
      <c r="V74" s="6"/>
      <c r="W74" s="6"/>
      <c r="X74" s="6" t="s">
        <v>1221</v>
      </c>
      <c r="Y74" s="6">
        <v>3</v>
      </c>
      <c r="Z74" s="6"/>
      <c r="AA74" s="6"/>
      <c r="AB74" s="6" t="s">
        <v>1221</v>
      </c>
      <c r="AC74" s="6">
        <v>3</v>
      </c>
      <c r="AD74" s="6"/>
      <c r="AE74" s="6"/>
    </row>
    <row r="75" spans="1:31" x14ac:dyDescent="0.35">
      <c r="A75" s="6">
        <v>72</v>
      </c>
      <c r="B75" s="6" t="s">
        <v>0</v>
      </c>
      <c r="C75" s="10" t="s">
        <v>17</v>
      </c>
      <c r="D75" s="9" t="s">
        <v>89</v>
      </c>
      <c r="E75" s="7">
        <f t="shared" si="7"/>
        <v>7</v>
      </c>
      <c r="F75" s="7">
        <f>-1*ROUND(1/6*(I75*IF(_xlfn.XLOOKUP(H75,'02效果表'!D:D,'02效果表'!E:E)&lt;0, _xlfn.XLOOKUP(H75,'02效果表'!D:D,'02效果表'!E:E), 0) +
K75*IF(_xlfn.XLOOKUP(J75,'02效果表'!D:D,'02效果表'!E:E)&lt;0, _xlfn.XLOOKUP(J75,'02效果表'!D:D,'02效果表'!E:E), 0) +
M75*IF(_xlfn.XLOOKUP(L75,'02效果表'!D:D,'02效果表'!E:E)&lt;0, _xlfn.XLOOKUP(L75,'02效果表'!D:D,'02效果表'!E:E), 0) +
O75*IF(_xlfn.XLOOKUP(N75,'02效果表'!D:D,'02效果表'!E:E)&lt;0, _xlfn.XLOOKUP(N75,'02效果表'!D:D,'02效果表'!E:E), 0) +
Q75*IF(_xlfn.XLOOKUP(P75,'02效果表'!D:D,'02效果表'!E:E)&lt;0, _xlfn.XLOOKUP(P75,'02效果表'!D:D,'02效果表'!E:E), 0) +
S75*IF(_xlfn.XLOOKUP(R75,'02效果表'!D:D,'02效果表'!E:E)&lt;0, _xlfn.XLOOKUP(R75,'02效果表'!D:D,'02效果表'!E:E), 0) +
U75*IF(_xlfn.XLOOKUP(T75,'02效果表'!D:D,'02效果表'!E:E)&lt;0, _xlfn.XLOOKUP(T75,'02效果表'!D:D,'02效果表'!E:E), 0) +
W75*IF(_xlfn.XLOOKUP(V75,'02效果表'!D:D,'02效果表'!E:E)&lt;0, _xlfn.XLOOKUP(V75,'02效果表'!D:D,'02效果表'!E:E), 0) +
Y75*IF(_xlfn.XLOOKUP(X75,'02效果表'!D:D,'02效果表'!E:E)&lt;0, _xlfn.XLOOKUP(X75,'02效果表'!D:D,'02效果表'!E:E), 0) +
AA75*IF(_xlfn.XLOOKUP(Z75,'02效果表'!D:D,'02效果表'!E:E)&lt;0, _xlfn.XLOOKUP(Z75,'02效果表'!D:D,'02效果表'!E:E), 0) +
AC75*IF(_xlfn.XLOOKUP(AB75,'02效果表'!D:D,'02效果表'!E:E)&lt;0, _xlfn.XLOOKUP(AB75,'02效果表'!D:D,'02效果表'!E:E), 0) +
AE75*IF(_xlfn.XLOOKUP(AD75,'02效果表'!D:D,'02效果表'!E:E)&lt;0, _xlfn.XLOOKUP(AD75,'02效果表'!D:D,'02效果表'!E:E), 0)), 1)</f>
        <v>0</v>
      </c>
      <c r="G75" s="7">
        <f>ROUND(1/6*(I75*MAX(_xlfn.XLOOKUP(H75,'02效果表'!D:D,'02效果表'!E:E),0)+K75*MAX(_xlfn.XLOOKUP(J75,'02效果表'!D:D,'02效果表'!E:E),0)+M75*MAX(_xlfn.XLOOKUP(L75,'02效果表'!D:D,'02效果表'!E:E),0)+O75*MAX(_xlfn.XLOOKUP(N75,'02效果表'!D:D,'02效果表'!E:E),0)+Q75*MAX(_xlfn.XLOOKUP(P75,'02效果表'!D:D,'02效果表'!E:E),0)+S75*MAX(_xlfn.XLOOKUP(R75,'02效果表'!D:D,'02效果表'!E:E),0)+U75*MAX(_xlfn.XLOOKUP(T75,'02效果表'!D:D,'02效果表'!E:E),0)+W75*MAX(_xlfn.XLOOKUP(V75,'02效果表'!D:D,'02效果表'!E:E),0)+Y75*MAX(_xlfn.XLOOKUP(X75,'02效果表'!D:D,'02效果表'!E:E),0)+AA75*MAX(_xlfn.XLOOKUP(Z75,'02效果表'!D:D,'02效果表'!E:E),0)+AC75*MAX(_xlfn.XLOOKUP(AB75,'02效果表'!D:D,'02效果表'!E:E),0)+AE75*MAX(_xlfn.XLOOKUP(AD75,'02效果表'!D:D,'02效果表'!E:E),0)),1)</f>
        <v>6.5</v>
      </c>
      <c r="H75" s="6" t="s">
        <v>1269</v>
      </c>
      <c r="I75" s="6">
        <v>1</v>
      </c>
      <c r="J75" s="6"/>
      <c r="K75" s="6"/>
      <c r="L75" s="6" t="s">
        <v>1269</v>
      </c>
      <c r="M75" s="6">
        <v>1</v>
      </c>
      <c r="N75" s="6"/>
      <c r="O75" s="6"/>
      <c r="P75" s="6" t="s">
        <v>1269</v>
      </c>
      <c r="Q75" s="6">
        <v>1</v>
      </c>
      <c r="R75" s="6"/>
      <c r="S75" s="6"/>
      <c r="T75" s="6" t="s">
        <v>1221</v>
      </c>
      <c r="U75" s="6">
        <v>3</v>
      </c>
      <c r="V75" s="6"/>
      <c r="W75" s="6"/>
      <c r="X75" s="6" t="s">
        <v>1221</v>
      </c>
      <c r="Y75" s="6">
        <v>3</v>
      </c>
      <c r="Z75" s="6"/>
      <c r="AA75" s="6"/>
      <c r="AB75" s="6" t="s">
        <v>1221</v>
      </c>
      <c r="AC75" s="6">
        <v>3</v>
      </c>
      <c r="AD75" s="6"/>
      <c r="AE75" s="6"/>
    </row>
    <row r="76" spans="1:31" x14ac:dyDescent="0.35">
      <c r="A76" s="6">
        <v>73</v>
      </c>
      <c r="B76" s="6" t="s">
        <v>0</v>
      </c>
      <c r="C76" s="10" t="s">
        <v>17</v>
      </c>
      <c r="D76" s="9" t="s">
        <v>90</v>
      </c>
      <c r="E76" s="7">
        <f t="shared" si="7"/>
        <v>10</v>
      </c>
      <c r="F76" s="7">
        <f>-1*ROUND(1/6*(I76*IF(_xlfn.XLOOKUP(H76,'02效果表'!D:D,'02效果表'!E:E)&lt;0, _xlfn.XLOOKUP(H76,'02效果表'!D:D,'02效果表'!E:E), 0) +
K76*IF(_xlfn.XLOOKUP(J76,'02效果表'!D:D,'02效果表'!E:E)&lt;0, _xlfn.XLOOKUP(J76,'02效果表'!D:D,'02效果表'!E:E), 0) +
M76*IF(_xlfn.XLOOKUP(L76,'02效果表'!D:D,'02效果表'!E:E)&lt;0, _xlfn.XLOOKUP(L76,'02效果表'!D:D,'02效果表'!E:E), 0) +
O76*IF(_xlfn.XLOOKUP(N76,'02效果表'!D:D,'02效果表'!E:E)&lt;0, _xlfn.XLOOKUP(N76,'02效果表'!D:D,'02效果表'!E:E), 0) +
Q76*IF(_xlfn.XLOOKUP(P76,'02效果表'!D:D,'02效果表'!E:E)&lt;0, _xlfn.XLOOKUP(P76,'02效果表'!D:D,'02效果表'!E:E), 0) +
S76*IF(_xlfn.XLOOKUP(R76,'02效果表'!D:D,'02效果表'!E:E)&lt;0, _xlfn.XLOOKUP(R76,'02效果表'!D:D,'02效果表'!E:E), 0) +
U76*IF(_xlfn.XLOOKUP(T76,'02效果表'!D:D,'02效果表'!E:E)&lt;0, _xlfn.XLOOKUP(T76,'02效果表'!D:D,'02效果表'!E:E), 0) +
W76*IF(_xlfn.XLOOKUP(V76,'02效果表'!D:D,'02效果表'!E:E)&lt;0, _xlfn.XLOOKUP(V76,'02效果表'!D:D,'02效果表'!E:E), 0) +
Y76*IF(_xlfn.XLOOKUP(X76,'02效果表'!D:D,'02效果表'!E:E)&lt;0, _xlfn.XLOOKUP(X76,'02效果表'!D:D,'02效果表'!E:E), 0) +
AA76*IF(_xlfn.XLOOKUP(Z76,'02效果表'!D:D,'02效果表'!E:E)&lt;0, _xlfn.XLOOKUP(Z76,'02效果表'!D:D,'02效果表'!E:E), 0) +
AC76*IF(_xlfn.XLOOKUP(AB76,'02效果表'!D:D,'02效果表'!E:E)&lt;0, _xlfn.XLOOKUP(AB76,'02效果表'!D:D,'02效果表'!E:E), 0) +
AE76*IF(_xlfn.XLOOKUP(AD76,'02效果表'!D:D,'02效果表'!E:E)&lt;0, _xlfn.XLOOKUP(AD76,'02效果表'!D:D,'02效果表'!E:E), 0)), 1)</f>
        <v>0</v>
      </c>
      <c r="G76" s="7">
        <f>ROUND(1/6*(I76*MAX(_xlfn.XLOOKUP(H76,'02效果表'!D:D,'02效果表'!E:E),0)+K76*MAX(_xlfn.XLOOKUP(J76,'02效果表'!D:D,'02效果表'!E:E),0)+M76*MAX(_xlfn.XLOOKUP(L76,'02效果表'!D:D,'02效果表'!E:E),0)+O76*MAX(_xlfn.XLOOKUP(N76,'02效果表'!D:D,'02效果表'!E:E),0)+Q76*MAX(_xlfn.XLOOKUP(P76,'02效果表'!D:D,'02效果表'!E:E),0)+S76*MAX(_xlfn.XLOOKUP(R76,'02效果表'!D:D,'02效果表'!E:E),0)+U76*MAX(_xlfn.XLOOKUP(T76,'02效果表'!D:D,'02效果表'!E:E),0)+W76*MAX(_xlfn.XLOOKUP(V76,'02效果表'!D:D,'02效果表'!E:E),0)+Y76*MAX(_xlfn.XLOOKUP(X76,'02效果表'!D:D,'02效果表'!E:E),0)+AA76*MAX(_xlfn.XLOOKUP(Z76,'02效果表'!D:D,'02效果表'!E:E),0)+AC76*MAX(_xlfn.XLOOKUP(AB76,'02效果表'!D:D,'02效果表'!E:E),0)+AE76*MAX(_xlfn.XLOOKUP(AD76,'02效果表'!D:D,'02效果表'!E:E),0)),1)</f>
        <v>10</v>
      </c>
      <c r="H76" s="6" t="s">
        <v>1233</v>
      </c>
      <c r="I76" s="6">
        <v>1</v>
      </c>
      <c r="J76" s="6"/>
      <c r="K76" s="6"/>
      <c r="L76" s="6" t="s">
        <v>1233</v>
      </c>
      <c r="M76" s="6">
        <v>1</v>
      </c>
      <c r="N76" s="6"/>
      <c r="O76" s="6"/>
      <c r="P76" s="6" t="s">
        <v>1233</v>
      </c>
      <c r="Q76" s="6">
        <v>1</v>
      </c>
      <c r="R76" s="6"/>
      <c r="S76" s="6"/>
      <c r="T76" s="6" t="s">
        <v>1233</v>
      </c>
      <c r="U76" s="6">
        <v>1</v>
      </c>
      <c r="V76" s="6"/>
      <c r="W76" s="6"/>
      <c r="X76" s="6" t="s">
        <v>1233</v>
      </c>
      <c r="Y76" s="6">
        <v>1</v>
      </c>
      <c r="Z76" s="6"/>
      <c r="AA76" s="6"/>
      <c r="AB76" s="6" t="s">
        <v>1233</v>
      </c>
      <c r="AC76" s="6">
        <v>1</v>
      </c>
      <c r="AD76" s="6"/>
      <c r="AE76" s="6"/>
    </row>
    <row r="77" spans="1:31" x14ac:dyDescent="0.35">
      <c r="A77" s="6">
        <v>74</v>
      </c>
      <c r="B77" s="6" t="s">
        <v>0</v>
      </c>
      <c r="C77" s="10" t="s">
        <v>17</v>
      </c>
      <c r="D77" s="9" t="s">
        <v>91</v>
      </c>
      <c r="E77" s="7">
        <f t="shared" si="7"/>
        <v>7</v>
      </c>
      <c r="F77" s="7">
        <f>-1*ROUND(1/6*(I77*IF(_xlfn.XLOOKUP(H77,'02效果表'!D:D,'02效果表'!E:E)&lt;0, _xlfn.XLOOKUP(H77,'02效果表'!D:D,'02效果表'!E:E), 0) +
K77*IF(_xlfn.XLOOKUP(J77,'02效果表'!D:D,'02效果表'!E:E)&lt;0, _xlfn.XLOOKUP(J77,'02效果表'!D:D,'02效果表'!E:E), 0) +
M77*IF(_xlfn.XLOOKUP(L77,'02效果表'!D:D,'02效果表'!E:E)&lt;0, _xlfn.XLOOKUP(L77,'02效果表'!D:D,'02效果表'!E:E), 0) +
O77*IF(_xlfn.XLOOKUP(N77,'02效果表'!D:D,'02效果表'!E:E)&lt;0, _xlfn.XLOOKUP(N77,'02效果表'!D:D,'02效果表'!E:E), 0) +
Q77*IF(_xlfn.XLOOKUP(P77,'02效果表'!D:D,'02效果表'!E:E)&lt;0, _xlfn.XLOOKUP(P77,'02效果表'!D:D,'02效果表'!E:E), 0) +
S77*IF(_xlfn.XLOOKUP(R77,'02效果表'!D:D,'02效果表'!E:E)&lt;0, _xlfn.XLOOKUP(R77,'02效果表'!D:D,'02效果表'!E:E), 0) +
U77*IF(_xlfn.XLOOKUP(T77,'02效果表'!D:D,'02效果表'!E:E)&lt;0, _xlfn.XLOOKUP(T77,'02效果表'!D:D,'02效果表'!E:E), 0) +
W77*IF(_xlfn.XLOOKUP(V77,'02效果表'!D:D,'02效果表'!E:E)&lt;0, _xlfn.XLOOKUP(V77,'02效果表'!D:D,'02效果表'!E:E), 0) +
Y77*IF(_xlfn.XLOOKUP(X77,'02效果表'!D:D,'02效果表'!E:E)&lt;0, _xlfn.XLOOKUP(X77,'02效果表'!D:D,'02效果表'!E:E), 0) +
AA77*IF(_xlfn.XLOOKUP(Z77,'02效果表'!D:D,'02效果表'!E:E)&lt;0, _xlfn.XLOOKUP(Z77,'02效果表'!D:D,'02效果表'!E:E), 0) +
AC77*IF(_xlfn.XLOOKUP(AB77,'02效果表'!D:D,'02效果表'!E:E)&lt;0, _xlfn.XLOOKUP(AB77,'02效果表'!D:D,'02效果表'!E:E), 0) +
AE77*IF(_xlfn.XLOOKUP(AD77,'02效果表'!D:D,'02效果表'!E:E)&lt;0, _xlfn.XLOOKUP(AD77,'02效果表'!D:D,'02效果表'!E:E), 0)), 1)</f>
        <v>0</v>
      </c>
      <c r="G77" s="7">
        <f>ROUND(1/6*(I77*MAX(_xlfn.XLOOKUP(H77,'02效果表'!D:D,'02效果表'!E:E),0)+K77*MAX(_xlfn.XLOOKUP(J77,'02效果表'!D:D,'02效果表'!E:E),0)+M77*MAX(_xlfn.XLOOKUP(L77,'02效果表'!D:D,'02效果表'!E:E),0)+O77*MAX(_xlfn.XLOOKUP(N77,'02效果表'!D:D,'02效果表'!E:E),0)+Q77*MAX(_xlfn.XLOOKUP(P77,'02效果表'!D:D,'02效果表'!E:E),0)+S77*MAX(_xlfn.XLOOKUP(R77,'02效果表'!D:D,'02效果表'!E:E),0)+U77*MAX(_xlfn.XLOOKUP(T77,'02效果表'!D:D,'02效果表'!E:E),0)+W77*MAX(_xlfn.XLOOKUP(V77,'02效果表'!D:D,'02效果表'!E:E),0)+Y77*MAX(_xlfn.XLOOKUP(X77,'02效果表'!D:D,'02效果表'!E:E),0)+AA77*MAX(_xlfn.XLOOKUP(Z77,'02效果表'!D:D,'02效果表'!E:E),0)+AC77*MAX(_xlfn.XLOOKUP(AB77,'02效果表'!D:D,'02效果表'!E:E),0)+AE77*MAX(_xlfn.XLOOKUP(AD77,'02效果表'!D:D,'02效果表'!E:E),0)),1)</f>
        <v>6.5</v>
      </c>
      <c r="H77" s="6" t="s">
        <v>1220</v>
      </c>
      <c r="I77" s="6">
        <v>2</v>
      </c>
      <c r="J77" s="6"/>
      <c r="K77" s="6"/>
      <c r="L77" s="6" t="s">
        <v>1220</v>
      </c>
      <c r="M77" s="6">
        <v>2</v>
      </c>
      <c r="N77" s="6"/>
      <c r="O77" s="6"/>
      <c r="P77" s="6" t="s">
        <v>1220</v>
      </c>
      <c r="Q77" s="6">
        <v>2</v>
      </c>
      <c r="R77" s="6"/>
      <c r="S77" s="6"/>
      <c r="T77" s="6" t="s">
        <v>1221</v>
      </c>
      <c r="U77" s="6">
        <v>3</v>
      </c>
      <c r="V77" s="6"/>
      <c r="W77" s="6"/>
      <c r="X77" s="6" t="s">
        <v>1221</v>
      </c>
      <c r="Y77" s="6">
        <v>3</v>
      </c>
      <c r="Z77" s="6"/>
      <c r="AA77" s="6"/>
      <c r="AB77" s="6" t="s">
        <v>1221</v>
      </c>
      <c r="AC77" s="6">
        <v>3</v>
      </c>
      <c r="AD77" s="6"/>
      <c r="AE77" s="6"/>
    </row>
    <row r="78" spans="1:31" x14ac:dyDescent="0.35">
      <c r="A78" s="6">
        <v>75</v>
      </c>
      <c r="B78" s="6" t="s">
        <v>0</v>
      </c>
      <c r="C78" s="10" t="s">
        <v>17</v>
      </c>
      <c r="D78" s="9" t="s">
        <v>92</v>
      </c>
      <c r="E78" s="7">
        <f t="shared" si="7"/>
        <v>9</v>
      </c>
      <c r="F78" s="7">
        <f>-1*ROUND(1/6*(I78*IF(_xlfn.XLOOKUP(H78,'02效果表'!D:D,'02效果表'!E:E)&lt;0, _xlfn.XLOOKUP(H78,'02效果表'!D:D,'02效果表'!E:E), 0) +
K78*IF(_xlfn.XLOOKUP(J78,'02效果表'!D:D,'02效果表'!E:E)&lt;0, _xlfn.XLOOKUP(J78,'02效果表'!D:D,'02效果表'!E:E), 0) +
M78*IF(_xlfn.XLOOKUP(L78,'02效果表'!D:D,'02效果表'!E:E)&lt;0, _xlfn.XLOOKUP(L78,'02效果表'!D:D,'02效果表'!E:E), 0) +
O78*IF(_xlfn.XLOOKUP(N78,'02效果表'!D:D,'02效果表'!E:E)&lt;0, _xlfn.XLOOKUP(N78,'02效果表'!D:D,'02效果表'!E:E), 0) +
Q78*IF(_xlfn.XLOOKUP(P78,'02效果表'!D:D,'02效果表'!E:E)&lt;0, _xlfn.XLOOKUP(P78,'02效果表'!D:D,'02效果表'!E:E), 0) +
S78*IF(_xlfn.XLOOKUP(R78,'02效果表'!D:D,'02效果表'!E:E)&lt;0, _xlfn.XLOOKUP(R78,'02效果表'!D:D,'02效果表'!E:E), 0) +
U78*IF(_xlfn.XLOOKUP(T78,'02效果表'!D:D,'02效果表'!E:E)&lt;0, _xlfn.XLOOKUP(T78,'02效果表'!D:D,'02效果表'!E:E), 0) +
W78*IF(_xlfn.XLOOKUP(V78,'02效果表'!D:D,'02效果表'!E:E)&lt;0, _xlfn.XLOOKUP(V78,'02效果表'!D:D,'02效果表'!E:E), 0) +
Y78*IF(_xlfn.XLOOKUP(X78,'02效果表'!D:D,'02效果表'!E:E)&lt;0, _xlfn.XLOOKUP(X78,'02效果表'!D:D,'02效果表'!E:E), 0) +
AA78*IF(_xlfn.XLOOKUP(Z78,'02效果表'!D:D,'02效果表'!E:E)&lt;0, _xlfn.XLOOKUP(Z78,'02效果表'!D:D,'02效果表'!E:E), 0) +
AC78*IF(_xlfn.XLOOKUP(AB78,'02效果表'!D:D,'02效果表'!E:E)&lt;0, _xlfn.XLOOKUP(AB78,'02效果表'!D:D,'02效果表'!E:E), 0) +
AE78*IF(_xlfn.XLOOKUP(AD78,'02效果表'!D:D,'02效果表'!E:E)&lt;0, _xlfn.XLOOKUP(AD78,'02效果表'!D:D,'02效果表'!E:E), 0)), 1)</f>
        <v>0</v>
      </c>
      <c r="G78" s="7">
        <f>ROUND(1/6*(I78*MAX(_xlfn.XLOOKUP(H78,'02效果表'!D:D,'02效果表'!E:E),0)+K78*MAX(_xlfn.XLOOKUP(J78,'02效果表'!D:D,'02效果表'!E:E),0)+M78*MAX(_xlfn.XLOOKUP(L78,'02效果表'!D:D,'02效果表'!E:E),0)+O78*MAX(_xlfn.XLOOKUP(N78,'02效果表'!D:D,'02效果表'!E:E),0)+Q78*MAX(_xlfn.XLOOKUP(P78,'02效果表'!D:D,'02效果表'!E:E),0)+S78*MAX(_xlfn.XLOOKUP(R78,'02效果表'!D:D,'02效果表'!E:E),0)+U78*MAX(_xlfn.XLOOKUP(T78,'02效果表'!D:D,'02效果表'!E:E),0)+W78*MAX(_xlfn.XLOOKUP(V78,'02效果表'!D:D,'02效果表'!E:E),0)+Y78*MAX(_xlfn.XLOOKUP(X78,'02效果表'!D:D,'02效果表'!E:E),0)+AA78*MAX(_xlfn.XLOOKUP(Z78,'02效果表'!D:D,'02效果表'!E:E),0)+AC78*MAX(_xlfn.XLOOKUP(AB78,'02效果表'!D:D,'02效果表'!E:E),0)+AE78*MAX(_xlfn.XLOOKUP(AD78,'02效果表'!D:D,'02效果表'!E:E),0)),1)</f>
        <v>8.6999999999999993</v>
      </c>
      <c r="H78" s="6" t="s">
        <v>1260</v>
      </c>
      <c r="I78" s="6">
        <v>4</v>
      </c>
      <c r="J78" s="6"/>
      <c r="K78" s="6"/>
      <c r="L78" s="6" t="s">
        <v>1260</v>
      </c>
      <c r="M78" s="6">
        <v>3</v>
      </c>
      <c r="N78" s="6"/>
      <c r="O78" s="6"/>
      <c r="P78" s="6" t="s">
        <v>1260</v>
      </c>
      <c r="Q78" s="6">
        <v>2</v>
      </c>
      <c r="R78" s="6"/>
      <c r="S78" s="6"/>
      <c r="T78" s="6" t="s">
        <v>1260</v>
      </c>
      <c r="U78" s="6">
        <v>2</v>
      </c>
      <c r="V78" s="6"/>
      <c r="W78" s="6"/>
      <c r="X78" s="6" t="s">
        <v>1260</v>
      </c>
      <c r="Y78" s="6">
        <v>1</v>
      </c>
      <c r="Z78" s="6"/>
      <c r="AA78" s="6"/>
      <c r="AB78" s="6" t="s">
        <v>1260</v>
      </c>
      <c r="AC78" s="6">
        <v>1</v>
      </c>
      <c r="AD78" s="6"/>
      <c r="AE78" s="6"/>
    </row>
    <row r="79" spans="1:31" x14ac:dyDescent="0.35">
      <c r="A79" s="6">
        <v>76</v>
      </c>
      <c r="B79" s="6" t="s">
        <v>0</v>
      </c>
      <c r="C79" s="10" t="s">
        <v>17</v>
      </c>
      <c r="D79" s="9" t="s">
        <v>93</v>
      </c>
      <c r="E79" s="7">
        <f t="shared" si="7"/>
        <v>9</v>
      </c>
      <c r="F79" s="7">
        <f>-1*ROUND(1/6*(I79*IF(_xlfn.XLOOKUP(H79,'02效果表'!D:D,'02效果表'!E:E)&lt;0, _xlfn.XLOOKUP(H79,'02效果表'!D:D,'02效果表'!E:E), 0) +
K79*IF(_xlfn.XLOOKUP(J79,'02效果表'!D:D,'02效果表'!E:E)&lt;0, _xlfn.XLOOKUP(J79,'02效果表'!D:D,'02效果表'!E:E), 0) +
M79*IF(_xlfn.XLOOKUP(L79,'02效果表'!D:D,'02效果表'!E:E)&lt;0, _xlfn.XLOOKUP(L79,'02效果表'!D:D,'02效果表'!E:E), 0) +
O79*IF(_xlfn.XLOOKUP(N79,'02效果表'!D:D,'02效果表'!E:E)&lt;0, _xlfn.XLOOKUP(N79,'02效果表'!D:D,'02效果表'!E:E), 0) +
Q79*IF(_xlfn.XLOOKUP(P79,'02效果表'!D:D,'02效果表'!E:E)&lt;0, _xlfn.XLOOKUP(P79,'02效果表'!D:D,'02效果表'!E:E), 0) +
S79*IF(_xlfn.XLOOKUP(R79,'02效果表'!D:D,'02效果表'!E:E)&lt;0, _xlfn.XLOOKUP(R79,'02效果表'!D:D,'02效果表'!E:E), 0) +
U79*IF(_xlfn.XLOOKUP(T79,'02效果表'!D:D,'02效果表'!E:E)&lt;0, _xlfn.XLOOKUP(T79,'02效果表'!D:D,'02效果表'!E:E), 0) +
W79*IF(_xlfn.XLOOKUP(V79,'02效果表'!D:D,'02效果表'!E:E)&lt;0, _xlfn.XLOOKUP(V79,'02效果表'!D:D,'02效果表'!E:E), 0) +
Y79*IF(_xlfn.XLOOKUP(X79,'02效果表'!D:D,'02效果表'!E:E)&lt;0, _xlfn.XLOOKUP(X79,'02效果表'!D:D,'02效果表'!E:E), 0) +
AA79*IF(_xlfn.XLOOKUP(Z79,'02效果表'!D:D,'02效果表'!E:E)&lt;0, _xlfn.XLOOKUP(Z79,'02效果表'!D:D,'02效果表'!E:E), 0) +
AC79*IF(_xlfn.XLOOKUP(AB79,'02效果表'!D:D,'02效果表'!E:E)&lt;0, _xlfn.XLOOKUP(AB79,'02效果表'!D:D,'02效果表'!E:E), 0) +
AE79*IF(_xlfn.XLOOKUP(AD79,'02效果表'!D:D,'02效果表'!E:E)&lt;0, _xlfn.XLOOKUP(AD79,'02效果表'!D:D,'02效果表'!E:E), 0)), 1)</f>
        <v>0</v>
      </c>
      <c r="G79" s="7">
        <f>ROUND(1/6*(I79*MAX(_xlfn.XLOOKUP(H79,'02效果表'!D:D,'02效果表'!E:E),0)+K79*MAX(_xlfn.XLOOKUP(J79,'02效果表'!D:D,'02效果表'!E:E),0)+M79*MAX(_xlfn.XLOOKUP(L79,'02效果表'!D:D,'02效果表'!E:E),0)+O79*MAX(_xlfn.XLOOKUP(N79,'02效果表'!D:D,'02效果表'!E:E),0)+Q79*MAX(_xlfn.XLOOKUP(P79,'02效果表'!D:D,'02效果表'!E:E),0)+S79*MAX(_xlfn.XLOOKUP(R79,'02效果表'!D:D,'02效果表'!E:E),0)+U79*MAX(_xlfn.XLOOKUP(T79,'02效果表'!D:D,'02效果表'!E:E),0)+W79*MAX(_xlfn.XLOOKUP(V79,'02效果表'!D:D,'02效果表'!E:E),0)+Y79*MAX(_xlfn.XLOOKUP(X79,'02效果表'!D:D,'02效果表'!E:E),0)+AA79*MAX(_xlfn.XLOOKUP(Z79,'02效果表'!D:D,'02效果表'!E:E),0)+AC79*MAX(_xlfn.XLOOKUP(AB79,'02效果表'!D:D,'02效果表'!E:E),0)+AE79*MAX(_xlfn.XLOOKUP(AD79,'02效果表'!D:D,'02效果表'!E:E),0)),1)</f>
        <v>9</v>
      </c>
      <c r="H79" s="6" t="s">
        <v>1234</v>
      </c>
      <c r="I79" s="6">
        <v>6</v>
      </c>
      <c r="J79" s="6"/>
      <c r="K79" s="6"/>
      <c r="L79" s="6" t="s">
        <v>1234</v>
      </c>
      <c r="M79" s="6">
        <v>5</v>
      </c>
      <c r="N79" s="6"/>
      <c r="O79" s="6"/>
      <c r="P79" s="6" t="s">
        <v>1234</v>
      </c>
      <c r="Q79" s="6">
        <v>5</v>
      </c>
      <c r="R79" s="6"/>
      <c r="S79" s="6"/>
      <c r="T79" s="6" t="s">
        <v>1234</v>
      </c>
      <c r="U79" s="6">
        <v>4</v>
      </c>
      <c r="V79" s="6"/>
      <c r="W79" s="6"/>
      <c r="X79" s="6" t="s">
        <v>1234</v>
      </c>
      <c r="Y79" s="6">
        <v>4</v>
      </c>
      <c r="Z79" s="6"/>
      <c r="AA79" s="6"/>
      <c r="AB79" s="6" t="s">
        <v>1234</v>
      </c>
      <c r="AC79" s="6">
        <v>3</v>
      </c>
      <c r="AD79" s="6"/>
      <c r="AE79" s="6"/>
    </row>
    <row r="80" spans="1:31" x14ac:dyDescent="0.35">
      <c r="A80" s="6">
        <v>77</v>
      </c>
      <c r="B80" s="6" t="s">
        <v>0</v>
      </c>
      <c r="C80" s="10" t="s">
        <v>17</v>
      </c>
      <c r="D80" s="9" t="s">
        <v>94</v>
      </c>
      <c r="E80" s="7">
        <f t="shared" si="7"/>
        <v>9</v>
      </c>
      <c r="F80" s="7">
        <f>-1*ROUND(1/6*(I80*IF(_xlfn.XLOOKUP(H80,'02效果表'!D:D,'02效果表'!E:E)&lt;0, _xlfn.XLOOKUP(H80,'02效果表'!D:D,'02效果表'!E:E), 0) +
K80*IF(_xlfn.XLOOKUP(J80,'02效果表'!D:D,'02效果表'!E:E)&lt;0, _xlfn.XLOOKUP(J80,'02效果表'!D:D,'02效果表'!E:E), 0) +
M80*IF(_xlfn.XLOOKUP(L80,'02效果表'!D:D,'02效果表'!E:E)&lt;0, _xlfn.XLOOKUP(L80,'02效果表'!D:D,'02效果表'!E:E), 0) +
O80*IF(_xlfn.XLOOKUP(N80,'02效果表'!D:D,'02效果表'!E:E)&lt;0, _xlfn.XLOOKUP(N80,'02效果表'!D:D,'02效果表'!E:E), 0) +
Q80*IF(_xlfn.XLOOKUP(P80,'02效果表'!D:D,'02效果表'!E:E)&lt;0, _xlfn.XLOOKUP(P80,'02效果表'!D:D,'02效果表'!E:E), 0) +
S80*IF(_xlfn.XLOOKUP(R80,'02效果表'!D:D,'02效果表'!E:E)&lt;0, _xlfn.XLOOKUP(R80,'02效果表'!D:D,'02效果表'!E:E), 0) +
U80*IF(_xlfn.XLOOKUP(T80,'02效果表'!D:D,'02效果表'!E:E)&lt;0, _xlfn.XLOOKUP(T80,'02效果表'!D:D,'02效果表'!E:E), 0) +
W80*IF(_xlfn.XLOOKUP(V80,'02效果表'!D:D,'02效果表'!E:E)&lt;0, _xlfn.XLOOKUP(V80,'02效果表'!D:D,'02效果表'!E:E), 0) +
Y80*IF(_xlfn.XLOOKUP(X80,'02效果表'!D:D,'02效果表'!E:E)&lt;0, _xlfn.XLOOKUP(X80,'02效果表'!D:D,'02效果表'!E:E), 0) +
AA80*IF(_xlfn.XLOOKUP(Z80,'02效果表'!D:D,'02效果表'!E:E)&lt;0, _xlfn.XLOOKUP(Z80,'02效果表'!D:D,'02效果表'!E:E), 0) +
AC80*IF(_xlfn.XLOOKUP(AB80,'02效果表'!D:D,'02效果表'!E:E)&lt;0, _xlfn.XLOOKUP(AB80,'02效果表'!D:D,'02效果表'!E:E), 0) +
AE80*IF(_xlfn.XLOOKUP(AD80,'02效果表'!D:D,'02效果表'!E:E)&lt;0, _xlfn.XLOOKUP(AD80,'02效果表'!D:D,'02效果表'!E:E), 0)), 1)</f>
        <v>0</v>
      </c>
      <c r="G80" s="7">
        <f>ROUND(1/6*(I80*MAX(_xlfn.XLOOKUP(H80,'02效果表'!D:D,'02效果表'!E:E),0)+K80*MAX(_xlfn.XLOOKUP(J80,'02效果表'!D:D,'02效果表'!E:E),0)+M80*MAX(_xlfn.XLOOKUP(L80,'02效果表'!D:D,'02效果表'!E:E),0)+O80*MAX(_xlfn.XLOOKUP(N80,'02效果表'!D:D,'02效果表'!E:E),0)+Q80*MAX(_xlfn.XLOOKUP(P80,'02效果表'!D:D,'02效果表'!E:E),0)+S80*MAX(_xlfn.XLOOKUP(R80,'02效果表'!D:D,'02效果表'!E:E),0)+U80*MAX(_xlfn.XLOOKUP(T80,'02效果表'!D:D,'02效果表'!E:E),0)+W80*MAX(_xlfn.XLOOKUP(V80,'02效果表'!D:D,'02效果表'!E:E),0)+Y80*MAX(_xlfn.XLOOKUP(X80,'02效果表'!D:D,'02效果表'!E:E),0)+AA80*MAX(_xlfn.XLOOKUP(Z80,'02效果表'!D:D,'02效果表'!E:E),0)+AC80*MAX(_xlfn.XLOOKUP(AB80,'02效果表'!D:D,'02效果表'!E:E),0)+AE80*MAX(_xlfn.XLOOKUP(AD80,'02效果表'!D:D,'02效果表'!E:E),0)),1)</f>
        <v>9</v>
      </c>
      <c r="H80" s="6" t="s">
        <v>1273</v>
      </c>
      <c r="I80" s="6">
        <v>1</v>
      </c>
      <c r="J80" s="6"/>
      <c r="K80" s="6"/>
      <c r="L80" s="6" t="s">
        <v>1273</v>
      </c>
      <c r="M80" s="6">
        <v>1</v>
      </c>
      <c r="N80" s="6"/>
      <c r="O80" s="6"/>
      <c r="P80" s="6" t="s">
        <v>1273</v>
      </c>
      <c r="Q80" s="6">
        <v>1</v>
      </c>
      <c r="R80" s="6"/>
      <c r="S80" s="6"/>
      <c r="T80" s="6" t="s">
        <v>1221</v>
      </c>
      <c r="U80" s="6">
        <v>3</v>
      </c>
      <c r="V80" s="6"/>
      <c r="W80" s="6"/>
      <c r="X80" s="6" t="s">
        <v>1221</v>
      </c>
      <c r="Y80" s="6">
        <v>3</v>
      </c>
      <c r="Z80" s="6"/>
      <c r="AA80" s="6"/>
      <c r="AB80" s="6" t="s">
        <v>1221</v>
      </c>
      <c r="AC80" s="6">
        <v>3</v>
      </c>
      <c r="AD80" s="6"/>
      <c r="AE80" s="6"/>
    </row>
    <row r="81" spans="1:31" x14ac:dyDescent="0.35">
      <c r="A81" s="6">
        <v>78</v>
      </c>
      <c r="B81" s="6" t="s">
        <v>0</v>
      </c>
      <c r="C81" s="10" t="s">
        <v>17</v>
      </c>
      <c r="D81" s="9" t="s">
        <v>95</v>
      </c>
      <c r="E81" s="7">
        <f t="shared" si="7"/>
        <v>6</v>
      </c>
      <c r="F81" s="7">
        <f>-1*ROUND(1/6*(I81*IF(_xlfn.XLOOKUP(H81,'02效果表'!D:D,'02效果表'!E:E)&lt;0, _xlfn.XLOOKUP(H81,'02效果表'!D:D,'02效果表'!E:E), 0) +
K81*IF(_xlfn.XLOOKUP(J81,'02效果表'!D:D,'02效果表'!E:E)&lt;0, _xlfn.XLOOKUP(J81,'02效果表'!D:D,'02效果表'!E:E), 0) +
M81*IF(_xlfn.XLOOKUP(L81,'02效果表'!D:D,'02效果表'!E:E)&lt;0, _xlfn.XLOOKUP(L81,'02效果表'!D:D,'02效果表'!E:E), 0) +
O81*IF(_xlfn.XLOOKUP(N81,'02效果表'!D:D,'02效果表'!E:E)&lt;0, _xlfn.XLOOKUP(N81,'02效果表'!D:D,'02效果表'!E:E), 0) +
Q81*IF(_xlfn.XLOOKUP(P81,'02效果表'!D:D,'02效果表'!E:E)&lt;0, _xlfn.XLOOKUP(P81,'02效果表'!D:D,'02效果表'!E:E), 0) +
S81*IF(_xlfn.XLOOKUP(R81,'02效果表'!D:D,'02效果表'!E:E)&lt;0, _xlfn.XLOOKUP(R81,'02效果表'!D:D,'02效果表'!E:E), 0) +
U81*IF(_xlfn.XLOOKUP(T81,'02效果表'!D:D,'02效果表'!E:E)&lt;0, _xlfn.XLOOKUP(T81,'02效果表'!D:D,'02效果表'!E:E), 0) +
W81*IF(_xlfn.XLOOKUP(V81,'02效果表'!D:D,'02效果表'!E:E)&lt;0, _xlfn.XLOOKUP(V81,'02效果表'!D:D,'02效果表'!E:E), 0) +
Y81*IF(_xlfn.XLOOKUP(X81,'02效果表'!D:D,'02效果表'!E:E)&lt;0, _xlfn.XLOOKUP(X81,'02效果表'!D:D,'02效果表'!E:E), 0) +
AA81*IF(_xlfn.XLOOKUP(Z81,'02效果表'!D:D,'02效果表'!E:E)&lt;0, _xlfn.XLOOKUP(Z81,'02效果表'!D:D,'02效果表'!E:E), 0) +
AC81*IF(_xlfn.XLOOKUP(AB81,'02效果表'!D:D,'02效果表'!E:E)&lt;0, _xlfn.XLOOKUP(AB81,'02效果表'!D:D,'02效果表'!E:E), 0) +
AE81*IF(_xlfn.XLOOKUP(AD81,'02效果表'!D:D,'02效果表'!E:E)&lt;0, _xlfn.XLOOKUP(AD81,'02效果表'!D:D,'02效果表'!E:E), 0)), 1)</f>
        <v>0</v>
      </c>
      <c r="G81" s="7">
        <f>ROUND(1/6*(I81*MAX(_xlfn.XLOOKUP(H81,'02效果表'!D:D,'02效果表'!E:E),0)+K81*MAX(_xlfn.XLOOKUP(J81,'02效果表'!D:D,'02效果表'!E:E),0)+M81*MAX(_xlfn.XLOOKUP(L81,'02效果表'!D:D,'02效果表'!E:E),0)+O81*MAX(_xlfn.XLOOKUP(N81,'02效果表'!D:D,'02效果表'!E:E),0)+Q81*MAX(_xlfn.XLOOKUP(P81,'02效果表'!D:D,'02效果表'!E:E),0)+S81*MAX(_xlfn.XLOOKUP(R81,'02效果表'!D:D,'02效果表'!E:E),0)+U81*MAX(_xlfn.XLOOKUP(T81,'02效果表'!D:D,'02效果表'!E:E),0)+W81*MAX(_xlfn.XLOOKUP(V81,'02效果表'!D:D,'02效果表'!E:E),0)+Y81*MAX(_xlfn.XLOOKUP(X81,'02效果表'!D:D,'02效果表'!E:E),0)+AA81*MAX(_xlfn.XLOOKUP(Z81,'02效果表'!D:D,'02效果表'!E:E),0)+AC81*MAX(_xlfn.XLOOKUP(AB81,'02效果表'!D:D,'02效果表'!E:E),0)+AE81*MAX(_xlfn.XLOOKUP(AD81,'02效果表'!D:D,'02效果表'!E:E),0)),1)</f>
        <v>6</v>
      </c>
      <c r="H81" s="6" t="s">
        <v>1274</v>
      </c>
      <c r="I81" s="6">
        <v>1</v>
      </c>
      <c r="J81" s="6"/>
      <c r="K81" s="6"/>
      <c r="L81" s="6" t="s">
        <v>1274</v>
      </c>
      <c r="M81" s="6">
        <v>1</v>
      </c>
      <c r="N81" s="6"/>
      <c r="O81" s="6"/>
      <c r="P81" s="6" t="s">
        <v>1274</v>
      </c>
      <c r="Q81" s="6">
        <v>1</v>
      </c>
      <c r="R81" s="6"/>
      <c r="S81" s="6"/>
      <c r="T81" s="6" t="s">
        <v>1221</v>
      </c>
      <c r="U81" s="6">
        <v>3</v>
      </c>
      <c r="V81" s="6"/>
      <c r="W81" s="6"/>
      <c r="X81" s="6" t="s">
        <v>1221</v>
      </c>
      <c r="Y81" s="6">
        <v>3</v>
      </c>
      <c r="Z81" s="6"/>
      <c r="AA81" s="6"/>
      <c r="AB81" s="6" t="s">
        <v>1221</v>
      </c>
      <c r="AC81" s="6">
        <v>3</v>
      </c>
      <c r="AD81" s="6"/>
      <c r="AE81" s="6"/>
    </row>
    <row r="82" spans="1:31" x14ac:dyDescent="0.35">
      <c r="A82" s="6">
        <v>79</v>
      </c>
      <c r="B82" s="6" t="s">
        <v>0</v>
      </c>
      <c r="C82" s="10" t="s">
        <v>17</v>
      </c>
      <c r="D82" s="9" t="s">
        <v>96</v>
      </c>
      <c r="E82" s="7">
        <f t="shared" si="7"/>
        <v>7</v>
      </c>
      <c r="F82" s="7">
        <f>-1*ROUND(1/6*(I82*IF(_xlfn.XLOOKUP(H82,'02效果表'!D:D,'02效果表'!E:E)&lt;0, _xlfn.XLOOKUP(H82,'02效果表'!D:D,'02效果表'!E:E), 0) +
K82*IF(_xlfn.XLOOKUP(J82,'02效果表'!D:D,'02效果表'!E:E)&lt;0, _xlfn.XLOOKUP(J82,'02效果表'!D:D,'02效果表'!E:E), 0) +
M82*IF(_xlfn.XLOOKUP(L82,'02效果表'!D:D,'02效果表'!E:E)&lt;0, _xlfn.XLOOKUP(L82,'02效果表'!D:D,'02效果表'!E:E), 0) +
O82*IF(_xlfn.XLOOKUP(N82,'02效果表'!D:D,'02效果表'!E:E)&lt;0, _xlfn.XLOOKUP(N82,'02效果表'!D:D,'02效果表'!E:E), 0) +
Q82*IF(_xlfn.XLOOKUP(P82,'02效果表'!D:D,'02效果表'!E:E)&lt;0, _xlfn.XLOOKUP(P82,'02效果表'!D:D,'02效果表'!E:E), 0) +
S82*IF(_xlfn.XLOOKUP(R82,'02效果表'!D:D,'02效果表'!E:E)&lt;0, _xlfn.XLOOKUP(R82,'02效果表'!D:D,'02效果表'!E:E), 0) +
U82*IF(_xlfn.XLOOKUP(T82,'02效果表'!D:D,'02效果表'!E:E)&lt;0, _xlfn.XLOOKUP(T82,'02效果表'!D:D,'02效果表'!E:E), 0) +
W82*IF(_xlfn.XLOOKUP(V82,'02效果表'!D:D,'02效果表'!E:E)&lt;0, _xlfn.XLOOKUP(V82,'02效果表'!D:D,'02效果表'!E:E), 0) +
Y82*IF(_xlfn.XLOOKUP(X82,'02效果表'!D:D,'02效果表'!E:E)&lt;0, _xlfn.XLOOKUP(X82,'02效果表'!D:D,'02效果表'!E:E), 0) +
AA82*IF(_xlfn.XLOOKUP(Z82,'02效果表'!D:D,'02效果表'!E:E)&lt;0, _xlfn.XLOOKUP(Z82,'02效果表'!D:D,'02效果表'!E:E), 0) +
AC82*IF(_xlfn.XLOOKUP(AB82,'02效果表'!D:D,'02效果表'!E:E)&lt;0, _xlfn.XLOOKUP(AB82,'02效果表'!D:D,'02效果表'!E:E), 0) +
AE82*IF(_xlfn.XLOOKUP(AD82,'02效果表'!D:D,'02效果表'!E:E)&lt;0, _xlfn.XLOOKUP(AD82,'02效果表'!D:D,'02效果表'!E:E), 0)), 1)</f>
        <v>0</v>
      </c>
      <c r="G82" s="7">
        <f>ROUND(1/6*(I82*MAX(_xlfn.XLOOKUP(H82,'02效果表'!D:D,'02效果表'!E:E),0)+K82*MAX(_xlfn.XLOOKUP(J82,'02效果表'!D:D,'02效果表'!E:E),0)+M82*MAX(_xlfn.XLOOKUP(L82,'02效果表'!D:D,'02效果表'!E:E),0)+O82*MAX(_xlfn.XLOOKUP(N82,'02效果表'!D:D,'02效果表'!E:E),0)+Q82*MAX(_xlfn.XLOOKUP(P82,'02效果表'!D:D,'02效果表'!E:E),0)+S82*MAX(_xlfn.XLOOKUP(R82,'02效果表'!D:D,'02效果表'!E:E),0)+U82*MAX(_xlfn.XLOOKUP(T82,'02效果表'!D:D,'02效果表'!E:E),0)+W82*MAX(_xlfn.XLOOKUP(V82,'02效果表'!D:D,'02效果表'!E:E),0)+Y82*MAX(_xlfn.XLOOKUP(X82,'02效果表'!D:D,'02效果表'!E:E),0)+AA82*MAX(_xlfn.XLOOKUP(Z82,'02效果表'!D:D,'02效果表'!E:E),0)+AC82*MAX(_xlfn.XLOOKUP(AB82,'02效果表'!D:D,'02效果表'!E:E),0)+AE82*MAX(_xlfn.XLOOKUP(AD82,'02效果表'!D:D,'02效果表'!E:E),0)),1)</f>
        <v>6.5</v>
      </c>
      <c r="H82" s="6" t="s">
        <v>1275</v>
      </c>
      <c r="I82" s="6">
        <v>1</v>
      </c>
      <c r="J82" s="6"/>
      <c r="K82" s="6"/>
      <c r="L82" s="6" t="s">
        <v>1275</v>
      </c>
      <c r="M82" s="6">
        <v>1</v>
      </c>
      <c r="N82" s="6"/>
      <c r="O82" s="6"/>
      <c r="P82" s="6" t="s">
        <v>1275</v>
      </c>
      <c r="Q82" s="6">
        <v>1</v>
      </c>
      <c r="R82" s="6"/>
      <c r="S82" s="6"/>
      <c r="T82" s="6" t="s">
        <v>1221</v>
      </c>
      <c r="U82" s="6">
        <v>3</v>
      </c>
      <c r="V82" s="6"/>
      <c r="W82" s="6"/>
      <c r="X82" s="6" t="s">
        <v>1221</v>
      </c>
      <c r="Y82" s="6">
        <v>3</v>
      </c>
      <c r="Z82" s="6"/>
      <c r="AA82" s="6"/>
      <c r="AB82" s="6" t="s">
        <v>1221</v>
      </c>
      <c r="AC82" s="6">
        <v>3</v>
      </c>
      <c r="AD82" s="6"/>
      <c r="AE82" s="6"/>
    </row>
    <row r="83" spans="1:31" x14ac:dyDescent="0.35">
      <c r="A83" s="6">
        <v>83</v>
      </c>
      <c r="B83" s="6" t="s">
        <v>3</v>
      </c>
      <c r="C83" s="10" t="s">
        <v>18</v>
      </c>
      <c r="D83" s="9" t="s">
        <v>1311</v>
      </c>
      <c r="E83" s="7">
        <f t="shared" si="7"/>
        <v>2</v>
      </c>
      <c r="F83" s="7">
        <f>-1*ROUND(1/6*(I83*IF(_xlfn.XLOOKUP(H83,'02效果表'!D:D,'02效果表'!E:E)&lt;0, _xlfn.XLOOKUP(H83,'02效果表'!D:D,'02效果表'!E:E), 0) +
K83*IF(_xlfn.XLOOKUP(J83,'02效果表'!D:D,'02效果表'!E:E)&lt;0, _xlfn.XLOOKUP(J83,'02效果表'!D:D,'02效果表'!E:E), 0) +
M83*IF(_xlfn.XLOOKUP(L83,'02效果表'!D:D,'02效果表'!E:E)&lt;0, _xlfn.XLOOKUP(L83,'02效果表'!D:D,'02效果表'!E:E), 0) +
O83*IF(_xlfn.XLOOKUP(N83,'02效果表'!D:D,'02效果表'!E:E)&lt;0, _xlfn.XLOOKUP(N83,'02效果表'!D:D,'02效果表'!E:E), 0) +
Q83*IF(_xlfn.XLOOKUP(P83,'02效果表'!D:D,'02效果表'!E:E)&lt;0, _xlfn.XLOOKUP(P83,'02效果表'!D:D,'02效果表'!E:E), 0) +
S83*IF(_xlfn.XLOOKUP(R83,'02效果表'!D:D,'02效果表'!E:E)&lt;0, _xlfn.XLOOKUP(R83,'02效果表'!D:D,'02效果表'!E:E), 0) +
U83*IF(_xlfn.XLOOKUP(T83,'02效果表'!D:D,'02效果表'!E:E)&lt;0, _xlfn.XLOOKUP(T83,'02效果表'!D:D,'02效果表'!E:E), 0) +
W83*IF(_xlfn.XLOOKUP(V83,'02效果表'!D:D,'02效果表'!E:E)&lt;0, _xlfn.XLOOKUP(V83,'02效果表'!D:D,'02效果表'!E:E), 0) +
Y83*IF(_xlfn.XLOOKUP(X83,'02效果表'!D:D,'02效果表'!E:E)&lt;0, _xlfn.XLOOKUP(X83,'02效果表'!D:D,'02效果表'!E:E), 0) +
AA83*IF(_xlfn.XLOOKUP(Z83,'02效果表'!D:D,'02效果表'!E:E)&lt;0, _xlfn.XLOOKUP(Z83,'02效果表'!D:D,'02效果表'!E:E), 0) +
AC83*IF(_xlfn.XLOOKUP(AB83,'02效果表'!D:D,'02效果表'!E:E)&lt;0, _xlfn.XLOOKUP(AB83,'02效果表'!D:D,'02效果表'!E:E), 0) +
AE83*IF(_xlfn.XLOOKUP(AD83,'02效果表'!D:D,'02效果表'!E:E)&lt;0, _xlfn.XLOOKUP(AD83,'02效果表'!D:D,'02效果表'!E:E), 0)), 1)</f>
        <v>1</v>
      </c>
      <c r="G83" s="7">
        <f>ROUND(1/6*(I83*MAX(_xlfn.XLOOKUP(H83,'02效果表'!D:D,'02效果表'!E:E),0)+K83*MAX(_xlfn.XLOOKUP(J83,'02效果表'!D:D,'02效果表'!E:E),0)+M83*MAX(_xlfn.XLOOKUP(L83,'02效果表'!D:D,'02效果表'!E:E),0)+O83*MAX(_xlfn.XLOOKUP(N83,'02效果表'!D:D,'02效果表'!E:E),0)+Q83*MAX(_xlfn.XLOOKUP(P83,'02效果表'!D:D,'02效果表'!E:E),0)+S83*MAX(_xlfn.XLOOKUP(R83,'02效果表'!D:D,'02效果表'!E:E),0)+U83*MAX(_xlfn.XLOOKUP(T83,'02效果表'!D:D,'02效果表'!E:E),0)+W83*MAX(_xlfn.XLOOKUP(V83,'02效果表'!D:D,'02效果表'!E:E),0)+Y83*MAX(_xlfn.XLOOKUP(X83,'02效果表'!D:D,'02效果表'!E:E),0)+AA83*MAX(_xlfn.XLOOKUP(Z83,'02效果表'!D:D,'02效果表'!E:E),0)+AC83*MAX(_xlfn.XLOOKUP(AB83,'02效果表'!D:D,'02效果表'!E:E),0)+AE83*MAX(_xlfn.XLOOKUP(AD83,'02效果表'!D:D,'02效果表'!E:E),0)),1)</f>
        <v>3.3</v>
      </c>
      <c r="H83" s="6" t="s">
        <v>1325</v>
      </c>
      <c r="I83" s="6">
        <v>1</v>
      </c>
      <c r="J83" s="6"/>
      <c r="K83" s="6"/>
      <c r="L83" s="6" t="s">
        <v>1325</v>
      </c>
      <c r="M83" s="6">
        <v>1</v>
      </c>
      <c r="N83" s="6"/>
      <c r="O83" s="6"/>
      <c r="P83" s="6" t="s">
        <v>1325</v>
      </c>
      <c r="Q83" s="6">
        <v>1</v>
      </c>
      <c r="R83" s="6"/>
      <c r="S83" s="6"/>
      <c r="T83" s="6" t="s">
        <v>1325</v>
      </c>
      <c r="U83" s="6">
        <v>1</v>
      </c>
      <c r="V83" s="6"/>
      <c r="W83" s="6"/>
      <c r="X83" s="6" t="s">
        <v>1238</v>
      </c>
      <c r="Y83" s="6">
        <v>3</v>
      </c>
      <c r="Z83" s="6"/>
      <c r="AA83" s="6"/>
      <c r="AB83" s="6" t="s">
        <v>1238</v>
      </c>
      <c r="AC83" s="6">
        <v>3</v>
      </c>
      <c r="AD83" s="6"/>
      <c r="AE83" s="6"/>
    </row>
    <row r="84" spans="1:31" x14ac:dyDescent="0.35">
      <c r="A84" s="6">
        <v>84</v>
      </c>
      <c r="B84" s="6" t="s">
        <v>3</v>
      </c>
      <c r="C84" s="10" t="s">
        <v>18</v>
      </c>
      <c r="D84" s="9" t="s">
        <v>1312</v>
      </c>
      <c r="E84" s="7">
        <f t="shared" si="7"/>
        <v>1</v>
      </c>
      <c r="F84" s="7">
        <f>-1*ROUND(1/6*(I84*IF(_xlfn.XLOOKUP(H84,'02效果表'!D:D,'02效果表'!E:E)&lt;0, _xlfn.XLOOKUP(H84,'02效果表'!D:D,'02效果表'!E:E), 0) +
K84*IF(_xlfn.XLOOKUP(J84,'02效果表'!D:D,'02效果表'!E:E)&lt;0, _xlfn.XLOOKUP(J84,'02效果表'!D:D,'02效果表'!E:E), 0) +
M84*IF(_xlfn.XLOOKUP(L84,'02效果表'!D:D,'02效果表'!E:E)&lt;0, _xlfn.XLOOKUP(L84,'02效果表'!D:D,'02效果表'!E:E), 0) +
O84*IF(_xlfn.XLOOKUP(N84,'02效果表'!D:D,'02效果表'!E:E)&lt;0, _xlfn.XLOOKUP(N84,'02效果表'!D:D,'02效果表'!E:E), 0) +
Q84*IF(_xlfn.XLOOKUP(P84,'02效果表'!D:D,'02效果表'!E:E)&lt;0, _xlfn.XLOOKUP(P84,'02效果表'!D:D,'02效果表'!E:E), 0) +
S84*IF(_xlfn.XLOOKUP(R84,'02效果表'!D:D,'02效果表'!E:E)&lt;0, _xlfn.XLOOKUP(R84,'02效果表'!D:D,'02效果表'!E:E), 0) +
U84*IF(_xlfn.XLOOKUP(T84,'02效果表'!D:D,'02效果表'!E:E)&lt;0, _xlfn.XLOOKUP(T84,'02效果表'!D:D,'02效果表'!E:E), 0) +
W84*IF(_xlfn.XLOOKUP(V84,'02效果表'!D:D,'02效果表'!E:E)&lt;0, _xlfn.XLOOKUP(V84,'02效果表'!D:D,'02效果表'!E:E), 0) +
Y84*IF(_xlfn.XLOOKUP(X84,'02效果表'!D:D,'02效果表'!E:E)&lt;0, _xlfn.XLOOKUP(X84,'02效果表'!D:D,'02效果表'!E:E), 0) +
AA84*IF(_xlfn.XLOOKUP(Z84,'02效果表'!D:D,'02效果表'!E:E)&lt;0, _xlfn.XLOOKUP(Z84,'02效果表'!D:D,'02效果表'!E:E), 0) +
AC84*IF(_xlfn.XLOOKUP(AB84,'02效果表'!D:D,'02效果表'!E:E)&lt;0, _xlfn.XLOOKUP(AB84,'02效果表'!D:D,'02效果表'!E:E), 0) +
AE84*IF(_xlfn.XLOOKUP(AD84,'02效果表'!D:D,'02效果表'!E:E)&lt;0, _xlfn.XLOOKUP(AD84,'02效果表'!D:D,'02效果表'!E:E), 0)), 1)</f>
        <v>0.5</v>
      </c>
      <c r="G84" s="7">
        <f>ROUND(1/6*(I84*MAX(_xlfn.XLOOKUP(H84,'02效果表'!D:D,'02效果表'!E:E),0)+K84*MAX(_xlfn.XLOOKUP(J84,'02效果表'!D:D,'02效果表'!E:E),0)+M84*MAX(_xlfn.XLOOKUP(L84,'02效果表'!D:D,'02效果表'!E:E),0)+O84*MAX(_xlfn.XLOOKUP(N84,'02效果表'!D:D,'02效果表'!E:E),0)+Q84*MAX(_xlfn.XLOOKUP(P84,'02效果表'!D:D,'02效果表'!E:E),0)+S84*MAX(_xlfn.XLOOKUP(R84,'02效果表'!D:D,'02效果表'!E:E),0)+U84*MAX(_xlfn.XLOOKUP(T84,'02效果表'!D:D,'02效果表'!E:E),0)+W84*MAX(_xlfn.XLOOKUP(V84,'02效果表'!D:D,'02效果表'!E:E),0)+Y84*MAX(_xlfn.XLOOKUP(X84,'02效果表'!D:D,'02效果表'!E:E),0)+AA84*MAX(_xlfn.XLOOKUP(Z84,'02效果表'!D:D,'02效果表'!E:E),0)+AC84*MAX(_xlfn.XLOOKUP(AB84,'02效果表'!D:D,'02效果表'!E:E),0)+AE84*MAX(_xlfn.XLOOKUP(AD84,'02效果表'!D:D,'02效果表'!E:E),0)),1)</f>
        <v>1.5</v>
      </c>
      <c r="H84" s="6" t="s">
        <v>1221</v>
      </c>
      <c r="I84" s="6">
        <v>3</v>
      </c>
      <c r="J84" s="6"/>
      <c r="K84" s="6"/>
      <c r="L84" s="6" t="s">
        <v>1221</v>
      </c>
      <c r="M84" s="6">
        <v>2</v>
      </c>
      <c r="N84" s="6"/>
      <c r="O84" s="6"/>
      <c r="P84" s="6" t="s">
        <v>1221</v>
      </c>
      <c r="Q84" s="6">
        <v>2</v>
      </c>
      <c r="R84" s="6"/>
      <c r="S84" s="6"/>
      <c r="T84" s="6" t="s">
        <v>1221</v>
      </c>
      <c r="U84" s="6">
        <v>1</v>
      </c>
      <c r="V84" s="6"/>
      <c r="W84" s="6"/>
      <c r="X84" s="6" t="s">
        <v>1221</v>
      </c>
      <c r="Y84" s="6">
        <v>1</v>
      </c>
      <c r="Z84" s="6"/>
      <c r="AA84" s="6"/>
      <c r="AB84" s="6" t="s">
        <v>1238</v>
      </c>
      <c r="AC84" s="6">
        <v>3</v>
      </c>
      <c r="AD84" s="6"/>
      <c r="AE84" s="6"/>
    </row>
    <row r="85" spans="1:31" x14ac:dyDescent="0.35">
      <c r="A85" s="6">
        <v>85</v>
      </c>
      <c r="B85" s="6" t="s">
        <v>3</v>
      </c>
      <c r="C85" s="10" t="s">
        <v>18</v>
      </c>
      <c r="D85" s="9" t="s">
        <v>1313</v>
      </c>
      <c r="E85" s="7">
        <f t="shared" si="7"/>
        <v>3</v>
      </c>
      <c r="F85" s="7">
        <f>-1*ROUND(1/6*(I85*IF(_xlfn.XLOOKUP(H85,'02效果表'!D:D,'02效果表'!E:E)&lt;0, _xlfn.XLOOKUP(H85,'02效果表'!D:D,'02效果表'!E:E), 0) +
K85*IF(_xlfn.XLOOKUP(J85,'02效果表'!D:D,'02效果表'!E:E)&lt;0, _xlfn.XLOOKUP(J85,'02效果表'!D:D,'02效果表'!E:E), 0) +
M85*IF(_xlfn.XLOOKUP(L85,'02效果表'!D:D,'02效果表'!E:E)&lt;0, _xlfn.XLOOKUP(L85,'02效果表'!D:D,'02效果表'!E:E), 0) +
O85*IF(_xlfn.XLOOKUP(N85,'02效果表'!D:D,'02效果表'!E:E)&lt;0, _xlfn.XLOOKUP(N85,'02效果表'!D:D,'02效果表'!E:E), 0) +
Q85*IF(_xlfn.XLOOKUP(P85,'02效果表'!D:D,'02效果表'!E:E)&lt;0, _xlfn.XLOOKUP(P85,'02效果表'!D:D,'02效果表'!E:E), 0) +
S85*IF(_xlfn.XLOOKUP(R85,'02效果表'!D:D,'02效果表'!E:E)&lt;0, _xlfn.XLOOKUP(R85,'02效果表'!D:D,'02效果表'!E:E), 0) +
U85*IF(_xlfn.XLOOKUP(T85,'02效果表'!D:D,'02效果表'!E:E)&lt;0, _xlfn.XLOOKUP(T85,'02效果表'!D:D,'02效果表'!E:E), 0) +
W85*IF(_xlfn.XLOOKUP(V85,'02效果表'!D:D,'02效果表'!E:E)&lt;0, _xlfn.XLOOKUP(V85,'02效果表'!D:D,'02效果表'!E:E), 0) +
Y85*IF(_xlfn.XLOOKUP(X85,'02效果表'!D:D,'02效果表'!E:E)&lt;0, _xlfn.XLOOKUP(X85,'02效果表'!D:D,'02效果表'!E:E), 0) +
AA85*IF(_xlfn.XLOOKUP(Z85,'02效果表'!D:D,'02效果表'!E:E)&lt;0, _xlfn.XLOOKUP(Z85,'02效果表'!D:D,'02效果表'!E:E), 0) +
AC85*IF(_xlfn.XLOOKUP(AB85,'02效果表'!D:D,'02效果表'!E:E)&lt;0, _xlfn.XLOOKUP(AB85,'02效果表'!D:D,'02效果表'!E:E), 0) +
AE85*IF(_xlfn.XLOOKUP(AD85,'02效果表'!D:D,'02效果表'!E:E)&lt;0, _xlfn.XLOOKUP(AD85,'02效果表'!D:D,'02效果表'!E:E), 0)), 1)</f>
        <v>0</v>
      </c>
      <c r="G85" s="7">
        <f>ROUND(1/6*(I85*MAX(_xlfn.XLOOKUP(H85,'02效果表'!D:D,'02效果表'!E:E),0)+K85*MAX(_xlfn.XLOOKUP(J85,'02效果表'!D:D,'02效果表'!E:E),0)+M85*MAX(_xlfn.XLOOKUP(L85,'02效果表'!D:D,'02效果表'!E:E),0)+O85*MAX(_xlfn.XLOOKUP(N85,'02效果表'!D:D,'02效果表'!E:E),0)+Q85*MAX(_xlfn.XLOOKUP(P85,'02效果表'!D:D,'02效果表'!E:E),0)+S85*MAX(_xlfn.XLOOKUP(R85,'02效果表'!D:D,'02效果表'!E:E),0)+U85*MAX(_xlfn.XLOOKUP(T85,'02效果表'!D:D,'02效果表'!E:E),0)+W85*MAX(_xlfn.XLOOKUP(V85,'02效果表'!D:D,'02效果表'!E:E),0)+Y85*MAX(_xlfn.XLOOKUP(X85,'02效果表'!D:D,'02效果表'!E:E),0)+AA85*MAX(_xlfn.XLOOKUP(Z85,'02效果表'!D:D,'02效果表'!E:E),0)+AC85*MAX(_xlfn.XLOOKUP(AB85,'02效果表'!D:D,'02效果表'!E:E),0)+AE85*MAX(_xlfn.XLOOKUP(AD85,'02效果表'!D:D,'02效果表'!E:E),0)),1)</f>
        <v>3.3</v>
      </c>
      <c r="H85" s="6" t="s">
        <v>1236</v>
      </c>
      <c r="I85" s="6">
        <v>2</v>
      </c>
      <c r="J85" s="6" t="s">
        <v>1227</v>
      </c>
      <c r="K85" s="6">
        <v>2</v>
      </c>
      <c r="L85" s="6" t="s">
        <v>1236</v>
      </c>
      <c r="M85" s="6">
        <v>2</v>
      </c>
      <c r="N85" s="6" t="s">
        <v>1227</v>
      </c>
      <c r="O85" s="6">
        <v>2</v>
      </c>
      <c r="P85" s="6" t="s">
        <v>1236</v>
      </c>
      <c r="Q85" s="6">
        <v>2</v>
      </c>
      <c r="R85" s="6" t="s">
        <v>1227</v>
      </c>
      <c r="S85" s="6">
        <v>1</v>
      </c>
      <c r="T85" s="6" t="s">
        <v>1236</v>
      </c>
      <c r="U85" s="6">
        <v>1</v>
      </c>
      <c r="V85" s="6" t="s">
        <v>1227</v>
      </c>
      <c r="W85" s="6">
        <v>1</v>
      </c>
      <c r="X85" s="6" t="s">
        <v>1236</v>
      </c>
      <c r="Y85" s="6">
        <v>1</v>
      </c>
      <c r="Z85" s="6" t="s">
        <v>1227</v>
      </c>
      <c r="AA85" s="6">
        <v>1</v>
      </c>
      <c r="AB85" s="6" t="s">
        <v>1221</v>
      </c>
      <c r="AC85" s="6">
        <v>1</v>
      </c>
      <c r="AD85" s="6"/>
      <c r="AE85" s="6"/>
    </row>
    <row r="86" spans="1:31" x14ac:dyDescent="0.35">
      <c r="A86" s="6">
        <v>86</v>
      </c>
      <c r="B86" s="6" t="s">
        <v>3</v>
      </c>
      <c r="C86" s="10" t="s">
        <v>18</v>
      </c>
      <c r="D86" s="9" t="s">
        <v>1314</v>
      </c>
      <c r="E86" s="7">
        <f t="shared" si="7"/>
        <v>1</v>
      </c>
      <c r="F86" s="7">
        <f>-1*ROUND(1/6*(I86*IF(_xlfn.XLOOKUP(H86,'02效果表'!D:D,'02效果表'!E:E)&lt;0, _xlfn.XLOOKUP(H86,'02效果表'!D:D,'02效果表'!E:E), 0) +
K86*IF(_xlfn.XLOOKUP(J86,'02效果表'!D:D,'02效果表'!E:E)&lt;0, _xlfn.XLOOKUP(J86,'02效果表'!D:D,'02效果表'!E:E), 0) +
M86*IF(_xlfn.XLOOKUP(L86,'02效果表'!D:D,'02效果表'!E:E)&lt;0, _xlfn.XLOOKUP(L86,'02效果表'!D:D,'02效果表'!E:E), 0) +
O86*IF(_xlfn.XLOOKUP(N86,'02效果表'!D:D,'02效果表'!E:E)&lt;0, _xlfn.XLOOKUP(N86,'02效果表'!D:D,'02效果表'!E:E), 0) +
Q86*IF(_xlfn.XLOOKUP(P86,'02效果表'!D:D,'02效果表'!E:E)&lt;0, _xlfn.XLOOKUP(P86,'02效果表'!D:D,'02效果表'!E:E), 0) +
S86*IF(_xlfn.XLOOKUP(R86,'02效果表'!D:D,'02效果表'!E:E)&lt;0, _xlfn.XLOOKUP(R86,'02效果表'!D:D,'02效果表'!E:E), 0) +
U86*IF(_xlfn.XLOOKUP(T86,'02效果表'!D:D,'02效果表'!E:E)&lt;0, _xlfn.XLOOKUP(T86,'02效果表'!D:D,'02效果表'!E:E), 0) +
W86*IF(_xlfn.XLOOKUP(V86,'02效果表'!D:D,'02效果表'!E:E)&lt;0, _xlfn.XLOOKUP(V86,'02效果表'!D:D,'02效果表'!E:E), 0) +
Y86*IF(_xlfn.XLOOKUP(X86,'02效果表'!D:D,'02效果表'!E:E)&lt;0, _xlfn.XLOOKUP(X86,'02效果表'!D:D,'02效果表'!E:E), 0) +
AA86*IF(_xlfn.XLOOKUP(Z86,'02效果表'!D:D,'02效果表'!E:E)&lt;0, _xlfn.XLOOKUP(Z86,'02效果表'!D:D,'02效果表'!E:E), 0) +
AC86*IF(_xlfn.XLOOKUP(AB86,'02效果表'!D:D,'02效果表'!E:E)&lt;0, _xlfn.XLOOKUP(AB86,'02效果表'!D:D,'02效果表'!E:E), 0) +
AE86*IF(_xlfn.XLOOKUP(AD86,'02效果表'!D:D,'02效果表'!E:E)&lt;0, _xlfn.XLOOKUP(AD86,'02效果表'!D:D,'02效果表'!E:E), 0)), 1)</f>
        <v>0.5</v>
      </c>
      <c r="G86" s="7">
        <f>ROUND(1/6*(I86*MAX(_xlfn.XLOOKUP(H86,'02效果表'!D:D,'02效果表'!E:E),0)+K86*MAX(_xlfn.XLOOKUP(J86,'02效果表'!D:D,'02效果表'!E:E),0)+M86*MAX(_xlfn.XLOOKUP(L86,'02效果表'!D:D,'02效果表'!E:E),0)+O86*MAX(_xlfn.XLOOKUP(N86,'02效果表'!D:D,'02效果表'!E:E),0)+Q86*MAX(_xlfn.XLOOKUP(P86,'02效果表'!D:D,'02效果表'!E:E),0)+S86*MAX(_xlfn.XLOOKUP(R86,'02效果表'!D:D,'02效果表'!E:E),0)+U86*MAX(_xlfn.XLOOKUP(T86,'02效果表'!D:D,'02效果表'!E:E),0)+W86*MAX(_xlfn.XLOOKUP(V86,'02效果表'!D:D,'02效果表'!E:E),0)+Y86*MAX(_xlfn.XLOOKUP(X86,'02效果表'!D:D,'02效果表'!E:E),0)+AA86*MAX(_xlfn.XLOOKUP(Z86,'02效果表'!D:D,'02效果表'!E:E),0)+AC86*MAX(_xlfn.XLOOKUP(AB86,'02效果表'!D:D,'02效果表'!E:E),0)+AE86*MAX(_xlfn.XLOOKUP(AD86,'02效果表'!D:D,'02效果表'!E:E),0)),1)</f>
        <v>1.3</v>
      </c>
      <c r="H86" s="6" t="s">
        <v>1224</v>
      </c>
      <c r="I86" s="6">
        <v>2</v>
      </c>
      <c r="J86" s="6" t="s">
        <v>1221</v>
      </c>
      <c r="K86" s="6">
        <v>2</v>
      </c>
      <c r="L86" s="6" t="s">
        <v>1224</v>
      </c>
      <c r="M86" s="6">
        <v>1</v>
      </c>
      <c r="N86" s="6" t="s">
        <v>1221</v>
      </c>
      <c r="O86" s="6">
        <v>1</v>
      </c>
      <c r="P86" s="6" t="s">
        <v>1224</v>
      </c>
      <c r="Q86" s="6">
        <v>1</v>
      </c>
      <c r="R86" s="6" t="s">
        <v>1221</v>
      </c>
      <c r="S86" s="6">
        <v>1</v>
      </c>
      <c r="T86" s="6" t="s">
        <v>1221</v>
      </c>
      <c r="U86" s="6">
        <v>1</v>
      </c>
      <c r="V86" s="6"/>
      <c r="W86" s="6"/>
      <c r="X86" s="6" t="s">
        <v>1221</v>
      </c>
      <c r="Y86" s="6">
        <v>1</v>
      </c>
      <c r="Z86" s="6"/>
      <c r="AA86" s="6"/>
      <c r="AB86" s="6" t="s">
        <v>1238</v>
      </c>
      <c r="AC86" s="6">
        <v>3</v>
      </c>
      <c r="AD86" s="6"/>
      <c r="AE86" s="6"/>
    </row>
    <row r="87" spans="1:31" x14ac:dyDescent="0.35">
      <c r="A87" s="6">
        <v>87</v>
      </c>
      <c r="B87" s="6" t="s">
        <v>3</v>
      </c>
      <c r="C87" s="10" t="s">
        <v>18</v>
      </c>
      <c r="D87" s="9" t="s">
        <v>1315</v>
      </c>
      <c r="E87" s="7">
        <f t="shared" si="7"/>
        <v>2</v>
      </c>
      <c r="F87" s="7">
        <f>-1*ROUND(1/6*(I87*IF(_xlfn.XLOOKUP(H87,'02效果表'!D:D,'02效果表'!E:E)&lt;0, _xlfn.XLOOKUP(H87,'02效果表'!D:D,'02效果表'!E:E), 0) +
K87*IF(_xlfn.XLOOKUP(J87,'02效果表'!D:D,'02效果表'!E:E)&lt;0, _xlfn.XLOOKUP(J87,'02效果表'!D:D,'02效果表'!E:E), 0) +
M87*IF(_xlfn.XLOOKUP(L87,'02效果表'!D:D,'02效果表'!E:E)&lt;0, _xlfn.XLOOKUP(L87,'02效果表'!D:D,'02效果表'!E:E), 0) +
O87*IF(_xlfn.XLOOKUP(N87,'02效果表'!D:D,'02效果表'!E:E)&lt;0, _xlfn.XLOOKUP(N87,'02效果表'!D:D,'02效果表'!E:E), 0) +
Q87*IF(_xlfn.XLOOKUP(P87,'02效果表'!D:D,'02效果表'!E:E)&lt;0, _xlfn.XLOOKUP(P87,'02效果表'!D:D,'02效果表'!E:E), 0) +
S87*IF(_xlfn.XLOOKUP(R87,'02效果表'!D:D,'02效果表'!E:E)&lt;0, _xlfn.XLOOKUP(R87,'02效果表'!D:D,'02效果表'!E:E), 0) +
U87*IF(_xlfn.XLOOKUP(T87,'02效果表'!D:D,'02效果表'!E:E)&lt;0, _xlfn.XLOOKUP(T87,'02效果表'!D:D,'02效果表'!E:E), 0) +
W87*IF(_xlfn.XLOOKUP(V87,'02效果表'!D:D,'02效果表'!E:E)&lt;0, _xlfn.XLOOKUP(V87,'02效果表'!D:D,'02效果表'!E:E), 0) +
Y87*IF(_xlfn.XLOOKUP(X87,'02效果表'!D:D,'02效果表'!E:E)&lt;0, _xlfn.XLOOKUP(X87,'02效果表'!D:D,'02效果表'!E:E), 0) +
AA87*IF(_xlfn.XLOOKUP(Z87,'02效果表'!D:D,'02效果表'!E:E)&lt;0, _xlfn.XLOOKUP(Z87,'02效果表'!D:D,'02效果表'!E:E), 0) +
AC87*IF(_xlfn.XLOOKUP(AB87,'02效果表'!D:D,'02效果表'!E:E)&lt;0, _xlfn.XLOOKUP(AB87,'02效果表'!D:D,'02效果表'!E:E), 0) +
AE87*IF(_xlfn.XLOOKUP(AD87,'02效果表'!D:D,'02效果表'!E:E)&lt;0, _xlfn.XLOOKUP(AD87,'02效果表'!D:D,'02效果表'!E:E), 0)), 1)</f>
        <v>0</v>
      </c>
      <c r="G87" s="7">
        <f>ROUND(1/6*(I87*MAX(_xlfn.XLOOKUP(H87,'02效果表'!D:D,'02效果表'!E:E),0)+K87*MAX(_xlfn.XLOOKUP(J87,'02效果表'!D:D,'02效果表'!E:E),0)+M87*MAX(_xlfn.XLOOKUP(L87,'02效果表'!D:D,'02效果表'!E:E),0)+O87*MAX(_xlfn.XLOOKUP(N87,'02效果表'!D:D,'02效果表'!E:E),0)+Q87*MAX(_xlfn.XLOOKUP(P87,'02效果表'!D:D,'02效果表'!E:E),0)+S87*MAX(_xlfn.XLOOKUP(R87,'02效果表'!D:D,'02效果表'!E:E),0)+U87*MAX(_xlfn.XLOOKUP(T87,'02效果表'!D:D,'02效果表'!E:E),0)+W87*MAX(_xlfn.XLOOKUP(V87,'02效果表'!D:D,'02效果表'!E:E),0)+Y87*MAX(_xlfn.XLOOKUP(X87,'02效果表'!D:D,'02效果表'!E:E),0)+AA87*MAX(_xlfn.XLOOKUP(Z87,'02效果表'!D:D,'02效果表'!E:E),0)+AC87*MAX(_xlfn.XLOOKUP(AB87,'02效果表'!D:D,'02效果表'!E:E),0)+AE87*MAX(_xlfn.XLOOKUP(AD87,'02效果表'!D:D,'02效果表'!E:E),0)),1)</f>
        <v>2.2000000000000002</v>
      </c>
      <c r="H87" s="6" t="s">
        <v>1226</v>
      </c>
      <c r="I87" s="6">
        <v>1</v>
      </c>
      <c r="J87" s="6"/>
      <c r="K87" s="6"/>
      <c r="L87" s="6" t="s">
        <v>1226</v>
      </c>
      <c r="M87" s="6">
        <v>1</v>
      </c>
      <c r="N87" s="6"/>
      <c r="O87" s="6"/>
      <c r="P87" s="6" t="s">
        <v>1247</v>
      </c>
      <c r="Q87" s="6">
        <v>1</v>
      </c>
      <c r="R87" s="6"/>
      <c r="S87" s="6"/>
      <c r="T87" s="6" t="s">
        <v>1247</v>
      </c>
      <c r="U87" s="6">
        <v>1</v>
      </c>
      <c r="V87" s="6"/>
      <c r="W87" s="6"/>
      <c r="X87" s="6" t="s">
        <v>1221</v>
      </c>
      <c r="Y87" s="6">
        <v>1</v>
      </c>
      <c r="Z87" s="6"/>
      <c r="AA87" s="6"/>
      <c r="AB87" s="6" t="s">
        <v>1221</v>
      </c>
      <c r="AC87" s="6">
        <v>1</v>
      </c>
      <c r="AD87" s="6"/>
      <c r="AE87" s="6"/>
    </row>
    <row r="88" spans="1:31" x14ac:dyDescent="0.35">
      <c r="A88" s="6">
        <v>88</v>
      </c>
      <c r="B88" s="6" t="s">
        <v>3</v>
      </c>
      <c r="C88" s="10" t="s">
        <v>1</v>
      </c>
      <c r="D88" s="9" t="s">
        <v>1316</v>
      </c>
      <c r="E88" s="7">
        <f t="shared" si="7"/>
        <v>3</v>
      </c>
      <c r="F88" s="7">
        <f>-1*ROUND(1/6*(I88*IF(_xlfn.XLOOKUP(H88,'02效果表'!D:D,'02效果表'!E:E)&lt;0, _xlfn.XLOOKUP(H88,'02效果表'!D:D,'02效果表'!E:E), 0) +
K88*IF(_xlfn.XLOOKUP(J88,'02效果表'!D:D,'02效果表'!E:E)&lt;0, _xlfn.XLOOKUP(J88,'02效果表'!D:D,'02效果表'!E:E), 0) +
M88*IF(_xlfn.XLOOKUP(L88,'02效果表'!D:D,'02效果表'!E:E)&lt;0, _xlfn.XLOOKUP(L88,'02效果表'!D:D,'02效果表'!E:E), 0) +
O88*IF(_xlfn.XLOOKUP(N88,'02效果表'!D:D,'02效果表'!E:E)&lt;0, _xlfn.XLOOKUP(N88,'02效果表'!D:D,'02效果表'!E:E), 0) +
Q88*IF(_xlfn.XLOOKUP(P88,'02效果表'!D:D,'02效果表'!E:E)&lt;0, _xlfn.XLOOKUP(P88,'02效果表'!D:D,'02效果表'!E:E), 0) +
S88*IF(_xlfn.XLOOKUP(R88,'02效果表'!D:D,'02效果表'!E:E)&lt;0, _xlfn.XLOOKUP(R88,'02效果表'!D:D,'02效果表'!E:E), 0) +
U88*IF(_xlfn.XLOOKUP(T88,'02效果表'!D:D,'02效果表'!E:E)&lt;0, _xlfn.XLOOKUP(T88,'02效果表'!D:D,'02效果表'!E:E), 0) +
W88*IF(_xlfn.XLOOKUP(V88,'02效果表'!D:D,'02效果表'!E:E)&lt;0, _xlfn.XLOOKUP(V88,'02效果表'!D:D,'02效果表'!E:E), 0) +
Y88*IF(_xlfn.XLOOKUP(X88,'02效果表'!D:D,'02效果表'!E:E)&lt;0, _xlfn.XLOOKUP(X88,'02效果表'!D:D,'02效果表'!E:E), 0) +
AA88*IF(_xlfn.XLOOKUP(Z88,'02效果表'!D:D,'02效果表'!E:E)&lt;0, _xlfn.XLOOKUP(Z88,'02效果表'!D:D,'02效果表'!E:E), 0) +
AC88*IF(_xlfn.XLOOKUP(AB88,'02效果表'!D:D,'02效果表'!E:E)&lt;0, _xlfn.XLOOKUP(AB88,'02效果表'!D:D,'02效果表'!E:E), 0) +
AE88*IF(_xlfn.XLOOKUP(AD88,'02效果表'!D:D,'02效果表'!E:E)&lt;0, _xlfn.XLOOKUP(AD88,'02效果表'!D:D,'02效果表'!E:E), 0)), 1)</f>
        <v>0</v>
      </c>
      <c r="G88" s="7">
        <f>ROUND(1/6*(I88*MAX(_xlfn.XLOOKUP(H88,'02效果表'!D:D,'02效果表'!E:E),0)+K88*MAX(_xlfn.XLOOKUP(J88,'02效果表'!D:D,'02效果表'!E:E),0)+M88*MAX(_xlfn.XLOOKUP(L88,'02效果表'!D:D,'02效果表'!E:E),0)+O88*MAX(_xlfn.XLOOKUP(N88,'02效果表'!D:D,'02效果表'!E:E),0)+Q88*MAX(_xlfn.XLOOKUP(P88,'02效果表'!D:D,'02效果表'!E:E),0)+S88*MAX(_xlfn.XLOOKUP(R88,'02效果表'!D:D,'02效果表'!E:E),0)+U88*MAX(_xlfn.XLOOKUP(T88,'02效果表'!D:D,'02效果表'!E:E),0)+W88*MAX(_xlfn.XLOOKUP(V88,'02效果表'!D:D,'02效果表'!E:E),0)+Y88*MAX(_xlfn.XLOOKUP(X88,'02效果表'!D:D,'02效果表'!E:E),0)+AA88*MAX(_xlfn.XLOOKUP(Z88,'02效果表'!D:D,'02效果表'!E:E),0)+AC88*MAX(_xlfn.XLOOKUP(AB88,'02效果表'!D:D,'02效果表'!E:E),0)+AE88*MAX(_xlfn.XLOOKUP(AD88,'02效果表'!D:D,'02效果表'!E:E),0)),1)</f>
        <v>2.7</v>
      </c>
      <c r="H88" s="6" t="s">
        <v>1316</v>
      </c>
      <c r="I88" s="6">
        <v>1</v>
      </c>
      <c r="J88" s="6" t="s">
        <v>1220</v>
      </c>
      <c r="K88" s="6">
        <v>1</v>
      </c>
      <c r="L88" s="6" t="s">
        <v>1316</v>
      </c>
      <c r="M88" s="6">
        <v>1</v>
      </c>
      <c r="N88" s="6" t="s">
        <v>1220</v>
      </c>
      <c r="O88" s="6">
        <v>1</v>
      </c>
      <c r="P88" s="6" t="s">
        <v>1316</v>
      </c>
      <c r="Q88" s="6">
        <v>1</v>
      </c>
      <c r="R88" s="6" t="s">
        <v>1221</v>
      </c>
      <c r="S88" s="6">
        <v>1</v>
      </c>
      <c r="T88" s="6" t="s">
        <v>1316</v>
      </c>
      <c r="U88" s="6">
        <v>1</v>
      </c>
      <c r="V88" s="6" t="s">
        <v>1221</v>
      </c>
      <c r="W88" s="6">
        <v>1</v>
      </c>
      <c r="X88" s="6" t="s">
        <v>1316</v>
      </c>
      <c r="Y88" s="6">
        <v>1</v>
      </c>
      <c r="Z88" s="6" t="s">
        <v>1221</v>
      </c>
      <c r="AA88" s="6">
        <v>1</v>
      </c>
      <c r="AB88" s="6" t="s">
        <v>1316</v>
      </c>
      <c r="AC88" s="6">
        <v>1</v>
      </c>
      <c r="AD88" s="6" t="s">
        <v>1221</v>
      </c>
      <c r="AE88" s="6">
        <v>1</v>
      </c>
    </row>
    <row r="89" spans="1:31" x14ac:dyDescent="0.35">
      <c r="A89" s="6">
        <v>89</v>
      </c>
      <c r="B89" s="6" t="s">
        <v>3</v>
      </c>
      <c r="C89" s="10" t="s">
        <v>1</v>
      </c>
      <c r="D89" s="9" t="s">
        <v>1317</v>
      </c>
      <c r="E89" s="7">
        <f t="shared" si="7"/>
        <v>4</v>
      </c>
      <c r="F89" s="7">
        <f>-1*ROUND(1/6*(I89*IF(_xlfn.XLOOKUP(H89,'02效果表'!D:D,'02效果表'!E:E)&lt;0, _xlfn.XLOOKUP(H89,'02效果表'!D:D,'02效果表'!E:E), 0) +
K89*IF(_xlfn.XLOOKUP(J89,'02效果表'!D:D,'02效果表'!E:E)&lt;0, _xlfn.XLOOKUP(J89,'02效果表'!D:D,'02效果表'!E:E), 0) +
M89*IF(_xlfn.XLOOKUP(L89,'02效果表'!D:D,'02效果表'!E:E)&lt;0, _xlfn.XLOOKUP(L89,'02效果表'!D:D,'02效果表'!E:E), 0) +
O89*IF(_xlfn.XLOOKUP(N89,'02效果表'!D:D,'02效果表'!E:E)&lt;0, _xlfn.XLOOKUP(N89,'02效果表'!D:D,'02效果表'!E:E), 0) +
Q89*IF(_xlfn.XLOOKUP(P89,'02效果表'!D:D,'02效果表'!E:E)&lt;0, _xlfn.XLOOKUP(P89,'02效果表'!D:D,'02效果表'!E:E), 0) +
S89*IF(_xlfn.XLOOKUP(R89,'02效果表'!D:D,'02效果表'!E:E)&lt;0, _xlfn.XLOOKUP(R89,'02效果表'!D:D,'02效果表'!E:E), 0) +
U89*IF(_xlfn.XLOOKUP(T89,'02效果表'!D:D,'02效果表'!E:E)&lt;0, _xlfn.XLOOKUP(T89,'02效果表'!D:D,'02效果表'!E:E), 0) +
W89*IF(_xlfn.XLOOKUP(V89,'02效果表'!D:D,'02效果表'!E:E)&lt;0, _xlfn.XLOOKUP(V89,'02效果表'!D:D,'02效果表'!E:E), 0) +
Y89*IF(_xlfn.XLOOKUP(X89,'02效果表'!D:D,'02效果表'!E:E)&lt;0, _xlfn.XLOOKUP(X89,'02效果表'!D:D,'02效果表'!E:E), 0) +
AA89*IF(_xlfn.XLOOKUP(Z89,'02效果表'!D:D,'02效果表'!E:E)&lt;0, _xlfn.XLOOKUP(Z89,'02效果表'!D:D,'02效果表'!E:E), 0) +
AC89*IF(_xlfn.XLOOKUP(AB89,'02效果表'!D:D,'02效果表'!E:E)&lt;0, _xlfn.XLOOKUP(AB89,'02效果表'!D:D,'02效果表'!E:E), 0) +
AE89*IF(_xlfn.XLOOKUP(AD89,'02效果表'!D:D,'02效果表'!E:E)&lt;0, _xlfn.XLOOKUP(AD89,'02效果表'!D:D,'02效果表'!E:E), 0)), 1)</f>
        <v>0</v>
      </c>
      <c r="G89" s="7">
        <f>ROUND(1/6*(I89*MAX(_xlfn.XLOOKUP(H89,'02效果表'!D:D,'02效果表'!E:E),0)+K89*MAX(_xlfn.XLOOKUP(J89,'02效果表'!D:D,'02效果表'!E:E),0)+M89*MAX(_xlfn.XLOOKUP(L89,'02效果表'!D:D,'02效果表'!E:E),0)+O89*MAX(_xlfn.XLOOKUP(N89,'02效果表'!D:D,'02效果表'!E:E),0)+Q89*MAX(_xlfn.XLOOKUP(P89,'02效果表'!D:D,'02效果表'!E:E),0)+S89*MAX(_xlfn.XLOOKUP(R89,'02效果表'!D:D,'02效果表'!E:E),0)+U89*MAX(_xlfn.XLOOKUP(T89,'02效果表'!D:D,'02效果表'!E:E),0)+W89*MAX(_xlfn.XLOOKUP(V89,'02效果表'!D:D,'02效果表'!E:E),0)+Y89*MAX(_xlfn.XLOOKUP(X89,'02效果表'!D:D,'02效果表'!E:E),0)+AA89*MAX(_xlfn.XLOOKUP(Z89,'02效果表'!D:D,'02效果表'!E:E),0)+AC89*MAX(_xlfn.XLOOKUP(AB89,'02效果表'!D:D,'02效果表'!E:E),0)+AE89*MAX(_xlfn.XLOOKUP(AD89,'02效果表'!D:D,'02效果表'!E:E),0)),1)</f>
        <v>3.5</v>
      </c>
      <c r="H89" s="6" t="s">
        <v>1317</v>
      </c>
      <c r="I89" s="6">
        <v>2</v>
      </c>
      <c r="J89" s="6" t="s">
        <v>1220</v>
      </c>
      <c r="K89" s="6">
        <v>1</v>
      </c>
      <c r="L89" s="6" t="s">
        <v>1317</v>
      </c>
      <c r="M89" s="6">
        <v>2</v>
      </c>
      <c r="N89" s="6" t="s">
        <v>1220</v>
      </c>
      <c r="O89" s="6">
        <v>1</v>
      </c>
      <c r="P89" s="6" t="s">
        <v>1317</v>
      </c>
      <c r="Q89" s="6">
        <v>3</v>
      </c>
      <c r="R89" s="6" t="s">
        <v>1221</v>
      </c>
      <c r="S89" s="6">
        <v>1</v>
      </c>
      <c r="T89" s="6" t="s">
        <v>1317</v>
      </c>
      <c r="U89" s="6">
        <v>3</v>
      </c>
      <c r="V89" s="6" t="s">
        <v>1221</v>
      </c>
      <c r="W89" s="6">
        <v>1</v>
      </c>
      <c r="X89" s="6" t="s">
        <v>1317</v>
      </c>
      <c r="Y89" s="6">
        <v>2</v>
      </c>
      <c r="Z89" s="6" t="s">
        <v>1221</v>
      </c>
      <c r="AA89" s="6">
        <v>1</v>
      </c>
      <c r="AB89" s="6" t="s">
        <v>1317</v>
      </c>
      <c r="AC89" s="6">
        <v>2</v>
      </c>
      <c r="AD89" s="6" t="s">
        <v>1221</v>
      </c>
      <c r="AE89" s="6">
        <v>1</v>
      </c>
    </row>
    <row r="90" spans="1:31" x14ac:dyDescent="0.35">
      <c r="A90" s="6">
        <v>90</v>
      </c>
      <c r="B90" s="6" t="s">
        <v>3</v>
      </c>
      <c r="C90" s="10" t="s">
        <v>1</v>
      </c>
      <c r="D90" s="9" t="s">
        <v>1318</v>
      </c>
      <c r="E90" s="7">
        <f t="shared" si="7"/>
        <v>5</v>
      </c>
      <c r="F90" s="7">
        <f>-1*ROUND(1/6*(I90*IF(_xlfn.XLOOKUP(H90,'02效果表'!D:D,'02效果表'!E:E)&lt;0, _xlfn.XLOOKUP(H90,'02效果表'!D:D,'02效果表'!E:E), 0) +
K90*IF(_xlfn.XLOOKUP(J90,'02效果表'!D:D,'02效果表'!E:E)&lt;0, _xlfn.XLOOKUP(J90,'02效果表'!D:D,'02效果表'!E:E), 0) +
M90*IF(_xlfn.XLOOKUP(L90,'02效果表'!D:D,'02效果表'!E:E)&lt;0, _xlfn.XLOOKUP(L90,'02效果表'!D:D,'02效果表'!E:E), 0) +
O90*IF(_xlfn.XLOOKUP(N90,'02效果表'!D:D,'02效果表'!E:E)&lt;0, _xlfn.XLOOKUP(N90,'02效果表'!D:D,'02效果表'!E:E), 0) +
Q90*IF(_xlfn.XLOOKUP(P90,'02效果表'!D:D,'02效果表'!E:E)&lt;0, _xlfn.XLOOKUP(P90,'02效果表'!D:D,'02效果表'!E:E), 0) +
S90*IF(_xlfn.XLOOKUP(R90,'02效果表'!D:D,'02效果表'!E:E)&lt;0, _xlfn.XLOOKUP(R90,'02效果表'!D:D,'02效果表'!E:E), 0) +
U90*IF(_xlfn.XLOOKUP(T90,'02效果表'!D:D,'02效果表'!E:E)&lt;0, _xlfn.XLOOKUP(T90,'02效果表'!D:D,'02效果表'!E:E), 0) +
W90*IF(_xlfn.XLOOKUP(V90,'02效果表'!D:D,'02效果表'!E:E)&lt;0, _xlfn.XLOOKUP(V90,'02效果表'!D:D,'02效果表'!E:E), 0) +
Y90*IF(_xlfn.XLOOKUP(X90,'02效果表'!D:D,'02效果表'!E:E)&lt;0, _xlfn.XLOOKUP(X90,'02效果表'!D:D,'02效果表'!E:E), 0) +
AA90*IF(_xlfn.XLOOKUP(Z90,'02效果表'!D:D,'02效果表'!E:E)&lt;0, _xlfn.XLOOKUP(Z90,'02效果表'!D:D,'02效果表'!E:E), 0) +
AC90*IF(_xlfn.XLOOKUP(AB90,'02效果表'!D:D,'02效果表'!E:E)&lt;0, _xlfn.XLOOKUP(AB90,'02效果表'!D:D,'02效果表'!E:E), 0) +
AE90*IF(_xlfn.XLOOKUP(AD90,'02效果表'!D:D,'02效果表'!E:E)&lt;0, _xlfn.XLOOKUP(AD90,'02效果表'!D:D,'02效果表'!E:E), 0)), 1)</f>
        <v>0</v>
      </c>
      <c r="G90" s="7">
        <f>ROUND(1/6*(I90*MAX(_xlfn.XLOOKUP(H90,'02效果表'!D:D,'02效果表'!E:E),0)+K90*MAX(_xlfn.XLOOKUP(J90,'02效果表'!D:D,'02效果表'!E:E),0)+M90*MAX(_xlfn.XLOOKUP(L90,'02效果表'!D:D,'02效果表'!E:E),0)+O90*MAX(_xlfn.XLOOKUP(N90,'02效果表'!D:D,'02效果表'!E:E),0)+Q90*MAX(_xlfn.XLOOKUP(P90,'02效果表'!D:D,'02效果表'!E:E),0)+S90*MAX(_xlfn.XLOOKUP(R90,'02效果表'!D:D,'02效果表'!E:E),0)+U90*MAX(_xlfn.XLOOKUP(T90,'02效果表'!D:D,'02效果表'!E:E),0)+W90*MAX(_xlfn.XLOOKUP(V90,'02效果表'!D:D,'02效果表'!E:E),0)+Y90*MAX(_xlfn.XLOOKUP(X90,'02效果表'!D:D,'02效果表'!E:E),0)+AA90*MAX(_xlfn.XLOOKUP(Z90,'02效果表'!D:D,'02效果表'!E:E),0)+AC90*MAX(_xlfn.XLOOKUP(AB90,'02效果表'!D:D,'02效果表'!E:E),0)+AE90*MAX(_xlfn.XLOOKUP(AD90,'02效果表'!D:D,'02效果表'!E:E),0)),1)</f>
        <v>5.3</v>
      </c>
      <c r="H90" s="6" t="s">
        <v>1318</v>
      </c>
      <c r="I90" s="6">
        <v>1</v>
      </c>
      <c r="J90" s="6" t="s">
        <v>1220</v>
      </c>
      <c r="K90" s="6">
        <v>1</v>
      </c>
      <c r="L90" s="6" t="s">
        <v>1318</v>
      </c>
      <c r="M90" s="6">
        <v>1</v>
      </c>
      <c r="N90" s="6" t="s">
        <v>1220</v>
      </c>
      <c r="O90" s="6">
        <v>1</v>
      </c>
      <c r="P90" s="6" t="s">
        <v>1318</v>
      </c>
      <c r="Q90" s="6">
        <v>1</v>
      </c>
      <c r="R90" s="6" t="s">
        <v>1221</v>
      </c>
      <c r="S90" s="6">
        <v>1</v>
      </c>
      <c r="T90" s="6" t="s">
        <v>1318</v>
      </c>
      <c r="U90" s="6">
        <v>1</v>
      </c>
      <c r="V90" s="6" t="s">
        <v>1221</v>
      </c>
      <c r="W90" s="6">
        <v>1</v>
      </c>
      <c r="X90" s="6" t="s">
        <v>1318</v>
      </c>
      <c r="Y90" s="6">
        <v>1</v>
      </c>
      <c r="Z90" s="6" t="s">
        <v>1221</v>
      </c>
      <c r="AA90" s="6">
        <v>1</v>
      </c>
      <c r="AB90" s="6" t="s">
        <v>1318</v>
      </c>
      <c r="AC90" s="6">
        <v>1</v>
      </c>
      <c r="AD90" s="6" t="s">
        <v>1221</v>
      </c>
      <c r="AE90" s="6">
        <v>1</v>
      </c>
    </row>
    <row r="91" spans="1:31" x14ac:dyDescent="0.35">
      <c r="A91" s="6">
        <v>91</v>
      </c>
      <c r="B91" s="6" t="s">
        <v>3</v>
      </c>
      <c r="C91" s="10" t="s">
        <v>1</v>
      </c>
      <c r="D91" s="9" t="s">
        <v>1319</v>
      </c>
      <c r="E91" s="7">
        <f t="shared" si="7"/>
        <v>6</v>
      </c>
      <c r="F91" s="7">
        <f>-1*ROUND(1/6*(I91*IF(_xlfn.XLOOKUP(H91,'02效果表'!D:D,'02效果表'!E:E)&lt;0, _xlfn.XLOOKUP(H91,'02效果表'!D:D,'02效果表'!E:E), 0) +
K91*IF(_xlfn.XLOOKUP(J91,'02效果表'!D:D,'02效果表'!E:E)&lt;0, _xlfn.XLOOKUP(J91,'02效果表'!D:D,'02效果表'!E:E), 0) +
M91*IF(_xlfn.XLOOKUP(L91,'02效果表'!D:D,'02效果表'!E:E)&lt;0, _xlfn.XLOOKUP(L91,'02效果表'!D:D,'02效果表'!E:E), 0) +
O91*IF(_xlfn.XLOOKUP(N91,'02效果表'!D:D,'02效果表'!E:E)&lt;0, _xlfn.XLOOKUP(N91,'02效果表'!D:D,'02效果表'!E:E), 0) +
Q91*IF(_xlfn.XLOOKUP(P91,'02效果表'!D:D,'02效果表'!E:E)&lt;0, _xlfn.XLOOKUP(P91,'02效果表'!D:D,'02效果表'!E:E), 0) +
S91*IF(_xlfn.XLOOKUP(R91,'02效果表'!D:D,'02效果表'!E:E)&lt;0, _xlfn.XLOOKUP(R91,'02效果表'!D:D,'02效果表'!E:E), 0) +
U91*IF(_xlfn.XLOOKUP(T91,'02效果表'!D:D,'02效果表'!E:E)&lt;0, _xlfn.XLOOKUP(T91,'02效果表'!D:D,'02效果表'!E:E), 0) +
W91*IF(_xlfn.XLOOKUP(V91,'02效果表'!D:D,'02效果表'!E:E)&lt;0, _xlfn.XLOOKUP(V91,'02效果表'!D:D,'02效果表'!E:E), 0) +
Y91*IF(_xlfn.XLOOKUP(X91,'02效果表'!D:D,'02效果表'!E:E)&lt;0, _xlfn.XLOOKUP(X91,'02效果表'!D:D,'02效果表'!E:E), 0) +
AA91*IF(_xlfn.XLOOKUP(Z91,'02效果表'!D:D,'02效果表'!E:E)&lt;0, _xlfn.XLOOKUP(Z91,'02效果表'!D:D,'02效果表'!E:E), 0) +
AC91*IF(_xlfn.XLOOKUP(AB91,'02效果表'!D:D,'02效果表'!E:E)&lt;0, _xlfn.XLOOKUP(AB91,'02效果表'!D:D,'02效果表'!E:E), 0) +
AE91*IF(_xlfn.XLOOKUP(AD91,'02效果表'!D:D,'02效果表'!E:E)&lt;0, _xlfn.XLOOKUP(AD91,'02效果表'!D:D,'02效果表'!E:E), 0)), 1)</f>
        <v>0</v>
      </c>
      <c r="G91" s="7">
        <f>ROUND(1/6*(I91*MAX(_xlfn.XLOOKUP(H91,'02效果表'!D:D,'02效果表'!E:E),0)+K91*MAX(_xlfn.XLOOKUP(J91,'02效果表'!D:D,'02效果表'!E:E),0)+M91*MAX(_xlfn.XLOOKUP(L91,'02效果表'!D:D,'02效果表'!E:E),0)+O91*MAX(_xlfn.XLOOKUP(N91,'02效果表'!D:D,'02效果表'!E:E),0)+Q91*MAX(_xlfn.XLOOKUP(P91,'02效果表'!D:D,'02效果表'!E:E),0)+S91*MAX(_xlfn.XLOOKUP(R91,'02效果表'!D:D,'02效果表'!E:E),0)+U91*MAX(_xlfn.XLOOKUP(T91,'02效果表'!D:D,'02效果表'!E:E),0)+W91*MAX(_xlfn.XLOOKUP(V91,'02效果表'!D:D,'02效果表'!E:E),0)+Y91*MAX(_xlfn.XLOOKUP(X91,'02效果表'!D:D,'02效果表'!E:E),0)+AA91*MAX(_xlfn.XLOOKUP(Z91,'02效果表'!D:D,'02效果表'!E:E),0)+AC91*MAX(_xlfn.XLOOKUP(AB91,'02效果表'!D:D,'02效果表'!E:E),0)+AE91*MAX(_xlfn.XLOOKUP(AD91,'02效果表'!D:D,'02效果表'!E:E),0)),1)</f>
        <v>5.7</v>
      </c>
      <c r="H91" s="6" t="s">
        <v>1319</v>
      </c>
      <c r="I91" s="6">
        <v>1</v>
      </c>
      <c r="J91" s="6" t="s">
        <v>1220</v>
      </c>
      <c r="K91" s="6">
        <v>1</v>
      </c>
      <c r="L91" s="6" t="s">
        <v>1319</v>
      </c>
      <c r="M91" s="6">
        <v>1</v>
      </c>
      <c r="N91" s="6" t="s">
        <v>1220</v>
      </c>
      <c r="O91" s="6">
        <v>1</v>
      </c>
      <c r="P91" s="6" t="s">
        <v>1319</v>
      </c>
      <c r="Q91" s="6">
        <v>1</v>
      </c>
      <c r="R91" s="6" t="s">
        <v>1220</v>
      </c>
      <c r="S91" s="6">
        <v>1</v>
      </c>
      <c r="T91" s="6" t="s">
        <v>1319</v>
      </c>
      <c r="U91" s="6">
        <v>1</v>
      </c>
      <c r="V91" s="6" t="s">
        <v>1221</v>
      </c>
      <c r="W91" s="6">
        <v>1</v>
      </c>
      <c r="X91" s="6" t="s">
        <v>1319</v>
      </c>
      <c r="Y91" s="6">
        <v>2</v>
      </c>
      <c r="Z91" s="6" t="s">
        <v>1221</v>
      </c>
      <c r="AA91" s="6">
        <v>1</v>
      </c>
      <c r="AB91" s="6" t="s">
        <v>1319</v>
      </c>
      <c r="AC91" s="6">
        <v>2</v>
      </c>
      <c r="AD91" s="6" t="s">
        <v>1221</v>
      </c>
      <c r="AE91" s="6">
        <v>1</v>
      </c>
    </row>
    <row r="92" spans="1:31" x14ac:dyDescent="0.35">
      <c r="A92" s="6">
        <v>92</v>
      </c>
      <c r="B92" s="6" t="s">
        <v>3</v>
      </c>
      <c r="C92" s="10" t="s">
        <v>1</v>
      </c>
      <c r="D92" s="9" t="s">
        <v>1320</v>
      </c>
      <c r="E92" s="7">
        <f t="shared" si="7"/>
        <v>2</v>
      </c>
      <c r="F92" s="7">
        <f>-1*ROUND(1/6*(I92*IF(_xlfn.XLOOKUP(H92,'02效果表'!D:D,'02效果表'!E:E)&lt;0, _xlfn.XLOOKUP(H92,'02效果表'!D:D,'02效果表'!E:E), 0) +
K92*IF(_xlfn.XLOOKUP(J92,'02效果表'!D:D,'02效果表'!E:E)&lt;0, _xlfn.XLOOKUP(J92,'02效果表'!D:D,'02效果表'!E:E), 0) +
M92*IF(_xlfn.XLOOKUP(L92,'02效果表'!D:D,'02效果表'!E:E)&lt;0, _xlfn.XLOOKUP(L92,'02效果表'!D:D,'02效果表'!E:E), 0) +
O92*IF(_xlfn.XLOOKUP(N92,'02效果表'!D:D,'02效果表'!E:E)&lt;0, _xlfn.XLOOKUP(N92,'02效果表'!D:D,'02效果表'!E:E), 0) +
Q92*IF(_xlfn.XLOOKUP(P92,'02效果表'!D:D,'02效果表'!E:E)&lt;0, _xlfn.XLOOKUP(P92,'02效果表'!D:D,'02效果表'!E:E), 0) +
S92*IF(_xlfn.XLOOKUP(R92,'02效果表'!D:D,'02效果表'!E:E)&lt;0, _xlfn.XLOOKUP(R92,'02效果表'!D:D,'02效果表'!E:E), 0) +
U92*IF(_xlfn.XLOOKUP(T92,'02效果表'!D:D,'02效果表'!E:E)&lt;0, _xlfn.XLOOKUP(T92,'02效果表'!D:D,'02效果表'!E:E), 0) +
W92*IF(_xlfn.XLOOKUP(V92,'02效果表'!D:D,'02效果表'!E:E)&lt;0, _xlfn.XLOOKUP(V92,'02效果表'!D:D,'02效果表'!E:E), 0) +
Y92*IF(_xlfn.XLOOKUP(X92,'02效果表'!D:D,'02效果表'!E:E)&lt;0, _xlfn.XLOOKUP(X92,'02效果表'!D:D,'02效果表'!E:E), 0) +
AA92*IF(_xlfn.XLOOKUP(Z92,'02效果表'!D:D,'02效果表'!E:E)&lt;0, _xlfn.XLOOKUP(Z92,'02效果表'!D:D,'02效果表'!E:E), 0) +
AC92*IF(_xlfn.XLOOKUP(AB92,'02效果表'!D:D,'02效果表'!E:E)&lt;0, _xlfn.XLOOKUP(AB92,'02效果表'!D:D,'02效果表'!E:E), 0) +
AE92*IF(_xlfn.XLOOKUP(AD92,'02效果表'!D:D,'02效果表'!E:E)&lt;0, _xlfn.XLOOKUP(AD92,'02效果表'!D:D,'02效果表'!E:E), 0)), 1)</f>
        <v>0</v>
      </c>
      <c r="G92" s="7">
        <f>ROUND(1/6*(I92*MAX(_xlfn.XLOOKUP(H92,'02效果表'!D:D,'02效果表'!E:E),0)+K92*MAX(_xlfn.XLOOKUP(J92,'02效果表'!D:D,'02效果表'!E:E),0)+M92*MAX(_xlfn.XLOOKUP(L92,'02效果表'!D:D,'02效果表'!E:E),0)+O92*MAX(_xlfn.XLOOKUP(N92,'02效果表'!D:D,'02效果表'!E:E),0)+Q92*MAX(_xlfn.XLOOKUP(P92,'02效果表'!D:D,'02效果表'!E:E),0)+S92*MAX(_xlfn.XLOOKUP(R92,'02效果表'!D:D,'02效果表'!E:E),0)+U92*MAX(_xlfn.XLOOKUP(T92,'02效果表'!D:D,'02效果表'!E:E),0)+W92*MAX(_xlfn.XLOOKUP(V92,'02效果表'!D:D,'02效果表'!E:E),0)+Y92*MAX(_xlfn.XLOOKUP(X92,'02效果表'!D:D,'02效果表'!E:E),0)+AA92*MAX(_xlfn.XLOOKUP(Z92,'02效果表'!D:D,'02效果表'!E:E),0)+AC92*MAX(_xlfn.XLOOKUP(AB92,'02效果表'!D:D,'02效果表'!E:E),0)+AE92*MAX(_xlfn.XLOOKUP(AD92,'02效果表'!D:D,'02效果表'!E:E),0)),1)</f>
        <v>2</v>
      </c>
      <c r="H92" s="6" t="s">
        <v>1320</v>
      </c>
      <c r="I92" s="6">
        <v>5</v>
      </c>
      <c r="J92" s="6"/>
      <c r="K92" s="6"/>
      <c r="L92" s="6" t="s">
        <v>1320</v>
      </c>
      <c r="M92" s="6">
        <v>5</v>
      </c>
      <c r="N92" s="6"/>
      <c r="O92" s="6"/>
      <c r="P92" s="6" t="s">
        <v>1320</v>
      </c>
      <c r="Q92" s="6">
        <v>4</v>
      </c>
      <c r="R92" s="6"/>
      <c r="S92" s="6"/>
      <c r="T92" s="6" t="s">
        <v>1320</v>
      </c>
      <c r="U92" s="6">
        <v>4</v>
      </c>
      <c r="V92" s="6"/>
      <c r="W92" s="6"/>
      <c r="X92" s="6" t="s">
        <v>1320</v>
      </c>
      <c r="Y92" s="6">
        <v>3</v>
      </c>
      <c r="Z92" s="6"/>
      <c r="AA92" s="6"/>
      <c r="AB92" s="6" t="s">
        <v>1320</v>
      </c>
      <c r="AC92" s="6">
        <v>3</v>
      </c>
      <c r="AD92" s="6"/>
      <c r="AE92" s="6"/>
    </row>
    <row r="93" spans="1:31" x14ac:dyDescent="0.35">
      <c r="A93" s="6">
        <v>93</v>
      </c>
      <c r="B93" s="6" t="s">
        <v>3</v>
      </c>
      <c r="C93" s="10" t="s">
        <v>1</v>
      </c>
      <c r="D93" s="9" t="s">
        <v>1321</v>
      </c>
      <c r="E93" s="7">
        <f t="shared" si="7"/>
        <v>6</v>
      </c>
      <c r="F93" s="7">
        <f>-1*ROUND(1/6*(I93*IF(_xlfn.XLOOKUP(H93,'02效果表'!D:D,'02效果表'!E:E)&lt;0, _xlfn.XLOOKUP(H93,'02效果表'!D:D,'02效果表'!E:E), 0) +
K93*IF(_xlfn.XLOOKUP(J93,'02效果表'!D:D,'02效果表'!E:E)&lt;0, _xlfn.XLOOKUP(J93,'02效果表'!D:D,'02效果表'!E:E), 0) +
M93*IF(_xlfn.XLOOKUP(L93,'02效果表'!D:D,'02效果表'!E:E)&lt;0, _xlfn.XLOOKUP(L93,'02效果表'!D:D,'02效果表'!E:E), 0) +
O93*IF(_xlfn.XLOOKUP(N93,'02效果表'!D:D,'02效果表'!E:E)&lt;0, _xlfn.XLOOKUP(N93,'02效果表'!D:D,'02效果表'!E:E), 0) +
Q93*IF(_xlfn.XLOOKUP(P93,'02效果表'!D:D,'02效果表'!E:E)&lt;0, _xlfn.XLOOKUP(P93,'02效果表'!D:D,'02效果表'!E:E), 0) +
S93*IF(_xlfn.XLOOKUP(R93,'02效果表'!D:D,'02效果表'!E:E)&lt;0, _xlfn.XLOOKUP(R93,'02效果表'!D:D,'02效果表'!E:E), 0) +
U93*IF(_xlfn.XLOOKUP(T93,'02效果表'!D:D,'02效果表'!E:E)&lt;0, _xlfn.XLOOKUP(T93,'02效果表'!D:D,'02效果表'!E:E), 0) +
W93*IF(_xlfn.XLOOKUP(V93,'02效果表'!D:D,'02效果表'!E:E)&lt;0, _xlfn.XLOOKUP(V93,'02效果表'!D:D,'02效果表'!E:E), 0) +
Y93*IF(_xlfn.XLOOKUP(X93,'02效果表'!D:D,'02效果表'!E:E)&lt;0, _xlfn.XLOOKUP(X93,'02效果表'!D:D,'02效果表'!E:E), 0) +
AA93*IF(_xlfn.XLOOKUP(Z93,'02效果表'!D:D,'02效果表'!E:E)&lt;0, _xlfn.XLOOKUP(Z93,'02效果表'!D:D,'02效果表'!E:E), 0) +
AC93*IF(_xlfn.XLOOKUP(AB93,'02效果表'!D:D,'02效果表'!E:E)&lt;0, _xlfn.XLOOKUP(AB93,'02效果表'!D:D,'02效果表'!E:E), 0) +
AE93*IF(_xlfn.XLOOKUP(AD93,'02效果表'!D:D,'02效果表'!E:E)&lt;0, _xlfn.XLOOKUP(AD93,'02效果表'!D:D,'02效果表'!E:E), 0)), 1)</f>
        <v>0</v>
      </c>
      <c r="G93" s="7">
        <f>ROUND(1/6*(I93*MAX(_xlfn.XLOOKUP(H93,'02效果表'!D:D,'02效果表'!E:E),0)+K93*MAX(_xlfn.XLOOKUP(J93,'02效果表'!D:D,'02效果表'!E:E),0)+M93*MAX(_xlfn.XLOOKUP(L93,'02效果表'!D:D,'02效果表'!E:E),0)+O93*MAX(_xlfn.XLOOKUP(N93,'02效果表'!D:D,'02效果表'!E:E),0)+Q93*MAX(_xlfn.XLOOKUP(P93,'02效果表'!D:D,'02效果表'!E:E),0)+S93*MAX(_xlfn.XLOOKUP(R93,'02效果表'!D:D,'02效果表'!E:E),0)+U93*MAX(_xlfn.XLOOKUP(T93,'02效果表'!D:D,'02效果表'!E:E),0)+W93*MAX(_xlfn.XLOOKUP(V93,'02效果表'!D:D,'02效果表'!E:E),0)+Y93*MAX(_xlfn.XLOOKUP(X93,'02效果表'!D:D,'02效果表'!E:E),0)+AA93*MAX(_xlfn.XLOOKUP(Z93,'02效果表'!D:D,'02效果表'!E:E),0)+AC93*MAX(_xlfn.XLOOKUP(AB93,'02效果表'!D:D,'02效果表'!E:E),0)+AE93*MAX(_xlfn.XLOOKUP(AD93,'02效果表'!D:D,'02效果表'!E:E),0)),1)</f>
        <v>6.3</v>
      </c>
      <c r="H93" s="6" t="s">
        <v>1321</v>
      </c>
      <c r="I93" s="6">
        <v>1</v>
      </c>
      <c r="J93" s="6" t="s">
        <v>1220</v>
      </c>
      <c r="K93" s="6">
        <v>1</v>
      </c>
      <c r="L93" s="6" t="s">
        <v>1321</v>
      </c>
      <c r="M93" s="6">
        <v>1</v>
      </c>
      <c r="N93" s="6" t="s">
        <v>1220</v>
      </c>
      <c r="O93" s="6">
        <v>1</v>
      </c>
      <c r="P93" s="6" t="s">
        <v>1321</v>
      </c>
      <c r="Q93" s="6">
        <v>1</v>
      </c>
      <c r="R93" s="6"/>
      <c r="S93" s="6"/>
      <c r="T93" s="6" t="s">
        <v>1321</v>
      </c>
      <c r="U93" s="6">
        <v>1</v>
      </c>
      <c r="V93" s="6"/>
      <c r="W93" s="6"/>
      <c r="X93" s="6" t="s">
        <v>1321</v>
      </c>
      <c r="Y93" s="6">
        <v>2</v>
      </c>
      <c r="Z93" s="6"/>
      <c r="AA93" s="6"/>
      <c r="AB93" s="6" t="s">
        <v>1321</v>
      </c>
      <c r="AC93" s="6">
        <v>2</v>
      </c>
      <c r="AD93" s="6"/>
      <c r="AE93" s="6"/>
    </row>
    <row r="94" spans="1:31" x14ac:dyDescent="0.35">
      <c r="A94" s="6">
        <v>94</v>
      </c>
      <c r="B94" s="6" t="s">
        <v>3</v>
      </c>
      <c r="C94" s="10" t="s">
        <v>1</v>
      </c>
      <c r="D94" s="9" t="s">
        <v>1322</v>
      </c>
      <c r="E94" s="7">
        <f t="shared" si="7"/>
        <v>5</v>
      </c>
      <c r="F94" s="7">
        <f>-1*ROUND(1/6*(I94*IF(_xlfn.XLOOKUP(H94,'02效果表'!D:D,'02效果表'!E:E)&lt;0, _xlfn.XLOOKUP(H94,'02效果表'!D:D,'02效果表'!E:E), 0) +
K94*IF(_xlfn.XLOOKUP(J94,'02效果表'!D:D,'02效果表'!E:E)&lt;0, _xlfn.XLOOKUP(J94,'02效果表'!D:D,'02效果表'!E:E), 0) +
M94*IF(_xlfn.XLOOKUP(L94,'02效果表'!D:D,'02效果表'!E:E)&lt;0, _xlfn.XLOOKUP(L94,'02效果表'!D:D,'02效果表'!E:E), 0) +
O94*IF(_xlfn.XLOOKUP(N94,'02效果表'!D:D,'02效果表'!E:E)&lt;0, _xlfn.XLOOKUP(N94,'02效果表'!D:D,'02效果表'!E:E), 0) +
Q94*IF(_xlfn.XLOOKUP(P94,'02效果表'!D:D,'02效果表'!E:E)&lt;0, _xlfn.XLOOKUP(P94,'02效果表'!D:D,'02效果表'!E:E), 0) +
S94*IF(_xlfn.XLOOKUP(R94,'02效果表'!D:D,'02效果表'!E:E)&lt;0, _xlfn.XLOOKUP(R94,'02效果表'!D:D,'02效果表'!E:E), 0) +
U94*IF(_xlfn.XLOOKUP(T94,'02效果表'!D:D,'02效果表'!E:E)&lt;0, _xlfn.XLOOKUP(T94,'02效果表'!D:D,'02效果表'!E:E), 0) +
W94*IF(_xlfn.XLOOKUP(V94,'02效果表'!D:D,'02效果表'!E:E)&lt;0, _xlfn.XLOOKUP(V94,'02效果表'!D:D,'02效果表'!E:E), 0) +
Y94*IF(_xlfn.XLOOKUP(X94,'02效果表'!D:D,'02效果表'!E:E)&lt;0, _xlfn.XLOOKUP(X94,'02效果表'!D:D,'02效果表'!E:E), 0) +
AA94*IF(_xlfn.XLOOKUP(Z94,'02效果表'!D:D,'02效果表'!E:E)&lt;0, _xlfn.XLOOKUP(Z94,'02效果表'!D:D,'02效果表'!E:E), 0) +
AC94*IF(_xlfn.XLOOKUP(AB94,'02效果表'!D:D,'02效果表'!E:E)&lt;0, _xlfn.XLOOKUP(AB94,'02效果表'!D:D,'02效果表'!E:E), 0) +
AE94*IF(_xlfn.XLOOKUP(AD94,'02效果表'!D:D,'02效果表'!E:E)&lt;0, _xlfn.XLOOKUP(AD94,'02效果表'!D:D,'02效果表'!E:E), 0)), 1)</f>
        <v>0</v>
      </c>
      <c r="G94" s="7">
        <f>ROUND(1/6*(I94*MAX(_xlfn.XLOOKUP(H94,'02效果表'!D:D,'02效果表'!E:E),0)+K94*MAX(_xlfn.XLOOKUP(J94,'02效果表'!D:D,'02效果表'!E:E),0)+M94*MAX(_xlfn.XLOOKUP(L94,'02效果表'!D:D,'02效果表'!E:E),0)+O94*MAX(_xlfn.XLOOKUP(N94,'02效果表'!D:D,'02效果表'!E:E),0)+Q94*MAX(_xlfn.XLOOKUP(P94,'02效果表'!D:D,'02效果表'!E:E),0)+S94*MAX(_xlfn.XLOOKUP(R94,'02效果表'!D:D,'02效果表'!E:E),0)+U94*MAX(_xlfn.XLOOKUP(T94,'02效果表'!D:D,'02效果表'!E:E),0)+W94*MAX(_xlfn.XLOOKUP(V94,'02效果表'!D:D,'02效果表'!E:E),0)+Y94*MAX(_xlfn.XLOOKUP(X94,'02效果表'!D:D,'02效果表'!E:E),0)+AA94*MAX(_xlfn.XLOOKUP(Z94,'02效果表'!D:D,'02效果表'!E:E),0)+AC94*MAX(_xlfn.XLOOKUP(AB94,'02效果表'!D:D,'02效果表'!E:E),0)+AE94*MAX(_xlfn.XLOOKUP(AD94,'02效果表'!D:D,'02效果表'!E:E),0)),1)</f>
        <v>5.3</v>
      </c>
      <c r="H94" s="6" t="s">
        <v>1842</v>
      </c>
      <c r="I94" s="6">
        <v>1</v>
      </c>
      <c r="J94" s="6" t="s">
        <v>1220</v>
      </c>
      <c r="K94" s="6">
        <v>1</v>
      </c>
      <c r="L94" s="6" t="s">
        <v>1842</v>
      </c>
      <c r="M94" s="6">
        <v>1</v>
      </c>
      <c r="N94" s="6" t="s">
        <v>1220</v>
      </c>
      <c r="O94" s="6">
        <v>1</v>
      </c>
      <c r="P94" s="6" t="s">
        <v>1842</v>
      </c>
      <c r="Q94" s="6">
        <v>2</v>
      </c>
      <c r="R94" s="6"/>
      <c r="S94" s="6"/>
      <c r="T94" s="6" t="s">
        <v>1842</v>
      </c>
      <c r="U94" s="6">
        <v>1</v>
      </c>
      <c r="V94" s="6"/>
      <c r="W94" s="6"/>
      <c r="X94" s="6" t="s">
        <v>1221</v>
      </c>
      <c r="Y94" s="6">
        <v>1</v>
      </c>
      <c r="Z94" s="6"/>
      <c r="AA94" s="6"/>
      <c r="AB94" s="6" t="s">
        <v>1221</v>
      </c>
      <c r="AC94" s="6">
        <v>1</v>
      </c>
      <c r="AD94" s="6"/>
      <c r="AE94" s="6"/>
    </row>
    <row r="95" spans="1:31" x14ac:dyDescent="0.35">
      <c r="A95" s="6">
        <v>95</v>
      </c>
      <c r="B95" s="6" t="s">
        <v>3</v>
      </c>
      <c r="C95" s="10" t="s">
        <v>1</v>
      </c>
      <c r="D95" s="9" t="s">
        <v>1844</v>
      </c>
      <c r="E95" s="7">
        <f t="shared" si="7"/>
        <v>10</v>
      </c>
      <c r="F95" s="7">
        <f>-1*ROUND(1/6*(I95*IF(_xlfn.XLOOKUP(H95,'02效果表'!D:D,'02效果表'!E:E)&lt;0, _xlfn.XLOOKUP(H95,'02效果表'!D:D,'02效果表'!E:E), 0) +
K95*IF(_xlfn.XLOOKUP(J95,'02效果表'!D:D,'02效果表'!E:E)&lt;0, _xlfn.XLOOKUP(J95,'02效果表'!D:D,'02效果表'!E:E), 0) +
M95*IF(_xlfn.XLOOKUP(L95,'02效果表'!D:D,'02效果表'!E:E)&lt;0, _xlfn.XLOOKUP(L95,'02效果表'!D:D,'02效果表'!E:E), 0) +
O95*IF(_xlfn.XLOOKUP(N95,'02效果表'!D:D,'02效果表'!E:E)&lt;0, _xlfn.XLOOKUP(N95,'02效果表'!D:D,'02效果表'!E:E), 0) +
Q95*IF(_xlfn.XLOOKUP(P95,'02效果表'!D:D,'02效果表'!E:E)&lt;0, _xlfn.XLOOKUP(P95,'02效果表'!D:D,'02效果表'!E:E), 0) +
S95*IF(_xlfn.XLOOKUP(R95,'02效果表'!D:D,'02效果表'!E:E)&lt;0, _xlfn.XLOOKUP(R95,'02效果表'!D:D,'02效果表'!E:E), 0) +
U95*IF(_xlfn.XLOOKUP(T95,'02效果表'!D:D,'02效果表'!E:E)&lt;0, _xlfn.XLOOKUP(T95,'02效果表'!D:D,'02效果表'!E:E), 0) +
W95*IF(_xlfn.XLOOKUP(V95,'02效果表'!D:D,'02效果表'!E:E)&lt;0, _xlfn.XLOOKUP(V95,'02效果表'!D:D,'02效果表'!E:E), 0) +
Y95*IF(_xlfn.XLOOKUP(X95,'02效果表'!D:D,'02效果表'!E:E)&lt;0, _xlfn.XLOOKUP(X95,'02效果表'!D:D,'02效果表'!E:E), 0) +
AA95*IF(_xlfn.XLOOKUP(Z95,'02效果表'!D:D,'02效果表'!E:E)&lt;0, _xlfn.XLOOKUP(Z95,'02效果表'!D:D,'02效果表'!E:E), 0) +
AC95*IF(_xlfn.XLOOKUP(AB95,'02效果表'!D:D,'02效果表'!E:E)&lt;0, _xlfn.XLOOKUP(AB95,'02效果表'!D:D,'02效果表'!E:E), 0) +
AE95*IF(_xlfn.XLOOKUP(AD95,'02效果表'!D:D,'02效果表'!E:E)&lt;0, _xlfn.XLOOKUP(AD95,'02效果表'!D:D,'02效果表'!E:E), 0)), 1)</f>
        <v>0</v>
      </c>
      <c r="G95" s="7">
        <f>ROUND(1/6*(I95*MAX(_xlfn.XLOOKUP(H95,'02效果表'!D:D,'02效果表'!E:E),0)+K95*MAX(_xlfn.XLOOKUP(J95,'02效果表'!D:D,'02效果表'!E:E),0)+M95*MAX(_xlfn.XLOOKUP(L95,'02效果表'!D:D,'02效果表'!E:E),0)+O95*MAX(_xlfn.XLOOKUP(N95,'02效果表'!D:D,'02效果表'!E:E),0)+Q95*MAX(_xlfn.XLOOKUP(P95,'02效果表'!D:D,'02效果表'!E:E),0)+S95*MAX(_xlfn.XLOOKUP(R95,'02效果表'!D:D,'02效果表'!E:E),0)+U95*MAX(_xlfn.XLOOKUP(T95,'02效果表'!D:D,'02效果表'!E:E),0)+W95*MAX(_xlfn.XLOOKUP(V95,'02效果表'!D:D,'02效果表'!E:E),0)+Y95*MAX(_xlfn.XLOOKUP(X95,'02效果表'!D:D,'02效果表'!E:E),0)+AA95*MAX(_xlfn.XLOOKUP(Z95,'02效果表'!D:D,'02效果表'!E:E),0)+AC95*MAX(_xlfn.XLOOKUP(AB95,'02效果表'!D:D,'02效果表'!E:E),0)+AE95*MAX(_xlfn.XLOOKUP(AD95,'02效果表'!D:D,'02效果表'!E:E),0)),1)</f>
        <v>9.6999999999999993</v>
      </c>
      <c r="H95" s="6" t="s">
        <v>1844</v>
      </c>
      <c r="I95" s="6">
        <v>1</v>
      </c>
      <c r="J95" s="6" t="s">
        <v>1220</v>
      </c>
      <c r="K95" s="6">
        <v>1</v>
      </c>
      <c r="L95" s="6" t="s">
        <v>1844</v>
      </c>
      <c r="M95" s="6">
        <v>1</v>
      </c>
      <c r="N95" s="6" t="s">
        <v>1220</v>
      </c>
      <c r="O95" s="6">
        <v>1</v>
      </c>
      <c r="P95" s="6" t="s">
        <v>1844</v>
      </c>
      <c r="Q95" s="6">
        <v>2</v>
      </c>
      <c r="R95" s="6"/>
      <c r="S95" s="6"/>
      <c r="T95" s="6" t="s">
        <v>1844</v>
      </c>
      <c r="U95" s="6">
        <v>2</v>
      </c>
      <c r="V95" s="6"/>
      <c r="W95" s="6"/>
      <c r="X95" s="6" t="s">
        <v>1844</v>
      </c>
      <c r="Y95" s="6">
        <v>1</v>
      </c>
      <c r="Z95" s="6"/>
      <c r="AA95" s="6"/>
      <c r="AB95" s="6" t="s">
        <v>1844</v>
      </c>
      <c r="AC95" s="6">
        <v>1</v>
      </c>
      <c r="AD95" s="6"/>
      <c r="AE95" s="6"/>
    </row>
    <row r="96" spans="1:31" x14ac:dyDescent="0.35">
      <c r="A96" s="6">
        <v>96</v>
      </c>
      <c r="B96" s="6" t="s">
        <v>3</v>
      </c>
      <c r="C96" s="10" t="s">
        <v>1</v>
      </c>
      <c r="D96" s="9" t="s">
        <v>1323</v>
      </c>
      <c r="E96" s="7">
        <f t="shared" si="7"/>
        <v>9</v>
      </c>
      <c r="F96" s="7">
        <f>-1*ROUND(1/6*(I96*IF(_xlfn.XLOOKUP(H96,'02效果表'!D:D,'02效果表'!E:E)&lt;0, _xlfn.XLOOKUP(H96,'02效果表'!D:D,'02效果表'!E:E), 0) +
K96*IF(_xlfn.XLOOKUP(J96,'02效果表'!D:D,'02效果表'!E:E)&lt;0, _xlfn.XLOOKUP(J96,'02效果表'!D:D,'02效果表'!E:E), 0) +
M96*IF(_xlfn.XLOOKUP(L96,'02效果表'!D:D,'02效果表'!E:E)&lt;0, _xlfn.XLOOKUP(L96,'02效果表'!D:D,'02效果表'!E:E), 0) +
O96*IF(_xlfn.XLOOKUP(N96,'02效果表'!D:D,'02效果表'!E:E)&lt;0, _xlfn.XLOOKUP(N96,'02效果表'!D:D,'02效果表'!E:E), 0) +
Q96*IF(_xlfn.XLOOKUP(P96,'02效果表'!D:D,'02效果表'!E:E)&lt;0, _xlfn.XLOOKUP(P96,'02效果表'!D:D,'02效果表'!E:E), 0) +
S96*IF(_xlfn.XLOOKUP(R96,'02效果表'!D:D,'02效果表'!E:E)&lt;0, _xlfn.XLOOKUP(R96,'02效果表'!D:D,'02效果表'!E:E), 0) +
U96*IF(_xlfn.XLOOKUP(T96,'02效果表'!D:D,'02效果表'!E:E)&lt;0, _xlfn.XLOOKUP(T96,'02效果表'!D:D,'02效果表'!E:E), 0) +
W96*IF(_xlfn.XLOOKUP(V96,'02效果表'!D:D,'02效果表'!E:E)&lt;0, _xlfn.XLOOKUP(V96,'02效果表'!D:D,'02效果表'!E:E), 0) +
Y96*IF(_xlfn.XLOOKUP(X96,'02效果表'!D:D,'02效果表'!E:E)&lt;0, _xlfn.XLOOKUP(X96,'02效果表'!D:D,'02效果表'!E:E), 0) +
AA96*IF(_xlfn.XLOOKUP(Z96,'02效果表'!D:D,'02效果表'!E:E)&lt;0, _xlfn.XLOOKUP(Z96,'02效果表'!D:D,'02效果表'!E:E), 0) +
AC96*IF(_xlfn.XLOOKUP(AB96,'02效果表'!D:D,'02效果表'!E:E)&lt;0, _xlfn.XLOOKUP(AB96,'02效果表'!D:D,'02效果表'!E:E), 0) +
AE96*IF(_xlfn.XLOOKUP(AD96,'02效果表'!D:D,'02效果表'!E:E)&lt;0, _xlfn.XLOOKUP(AD96,'02效果表'!D:D,'02效果表'!E:E), 0)), 1)</f>
        <v>0</v>
      </c>
      <c r="G96" s="7">
        <f>ROUND(1/6*(I96*MAX(_xlfn.XLOOKUP(H96,'02效果表'!D:D,'02效果表'!E:E),0)+K96*MAX(_xlfn.XLOOKUP(J96,'02效果表'!D:D,'02效果表'!E:E),0)+M96*MAX(_xlfn.XLOOKUP(L96,'02效果表'!D:D,'02效果表'!E:E),0)+O96*MAX(_xlfn.XLOOKUP(N96,'02效果表'!D:D,'02效果表'!E:E),0)+Q96*MAX(_xlfn.XLOOKUP(P96,'02效果表'!D:D,'02效果表'!E:E),0)+S96*MAX(_xlfn.XLOOKUP(R96,'02效果表'!D:D,'02效果表'!E:E),0)+U96*MAX(_xlfn.XLOOKUP(T96,'02效果表'!D:D,'02效果表'!E:E),0)+W96*MAX(_xlfn.XLOOKUP(V96,'02效果表'!D:D,'02效果表'!E:E),0)+Y96*MAX(_xlfn.XLOOKUP(X96,'02效果表'!D:D,'02效果表'!E:E),0)+AA96*MAX(_xlfn.XLOOKUP(Z96,'02效果表'!D:D,'02效果表'!E:E),0)+AC96*MAX(_xlfn.XLOOKUP(AB96,'02效果表'!D:D,'02效果表'!E:E),0)+AE96*MAX(_xlfn.XLOOKUP(AD96,'02效果表'!D:D,'02效果表'!E:E),0)),1)</f>
        <v>8.8000000000000007</v>
      </c>
      <c r="H96" s="6" t="s">
        <v>1323</v>
      </c>
      <c r="I96" s="6">
        <v>2</v>
      </c>
      <c r="J96" s="6"/>
      <c r="K96" s="6"/>
      <c r="L96" s="6" t="s">
        <v>1323</v>
      </c>
      <c r="M96" s="6">
        <v>1</v>
      </c>
      <c r="N96" s="6"/>
      <c r="O96" s="6"/>
      <c r="P96" s="6" t="s">
        <v>1323</v>
      </c>
      <c r="Q96" s="6">
        <v>1</v>
      </c>
      <c r="R96" s="6"/>
      <c r="S96" s="6"/>
      <c r="T96" s="6" t="s">
        <v>1323</v>
      </c>
      <c r="U96" s="6">
        <v>1</v>
      </c>
      <c r="V96" s="6"/>
      <c r="W96" s="6"/>
      <c r="X96" s="6" t="s">
        <v>1323</v>
      </c>
      <c r="Y96" s="6">
        <v>1</v>
      </c>
      <c r="Z96" s="6"/>
      <c r="AA96" s="6"/>
      <c r="AB96" s="6" t="s">
        <v>1323</v>
      </c>
      <c r="AC96" s="6">
        <v>1</v>
      </c>
      <c r="AD96" s="6"/>
      <c r="AE96" s="6"/>
    </row>
    <row r="97" spans="1:31" x14ac:dyDescent="0.35">
      <c r="A97" s="6">
        <v>97</v>
      </c>
      <c r="B97" s="6" t="s">
        <v>3</v>
      </c>
      <c r="C97" s="10" t="s">
        <v>1</v>
      </c>
      <c r="D97" s="9" t="s">
        <v>1324</v>
      </c>
      <c r="E97" s="7">
        <f t="shared" si="7"/>
        <v>9</v>
      </c>
      <c r="F97" s="7">
        <f>-1*ROUND(1/6*(I97*IF(_xlfn.XLOOKUP(H97,'02效果表'!D:D,'02效果表'!E:E)&lt;0, _xlfn.XLOOKUP(H97,'02效果表'!D:D,'02效果表'!E:E), 0) +
K97*IF(_xlfn.XLOOKUP(J97,'02效果表'!D:D,'02效果表'!E:E)&lt;0, _xlfn.XLOOKUP(J97,'02效果表'!D:D,'02效果表'!E:E), 0) +
M97*IF(_xlfn.XLOOKUP(L97,'02效果表'!D:D,'02效果表'!E:E)&lt;0, _xlfn.XLOOKUP(L97,'02效果表'!D:D,'02效果表'!E:E), 0) +
O97*IF(_xlfn.XLOOKUP(N97,'02效果表'!D:D,'02效果表'!E:E)&lt;0, _xlfn.XLOOKUP(N97,'02效果表'!D:D,'02效果表'!E:E), 0) +
Q97*IF(_xlfn.XLOOKUP(P97,'02效果表'!D:D,'02效果表'!E:E)&lt;0, _xlfn.XLOOKUP(P97,'02效果表'!D:D,'02效果表'!E:E), 0) +
S97*IF(_xlfn.XLOOKUP(R97,'02效果表'!D:D,'02效果表'!E:E)&lt;0, _xlfn.XLOOKUP(R97,'02效果表'!D:D,'02效果表'!E:E), 0) +
U97*IF(_xlfn.XLOOKUP(T97,'02效果表'!D:D,'02效果表'!E:E)&lt;0, _xlfn.XLOOKUP(T97,'02效果表'!D:D,'02效果表'!E:E), 0) +
W97*IF(_xlfn.XLOOKUP(V97,'02效果表'!D:D,'02效果表'!E:E)&lt;0, _xlfn.XLOOKUP(V97,'02效果表'!D:D,'02效果表'!E:E), 0) +
Y97*IF(_xlfn.XLOOKUP(X97,'02效果表'!D:D,'02效果表'!E:E)&lt;0, _xlfn.XLOOKUP(X97,'02效果表'!D:D,'02效果表'!E:E), 0) +
AA97*IF(_xlfn.XLOOKUP(Z97,'02效果表'!D:D,'02效果表'!E:E)&lt;0, _xlfn.XLOOKUP(Z97,'02效果表'!D:D,'02效果表'!E:E), 0) +
AC97*IF(_xlfn.XLOOKUP(AB97,'02效果表'!D:D,'02效果表'!E:E)&lt;0, _xlfn.XLOOKUP(AB97,'02效果表'!D:D,'02效果表'!E:E), 0) +
AE97*IF(_xlfn.XLOOKUP(AD97,'02效果表'!D:D,'02效果表'!E:E)&lt;0, _xlfn.XLOOKUP(AD97,'02效果表'!D:D,'02效果表'!E:E), 0)), 1)</f>
        <v>0</v>
      </c>
      <c r="G97" s="7">
        <f>ROUND(1/6*(I97*MAX(_xlfn.XLOOKUP(H97,'02效果表'!D:D,'02效果表'!E:E),0)+K97*MAX(_xlfn.XLOOKUP(J97,'02效果表'!D:D,'02效果表'!E:E),0)+M97*MAX(_xlfn.XLOOKUP(L97,'02效果表'!D:D,'02效果表'!E:E),0)+O97*MAX(_xlfn.XLOOKUP(N97,'02效果表'!D:D,'02效果表'!E:E),0)+Q97*MAX(_xlfn.XLOOKUP(P97,'02效果表'!D:D,'02效果表'!E:E),0)+S97*MAX(_xlfn.XLOOKUP(R97,'02效果表'!D:D,'02效果表'!E:E),0)+U97*MAX(_xlfn.XLOOKUP(T97,'02效果表'!D:D,'02效果表'!E:E),0)+W97*MAX(_xlfn.XLOOKUP(V97,'02效果表'!D:D,'02效果表'!E:E),0)+Y97*MAX(_xlfn.XLOOKUP(X97,'02效果表'!D:D,'02效果表'!E:E),0)+AA97*MAX(_xlfn.XLOOKUP(Z97,'02效果表'!D:D,'02效果表'!E:E),0)+AC97*MAX(_xlfn.XLOOKUP(AB97,'02效果表'!D:D,'02效果表'!E:E),0)+AE97*MAX(_xlfn.XLOOKUP(AD97,'02效果表'!D:D,'02效果表'!E:E),0)),1)</f>
        <v>8.6999999999999993</v>
      </c>
      <c r="H97" s="6" t="s">
        <v>1324</v>
      </c>
      <c r="I97" s="6">
        <v>1</v>
      </c>
      <c r="J97" s="6" t="s">
        <v>1220</v>
      </c>
      <c r="K97" s="6">
        <v>1</v>
      </c>
      <c r="L97" s="6" t="s">
        <v>1324</v>
      </c>
      <c r="M97" s="6">
        <v>1</v>
      </c>
      <c r="N97" s="6" t="s">
        <v>1220</v>
      </c>
      <c r="O97" s="6">
        <v>1</v>
      </c>
      <c r="P97" s="6" t="s">
        <v>1324</v>
      </c>
      <c r="Q97" s="6">
        <v>1</v>
      </c>
      <c r="R97" s="6"/>
      <c r="S97" s="6"/>
      <c r="T97" s="6" t="s">
        <v>1324</v>
      </c>
      <c r="U97" s="6">
        <v>1</v>
      </c>
      <c r="V97" s="6"/>
      <c r="W97" s="6"/>
      <c r="X97" s="6" t="s">
        <v>1221</v>
      </c>
      <c r="Y97" s="6">
        <v>1</v>
      </c>
      <c r="Z97" s="6"/>
      <c r="AA97" s="6"/>
      <c r="AB97" s="6" t="s">
        <v>1221</v>
      </c>
      <c r="AC97" s="6">
        <v>1</v>
      </c>
      <c r="AD97" s="6"/>
      <c r="AE97" s="6"/>
    </row>
    <row r="98" spans="1:31" x14ac:dyDescent="0.35">
      <c r="A98" s="6">
        <v>98</v>
      </c>
      <c r="B98" s="6" t="s">
        <v>3</v>
      </c>
      <c r="C98" s="10" t="s">
        <v>1</v>
      </c>
      <c r="D98" s="9" t="s">
        <v>1325</v>
      </c>
      <c r="E98" s="7">
        <f t="shared" si="7"/>
        <v>6</v>
      </c>
      <c r="F98" s="7">
        <f>-1*ROUND(1/6*(I98*IF(_xlfn.XLOOKUP(H98,'02效果表'!D:D,'02效果表'!E:E)&lt;0, _xlfn.XLOOKUP(H98,'02效果表'!D:D,'02效果表'!E:E), 0) +
K98*IF(_xlfn.XLOOKUP(J98,'02效果表'!D:D,'02效果表'!E:E)&lt;0, _xlfn.XLOOKUP(J98,'02效果表'!D:D,'02效果表'!E:E), 0) +
M98*IF(_xlfn.XLOOKUP(L98,'02效果表'!D:D,'02效果表'!E:E)&lt;0, _xlfn.XLOOKUP(L98,'02效果表'!D:D,'02效果表'!E:E), 0) +
O98*IF(_xlfn.XLOOKUP(N98,'02效果表'!D:D,'02效果表'!E:E)&lt;0, _xlfn.XLOOKUP(N98,'02效果表'!D:D,'02效果表'!E:E), 0) +
Q98*IF(_xlfn.XLOOKUP(P98,'02效果表'!D:D,'02效果表'!E:E)&lt;0, _xlfn.XLOOKUP(P98,'02效果表'!D:D,'02效果表'!E:E), 0) +
S98*IF(_xlfn.XLOOKUP(R98,'02效果表'!D:D,'02效果表'!E:E)&lt;0, _xlfn.XLOOKUP(R98,'02效果表'!D:D,'02效果表'!E:E), 0) +
U98*IF(_xlfn.XLOOKUP(T98,'02效果表'!D:D,'02效果表'!E:E)&lt;0, _xlfn.XLOOKUP(T98,'02效果表'!D:D,'02效果表'!E:E), 0) +
W98*IF(_xlfn.XLOOKUP(V98,'02效果表'!D:D,'02效果表'!E:E)&lt;0, _xlfn.XLOOKUP(V98,'02效果表'!D:D,'02效果表'!E:E), 0) +
Y98*IF(_xlfn.XLOOKUP(X98,'02效果表'!D:D,'02效果表'!E:E)&lt;0, _xlfn.XLOOKUP(X98,'02效果表'!D:D,'02效果表'!E:E), 0) +
AA98*IF(_xlfn.XLOOKUP(Z98,'02效果表'!D:D,'02效果表'!E:E)&lt;0, _xlfn.XLOOKUP(Z98,'02效果表'!D:D,'02效果表'!E:E), 0) +
AC98*IF(_xlfn.XLOOKUP(AB98,'02效果表'!D:D,'02效果表'!E:E)&lt;0, _xlfn.XLOOKUP(AB98,'02效果表'!D:D,'02效果表'!E:E), 0) +
AE98*IF(_xlfn.XLOOKUP(AD98,'02效果表'!D:D,'02效果表'!E:E)&lt;0, _xlfn.XLOOKUP(AD98,'02效果表'!D:D,'02效果表'!E:E), 0)), 1)</f>
        <v>0</v>
      </c>
      <c r="G98" s="7">
        <f>ROUND(1/6*(I98*MAX(_xlfn.XLOOKUP(H98,'02效果表'!D:D,'02效果表'!E:E),0)+K98*MAX(_xlfn.XLOOKUP(J98,'02效果表'!D:D,'02效果表'!E:E),0)+M98*MAX(_xlfn.XLOOKUP(L98,'02效果表'!D:D,'02效果表'!E:E),0)+O98*MAX(_xlfn.XLOOKUP(N98,'02效果表'!D:D,'02效果表'!E:E),0)+Q98*MAX(_xlfn.XLOOKUP(P98,'02效果表'!D:D,'02效果表'!E:E),0)+S98*MAX(_xlfn.XLOOKUP(R98,'02效果表'!D:D,'02效果表'!E:E),0)+U98*MAX(_xlfn.XLOOKUP(T98,'02效果表'!D:D,'02效果表'!E:E),0)+W98*MAX(_xlfn.XLOOKUP(V98,'02效果表'!D:D,'02效果表'!E:E),0)+Y98*MAX(_xlfn.XLOOKUP(X98,'02效果表'!D:D,'02效果表'!E:E),0)+AA98*MAX(_xlfn.XLOOKUP(Z98,'02效果表'!D:D,'02效果表'!E:E),0)+AC98*MAX(_xlfn.XLOOKUP(AB98,'02效果表'!D:D,'02效果表'!E:E),0)+AE98*MAX(_xlfn.XLOOKUP(AD98,'02效果表'!D:D,'02效果表'!E:E),0)),1)</f>
        <v>5.8</v>
      </c>
      <c r="H98" s="6" t="s">
        <v>1325</v>
      </c>
      <c r="I98" s="6">
        <v>2</v>
      </c>
      <c r="J98" s="6"/>
      <c r="K98" s="6"/>
      <c r="L98" s="6" t="s">
        <v>1325</v>
      </c>
      <c r="M98" s="6">
        <v>1</v>
      </c>
      <c r="N98" s="6"/>
      <c r="O98" s="6"/>
      <c r="P98" s="6" t="s">
        <v>1325</v>
      </c>
      <c r="Q98" s="6">
        <v>1</v>
      </c>
      <c r="R98" s="6"/>
      <c r="S98" s="6"/>
      <c r="T98" s="6" t="s">
        <v>1325</v>
      </c>
      <c r="U98" s="6">
        <v>1</v>
      </c>
      <c r="V98" s="6"/>
      <c r="W98" s="6"/>
      <c r="X98" s="6" t="s">
        <v>1325</v>
      </c>
      <c r="Y98" s="6">
        <v>1</v>
      </c>
      <c r="Z98" s="6"/>
      <c r="AA98" s="6"/>
      <c r="AB98" s="6" t="s">
        <v>1325</v>
      </c>
      <c r="AC98" s="6">
        <v>1</v>
      </c>
      <c r="AD98" s="6"/>
      <c r="AE98" s="6"/>
    </row>
    <row r="99" spans="1:31" x14ac:dyDescent="0.35">
      <c r="A99" s="6">
        <v>99</v>
      </c>
      <c r="B99" s="6" t="s">
        <v>3</v>
      </c>
      <c r="C99" s="10" t="s">
        <v>1</v>
      </c>
      <c r="D99" s="9" t="s">
        <v>1326</v>
      </c>
      <c r="E99" s="7">
        <f t="shared" si="7"/>
        <v>5</v>
      </c>
      <c r="F99" s="7">
        <f>-1*ROUND(1/6*(I99*IF(_xlfn.XLOOKUP(H99,'02效果表'!D:D,'02效果表'!E:E)&lt;0, _xlfn.XLOOKUP(H99,'02效果表'!D:D,'02效果表'!E:E), 0) +
K99*IF(_xlfn.XLOOKUP(J99,'02效果表'!D:D,'02效果表'!E:E)&lt;0, _xlfn.XLOOKUP(J99,'02效果表'!D:D,'02效果表'!E:E), 0) +
M99*IF(_xlfn.XLOOKUP(L99,'02效果表'!D:D,'02效果表'!E:E)&lt;0, _xlfn.XLOOKUP(L99,'02效果表'!D:D,'02效果表'!E:E), 0) +
O99*IF(_xlfn.XLOOKUP(N99,'02效果表'!D:D,'02效果表'!E:E)&lt;0, _xlfn.XLOOKUP(N99,'02效果表'!D:D,'02效果表'!E:E), 0) +
Q99*IF(_xlfn.XLOOKUP(P99,'02效果表'!D:D,'02效果表'!E:E)&lt;0, _xlfn.XLOOKUP(P99,'02效果表'!D:D,'02效果表'!E:E), 0) +
S99*IF(_xlfn.XLOOKUP(R99,'02效果表'!D:D,'02效果表'!E:E)&lt;0, _xlfn.XLOOKUP(R99,'02效果表'!D:D,'02效果表'!E:E), 0) +
U99*IF(_xlfn.XLOOKUP(T99,'02效果表'!D:D,'02效果表'!E:E)&lt;0, _xlfn.XLOOKUP(T99,'02效果表'!D:D,'02效果表'!E:E), 0) +
W99*IF(_xlfn.XLOOKUP(V99,'02效果表'!D:D,'02效果表'!E:E)&lt;0, _xlfn.XLOOKUP(V99,'02效果表'!D:D,'02效果表'!E:E), 0) +
Y99*IF(_xlfn.XLOOKUP(X99,'02效果表'!D:D,'02效果表'!E:E)&lt;0, _xlfn.XLOOKUP(X99,'02效果表'!D:D,'02效果表'!E:E), 0) +
AA99*IF(_xlfn.XLOOKUP(Z99,'02效果表'!D:D,'02效果表'!E:E)&lt;0, _xlfn.XLOOKUP(Z99,'02效果表'!D:D,'02效果表'!E:E), 0) +
AC99*IF(_xlfn.XLOOKUP(AB99,'02效果表'!D:D,'02效果表'!E:E)&lt;0, _xlfn.XLOOKUP(AB99,'02效果表'!D:D,'02效果表'!E:E), 0) +
AE99*IF(_xlfn.XLOOKUP(AD99,'02效果表'!D:D,'02效果表'!E:E)&lt;0, _xlfn.XLOOKUP(AD99,'02效果表'!D:D,'02效果表'!E:E), 0)), 1)</f>
        <v>0</v>
      </c>
      <c r="G99" s="7">
        <f>ROUND(1/6*(I99*MAX(_xlfn.XLOOKUP(H99,'02效果表'!D:D,'02效果表'!E:E),0)+K99*MAX(_xlfn.XLOOKUP(J99,'02效果表'!D:D,'02效果表'!E:E),0)+M99*MAX(_xlfn.XLOOKUP(L99,'02效果表'!D:D,'02效果表'!E:E),0)+O99*MAX(_xlfn.XLOOKUP(N99,'02效果表'!D:D,'02效果表'!E:E),0)+Q99*MAX(_xlfn.XLOOKUP(P99,'02效果表'!D:D,'02效果表'!E:E),0)+S99*MAX(_xlfn.XLOOKUP(R99,'02效果表'!D:D,'02效果表'!E:E),0)+U99*MAX(_xlfn.XLOOKUP(T99,'02效果表'!D:D,'02效果表'!E:E),0)+W99*MAX(_xlfn.XLOOKUP(V99,'02效果表'!D:D,'02效果表'!E:E),0)+Y99*MAX(_xlfn.XLOOKUP(X99,'02效果表'!D:D,'02效果表'!E:E),0)+AA99*MAX(_xlfn.XLOOKUP(Z99,'02效果表'!D:D,'02效果表'!E:E),0)+AC99*MAX(_xlfn.XLOOKUP(AB99,'02效果表'!D:D,'02效果表'!E:E),0)+AE99*MAX(_xlfn.XLOOKUP(AD99,'02效果表'!D:D,'02效果表'!E:E),0)),1)</f>
        <v>5.3</v>
      </c>
      <c r="H99" s="6" t="s">
        <v>1326</v>
      </c>
      <c r="I99" s="6">
        <v>2</v>
      </c>
      <c r="J99" s="6"/>
      <c r="K99" s="6"/>
      <c r="L99" s="6" t="s">
        <v>1326</v>
      </c>
      <c r="M99" s="6">
        <v>2</v>
      </c>
      <c r="N99" s="6"/>
      <c r="O99" s="6"/>
      <c r="P99" s="6" t="s">
        <v>1326</v>
      </c>
      <c r="Q99" s="6">
        <v>1</v>
      </c>
      <c r="R99" s="6"/>
      <c r="S99" s="6"/>
      <c r="T99" s="6" t="s">
        <v>1326</v>
      </c>
      <c r="U99" s="6">
        <v>1</v>
      </c>
      <c r="V99" s="6"/>
      <c r="W99" s="6"/>
      <c r="X99" s="6" t="s">
        <v>1326</v>
      </c>
      <c r="Y99" s="6">
        <v>1</v>
      </c>
      <c r="Z99" s="6"/>
      <c r="AA99" s="6"/>
      <c r="AB99" s="6" t="s">
        <v>1326</v>
      </c>
      <c r="AC99" s="6">
        <v>1</v>
      </c>
      <c r="AD99" s="6"/>
      <c r="AE99" s="6"/>
    </row>
    <row r="100" spans="1:31" x14ac:dyDescent="0.35">
      <c r="A100" s="6">
        <v>100</v>
      </c>
      <c r="B100" s="6" t="s">
        <v>3</v>
      </c>
      <c r="C100" s="10" t="s">
        <v>1</v>
      </c>
      <c r="D100" s="9"/>
      <c r="E100" s="7">
        <f t="shared" si="7"/>
        <v>0</v>
      </c>
      <c r="F100" s="7">
        <f>-1*ROUND(1/6*(I100*IF(_xlfn.XLOOKUP(H100,'02效果表'!D:D,'02效果表'!E:E)&lt;0, _xlfn.XLOOKUP(H100,'02效果表'!D:D,'02效果表'!E:E), 0) +
K100*IF(_xlfn.XLOOKUP(J100,'02效果表'!D:D,'02效果表'!E:E)&lt;0, _xlfn.XLOOKUP(J100,'02效果表'!D:D,'02效果表'!E:E), 0) +
M100*IF(_xlfn.XLOOKUP(L100,'02效果表'!D:D,'02效果表'!E:E)&lt;0, _xlfn.XLOOKUP(L100,'02效果表'!D:D,'02效果表'!E:E), 0) +
O100*IF(_xlfn.XLOOKUP(N100,'02效果表'!D:D,'02效果表'!E:E)&lt;0, _xlfn.XLOOKUP(N100,'02效果表'!D:D,'02效果表'!E:E), 0) +
Q100*IF(_xlfn.XLOOKUP(P100,'02效果表'!D:D,'02效果表'!E:E)&lt;0, _xlfn.XLOOKUP(P100,'02效果表'!D:D,'02效果表'!E:E), 0) +
S100*IF(_xlfn.XLOOKUP(R100,'02效果表'!D:D,'02效果表'!E:E)&lt;0, _xlfn.XLOOKUP(R100,'02效果表'!D:D,'02效果表'!E:E), 0) +
U100*IF(_xlfn.XLOOKUP(T100,'02效果表'!D:D,'02效果表'!E:E)&lt;0, _xlfn.XLOOKUP(T100,'02效果表'!D:D,'02效果表'!E:E), 0) +
W100*IF(_xlfn.XLOOKUP(V100,'02效果表'!D:D,'02效果表'!E:E)&lt;0, _xlfn.XLOOKUP(V100,'02效果表'!D:D,'02效果表'!E:E), 0) +
Y100*IF(_xlfn.XLOOKUP(X100,'02效果表'!D:D,'02效果表'!E:E)&lt;0, _xlfn.XLOOKUP(X100,'02效果表'!D:D,'02效果表'!E:E), 0) +
AA100*IF(_xlfn.XLOOKUP(Z100,'02效果表'!D:D,'02效果表'!E:E)&lt;0, _xlfn.XLOOKUP(Z100,'02效果表'!D:D,'02效果表'!E:E), 0) +
AC100*IF(_xlfn.XLOOKUP(AB100,'02效果表'!D:D,'02效果表'!E:E)&lt;0, _xlfn.XLOOKUP(AB100,'02效果表'!D:D,'02效果表'!E:E), 0) +
AE100*IF(_xlfn.XLOOKUP(AD100,'02效果表'!D:D,'02效果表'!E:E)&lt;0, _xlfn.XLOOKUP(AD100,'02效果表'!D:D,'02效果表'!E:E), 0)), 1)</f>
        <v>0</v>
      </c>
      <c r="G100" s="7">
        <f>ROUND(1/6*(I100*MAX(_xlfn.XLOOKUP(H100,'02效果表'!D:D,'02效果表'!E:E),0)+K100*MAX(_xlfn.XLOOKUP(J100,'02效果表'!D:D,'02效果表'!E:E),0)+M100*MAX(_xlfn.XLOOKUP(L100,'02效果表'!D:D,'02效果表'!E:E),0)+O100*MAX(_xlfn.XLOOKUP(N100,'02效果表'!D:D,'02效果表'!E:E),0)+Q100*MAX(_xlfn.XLOOKUP(P100,'02效果表'!D:D,'02效果表'!E:E),0)+S100*MAX(_xlfn.XLOOKUP(R100,'02效果表'!D:D,'02效果表'!E:E),0)+U100*MAX(_xlfn.XLOOKUP(T100,'02效果表'!D:D,'02效果表'!E:E),0)+W100*MAX(_xlfn.XLOOKUP(V100,'02效果表'!D:D,'02效果表'!E:E),0)+Y100*MAX(_xlfn.XLOOKUP(X100,'02效果表'!D:D,'02效果表'!E:E),0)+AA100*MAX(_xlfn.XLOOKUP(Z100,'02效果表'!D:D,'02效果表'!E:E),0)+AC100*MAX(_xlfn.XLOOKUP(AB100,'02效果表'!D:D,'02效果表'!E:E),0)+AE100*MAX(_xlfn.XLOOKUP(AD100,'02效果表'!D:D,'02效果表'!E:E),0)),1)</f>
        <v>0</v>
      </c>
      <c r="H100" s="6"/>
      <c r="I100" s="6"/>
      <c r="J100" s="6"/>
      <c r="K100" s="6"/>
      <c r="L100" s="6"/>
      <c r="M100" s="6"/>
      <c r="N100" s="6"/>
      <c r="O100" s="6"/>
      <c r="P100" s="6"/>
      <c r="Q100" s="6"/>
      <c r="R100" s="6"/>
      <c r="S100" s="6"/>
      <c r="T100" s="6"/>
      <c r="U100" s="6"/>
      <c r="V100" s="6"/>
      <c r="W100" s="6"/>
      <c r="X100" s="6"/>
      <c r="Y100" s="6"/>
      <c r="Z100" s="6"/>
      <c r="AA100" s="6"/>
      <c r="AB100" s="6"/>
      <c r="AC100" s="6"/>
      <c r="AD100" s="6"/>
      <c r="AE100" s="6"/>
    </row>
    <row r="101" spans="1:31" x14ac:dyDescent="0.35">
      <c r="A101" s="6">
        <v>101</v>
      </c>
      <c r="B101" s="6" t="s">
        <v>3</v>
      </c>
      <c r="C101" s="10" t="s">
        <v>1</v>
      </c>
      <c r="D101" s="9"/>
      <c r="E101" s="7">
        <f t="shared" si="7"/>
        <v>0</v>
      </c>
      <c r="F101" s="7">
        <f>-1*ROUND(1/6*(I101*IF(_xlfn.XLOOKUP(H101,'02效果表'!D:D,'02效果表'!E:E)&lt;0, _xlfn.XLOOKUP(H101,'02效果表'!D:D,'02效果表'!E:E), 0) +
K101*IF(_xlfn.XLOOKUP(J101,'02效果表'!D:D,'02效果表'!E:E)&lt;0, _xlfn.XLOOKUP(J101,'02效果表'!D:D,'02效果表'!E:E), 0) +
M101*IF(_xlfn.XLOOKUP(L101,'02效果表'!D:D,'02效果表'!E:E)&lt;0, _xlfn.XLOOKUP(L101,'02效果表'!D:D,'02效果表'!E:E), 0) +
O101*IF(_xlfn.XLOOKUP(N101,'02效果表'!D:D,'02效果表'!E:E)&lt;0, _xlfn.XLOOKUP(N101,'02效果表'!D:D,'02效果表'!E:E), 0) +
Q101*IF(_xlfn.XLOOKUP(P101,'02效果表'!D:D,'02效果表'!E:E)&lt;0, _xlfn.XLOOKUP(P101,'02效果表'!D:D,'02效果表'!E:E), 0) +
S101*IF(_xlfn.XLOOKUP(R101,'02效果表'!D:D,'02效果表'!E:E)&lt;0, _xlfn.XLOOKUP(R101,'02效果表'!D:D,'02效果表'!E:E), 0) +
U101*IF(_xlfn.XLOOKUP(T101,'02效果表'!D:D,'02效果表'!E:E)&lt;0, _xlfn.XLOOKUP(T101,'02效果表'!D:D,'02效果表'!E:E), 0) +
W101*IF(_xlfn.XLOOKUP(V101,'02效果表'!D:D,'02效果表'!E:E)&lt;0, _xlfn.XLOOKUP(V101,'02效果表'!D:D,'02效果表'!E:E), 0) +
Y101*IF(_xlfn.XLOOKUP(X101,'02效果表'!D:D,'02效果表'!E:E)&lt;0, _xlfn.XLOOKUP(X101,'02效果表'!D:D,'02效果表'!E:E), 0) +
AA101*IF(_xlfn.XLOOKUP(Z101,'02效果表'!D:D,'02效果表'!E:E)&lt;0, _xlfn.XLOOKUP(Z101,'02效果表'!D:D,'02效果表'!E:E), 0) +
AC101*IF(_xlfn.XLOOKUP(AB101,'02效果表'!D:D,'02效果表'!E:E)&lt;0, _xlfn.XLOOKUP(AB101,'02效果表'!D:D,'02效果表'!E:E), 0) +
AE101*IF(_xlfn.XLOOKUP(AD101,'02效果表'!D:D,'02效果表'!E:E)&lt;0, _xlfn.XLOOKUP(AD101,'02效果表'!D:D,'02效果表'!E:E), 0)), 1)</f>
        <v>0</v>
      </c>
      <c r="G101" s="7">
        <f>ROUND(1/6*(I101*MAX(_xlfn.XLOOKUP(H101,'02效果表'!D:D,'02效果表'!E:E),0)+K101*MAX(_xlfn.XLOOKUP(J101,'02效果表'!D:D,'02效果表'!E:E),0)+M101*MAX(_xlfn.XLOOKUP(L101,'02效果表'!D:D,'02效果表'!E:E),0)+O101*MAX(_xlfn.XLOOKUP(N101,'02效果表'!D:D,'02效果表'!E:E),0)+Q101*MAX(_xlfn.XLOOKUP(P101,'02效果表'!D:D,'02效果表'!E:E),0)+S101*MAX(_xlfn.XLOOKUP(R101,'02效果表'!D:D,'02效果表'!E:E),0)+U101*MAX(_xlfn.XLOOKUP(T101,'02效果表'!D:D,'02效果表'!E:E),0)+W101*MAX(_xlfn.XLOOKUP(V101,'02效果表'!D:D,'02效果表'!E:E),0)+Y101*MAX(_xlfn.XLOOKUP(X101,'02效果表'!D:D,'02效果表'!E:E),0)+AA101*MAX(_xlfn.XLOOKUP(Z101,'02效果表'!D:D,'02效果表'!E:E),0)+AC101*MAX(_xlfn.XLOOKUP(AB101,'02效果表'!D:D,'02效果表'!E:E),0)+AE101*MAX(_xlfn.XLOOKUP(AD101,'02效果表'!D:D,'02效果表'!E:E),0)),1)</f>
        <v>0</v>
      </c>
      <c r="H101" s="6"/>
      <c r="I101" s="6"/>
      <c r="J101" s="6"/>
      <c r="K101" s="6"/>
      <c r="L101" s="6"/>
      <c r="M101" s="6"/>
      <c r="N101" s="6"/>
      <c r="O101" s="6"/>
      <c r="P101" s="6"/>
      <c r="Q101" s="6"/>
      <c r="R101" s="6"/>
      <c r="S101" s="6"/>
      <c r="T101" s="6"/>
      <c r="U101" s="6"/>
      <c r="V101" s="6"/>
      <c r="W101" s="6"/>
      <c r="X101" s="6"/>
      <c r="Y101" s="6"/>
      <c r="Z101" s="6"/>
      <c r="AA101" s="6"/>
      <c r="AB101" s="6"/>
      <c r="AC101" s="6"/>
      <c r="AD101" s="6"/>
      <c r="AE101" s="6"/>
    </row>
    <row r="102" spans="1:31" x14ac:dyDescent="0.35">
      <c r="A102" s="6">
        <v>102</v>
      </c>
      <c r="B102" s="6" t="s">
        <v>3</v>
      </c>
      <c r="C102" s="10" t="s">
        <v>2</v>
      </c>
      <c r="D102" s="9" t="s">
        <v>1327</v>
      </c>
      <c r="E102" s="7">
        <f t="shared" si="7"/>
        <v>0</v>
      </c>
      <c r="F102" s="7">
        <f>-1*ROUND(1/6*(I102*IF(_xlfn.XLOOKUP(H102,'02效果表'!D:D,'02效果表'!E:E)&lt;0, _xlfn.XLOOKUP(H102,'02效果表'!D:D,'02效果表'!E:E), 0) +
K102*IF(_xlfn.XLOOKUP(J102,'02效果表'!D:D,'02效果表'!E:E)&lt;0, _xlfn.XLOOKUP(J102,'02效果表'!D:D,'02效果表'!E:E), 0) +
M102*IF(_xlfn.XLOOKUP(L102,'02效果表'!D:D,'02效果表'!E:E)&lt;0, _xlfn.XLOOKUP(L102,'02效果表'!D:D,'02效果表'!E:E), 0) +
O102*IF(_xlfn.XLOOKUP(N102,'02效果表'!D:D,'02效果表'!E:E)&lt;0, _xlfn.XLOOKUP(N102,'02效果表'!D:D,'02效果表'!E:E), 0) +
Q102*IF(_xlfn.XLOOKUP(P102,'02效果表'!D:D,'02效果表'!E:E)&lt;0, _xlfn.XLOOKUP(P102,'02效果表'!D:D,'02效果表'!E:E), 0) +
S102*IF(_xlfn.XLOOKUP(R102,'02效果表'!D:D,'02效果表'!E:E)&lt;0, _xlfn.XLOOKUP(R102,'02效果表'!D:D,'02效果表'!E:E), 0) +
U102*IF(_xlfn.XLOOKUP(T102,'02效果表'!D:D,'02效果表'!E:E)&lt;0, _xlfn.XLOOKUP(T102,'02效果表'!D:D,'02效果表'!E:E), 0) +
W102*IF(_xlfn.XLOOKUP(V102,'02效果表'!D:D,'02效果表'!E:E)&lt;0, _xlfn.XLOOKUP(V102,'02效果表'!D:D,'02效果表'!E:E), 0) +
Y102*IF(_xlfn.XLOOKUP(X102,'02效果表'!D:D,'02效果表'!E:E)&lt;0, _xlfn.XLOOKUP(X102,'02效果表'!D:D,'02效果表'!E:E), 0) +
AA102*IF(_xlfn.XLOOKUP(Z102,'02效果表'!D:D,'02效果表'!E:E)&lt;0, _xlfn.XLOOKUP(Z102,'02效果表'!D:D,'02效果表'!E:E), 0) +
AC102*IF(_xlfn.XLOOKUP(AB102,'02效果表'!D:D,'02效果表'!E:E)&lt;0, _xlfn.XLOOKUP(AB102,'02效果表'!D:D,'02效果表'!E:E), 0) +
AE102*IF(_xlfn.XLOOKUP(AD102,'02效果表'!D:D,'02效果表'!E:E)&lt;0, _xlfn.XLOOKUP(AD102,'02效果表'!D:D,'02效果表'!E:E), 0)), 1)</f>
        <v>0.8</v>
      </c>
      <c r="G102" s="7">
        <f>ROUND(1/6*(I102*MAX(_xlfn.XLOOKUP(H102,'02效果表'!D:D,'02效果表'!E:E),0)+K102*MAX(_xlfn.XLOOKUP(J102,'02效果表'!D:D,'02效果表'!E:E),0)+M102*MAX(_xlfn.XLOOKUP(L102,'02效果表'!D:D,'02效果表'!E:E),0)+O102*MAX(_xlfn.XLOOKUP(N102,'02效果表'!D:D,'02效果表'!E:E),0)+Q102*MAX(_xlfn.XLOOKUP(P102,'02效果表'!D:D,'02效果表'!E:E),0)+S102*MAX(_xlfn.XLOOKUP(R102,'02效果表'!D:D,'02效果表'!E:E),0)+U102*MAX(_xlfn.XLOOKUP(T102,'02效果表'!D:D,'02效果表'!E:E),0)+W102*MAX(_xlfn.XLOOKUP(V102,'02效果表'!D:D,'02效果表'!E:E),0)+Y102*MAX(_xlfn.XLOOKUP(X102,'02效果表'!D:D,'02效果表'!E:E),0)+AA102*MAX(_xlfn.XLOOKUP(Z102,'02效果表'!D:D,'02效果表'!E:E),0)+AC102*MAX(_xlfn.XLOOKUP(AB102,'02效果表'!D:D,'02效果表'!E:E),0)+AE102*MAX(_xlfn.XLOOKUP(AD102,'02效果表'!D:D,'02效果表'!E:E),0)),1)</f>
        <v>0.5</v>
      </c>
      <c r="H102" s="6" t="s">
        <v>1316</v>
      </c>
      <c r="I102" s="6">
        <v>3</v>
      </c>
      <c r="J102" s="6"/>
      <c r="K102" s="6"/>
      <c r="L102" s="6" t="s">
        <v>1316</v>
      </c>
      <c r="M102" s="6">
        <v>2</v>
      </c>
      <c r="N102" s="6"/>
      <c r="O102" s="6"/>
      <c r="P102" s="6" t="s">
        <v>1316</v>
      </c>
      <c r="Q102" s="6">
        <v>2</v>
      </c>
      <c r="R102" s="6"/>
      <c r="S102" s="6"/>
      <c r="T102" s="6" t="s">
        <v>1238</v>
      </c>
      <c r="U102" s="6">
        <v>1</v>
      </c>
      <c r="V102" s="6"/>
      <c r="W102" s="6"/>
      <c r="X102" s="6" t="s">
        <v>1238</v>
      </c>
      <c r="Y102" s="6">
        <v>2</v>
      </c>
      <c r="Z102" s="6"/>
      <c r="AA102" s="6"/>
      <c r="AB102" s="6" t="s">
        <v>1238</v>
      </c>
      <c r="AC102" s="6">
        <v>2</v>
      </c>
      <c r="AD102" s="6"/>
      <c r="AE102" s="6"/>
    </row>
    <row r="103" spans="1:31" x14ac:dyDescent="0.35">
      <c r="A103" s="6">
        <v>103</v>
      </c>
      <c r="B103" s="6" t="s">
        <v>3</v>
      </c>
      <c r="C103" s="10" t="s">
        <v>2</v>
      </c>
      <c r="D103" s="9" t="s">
        <v>1328</v>
      </c>
      <c r="E103" s="7">
        <f t="shared" si="7"/>
        <v>2</v>
      </c>
      <c r="F103" s="7">
        <f>-1*ROUND(1/6*(I103*IF(_xlfn.XLOOKUP(H103,'02效果表'!D:D,'02效果表'!E:E)&lt;0, _xlfn.XLOOKUP(H103,'02效果表'!D:D,'02效果表'!E:E), 0) +
K103*IF(_xlfn.XLOOKUP(J103,'02效果表'!D:D,'02效果表'!E:E)&lt;0, _xlfn.XLOOKUP(J103,'02效果表'!D:D,'02效果表'!E:E), 0) +
M103*IF(_xlfn.XLOOKUP(L103,'02效果表'!D:D,'02效果表'!E:E)&lt;0, _xlfn.XLOOKUP(L103,'02效果表'!D:D,'02效果表'!E:E), 0) +
O103*IF(_xlfn.XLOOKUP(N103,'02效果表'!D:D,'02效果表'!E:E)&lt;0, _xlfn.XLOOKUP(N103,'02效果表'!D:D,'02效果表'!E:E), 0) +
Q103*IF(_xlfn.XLOOKUP(P103,'02效果表'!D:D,'02效果表'!E:E)&lt;0, _xlfn.XLOOKUP(P103,'02效果表'!D:D,'02效果表'!E:E), 0) +
S103*IF(_xlfn.XLOOKUP(R103,'02效果表'!D:D,'02效果表'!E:E)&lt;0, _xlfn.XLOOKUP(R103,'02效果表'!D:D,'02效果表'!E:E), 0) +
U103*IF(_xlfn.XLOOKUP(T103,'02效果表'!D:D,'02效果表'!E:E)&lt;0, _xlfn.XLOOKUP(T103,'02效果表'!D:D,'02效果表'!E:E), 0) +
W103*IF(_xlfn.XLOOKUP(V103,'02效果表'!D:D,'02效果表'!E:E)&lt;0, _xlfn.XLOOKUP(V103,'02效果表'!D:D,'02效果表'!E:E), 0) +
Y103*IF(_xlfn.XLOOKUP(X103,'02效果表'!D:D,'02效果表'!E:E)&lt;0, _xlfn.XLOOKUP(X103,'02效果表'!D:D,'02效果表'!E:E), 0) +
AA103*IF(_xlfn.XLOOKUP(Z103,'02效果表'!D:D,'02效果表'!E:E)&lt;0, _xlfn.XLOOKUP(Z103,'02效果表'!D:D,'02效果表'!E:E), 0) +
AC103*IF(_xlfn.XLOOKUP(AB103,'02效果表'!D:D,'02效果表'!E:E)&lt;0, _xlfn.XLOOKUP(AB103,'02效果表'!D:D,'02效果表'!E:E), 0) +
AE103*IF(_xlfn.XLOOKUP(AD103,'02效果表'!D:D,'02效果表'!E:E)&lt;0, _xlfn.XLOOKUP(AD103,'02效果表'!D:D,'02效果表'!E:E), 0)), 1)</f>
        <v>0</v>
      </c>
      <c r="G103" s="7">
        <f>ROUND(1/6*(I103*MAX(_xlfn.XLOOKUP(H103,'02效果表'!D:D,'02效果表'!E:E),0)+K103*MAX(_xlfn.XLOOKUP(J103,'02效果表'!D:D,'02效果表'!E:E),0)+M103*MAX(_xlfn.XLOOKUP(L103,'02效果表'!D:D,'02效果表'!E:E),0)+O103*MAX(_xlfn.XLOOKUP(N103,'02效果表'!D:D,'02效果表'!E:E),0)+Q103*MAX(_xlfn.XLOOKUP(P103,'02效果表'!D:D,'02效果表'!E:E),0)+S103*MAX(_xlfn.XLOOKUP(R103,'02效果表'!D:D,'02效果表'!E:E),0)+U103*MAX(_xlfn.XLOOKUP(T103,'02效果表'!D:D,'02效果表'!E:E),0)+W103*MAX(_xlfn.XLOOKUP(V103,'02效果表'!D:D,'02效果表'!E:E),0)+Y103*MAX(_xlfn.XLOOKUP(X103,'02效果表'!D:D,'02效果表'!E:E),0)+AA103*MAX(_xlfn.XLOOKUP(Z103,'02效果表'!D:D,'02效果表'!E:E),0)+AC103*MAX(_xlfn.XLOOKUP(AB103,'02效果表'!D:D,'02效果表'!E:E),0)+AE103*MAX(_xlfn.XLOOKUP(AD103,'02效果表'!D:D,'02效果表'!E:E),0)),1)</f>
        <v>2</v>
      </c>
      <c r="H103" s="6" t="s">
        <v>1847</v>
      </c>
      <c r="I103" s="6">
        <v>6</v>
      </c>
      <c r="J103" s="6"/>
      <c r="K103" s="6"/>
      <c r="L103" s="6" t="s">
        <v>1847</v>
      </c>
      <c r="M103" s="6">
        <v>6</v>
      </c>
      <c r="N103" s="6"/>
      <c r="O103" s="6"/>
      <c r="P103" s="6" t="s">
        <v>1847</v>
      </c>
      <c r="Q103" s="6">
        <v>5</v>
      </c>
      <c r="R103" s="6"/>
      <c r="S103" s="6"/>
      <c r="T103" s="6" t="s">
        <v>1847</v>
      </c>
      <c r="U103" s="6">
        <v>5</v>
      </c>
      <c r="V103" s="6"/>
      <c r="W103" s="6"/>
      <c r="X103" s="6" t="s">
        <v>1847</v>
      </c>
      <c r="Y103" s="6">
        <v>4</v>
      </c>
      <c r="Z103" s="6"/>
      <c r="AA103" s="6"/>
      <c r="AB103" s="6" t="s">
        <v>1847</v>
      </c>
      <c r="AC103" s="6">
        <v>4</v>
      </c>
      <c r="AD103" s="6"/>
      <c r="AE103" s="6"/>
    </row>
    <row r="104" spans="1:31" x14ac:dyDescent="0.35">
      <c r="A104" s="6">
        <v>104</v>
      </c>
      <c r="B104" s="6" t="s">
        <v>3</v>
      </c>
      <c r="C104" s="10" t="s">
        <v>2</v>
      </c>
      <c r="D104" s="9" t="s">
        <v>1329</v>
      </c>
      <c r="E104" s="7">
        <f t="shared" si="7"/>
        <v>1</v>
      </c>
      <c r="F104" s="7">
        <f>-1*ROUND(1/6*(I104*IF(_xlfn.XLOOKUP(H104,'02效果表'!D:D,'02效果表'!E:E)&lt;0, _xlfn.XLOOKUP(H104,'02效果表'!D:D,'02效果表'!E:E), 0) +
K104*IF(_xlfn.XLOOKUP(J104,'02效果表'!D:D,'02效果表'!E:E)&lt;0, _xlfn.XLOOKUP(J104,'02效果表'!D:D,'02效果表'!E:E), 0) +
M104*IF(_xlfn.XLOOKUP(L104,'02效果表'!D:D,'02效果表'!E:E)&lt;0, _xlfn.XLOOKUP(L104,'02效果表'!D:D,'02效果表'!E:E), 0) +
O104*IF(_xlfn.XLOOKUP(N104,'02效果表'!D:D,'02效果表'!E:E)&lt;0, _xlfn.XLOOKUP(N104,'02效果表'!D:D,'02效果表'!E:E), 0) +
Q104*IF(_xlfn.XLOOKUP(P104,'02效果表'!D:D,'02效果表'!E:E)&lt;0, _xlfn.XLOOKUP(P104,'02效果表'!D:D,'02效果表'!E:E), 0) +
S104*IF(_xlfn.XLOOKUP(R104,'02效果表'!D:D,'02效果表'!E:E)&lt;0, _xlfn.XLOOKUP(R104,'02效果表'!D:D,'02效果表'!E:E), 0) +
U104*IF(_xlfn.XLOOKUP(T104,'02效果表'!D:D,'02效果表'!E:E)&lt;0, _xlfn.XLOOKUP(T104,'02效果表'!D:D,'02效果表'!E:E), 0) +
W104*IF(_xlfn.XLOOKUP(V104,'02效果表'!D:D,'02效果表'!E:E)&lt;0, _xlfn.XLOOKUP(V104,'02效果表'!D:D,'02效果表'!E:E), 0) +
Y104*IF(_xlfn.XLOOKUP(X104,'02效果表'!D:D,'02效果表'!E:E)&lt;0, _xlfn.XLOOKUP(X104,'02效果表'!D:D,'02效果表'!E:E), 0) +
AA104*IF(_xlfn.XLOOKUP(Z104,'02效果表'!D:D,'02效果表'!E:E)&lt;0, _xlfn.XLOOKUP(Z104,'02效果表'!D:D,'02效果表'!E:E), 0) +
AC104*IF(_xlfn.XLOOKUP(AB104,'02效果表'!D:D,'02效果表'!E:E)&lt;0, _xlfn.XLOOKUP(AB104,'02效果表'!D:D,'02效果表'!E:E), 0) +
AE104*IF(_xlfn.XLOOKUP(AD104,'02效果表'!D:D,'02效果表'!E:E)&lt;0, _xlfn.XLOOKUP(AD104,'02效果表'!D:D,'02效果表'!E:E), 0)), 1)</f>
        <v>0.8</v>
      </c>
      <c r="G104" s="7">
        <f>ROUND(1/6*(I104*MAX(_xlfn.XLOOKUP(H104,'02效果表'!D:D,'02效果表'!E:E),0)+K104*MAX(_xlfn.XLOOKUP(J104,'02效果表'!D:D,'02效果表'!E:E),0)+M104*MAX(_xlfn.XLOOKUP(L104,'02效果表'!D:D,'02效果表'!E:E),0)+O104*MAX(_xlfn.XLOOKUP(N104,'02效果表'!D:D,'02效果表'!E:E),0)+Q104*MAX(_xlfn.XLOOKUP(P104,'02效果表'!D:D,'02效果表'!E:E),0)+S104*MAX(_xlfn.XLOOKUP(R104,'02效果表'!D:D,'02效果表'!E:E),0)+U104*MAX(_xlfn.XLOOKUP(T104,'02效果表'!D:D,'02效果表'!E:E),0)+W104*MAX(_xlfn.XLOOKUP(V104,'02效果表'!D:D,'02效果表'!E:E),0)+Y104*MAX(_xlfn.XLOOKUP(X104,'02效果表'!D:D,'02效果表'!E:E),0)+AA104*MAX(_xlfn.XLOOKUP(Z104,'02效果表'!D:D,'02效果表'!E:E),0)+AC104*MAX(_xlfn.XLOOKUP(AB104,'02效果表'!D:D,'02效果表'!E:E),0)+AE104*MAX(_xlfn.XLOOKUP(AD104,'02效果表'!D:D,'02效果表'!E:E),0)),1)</f>
        <v>1.8</v>
      </c>
      <c r="H104" s="6" t="s">
        <v>1317</v>
      </c>
      <c r="I104" s="6">
        <v>6</v>
      </c>
      <c r="J104" s="6"/>
      <c r="K104" s="6"/>
      <c r="L104" s="6" t="s">
        <v>1317</v>
      </c>
      <c r="M104" s="6">
        <v>6</v>
      </c>
      <c r="N104" s="6"/>
      <c r="O104" s="6"/>
      <c r="P104" s="6" t="s">
        <v>1317</v>
      </c>
      <c r="Q104" s="6">
        <v>5</v>
      </c>
      <c r="R104" s="6"/>
      <c r="S104" s="6"/>
      <c r="T104" s="6" t="s">
        <v>1317</v>
      </c>
      <c r="U104" s="6">
        <v>5</v>
      </c>
      <c r="V104" s="6"/>
      <c r="W104" s="6"/>
      <c r="X104" s="6" t="s">
        <v>1238</v>
      </c>
      <c r="Y104" s="6">
        <v>2</v>
      </c>
      <c r="Z104" s="6"/>
      <c r="AA104" s="6"/>
      <c r="AB104" s="6" t="s">
        <v>1238</v>
      </c>
      <c r="AC104" s="6">
        <v>3</v>
      </c>
      <c r="AD104" s="6"/>
      <c r="AE104" s="6"/>
    </row>
    <row r="105" spans="1:31" x14ac:dyDescent="0.35">
      <c r="A105" s="6">
        <v>105</v>
      </c>
      <c r="B105" s="6" t="s">
        <v>3</v>
      </c>
      <c r="C105" s="10" t="s">
        <v>2</v>
      </c>
      <c r="D105" s="9" t="s">
        <v>1330</v>
      </c>
      <c r="E105" s="7">
        <f t="shared" si="7"/>
        <v>3</v>
      </c>
      <c r="F105" s="7">
        <f>-1*ROUND(1/6*(I105*IF(_xlfn.XLOOKUP(H105,'02效果表'!D:D,'02效果表'!E:E)&lt;0, _xlfn.XLOOKUP(H105,'02效果表'!D:D,'02效果表'!E:E), 0) +
K105*IF(_xlfn.XLOOKUP(J105,'02效果表'!D:D,'02效果表'!E:E)&lt;0, _xlfn.XLOOKUP(J105,'02效果表'!D:D,'02效果表'!E:E), 0) +
M105*IF(_xlfn.XLOOKUP(L105,'02效果表'!D:D,'02效果表'!E:E)&lt;0, _xlfn.XLOOKUP(L105,'02效果表'!D:D,'02效果表'!E:E), 0) +
O105*IF(_xlfn.XLOOKUP(N105,'02效果表'!D:D,'02效果表'!E:E)&lt;0, _xlfn.XLOOKUP(N105,'02效果表'!D:D,'02效果表'!E:E), 0) +
Q105*IF(_xlfn.XLOOKUP(P105,'02效果表'!D:D,'02效果表'!E:E)&lt;0, _xlfn.XLOOKUP(P105,'02效果表'!D:D,'02效果表'!E:E), 0) +
S105*IF(_xlfn.XLOOKUP(R105,'02效果表'!D:D,'02效果表'!E:E)&lt;0, _xlfn.XLOOKUP(R105,'02效果表'!D:D,'02效果表'!E:E), 0) +
U105*IF(_xlfn.XLOOKUP(T105,'02效果表'!D:D,'02效果表'!E:E)&lt;0, _xlfn.XLOOKUP(T105,'02效果表'!D:D,'02效果表'!E:E), 0) +
W105*IF(_xlfn.XLOOKUP(V105,'02效果表'!D:D,'02效果表'!E:E)&lt;0, _xlfn.XLOOKUP(V105,'02效果表'!D:D,'02效果表'!E:E), 0) +
Y105*IF(_xlfn.XLOOKUP(X105,'02效果表'!D:D,'02效果表'!E:E)&lt;0, _xlfn.XLOOKUP(X105,'02效果表'!D:D,'02效果表'!E:E), 0) +
AA105*IF(_xlfn.XLOOKUP(Z105,'02效果表'!D:D,'02效果表'!E:E)&lt;0, _xlfn.XLOOKUP(Z105,'02效果表'!D:D,'02效果表'!E:E), 0) +
AC105*IF(_xlfn.XLOOKUP(AB105,'02效果表'!D:D,'02效果表'!E:E)&lt;0, _xlfn.XLOOKUP(AB105,'02效果表'!D:D,'02效果表'!E:E), 0) +
AE105*IF(_xlfn.XLOOKUP(AD105,'02效果表'!D:D,'02效果表'!E:E)&lt;0, _xlfn.XLOOKUP(AD105,'02效果表'!D:D,'02效果表'!E:E), 0)), 1)</f>
        <v>1</v>
      </c>
      <c r="G105" s="7">
        <f>ROUND(1/6*(I105*MAX(_xlfn.XLOOKUP(H105,'02效果表'!D:D,'02效果表'!E:E),0)+K105*MAX(_xlfn.XLOOKUP(J105,'02效果表'!D:D,'02效果表'!E:E),0)+M105*MAX(_xlfn.XLOOKUP(L105,'02效果表'!D:D,'02效果表'!E:E),0)+O105*MAX(_xlfn.XLOOKUP(N105,'02效果表'!D:D,'02效果表'!E:E),0)+Q105*MAX(_xlfn.XLOOKUP(P105,'02效果表'!D:D,'02效果表'!E:E),0)+S105*MAX(_xlfn.XLOOKUP(R105,'02效果表'!D:D,'02效果表'!E:E),0)+U105*MAX(_xlfn.XLOOKUP(T105,'02效果表'!D:D,'02效果表'!E:E),0)+W105*MAX(_xlfn.XLOOKUP(V105,'02效果表'!D:D,'02效果表'!E:E),0)+Y105*MAX(_xlfn.XLOOKUP(X105,'02效果表'!D:D,'02效果表'!E:E),0)+AA105*MAX(_xlfn.XLOOKUP(Z105,'02效果表'!D:D,'02效果表'!E:E),0)+AC105*MAX(_xlfn.XLOOKUP(AB105,'02效果表'!D:D,'02效果表'!E:E),0)+AE105*MAX(_xlfn.XLOOKUP(AD105,'02效果表'!D:D,'02效果表'!E:E),0)),1)</f>
        <v>3.5</v>
      </c>
      <c r="H105" s="6" t="s">
        <v>1318</v>
      </c>
      <c r="I105" s="6">
        <v>3</v>
      </c>
      <c r="J105" s="6"/>
      <c r="K105" s="6"/>
      <c r="L105" s="6" t="s">
        <v>1318</v>
      </c>
      <c r="M105" s="6">
        <v>2</v>
      </c>
      <c r="N105" s="6"/>
      <c r="O105" s="6"/>
      <c r="P105" s="6" t="s">
        <v>1318</v>
      </c>
      <c r="Q105" s="6">
        <v>2</v>
      </c>
      <c r="R105" s="6"/>
      <c r="S105" s="6"/>
      <c r="T105" s="6" t="s">
        <v>1238</v>
      </c>
      <c r="U105" s="6">
        <v>3</v>
      </c>
      <c r="V105" s="6"/>
      <c r="W105" s="6"/>
      <c r="X105" s="6" t="s">
        <v>1238</v>
      </c>
      <c r="Y105" s="6">
        <v>2</v>
      </c>
      <c r="Z105" s="6"/>
      <c r="AA105" s="6"/>
      <c r="AB105" s="6" t="s">
        <v>1238</v>
      </c>
      <c r="AC105" s="6">
        <v>1</v>
      </c>
      <c r="AD105" s="6"/>
      <c r="AE105" s="6"/>
    </row>
    <row r="106" spans="1:31" x14ac:dyDescent="0.35">
      <c r="A106" s="6">
        <v>106</v>
      </c>
      <c r="B106" s="6" t="s">
        <v>3</v>
      </c>
      <c r="C106" s="10" t="s">
        <v>2</v>
      </c>
      <c r="D106" s="9" t="s">
        <v>1331</v>
      </c>
      <c r="E106" s="7">
        <f t="shared" si="7"/>
        <v>4</v>
      </c>
      <c r="F106" s="7">
        <f>-1*ROUND(1/6*(I106*IF(_xlfn.XLOOKUP(H106,'02效果表'!D:D,'02效果表'!E:E)&lt;0, _xlfn.XLOOKUP(H106,'02效果表'!D:D,'02效果表'!E:E), 0) +
K106*IF(_xlfn.XLOOKUP(J106,'02效果表'!D:D,'02效果表'!E:E)&lt;0, _xlfn.XLOOKUP(J106,'02效果表'!D:D,'02效果表'!E:E), 0) +
M106*IF(_xlfn.XLOOKUP(L106,'02效果表'!D:D,'02效果表'!E:E)&lt;0, _xlfn.XLOOKUP(L106,'02效果表'!D:D,'02效果表'!E:E), 0) +
O106*IF(_xlfn.XLOOKUP(N106,'02效果表'!D:D,'02效果表'!E:E)&lt;0, _xlfn.XLOOKUP(N106,'02效果表'!D:D,'02效果表'!E:E), 0) +
Q106*IF(_xlfn.XLOOKUP(P106,'02效果表'!D:D,'02效果表'!E:E)&lt;0, _xlfn.XLOOKUP(P106,'02效果表'!D:D,'02效果表'!E:E), 0) +
S106*IF(_xlfn.XLOOKUP(R106,'02效果表'!D:D,'02效果表'!E:E)&lt;0, _xlfn.XLOOKUP(R106,'02效果表'!D:D,'02效果表'!E:E), 0) +
U106*IF(_xlfn.XLOOKUP(T106,'02效果表'!D:D,'02效果表'!E:E)&lt;0, _xlfn.XLOOKUP(T106,'02效果表'!D:D,'02效果表'!E:E), 0) +
W106*IF(_xlfn.XLOOKUP(V106,'02效果表'!D:D,'02效果表'!E:E)&lt;0, _xlfn.XLOOKUP(V106,'02效果表'!D:D,'02效果表'!E:E), 0) +
Y106*IF(_xlfn.XLOOKUP(X106,'02效果表'!D:D,'02效果表'!E:E)&lt;0, _xlfn.XLOOKUP(X106,'02效果表'!D:D,'02效果表'!E:E), 0) +
AA106*IF(_xlfn.XLOOKUP(Z106,'02效果表'!D:D,'02效果表'!E:E)&lt;0, _xlfn.XLOOKUP(Z106,'02效果表'!D:D,'02效果表'!E:E), 0) +
AC106*IF(_xlfn.XLOOKUP(AB106,'02效果表'!D:D,'02效果表'!E:E)&lt;0, _xlfn.XLOOKUP(AB106,'02效果表'!D:D,'02效果表'!E:E), 0) +
AE106*IF(_xlfn.XLOOKUP(AD106,'02效果表'!D:D,'02效果表'!E:E)&lt;0, _xlfn.XLOOKUP(AD106,'02效果表'!D:D,'02效果表'!E:E), 0)), 1)</f>
        <v>0.5</v>
      </c>
      <c r="G106" s="7">
        <f>ROUND(1/6*(I106*MAX(_xlfn.XLOOKUP(H106,'02效果表'!D:D,'02效果表'!E:E),0)+K106*MAX(_xlfn.XLOOKUP(J106,'02效果表'!D:D,'02效果表'!E:E),0)+M106*MAX(_xlfn.XLOOKUP(L106,'02效果表'!D:D,'02效果表'!E:E),0)+O106*MAX(_xlfn.XLOOKUP(N106,'02效果表'!D:D,'02效果表'!E:E),0)+Q106*MAX(_xlfn.XLOOKUP(P106,'02效果表'!D:D,'02效果表'!E:E),0)+S106*MAX(_xlfn.XLOOKUP(R106,'02效果表'!D:D,'02效果表'!E:E),0)+U106*MAX(_xlfn.XLOOKUP(T106,'02效果表'!D:D,'02效果表'!E:E),0)+W106*MAX(_xlfn.XLOOKUP(V106,'02效果表'!D:D,'02效果表'!E:E),0)+Y106*MAX(_xlfn.XLOOKUP(X106,'02效果表'!D:D,'02效果表'!E:E),0)+AA106*MAX(_xlfn.XLOOKUP(Z106,'02效果表'!D:D,'02效果表'!E:E),0)+AC106*MAX(_xlfn.XLOOKUP(AB106,'02效果表'!D:D,'02效果表'!E:E),0)+AE106*MAX(_xlfn.XLOOKUP(AD106,'02效果表'!D:D,'02效果表'!E:E),0)),1)</f>
        <v>4</v>
      </c>
      <c r="H106" s="6" t="s">
        <v>1319</v>
      </c>
      <c r="I106" s="6">
        <v>4</v>
      </c>
      <c r="J106" s="6"/>
      <c r="K106" s="6"/>
      <c r="L106" s="6" t="s">
        <v>1319</v>
      </c>
      <c r="M106" s="6">
        <v>3</v>
      </c>
      <c r="N106" s="6"/>
      <c r="O106" s="6"/>
      <c r="P106" s="6" t="s">
        <v>1319</v>
      </c>
      <c r="Q106" s="6">
        <v>3</v>
      </c>
      <c r="R106" s="6"/>
      <c r="S106" s="6"/>
      <c r="T106" s="6" t="s">
        <v>1319</v>
      </c>
      <c r="U106" s="6">
        <v>2</v>
      </c>
      <c r="V106" s="6"/>
      <c r="W106" s="6"/>
      <c r="X106" s="6" t="s">
        <v>1238</v>
      </c>
      <c r="Y106" s="6">
        <v>1</v>
      </c>
      <c r="Z106" s="6"/>
      <c r="AA106" s="6"/>
      <c r="AB106" s="6" t="s">
        <v>1238</v>
      </c>
      <c r="AC106" s="6">
        <v>2</v>
      </c>
      <c r="AD106" s="6"/>
      <c r="AE106" s="6"/>
    </row>
    <row r="107" spans="1:31" x14ac:dyDescent="0.35">
      <c r="A107" s="6">
        <v>107</v>
      </c>
      <c r="B107" s="6" t="s">
        <v>3</v>
      </c>
      <c r="C107" s="10" t="s">
        <v>2</v>
      </c>
      <c r="D107" s="9" t="s">
        <v>1332</v>
      </c>
      <c r="E107" s="7">
        <f t="shared" si="7"/>
        <v>-11</v>
      </c>
      <c r="F107" s="7">
        <f>-1*ROUND(1/6*(I107*IF(_xlfn.XLOOKUP(H107,'02效果表'!D:D,'02效果表'!E:E)&lt;0, _xlfn.XLOOKUP(H107,'02效果表'!D:D,'02效果表'!E:E), 0) +
K107*IF(_xlfn.XLOOKUP(J107,'02效果表'!D:D,'02效果表'!E:E)&lt;0, _xlfn.XLOOKUP(J107,'02效果表'!D:D,'02效果表'!E:E), 0) +
M107*IF(_xlfn.XLOOKUP(L107,'02效果表'!D:D,'02效果表'!E:E)&lt;0, _xlfn.XLOOKUP(L107,'02效果表'!D:D,'02效果表'!E:E), 0) +
O107*IF(_xlfn.XLOOKUP(N107,'02效果表'!D:D,'02效果表'!E:E)&lt;0, _xlfn.XLOOKUP(N107,'02效果表'!D:D,'02效果表'!E:E), 0) +
Q107*IF(_xlfn.XLOOKUP(P107,'02效果表'!D:D,'02效果表'!E:E)&lt;0, _xlfn.XLOOKUP(P107,'02效果表'!D:D,'02效果表'!E:E), 0) +
S107*IF(_xlfn.XLOOKUP(R107,'02效果表'!D:D,'02效果表'!E:E)&lt;0, _xlfn.XLOOKUP(R107,'02效果表'!D:D,'02效果表'!E:E), 0) +
U107*IF(_xlfn.XLOOKUP(T107,'02效果表'!D:D,'02效果表'!E:E)&lt;0, _xlfn.XLOOKUP(T107,'02效果表'!D:D,'02效果表'!E:E), 0) +
W107*IF(_xlfn.XLOOKUP(V107,'02效果表'!D:D,'02效果表'!E:E)&lt;0, _xlfn.XLOOKUP(V107,'02效果表'!D:D,'02效果表'!E:E), 0) +
Y107*IF(_xlfn.XLOOKUP(X107,'02效果表'!D:D,'02效果表'!E:E)&lt;0, _xlfn.XLOOKUP(X107,'02效果表'!D:D,'02效果表'!E:E), 0) +
AA107*IF(_xlfn.XLOOKUP(Z107,'02效果表'!D:D,'02效果表'!E:E)&lt;0, _xlfn.XLOOKUP(Z107,'02效果表'!D:D,'02效果表'!E:E), 0) +
AC107*IF(_xlfn.XLOOKUP(AB107,'02效果表'!D:D,'02效果表'!E:E)&lt;0, _xlfn.XLOOKUP(AB107,'02效果表'!D:D,'02效果表'!E:E), 0) +
AE107*IF(_xlfn.XLOOKUP(AD107,'02效果表'!D:D,'02效果表'!E:E)&lt;0, _xlfn.XLOOKUP(AD107,'02效果表'!D:D,'02效果表'!E:E), 0)), 1)</f>
        <v>10.5</v>
      </c>
      <c r="G107" s="7">
        <f>ROUND(1/6*(I107*MAX(_xlfn.XLOOKUP(H107,'02效果表'!D:D,'02效果表'!E:E),0)+K107*MAX(_xlfn.XLOOKUP(J107,'02效果表'!D:D,'02效果表'!E:E),0)+M107*MAX(_xlfn.XLOOKUP(L107,'02效果表'!D:D,'02效果表'!E:E),0)+O107*MAX(_xlfn.XLOOKUP(N107,'02效果表'!D:D,'02效果表'!E:E),0)+Q107*MAX(_xlfn.XLOOKUP(P107,'02效果表'!D:D,'02效果表'!E:E),0)+S107*MAX(_xlfn.XLOOKUP(R107,'02效果表'!D:D,'02效果表'!E:E),0)+U107*MAX(_xlfn.XLOOKUP(T107,'02效果表'!D:D,'02效果表'!E:E),0)+W107*MAX(_xlfn.XLOOKUP(V107,'02效果表'!D:D,'02效果表'!E:E),0)+Y107*MAX(_xlfn.XLOOKUP(X107,'02效果表'!D:D,'02效果表'!E:E),0)+AA107*MAX(_xlfn.XLOOKUP(Z107,'02效果表'!D:D,'02效果表'!E:E),0)+AC107*MAX(_xlfn.XLOOKUP(AB107,'02效果表'!D:D,'02效果表'!E:E),0)+AE107*MAX(_xlfn.XLOOKUP(AD107,'02效果表'!D:D,'02效果表'!E:E),0)),1)</f>
        <v>0</v>
      </c>
      <c r="H107" s="6" t="s">
        <v>1249</v>
      </c>
      <c r="I107" s="6">
        <v>4</v>
      </c>
      <c r="J107" s="6"/>
      <c r="K107" s="6"/>
      <c r="L107" s="6" t="s">
        <v>1249</v>
      </c>
      <c r="M107" s="6">
        <v>4</v>
      </c>
      <c r="N107" s="6"/>
      <c r="O107" s="6"/>
      <c r="P107" s="6" t="s">
        <v>1249</v>
      </c>
      <c r="Q107" s="6">
        <v>3</v>
      </c>
      <c r="R107" s="6"/>
      <c r="S107" s="6"/>
      <c r="T107" s="6" t="s">
        <v>1249</v>
      </c>
      <c r="U107" s="6">
        <v>3</v>
      </c>
      <c r="V107" s="6"/>
      <c r="W107" s="6"/>
      <c r="X107" s="6" t="s">
        <v>1249</v>
      </c>
      <c r="Y107" s="6">
        <v>2</v>
      </c>
      <c r="Z107" s="6"/>
      <c r="AA107" s="6"/>
      <c r="AB107" s="6" t="s">
        <v>1249</v>
      </c>
      <c r="AC107" s="6">
        <v>2</v>
      </c>
      <c r="AD107" s="6"/>
      <c r="AE107" s="6"/>
    </row>
    <row r="108" spans="1:31" x14ac:dyDescent="0.35">
      <c r="A108" s="6">
        <v>108</v>
      </c>
      <c r="B108" s="6" t="s">
        <v>3</v>
      </c>
      <c r="C108" s="10" t="s">
        <v>2</v>
      </c>
      <c r="D108" s="9" t="s">
        <v>1334</v>
      </c>
      <c r="E108" s="7">
        <f t="shared" si="7"/>
        <v>6</v>
      </c>
      <c r="F108" s="7">
        <f>-1*ROUND(1/6*(I108*IF(_xlfn.XLOOKUP(H108,'02效果表'!D:D,'02效果表'!E:E)&lt;0, _xlfn.XLOOKUP(H108,'02效果表'!D:D,'02效果表'!E:E), 0) +
K108*IF(_xlfn.XLOOKUP(J108,'02效果表'!D:D,'02效果表'!E:E)&lt;0, _xlfn.XLOOKUP(J108,'02效果表'!D:D,'02效果表'!E:E), 0) +
M108*IF(_xlfn.XLOOKUP(L108,'02效果表'!D:D,'02效果表'!E:E)&lt;0, _xlfn.XLOOKUP(L108,'02效果表'!D:D,'02效果表'!E:E), 0) +
O108*IF(_xlfn.XLOOKUP(N108,'02效果表'!D:D,'02效果表'!E:E)&lt;0, _xlfn.XLOOKUP(N108,'02效果表'!D:D,'02效果表'!E:E), 0) +
Q108*IF(_xlfn.XLOOKUP(P108,'02效果表'!D:D,'02效果表'!E:E)&lt;0, _xlfn.XLOOKUP(P108,'02效果表'!D:D,'02效果表'!E:E), 0) +
S108*IF(_xlfn.XLOOKUP(R108,'02效果表'!D:D,'02效果表'!E:E)&lt;0, _xlfn.XLOOKUP(R108,'02效果表'!D:D,'02效果表'!E:E), 0) +
U108*IF(_xlfn.XLOOKUP(T108,'02效果表'!D:D,'02效果表'!E:E)&lt;0, _xlfn.XLOOKUP(T108,'02效果表'!D:D,'02效果表'!E:E), 0) +
W108*IF(_xlfn.XLOOKUP(V108,'02效果表'!D:D,'02效果表'!E:E)&lt;0, _xlfn.XLOOKUP(V108,'02效果表'!D:D,'02效果表'!E:E), 0) +
Y108*IF(_xlfn.XLOOKUP(X108,'02效果表'!D:D,'02效果表'!E:E)&lt;0, _xlfn.XLOOKUP(X108,'02效果表'!D:D,'02效果表'!E:E), 0) +
AA108*IF(_xlfn.XLOOKUP(Z108,'02效果表'!D:D,'02效果表'!E:E)&lt;0, _xlfn.XLOOKUP(Z108,'02效果表'!D:D,'02效果表'!E:E), 0) +
AC108*IF(_xlfn.XLOOKUP(AB108,'02效果表'!D:D,'02效果表'!E:E)&lt;0, _xlfn.XLOOKUP(AB108,'02效果表'!D:D,'02效果表'!E:E), 0) +
AE108*IF(_xlfn.XLOOKUP(AD108,'02效果表'!D:D,'02效果表'!E:E)&lt;0, _xlfn.XLOOKUP(AD108,'02效果表'!D:D,'02效果表'!E:E), 0)), 1)</f>
        <v>0.3</v>
      </c>
      <c r="G108" s="7">
        <f>ROUND(1/6*(I108*MAX(_xlfn.XLOOKUP(H108,'02效果表'!D:D,'02效果表'!E:E),0)+K108*MAX(_xlfn.XLOOKUP(J108,'02效果表'!D:D,'02效果表'!E:E),0)+M108*MAX(_xlfn.XLOOKUP(L108,'02效果表'!D:D,'02效果表'!E:E),0)+O108*MAX(_xlfn.XLOOKUP(N108,'02效果表'!D:D,'02效果表'!E:E),0)+Q108*MAX(_xlfn.XLOOKUP(P108,'02效果表'!D:D,'02效果表'!E:E),0)+S108*MAX(_xlfn.XLOOKUP(R108,'02效果表'!D:D,'02效果表'!E:E),0)+U108*MAX(_xlfn.XLOOKUP(T108,'02效果表'!D:D,'02效果表'!E:E),0)+W108*MAX(_xlfn.XLOOKUP(V108,'02效果表'!D:D,'02效果表'!E:E),0)+Y108*MAX(_xlfn.XLOOKUP(X108,'02效果表'!D:D,'02效果表'!E:E),0)+AA108*MAX(_xlfn.XLOOKUP(Z108,'02效果表'!D:D,'02效果表'!E:E),0)+AC108*MAX(_xlfn.XLOOKUP(AB108,'02效果表'!D:D,'02效果表'!E:E),0)+AE108*MAX(_xlfn.XLOOKUP(AD108,'02效果表'!D:D,'02效果表'!E:E),0)),1)</f>
        <v>6</v>
      </c>
      <c r="H108" s="6" t="s">
        <v>1333</v>
      </c>
      <c r="I108" s="6">
        <v>3</v>
      </c>
      <c r="J108" s="6"/>
      <c r="K108" s="6"/>
      <c r="L108" s="6" t="s">
        <v>1333</v>
      </c>
      <c r="M108" s="6">
        <v>2</v>
      </c>
      <c r="N108" s="6"/>
      <c r="O108" s="6"/>
      <c r="P108" s="6" t="s">
        <v>1333</v>
      </c>
      <c r="Q108" s="6">
        <v>2</v>
      </c>
      <c r="R108" s="6"/>
      <c r="S108" s="6"/>
      <c r="T108" s="6" t="s">
        <v>1333</v>
      </c>
      <c r="U108" s="6">
        <v>2</v>
      </c>
      <c r="V108" s="6"/>
      <c r="W108" s="6"/>
      <c r="X108" s="6" t="s">
        <v>1238</v>
      </c>
      <c r="Y108" s="6">
        <v>1</v>
      </c>
      <c r="Z108" s="6"/>
      <c r="AA108" s="6"/>
      <c r="AB108" s="6" t="s">
        <v>1238</v>
      </c>
      <c r="AC108" s="6">
        <v>1</v>
      </c>
      <c r="AD108" s="6"/>
      <c r="AE108" s="6"/>
    </row>
    <row r="109" spans="1:31" x14ac:dyDescent="0.35">
      <c r="A109" s="6">
        <v>109</v>
      </c>
      <c r="B109" s="6" t="s">
        <v>3</v>
      </c>
      <c r="C109" s="10" t="s">
        <v>2</v>
      </c>
      <c r="D109" s="9" t="s">
        <v>1335</v>
      </c>
      <c r="E109" s="7">
        <f t="shared" si="7"/>
        <v>-6</v>
      </c>
      <c r="F109" s="7">
        <f>-1*ROUND(1/6*(I109*IF(_xlfn.XLOOKUP(H109,'02效果表'!D:D,'02效果表'!E:E)&lt;0, _xlfn.XLOOKUP(H109,'02效果表'!D:D,'02效果表'!E:E), 0) +
K109*IF(_xlfn.XLOOKUP(J109,'02效果表'!D:D,'02效果表'!E:E)&lt;0, _xlfn.XLOOKUP(J109,'02效果表'!D:D,'02效果表'!E:E), 0) +
M109*IF(_xlfn.XLOOKUP(L109,'02效果表'!D:D,'02效果表'!E:E)&lt;0, _xlfn.XLOOKUP(L109,'02效果表'!D:D,'02效果表'!E:E), 0) +
O109*IF(_xlfn.XLOOKUP(N109,'02效果表'!D:D,'02效果表'!E:E)&lt;0, _xlfn.XLOOKUP(N109,'02效果表'!D:D,'02效果表'!E:E), 0) +
Q109*IF(_xlfn.XLOOKUP(P109,'02效果表'!D:D,'02效果表'!E:E)&lt;0, _xlfn.XLOOKUP(P109,'02效果表'!D:D,'02效果表'!E:E), 0) +
S109*IF(_xlfn.XLOOKUP(R109,'02效果表'!D:D,'02效果表'!E:E)&lt;0, _xlfn.XLOOKUP(R109,'02效果表'!D:D,'02效果表'!E:E), 0) +
U109*IF(_xlfn.XLOOKUP(T109,'02效果表'!D:D,'02效果表'!E:E)&lt;0, _xlfn.XLOOKUP(T109,'02效果表'!D:D,'02效果表'!E:E), 0) +
W109*IF(_xlfn.XLOOKUP(V109,'02效果表'!D:D,'02效果表'!E:E)&lt;0, _xlfn.XLOOKUP(V109,'02效果表'!D:D,'02效果表'!E:E), 0) +
Y109*IF(_xlfn.XLOOKUP(X109,'02效果表'!D:D,'02效果表'!E:E)&lt;0, _xlfn.XLOOKUP(X109,'02效果表'!D:D,'02效果表'!E:E), 0) +
AA109*IF(_xlfn.XLOOKUP(Z109,'02效果表'!D:D,'02效果表'!E:E)&lt;0, _xlfn.XLOOKUP(Z109,'02效果表'!D:D,'02效果表'!E:E), 0) +
AC109*IF(_xlfn.XLOOKUP(AB109,'02效果表'!D:D,'02效果表'!E:E)&lt;0, _xlfn.XLOOKUP(AB109,'02效果表'!D:D,'02效果表'!E:E), 0) +
AE109*IF(_xlfn.XLOOKUP(AD109,'02效果表'!D:D,'02效果表'!E:E)&lt;0, _xlfn.XLOOKUP(AD109,'02效果表'!D:D,'02效果表'!E:E), 0)), 1)</f>
        <v>6</v>
      </c>
      <c r="G109" s="7">
        <f>ROUND(1/6*(I109*MAX(_xlfn.XLOOKUP(H109,'02效果表'!D:D,'02效果表'!E:E),0)+K109*MAX(_xlfn.XLOOKUP(J109,'02效果表'!D:D,'02效果表'!E:E),0)+M109*MAX(_xlfn.XLOOKUP(L109,'02效果表'!D:D,'02效果表'!E:E),0)+O109*MAX(_xlfn.XLOOKUP(N109,'02效果表'!D:D,'02效果表'!E:E),0)+Q109*MAX(_xlfn.XLOOKUP(P109,'02效果表'!D:D,'02效果表'!E:E),0)+S109*MAX(_xlfn.XLOOKUP(R109,'02效果表'!D:D,'02效果表'!E:E),0)+U109*MAX(_xlfn.XLOOKUP(T109,'02效果表'!D:D,'02效果表'!E:E),0)+W109*MAX(_xlfn.XLOOKUP(V109,'02效果表'!D:D,'02效果表'!E:E),0)+Y109*MAX(_xlfn.XLOOKUP(X109,'02效果表'!D:D,'02效果表'!E:E),0)+AA109*MAX(_xlfn.XLOOKUP(Z109,'02效果表'!D:D,'02效果表'!E:E),0)+AC109*MAX(_xlfn.XLOOKUP(AB109,'02效果表'!D:D,'02效果表'!E:E),0)+AE109*MAX(_xlfn.XLOOKUP(AD109,'02效果表'!D:D,'02效果表'!E:E),0)),1)</f>
        <v>0</v>
      </c>
      <c r="H109" s="6" t="s">
        <v>1238</v>
      </c>
      <c r="I109" s="6">
        <v>7</v>
      </c>
      <c r="J109" s="6"/>
      <c r="K109" s="6"/>
      <c r="L109" s="6" t="s">
        <v>1238</v>
      </c>
      <c r="M109" s="6">
        <v>7</v>
      </c>
      <c r="N109" s="6"/>
      <c r="O109" s="6"/>
      <c r="P109" s="6" t="s">
        <v>1238</v>
      </c>
      <c r="Q109" s="6">
        <v>6</v>
      </c>
      <c r="R109" s="6"/>
      <c r="S109" s="6"/>
      <c r="T109" s="6" t="s">
        <v>1238</v>
      </c>
      <c r="U109" s="6">
        <v>6</v>
      </c>
      <c r="V109" s="6"/>
      <c r="W109" s="6"/>
      <c r="X109" s="6" t="s">
        <v>1238</v>
      </c>
      <c r="Y109" s="6">
        <v>5</v>
      </c>
      <c r="Z109" s="6"/>
      <c r="AA109" s="6"/>
      <c r="AB109" s="6" t="s">
        <v>1238</v>
      </c>
      <c r="AC109" s="6">
        <v>5</v>
      </c>
      <c r="AD109" s="6"/>
      <c r="AE109" s="6"/>
    </row>
    <row r="110" spans="1:31" x14ac:dyDescent="0.35">
      <c r="A110" s="6">
        <v>110</v>
      </c>
      <c r="B110" s="6" t="s">
        <v>3</v>
      </c>
      <c r="C110" s="10" t="s">
        <v>2</v>
      </c>
      <c r="D110" s="9" t="s">
        <v>1336</v>
      </c>
      <c r="E110" s="7">
        <f t="shared" si="7"/>
        <v>4</v>
      </c>
      <c r="F110" s="7">
        <f>-1*ROUND(1/6*(I110*IF(_xlfn.XLOOKUP(H110,'02效果表'!D:D,'02效果表'!E:E)&lt;0, _xlfn.XLOOKUP(H110,'02效果表'!D:D,'02效果表'!E:E), 0) +
K110*IF(_xlfn.XLOOKUP(J110,'02效果表'!D:D,'02效果表'!E:E)&lt;0, _xlfn.XLOOKUP(J110,'02效果表'!D:D,'02效果表'!E:E), 0) +
M110*IF(_xlfn.XLOOKUP(L110,'02效果表'!D:D,'02效果表'!E:E)&lt;0, _xlfn.XLOOKUP(L110,'02效果表'!D:D,'02效果表'!E:E), 0) +
O110*IF(_xlfn.XLOOKUP(N110,'02效果表'!D:D,'02效果表'!E:E)&lt;0, _xlfn.XLOOKUP(N110,'02效果表'!D:D,'02效果表'!E:E), 0) +
Q110*IF(_xlfn.XLOOKUP(P110,'02效果表'!D:D,'02效果表'!E:E)&lt;0, _xlfn.XLOOKUP(P110,'02效果表'!D:D,'02效果表'!E:E), 0) +
S110*IF(_xlfn.XLOOKUP(R110,'02效果表'!D:D,'02效果表'!E:E)&lt;0, _xlfn.XLOOKUP(R110,'02效果表'!D:D,'02效果表'!E:E), 0) +
U110*IF(_xlfn.XLOOKUP(T110,'02效果表'!D:D,'02效果表'!E:E)&lt;0, _xlfn.XLOOKUP(T110,'02效果表'!D:D,'02效果表'!E:E), 0) +
W110*IF(_xlfn.XLOOKUP(V110,'02效果表'!D:D,'02效果表'!E:E)&lt;0, _xlfn.XLOOKUP(V110,'02效果表'!D:D,'02效果表'!E:E), 0) +
Y110*IF(_xlfn.XLOOKUP(X110,'02效果表'!D:D,'02效果表'!E:E)&lt;0, _xlfn.XLOOKUP(X110,'02效果表'!D:D,'02效果表'!E:E), 0) +
AA110*IF(_xlfn.XLOOKUP(Z110,'02效果表'!D:D,'02效果表'!E:E)&lt;0, _xlfn.XLOOKUP(Z110,'02效果表'!D:D,'02效果表'!E:E), 0) +
AC110*IF(_xlfn.XLOOKUP(AB110,'02效果表'!D:D,'02效果表'!E:E)&lt;0, _xlfn.XLOOKUP(AB110,'02效果表'!D:D,'02效果表'!E:E), 0) +
AE110*IF(_xlfn.XLOOKUP(AD110,'02效果表'!D:D,'02效果表'!E:E)&lt;0, _xlfn.XLOOKUP(AD110,'02效果表'!D:D,'02效果表'!E:E), 0)), 1)</f>
        <v>0</v>
      </c>
      <c r="G110" s="7">
        <f>ROUND(1/6*(I110*MAX(_xlfn.XLOOKUP(H110,'02效果表'!D:D,'02效果表'!E:E),0)+K110*MAX(_xlfn.XLOOKUP(J110,'02效果表'!D:D,'02效果表'!E:E),0)+M110*MAX(_xlfn.XLOOKUP(L110,'02效果表'!D:D,'02效果表'!E:E),0)+O110*MAX(_xlfn.XLOOKUP(N110,'02效果表'!D:D,'02效果表'!E:E),0)+Q110*MAX(_xlfn.XLOOKUP(P110,'02效果表'!D:D,'02效果表'!E:E),0)+S110*MAX(_xlfn.XLOOKUP(R110,'02效果表'!D:D,'02效果表'!E:E),0)+U110*MAX(_xlfn.XLOOKUP(T110,'02效果表'!D:D,'02效果表'!E:E),0)+W110*MAX(_xlfn.XLOOKUP(V110,'02效果表'!D:D,'02效果表'!E:E),0)+Y110*MAX(_xlfn.XLOOKUP(X110,'02效果表'!D:D,'02效果表'!E:E),0)+AA110*MAX(_xlfn.XLOOKUP(Z110,'02效果表'!D:D,'02效果表'!E:E),0)+AC110*MAX(_xlfn.XLOOKUP(AB110,'02效果表'!D:D,'02效果表'!E:E),0)+AE110*MAX(_xlfn.XLOOKUP(AD110,'02效果表'!D:D,'02效果表'!E:E),0)),1)</f>
        <v>3.7</v>
      </c>
      <c r="H110" s="6" t="s">
        <v>1849</v>
      </c>
      <c r="I110" s="6">
        <v>7</v>
      </c>
      <c r="J110" s="6"/>
      <c r="K110" s="6"/>
      <c r="L110" s="6" t="s">
        <v>1849</v>
      </c>
      <c r="M110" s="6">
        <v>6</v>
      </c>
      <c r="N110" s="6"/>
      <c r="O110" s="6"/>
      <c r="P110" s="6" t="s">
        <v>1849</v>
      </c>
      <c r="Q110" s="6">
        <v>5</v>
      </c>
      <c r="R110" s="6"/>
      <c r="S110" s="6"/>
      <c r="T110" s="6" t="s">
        <v>1849</v>
      </c>
      <c r="U110" s="6">
        <v>5</v>
      </c>
      <c r="V110" s="6"/>
      <c r="W110" s="6"/>
      <c r="X110" s="6" t="s">
        <v>1849</v>
      </c>
      <c r="Y110" s="6">
        <v>5</v>
      </c>
      <c r="Z110" s="6"/>
      <c r="AA110" s="6"/>
      <c r="AB110" s="6" t="s">
        <v>1849</v>
      </c>
      <c r="AC110" s="6">
        <v>4</v>
      </c>
      <c r="AD110" s="6"/>
      <c r="AE110" s="6"/>
    </row>
    <row r="111" spans="1:31" x14ac:dyDescent="0.35">
      <c r="A111" s="6">
        <v>111</v>
      </c>
      <c r="B111" s="6" t="s">
        <v>3</v>
      </c>
      <c r="C111" s="10" t="s">
        <v>2</v>
      </c>
      <c r="D111" s="9" t="s">
        <v>1337</v>
      </c>
      <c r="E111" s="7">
        <f t="shared" si="7"/>
        <v>7</v>
      </c>
      <c r="F111" s="7">
        <f>-1*ROUND(1/6*(I111*IF(_xlfn.XLOOKUP(H111,'02效果表'!D:D,'02效果表'!E:E)&lt;0, _xlfn.XLOOKUP(H111,'02效果表'!D:D,'02效果表'!E:E), 0) +
K111*IF(_xlfn.XLOOKUP(J111,'02效果表'!D:D,'02效果表'!E:E)&lt;0, _xlfn.XLOOKUP(J111,'02效果表'!D:D,'02效果表'!E:E), 0) +
M111*IF(_xlfn.XLOOKUP(L111,'02效果表'!D:D,'02效果表'!E:E)&lt;0, _xlfn.XLOOKUP(L111,'02效果表'!D:D,'02效果表'!E:E), 0) +
O111*IF(_xlfn.XLOOKUP(N111,'02效果表'!D:D,'02效果表'!E:E)&lt;0, _xlfn.XLOOKUP(N111,'02效果表'!D:D,'02效果表'!E:E), 0) +
Q111*IF(_xlfn.XLOOKUP(P111,'02效果表'!D:D,'02效果表'!E:E)&lt;0, _xlfn.XLOOKUP(P111,'02效果表'!D:D,'02效果表'!E:E), 0) +
S111*IF(_xlfn.XLOOKUP(R111,'02效果表'!D:D,'02效果表'!E:E)&lt;0, _xlfn.XLOOKUP(R111,'02效果表'!D:D,'02效果表'!E:E), 0) +
U111*IF(_xlfn.XLOOKUP(T111,'02效果表'!D:D,'02效果表'!E:E)&lt;0, _xlfn.XLOOKUP(T111,'02效果表'!D:D,'02效果表'!E:E), 0) +
W111*IF(_xlfn.XLOOKUP(V111,'02效果表'!D:D,'02效果表'!E:E)&lt;0, _xlfn.XLOOKUP(V111,'02效果表'!D:D,'02效果表'!E:E), 0) +
Y111*IF(_xlfn.XLOOKUP(X111,'02效果表'!D:D,'02效果表'!E:E)&lt;0, _xlfn.XLOOKUP(X111,'02效果表'!D:D,'02效果表'!E:E), 0) +
AA111*IF(_xlfn.XLOOKUP(Z111,'02效果表'!D:D,'02效果表'!E:E)&lt;0, _xlfn.XLOOKUP(Z111,'02效果表'!D:D,'02效果表'!E:E), 0) +
AC111*IF(_xlfn.XLOOKUP(AB111,'02效果表'!D:D,'02效果表'!E:E)&lt;0, _xlfn.XLOOKUP(AB111,'02效果表'!D:D,'02效果表'!E:E), 0) +
AE111*IF(_xlfn.XLOOKUP(AD111,'02效果表'!D:D,'02效果表'!E:E)&lt;0, _xlfn.XLOOKUP(AD111,'02效果表'!D:D,'02效果表'!E:E), 0)), 1)</f>
        <v>0</v>
      </c>
      <c r="G111" s="7">
        <f>ROUND(1/6*(I111*MAX(_xlfn.XLOOKUP(H111,'02效果表'!D:D,'02效果表'!E:E),0)+K111*MAX(_xlfn.XLOOKUP(J111,'02效果表'!D:D,'02效果表'!E:E),0)+M111*MAX(_xlfn.XLOOKUP(L111,'02效果表'!D:D,'02效果表'!E:E),0)+O111*MAX(_xlfn.XLOOKUP(N111,'02效果表'!D:D,'02效果表'!E:E),0)+Q111*MAX(_xlfn.XLOOKUP(P111,'02效果表'!D:D,'02效果表'!E:E),0)+S111*MAX(_xlfn.XLOOKUP(R111,'02效果表'!D:D,'02效果表'!E:E),0)+U111*MAX(_xlfn.XLOOKUP(T111,'02效果表'!D:D,'02效果表'!E:E),0)+W111*MAX(_xlfn.XLOOKUP(V111,'02效果表'!D:D,'02效果表'!E:E),0)+Y111*MAX(_xlfn.XLOOKUP(X111,'02效果表'!D:D,'02效果表'!E:E),0)+AA111*MAX(_xlfn.XLOOKUP(Z111,'02效果表'!D:D,'02效果表'!E:E),0)+AC111*MAX(_xlfn.XLOOKUP(AB111,'02效果表'!D:D,'02效果表'!E:E),0)+AE111*MAX(_xlfn.XLOOKUP(AD111,'02效果表'!D:D,'02效果表'!E:E),0)),1)</f>
        <v>7.2</v>
      </c>
      <c r="H111" s="6" t="s">
        <v>1850</v>
      </c>
      <c r="I111" s="6">
        <v>4</v>
      </c>
      <c r="J111" s="6"/>
      <c r="K111" s="6"/>
      <c r="L111" s="6" t="s">
        <v>1850</v>
      </c>
      <c r="M111" s="6">
        <v>3</v>
      </c>
      <c r="N111" s="6"/>
      <c r="O111" s="6"/>
      <c r="P111" s="6" t="s">
        <v>1850</v>
      </c>
      <c r="Q111" s="6">
        <v>3</v>
      </c>
      <c r="R111" s="6"/>
      <c r="S111" s="6"/>
      <c r="T111" s="6" t="s">
        <v>1850</v>
      </c>
      <c r="U111" s="6">
        <v>2</v>
      </c>
      <c r="V111" s="6"/>
      <c r="W111" s="6"/>
      <c r="X111" s="6" t="s">
        <v>1850</v>
      </c>
      <c r="Y111" s="6">
        <v>2</v>
      </c>
      <c r="Z111" s="6"/>
      <c r="AA111" s="6"/>
      <c r="AB111" s="6" t="s">
        <v>1850</v>
      </c>
      <c r="AC111" s="6">
        <v>2</v>
      </c>
      <c r="AD111" s="6"/>
      <c r="AE111" s="6"/>
    </row>
    <row r="112" spans="1:31" x14ac:dyDescent="0.35">
      <c r="A112" s="6">
        <v>112</v>
      </c>
      <c r="B112" s="6" t="s">
        <v>3</v>
      </c>
      <c r="C112" s="10" t="s">
        <v>2</v>
      </c>
      <c r="D112" s="9" t="s">
        <v>1338</v>
      </c>
      <c r="E112" s="7">
        <f t="shared" si="7"/>
        <v>0</v>
      </c>
      <c r="F112" s="7">
        <f>-1*ROUND(1/6*(I112*IF(_xlfn.XLOOKUP(H112,'02效果表'!D:D,'02效果表'!E:E)&lt;0, _xlfn.XLOOKUP(H112,'02效果表'!D:D,'02效果表'!E:E), 0) +
K112*IF(_xlfn.XLOOKUP(J112,'02效果表'!D:D,'02效果表'!E:E)&lt;0, _xlfn.XLOOKUP(J112,'02效果表'!D:D,'02效果表'!E:E), 0) +
M112*IF(_xlfn.XLOOKUP(L112,'02效果表'!D:D,'02效果表'!E:E)&lt;0, _xlfn.XLOOKUP(L112,'02效果表'!D:D,'02效果表'!E:E), 0) +
O112*IF(_xlfn.XLOOKUP(N112,'02效果表'!D:D,'02效果表'!E:E)&lt;0, _xlfn.XLOOKUP(N112,'02效果表'!D:D,'02效果表'!E:E), 0) +
Q112*IF(_xlfn.XLOOKUP(P112,'02效果表'!D:D,'02效果表'!E:E)&lt;0, _xlfn.XLOOKUP(P112,'02效果表'!D:D,'02效果表'!E:E), 0) +
S112*IF(_xlfn.XLOOKUP(R112,'02效果表'!D:D,'02效果表'!E:E)&lt;0, _xlfn.XLOOKUP(R112,'02效果表'!D:D,'02效果表'!E:E), 0) +
U112*IF(_xlfn.XLOOKUP(T112,'02效果表'!D:D,'02效果表'!E:E)&lt;0, _xlfn.XLOOKUP(T112,'02效果表'!D:D,'02效果表'!E:E), 0) +
W112*IF(_xlfn.XLOOKUP(V112,'02效果表'!D:D,'02效果表'!E:E)&lt;0, _xlfn.XLOOKUP(V112,'02效果表'!D:D,'02效果表'!E:E), 0) +
Y112*IF(_xlfn.XLOOKUP(X112,'02效果表'!D:D,'02效果表'!E:E)&lt;0, _xlfn.XLOOKUP(X112,'02效果表'!D:D,'02效果表'!E:E), 0) +
AA112*IF(_xlfn.XLOOKUP(Z112,'02效果表'!D:D,'02效果表'!E:E)&lt;0, _xlfn.XLOOKUP(Z112,'02效果表'!D:D,'02效果表'!E:E), 0) +
AC112*IF(_xlfn.XLOOKUP(AB112,'02效果表'!D:D,'02效果表'!E:E)&lt;0, _xlfn.XLOOKUP(AB112,'02效果表'!D:D,'02效果表'!E:E), 0) +
AE112*IF(_xlfn.XLOOKUP(AD112,'02效果表'!D:D,'02效果表'!E:E)&lt;0, _xlfn.XLOOKUP(AD112,'02效果表'!D:D,'02效果表'!E:E), 0)), 1)</f>
        <v>0</v>
      </c>
      <c r="G112" s="7">
        <f>ROUND(1/6*(I112*MAX(_xlfn.XLOOKUP(H112,'02效果表'!D:D,'02效果表'!E:E),0)+K112*MAX(_xlfn.XLOOKUP(J112,'02效果表'!D:D,'02效果表'!E:E),0)+M112*MAX(_xlfn.XLOOKUP(L112,'02效果表'!D:D,'02效果表'!E:E),0)+O112*MAX(_xlfn.XLOOKUP(N112,'02效果表'!D:D,'02效果表'!E:E),0)+Q112*MAX(_xlfn.XLOOKUP(P112,'02效果表'!D:D,'02效果表'!E:E),0)+S112*MAX(_xlfn.XLOOKUP(R112,'02效果表'!D:D,'02效果表'!E:E),0)+U112*MAX(_xlfn.XLOOKUP(T112,'02效果表'!D:D,'02效果表'!E:E),0)+W112*MAX(_xlfn.XLOOKUP(V112,'02效果表'!D:D,'02效果表'!E:E),0)+Y112*MAX(_xlfn.XLOOKUP(X112,'02效果表'!D:D,'02效果表'!E:E),0)+AA112*MAX(_xlfn.XLOOKUP(Z112,'02效果表'!D:D,'02效果表'!E:E),0)+AC112*MAX(_xlfn.XLOOKUP(AB112,'02效果表'!D:D,'02效果表'!E:E),0)+AE112*MAX(_xlfn.XLOOKUP(AD112,'02效果表'!D:D,'02效果表'!E:E),0)),1)</f>
        <v>0</v>
      </c>
      <c r="H112" s="6"/>
      <c r="I112" s="6"/>
      <c r="J112" s="6"/>
      <c r="K112" s="6"/>
      <c r="L112" s="6"/>
      <c r="M112" s="6"/>
      <c r="N112" s="6"/>
      <c r="O112" s="6"/>
      <c r="P112" s="6"/>
      <c r="Q112" s="6"/>
      <c r="R112" s="6"/>
      <c r="S112" s="6"/>
      <c r="T112" s="6"/>
      <c r="U112" s="6"/>
      <c r="V112" s="6"/>
      <c r="W112" s="6"/>
      <c r="X112" s="6"/>
      <c r="Y112" s="6"/>
      <c r="Z112" s="6"/>
      <c r="AA112" s="6"/>
      <c r="AB112" s="6"/>
      <c r="AC112" s="6"/>
      <c r="AD112" s="6"/>
      <c r="AE112" s="6"/>
    </row>
    <row r="113" spans="1:31" x14ac:dyDescent="0.35">
      <c r="A113" s="6">
        <v>113</v>
      </c>
      <c r="B113" s="6" t="s">
        <v>3</v>
      </c>
      <c r="C113" s="10" t="s">
        <v>2</v>
      </c>
      <c r="D113" s="9" t="s">
        <v>1339</v>
      </c>
      <c r="E113" s="7">
        <f t="shared" si="7"/>
        <v>0</v>
      </c>
      <c r="F113" s="7">
        <f>-1*ROUND(1/6*(I113*IF(_xlfn.XLOOKUP(H113,'02效果表'!D:D,'02效果表'!E:E)&lt;0, _xlfn.XLOOKUP(H113,'02效果表'!D:D,'02效果表'!E:E), 0) +
K113*IF(_xlfn.XLOOKUP(J113,'02效果表'!D:D,'02效果表'!E:E)&lt;0, _xlfn.XLOOKUP(J113,'02效果表'!D:D,'02效果表'!E:E), 0) +
M113*IF(_xlfn.XLOOKUP(L113,'02效果表'!D:D,'02效果表'!E:E)&lt;0, _xlfn.XLOOKUP(L113,'02效果表'!D:D,'02效果表'!E:E), 0) +
O113*IF(_xlfn.XLOOKUP(N113,'02效果表'!D:D,'02效果表'!E:E)&lt;0, _xlfn.XLOOKUP(N113,'02效果表'!D:D,'02效果表'!E:E), 0) +
Q113*IF(_xlfn.XLOOKUP(P113,'02效果表'!D:D,'02效果表'!E:E)&lt;0, _xlfn.XLOOKUP(P113,'02效果表'!D:D,'02效果表'!E:E), 0) +
S113*IF(_xlfn.XLOOKUP(R113,'02效果表'!D:D,'02效果表'!E:E)&lt;0, _xlfn.XLOOKUP(R113,'02效果表'!D:D,'02效果表'!E:E), 0) +
U113*IF(_xlfn.XLOOKUP(T113,'02效果表'!D:D,'02效果表'!E:E)&lt;0, _xlfn.XLOOKUP(T113,'02效果表'!D:D,'02效果表'!E:E), 0) +
W113*IF(_xlfn.XLOOKUP(V113,'02效果表'!D:D,'02效果表'!E:E)&lt;0, _xlfn.XLOOKUP(V113,'02效果表'!D:D,'02效果表'!E:E), 0) +
Y113*IF(_xlfn.XLOOKUP(X113,'02效果表'!D:D,'02效果表'!E:E)&lt;0, _xlfn.XLOOKUP(X113,'02效果表'!D:D,'02效果表'!E:E), 0) +
AA113*IF(_xlfn.XLOOKUP(Z113,'02效果表'!D:D,'02效果表'!E:E)&lt;0, _xlfn.XLOOKUP(Z113,'02效果表'!D:D,'02效果表'!E:E), 0) +
AC113*IF(_xlfn.XLOOKUP(AB113,'02效果表'!D:D,'02效果表'!E:E)&lt;0, _xlfn.XLOOKUP(AB113,'02效果表'!D:D,'02效果表'!E:E), 0) +
AE113*IF(_xlfn.XLOOKUP(AD113,'02效果表'!D:D,'02效果表'!E:E)&lt;0, _xlfn.XLOOKUP(AD113,'02效果表'!D:D,'02效果表'!E:E), 0)), 1)</f>
        <v>0</v>
      </c>
      <c r="G113" s="7">
        <f>ROUND(1/6*(I113*MAX(_xlfn.XLOOKUP(H113,'02效果表'!D:D,'02效果表'!E:E),0)+K113*MAX(_xlfn.XLOOKUP(J113,'02效果表'!D:D,'02效果表'!E:E),0)+M113*MAX(_xlfn.XLOOKUP(L113,'02效果表'!D:D,'02效果表'!E:E),0)+O113*MAX(_xlfn.XLOOKUP(N113,'02效果表'!D:D,'02效果表'!E:E),0)+Q113*MAX(_xlfn.XLOOKUP(P113,'02效果表'!D:D,'02效果表'!E:E),0)+S113*MAX(_xlfn.XLOOKUP(R113,'02效果表'!D:D,'02效果表'!E:E),0)+U113*MAX(_xlfn.XLOOKUP(T113,'02效果表'!D:D,'02效果表'!E:E),0)+W113*MAX(_xlfn.XLOOKUP(V113,'02效果表'!D:D,'02效果表'!E:E),0)+Y113*MAX(_xlfn.XLOOKUP(X113,'02效果表'!D:D,'02效果表'!E:E),0)+AA113*MAX(_xlfn.XLOOKUP(Z113,'02效果表'!D:D,'02效果表'!E:E),0)+AC113*MAX(_xlfn.XLOOKUP(AB113,'02效果表'!D:D,'02效果表'!E:E),0)+AE113*MAX(_xlfn.XLOOKUP(AD113,'02效果表'!D:D,'02效果表'!E:E),0)),1)</f>
        <v>0</v>
      </c>
      <c r="H113" s="6"/>
      <c r="I113" s="6"/>
      <c r="J113" s="6"/>
      <c r="K113" s="6"/>
      <c r="L113" s="6"/>
      <c r="M113" s="6"/>
      <c r="N113" s="6"/>
      <c r="O113" s="6"/>
      <c r="P113" s="6"/>
      <c r="Q113" s="6"/>
      <c r="R113" s="6"/>
      <c r="S113" s="6"/>
      <c r="T113" s="6"/>
      <c r="U113" s="6"/>
      <c r="V113" s="6"/>
      <c r="W113" s="6"/>
      <c r="X113" s="6"/>
      <c r="Y113" s="6"/>
      <c r="Z113" s="6"/>
      <c r="AA113" s="6"/>
      <c r="AB113" s="6"/>
      <c r="AC113" s="6"/>
      <c r="AD113" s="6"/>
      <c r="AE113" s="6"/>
    </row>
    <row r="114" spans="1:31" x14ac:dyDescent="0.35">
      <c r="A114" s="6">
        <v>114</v>
      </c>
      <c r="B114" s="6" t="s">
        <v>3</v>
      </c>
      <c r="C114" s="10" t="s">
        <v>2</v>
      </c>
      <c r="D114" s="9" t="s">
        <v>1340</v>
      </c>
      <c r="E114" s="7">
        <f t="shared" si="7"/>
        <v>0</v>
      </c>
      <c r="F114" s="7">
        <f>-1*ROUND(1/6*(I114*IF(_xlfn.XLOOKUP(H114,'02效果表'!D:D,'02效果表'!E:E)&lt;0, _xlfn.XLOOKUP(H114,'02效果表'!D:D,'02效果表'!E:E), 0) +
K114*IF(_xlfn.XLOOKUP(J114,'02效果表'!D:D,'02效果表'!E:E)&lt;0, _xlfn.XLOOKUP(J114,'02效果表'!D:D,'02效果表'!E:E), 0) +
M114*IF(_xlfn.XLOOKUP(L114,'02效果表'!D:D,'02效果表'!E:E)&lt;0, _xlfn.XLOOKUP(L114,'02效果表'!D:D,'02效果表'!E:E), 0) +
O114*IF(_xlfn.XLOOKUP(N114,'02效果表'!D:D,'02效果表'!E:E)&lt;0, _xlfn.XLOOKUP(N114,'02效果表'!D:D,'02效果表'!E:E), 0) +
Q114*IF(_xlfn.XLOOKUP(P114,'02效果表'!D:D,'02效果表'!E:E)&lt;0, _xlfn.XLOOKUP(P114,'02效果表'!D:D,'02效果表'!E:E), 0) +
S114*IF(_xlfn.XLOOKUP(R114,'02效果表'!D:D,'02效果表'!E:E)&lt;0, _xlfn.XLOOKUP(R114,'02效果表'!D:D,'02效果表'!E:E), 0) +
U114*IF(_xlfn.XLOOKUP(T114,'02效果表'!D:D,'02效果表'!E:E)&lt;0, _xlfn.XLOOKUP(T114,'02效果表'!D:D,'02效果表'!E:E), 0) +
W114*IF(_xlfn.XLOOKUP(V114,'02效果表'!D:D,'02效果表'!E:E)&lt;0, _xlfn.XLOOKUP(V114,'02效果表'!D:D,'02效果表'!E:E), 0) +
Y114*IF(_xlfn.XLOOKUP(X114,'02效果表'!D:D,'02效果表'!E:E)&lt;0, _xlfn.XLOOKUP(X114,'02效果表'!D:D,'02效果表'!E:E), 0) +
AA114*IF(_xlfn.XLOOKUP(Z114,'02效果表'!D:D,'02效果表'!E:E)&lt;0, _xlfn.XLOOKUP(Z114,'02效果表'!D:D,'02效果表'!E:E), 0) +
AC114*IF(_xlfn.XLOOKUP(AB114,'02效果表'!D:D,'02效果表'!E:E)&lt;0, _xlfn.XLOOKUP(AB114,'02效果表'!D:D,'02效果表'!E:E), 0) +
AE114*IF(_xlfn.XLOOKUP(AD114,'02效果表'!D:D,'02效果表'!E:E)&lt;0, _xlfn.XLOOKUP(AD114,'02效果表'!D:D,'02效果表'!E:E), 0)), 1)</f>
        <v>0</v>
      </c>
      <c r="G114" s="7">
        <f>ROUND(1/6*(I114*MAX(_xlfn.XLOOKUP(H114,'02效果表'!D:D,'02效果表'!E:E),0)+K114*MAX(_xlfn.XLOOKUP(J114,'02效果表'!D:D,'02效果表'!E:E),0)+M114*MAX(_xlfn.XLOOKUP(L114,'02效果表'!D:D,'02效果表'!E:E),0)+O114*MAX(_xlfn.XLOOKUP(N114,'02效果表'!D:D,'02效果表'!E:E),0)+Q114*MAX(_xlfn.XLOOKUP(P114,'02效果表'!D:D,'02效果表'!E:E),0)+S114*MAX(_xlfn.XLOOKUP(R114,'02效果表'!D:D,'02效果表'!E:E),0)+U114*MAX(_xlfn.XLOOKUP(T114,'02效果表'!D:D,'02效果表'!E:E),0)+W114*MAX(_xlfn.XLOOKUP(V114,'02效果表'!D:D,'02效果表'!E:E),0)+Y114*MAX(_xlfn.XLOOKUP(X114,'02效果表'!D:D,'02效果表'!E:E),0)+AA114*MAX(_xlfn.XLOOKUP(Z114,'02效果表'!D:D,'02效果表'!E:E),0)+AC114*MAX(_xlfn.XLOOKUP(AB114,'02效果表'!D:D,'02效果表'!E:E),0)+AE114*MAX(_xlfn.XLOOKUP(AD114,'02效果表'!D:D,'02效果表'!E:E),0)),1)</f>
        <v>0</v>
      </c>
      <c r="H114" s="6"/>
      <c r="I114" s="6"/>
      <c r="J114" s="6"/>
      <c r="K114" s="6"/>
      <c r="L114" s="6"/>
      <c r="M114" s="6"/>
      <c r="N114" s="6"/>
      <c r="O114" s="6"/>
      <c r="P114" s="6"/>
      <c r="Q114" s="6"/>
      <c r="R114" s="6"/>
      <c r="S114" s="6"/>
      <c r="T114" s="6"/>
      <c r="U114" s="6"/>
      <c r="V114" s="6"/>
      <c r="W114" s="6"/>
      <c r="X114" s="6"/>
      <c r="Y114" s="6"/>
      <c r="Z114" s="6"/>
      <c r="AA114" s="6"/>
      <c r="AB114" s="6"/>
      <c r="AC114" s="6"/>
      <c r="AD114" s="6"/>
      <c r="AE114" s="6"/>
    </row>
    <row r="115" spans="1:31" x14ac:dyDescent="0.35">
      <c r="A115" s="6">
        <v>115</v>
      </c>
      <c r="B115" s="6" t="s">
        <v>3</v>
      </c>
      <c r="C115" s="10" t="s">
        <v>2</v>
      </c>
      <c r="D115" s="9" t="s">
        <v>1341</v>
      </c>
      <c r="E115" s="7">
        <f t="shared" si="7"/>
        <v>0</v>
      </c>
      <c r="F115" s="7">
        <f>-1*ROUND(1/6*(I115*IF(_xlfn.XLOOKUP(H115,'02效果表'!D:D,'02效果表'!E:E)&lt;0, _xlfn.XLOOKUP(H115,'02效果表'!D:D,'02效果表'!E:E), 0) +
K115*IF(_xlfn.XLOOKUP(J115,'02效果表'!D:D,'02效果表'!E:E)&lt;0, _xlfn.XLOOKUP(J115,'02效果表'!D:D,'02效果表'!E:E), 0) +
M115*IF(_xlfn.XLOOKUP(L115,'02效果表'!D:D,'02效果表'!E:E)&lt;0, _xlfn.XLOOKUP(L115,'02效果表'!D:D,'02效果表'!E:E), 0) +
O115*IF(_xlfn.XLOOKUP(N115,'02效果表'!D:D,'02效果表'!E:E)&lt;0, _xlfn.XLOOKUP(N115,'02效果表'!D:D,'02效果表'!E:E), 0) +
Q115*IF(_xlfn.XLOOKUP(P115,'02效果表'!D:D,'02效果表'!E:E)&lt;0, _xlfn.XLOOKUP(P115,'02效果表'!D:D,'02效果表'!E:E), 0) +
S115*IF(_xlfn.XLOOKUP(R115,'02效果表'!D:D,'02效果表'!E:E)&lt;0, _xlfn.XLOOKUP(R115,'02效果表'!D:D,'02效果表'!E:E), 0) +
U115*IF(_xlfn.XLOOKUP(T115,'02效果表'!D:D,'02效果表'!E:E)&lt;0, _xlfn.XLOOKUP(T115,'02效果表'!D:D,'02效果表'!E:E), 0) +
W115*IF(_xlfn.XLOOKUP(V115,'02效果表'!D:D,'02效果表'!E:E)&lt;0, _xlfn.XLOOKUP(V115,'02效果表'!D:D,'02效果表'!E:E), 0) +
Y115*IF(_xlfn.XLOOKUP(X115,'02效果表'!D:D,'02效果表'!E:E)&lt;0, _xlfn.XLOOKUP(X115,'02效果表'!D:D,'02效果表'!E:E), 0) +
AA115*IF(_xlfn.XLOOKUP(Z115,'02效果表'!D:D,'02效果表'!E:E)&lt;0, _xlfn.XLOOKUP(Z115,'02效果表'!D:D,'02效果表'!E:E), 0) +
AC115*IF(_xlfn.XLOOKUP(AB115,'02效果表'!D:D,'02效果表'!E:E)&lt;0, _xlfn.XLOOKUP(AB115,'02效果表'!D:D,'02效果表'!E:E), 0) +
AE115*IF(_xlfn.XLOOKUP(AD115,'02效果表'!D:D,'02效果表'!E:E)&lt;0, _xlfn.XLOOKUP(AD115,'02效果表'!D:D,'02效果表'!E:E), 0)), 1)</f>
        <v>0</v>
      </c>
      <c r="G115" s="7">
        <f>ROUND(1/6*(I115*MAX(_xlfn.XLOOKUP(H115,'02效果表'!D:D,'02效果表'!E:E),0)+K115*MAX(_xlfn.XLOOKUP(J115,'02效果表'!D:D,'02效果表'!E:E),0)+M115*MAX(_xlfn.XLOOKUP(L115,'02效果表'!D:D,'02效果表'!E:E),0)+O115*MAX(_xlfn.XLOOKUP(N115,'02效果表'!D:D,'02效果表'!E:E),0)+Q115*MAX(_xlfn.XLOOKUP(P115,'02效果表'!D:D,'02效果表'!E:E),0)+S115*MAX(_xlfn.XLOOKUP(R115,'02效果表'!D:D,'02效果表'!E:E),0)+U115*MAX(_xlfn.XLOOKUP(T115,'02效果表'!D:D,'02效果表'!E:E),0)+W115*MAX(_xlfn.XLOOKUP(V115,'02效果表'!D:D,'02效果表'!E:E),0)+Y115*MAX(_xlfn.XLOOKUP(X115,'02效果表'!D:D,'02效果表'!E:E),0)+AA115*MAX(_xlfn.XLOOKUP(Z115,'02效果表'!D:D,'02效果表'!E:E),0)+AC115*MAX(_xlfn.XLOOKUP(AB115,'02效果表'!D:D,'02效果表'!E:E),0)+AE115*MAX(_xlfn.XLOOKUP(AD115,'02效果表'!D:D,'02效果表'!E:E),0)),1)</f>
        <v>0</v>
      </c>
      <c r="H115" s="6"/>
      <c r="I115" s="6"/>
      <c r="J115" s="6"/>
      <c r="K115" s="6"/>
      <c r="L115" s="6"/>
      <c r="M115" s="6"/>
      <c r="N115" s="6"/>
      <c r="O115" s="6"/>
      <c r="P115" s="6"/>
      <c r="Q115" s="6"/>
      <c r="R115" s="6"/>
      <c r="S115" s="6"/>
      <c r="T115" s="6"/>
      <c r="U115" s="6"/>
      <c r="V115" s="6"/>
      <c r="W115" s="6"/>
      <c r="X115" s="6"/>
      <c r="Y115" s="6"/>
      <c r="Z115" s="6"/>
      <c r="AA115" s="6"/>
      <c r="AB115" s="6"/>
      <c r="AC115" s="6"/>
      <c r="AD115" s="6"/>
      <c r="AE115" s="6"/>
    </row>
    <row r="116" spans="1:31" x14ac:dyDescent="0.35">
      <c r="A116" s="6">
        <v>116</v>
      </c>
      <c r="B116" s="6" t="s">
        <v>3</v>
      </c>
      <c r="C116" s="10" t="s">
        <v>2</v>
      </c>
      <c r="D116" s="9" t="s">
        <v>1342</v>
      </c>
      <c r="E116" s="7">
        <f t="shared" si="7"/>
        <v>0</v>
      </c>
      <c r="F116" s="7">
        <f>-1*ROUND(1/6*(I116*IF(_xlfn.XLOOKUP(H116,'02效果表'!D:D,'02效果表'!E:E)&lt;0, _xlfn.XLOOKUP(H116,'02效果表'!D:D,'02效果表'!E:E), 0) +
K116*IF(_xlfn.XLOOKUP(J116,'02效果表'!D:D,'02效果表'!E:E)&lt;0, _xlfn.XLOOKUP(J116,'02效果表'!D:D,'02效果表'!E:E), 0) +
M116*IF(_xlfn.XLOOKUP(L116,'02效果表'!D:D,'02效果表'!E:E)&lt;0, _xlfn.XLOOKUP(L116,'02效果表'!D:D,'02效果表'!E:E), 0) +
O116*IF(_xlfn.XLOOKUP(N116,'02效果表'!D:D,'02效果表'!E:E)&lt;0, _xlfn.XLOOKUP(N116,'02效果表'!D:D,'02效果表'!E:E), 0) +
Q116*IF(_xlfn.XLOOKUP(P116,'02效果表'!D:D,'02效果表'!E:E)&lt;0, _xlfn.XLOOKUP(P116,'02效果表'!D:D,'02效果表'!E:E), 0) +
S116*IF(_xlfn.XLOOKUP(R116,'02效果表'!D:D,'02效果表'!E:E)&lt;0, _xlfn.XLOOKUP(R116,'02效果表'!D:D,'02效果表'!E:E), 0) +
U116*IF(_xlfn.XLOOKUP(T116,'02效果表'!D:D,'02效果表'!E:E)&lt;0, _xlfn.XLOOKUP(T116,'02效果表'!D:D,'02效果表'!E:E), 0) +
W116*IF(_xlfn.XLOOKUP(V116,'02效果表'!D:D,'02效果表'!E:E)&lt;0, _xlfn.XLOOKUP(V116,'02效果表'!D:D,'02效果表'!E:E), 0) +
Y116*IF(_xlfn.XLOOKUP(X116,'02效果表'!D:D,'02效果表'!E:E)&lt;0, _xlfn.XLOOKUP(X116,'02效果表'!D:D,'02效果表'!E:E), 0) +
AA116*IF(_xlfn.XLOOKUP(Z116,'02效果表'!D:D,'02效果表'!E:E)&lt;0, _xlfn.XLOOKUP(Z116,'02效果表'!D:D,'02效果表'!E:E), 0) +
AC116*IF(_xlfn.XLOOKUP(AB116,'02效果表'!D:D,'02效果表'!E:E)&lt;0, _xlfn.XLOOKUP(AB116,'02效果表'!D:D,'02效果表'!E:E), 0) +
AE116*IF(_xlfn.XLOOKUP(AD116,'02效果表'!D:D,'02效果表'!E:E)&lt;0, _xlfn.XLOOKUP(AD116,'02效果表'!D:D,'02效果表'!E:E), 0)), 1)</f>
        <v>0</v>
      </c>
      <c r="G116" s="7">
        <f>ROUND(1/6*(I116*MAX(_xlfn.XLOOKUP(H116,'02效果表'!D:D,'02效果表'!E:E),0)+K116*MAX(_xlfn.XLOOKUP(J116,'02效果表'!D:D,'02效果表'!E:E),0)+M116*MAX(_xlfn.XLOOKUP(L116,'02效果表'!D:D,'02效果表'!E:E),0)+O116*MAX(_xlfn.XLOOKUP(N116,'02效果表'!D:D,'02效果表'!E:E),0)+Q116*MAX(_xlfn.XLOOKUP(P116,'02效果表'!D:D,'02效果表'!E:E),0)+S116*MAX(_xlfn.XLOOKUP(R116,'02效果表'!D:D,'02效果表'!E:E),0)+U116*MAX(_xlfn.XLOOKUP(T116,'02效果表'!D:D,'02效果表'!E:E),0)+W116*MAX(_xlfn.XLOOKUP(V116,'02效果表'!D:D,'02效果表'!E:E),0)+Y116*MAX(_xlfn.XLOOKUP(X116,'02效果表'!D:D,'02效果表'!E:E),0)+AA116*MAX(_xlfn.XLOOKUP(Z116,'02效果表'!D:D,'02效果表'!E:E),0)+AC116*MAX(_xlfn.XLOOKUP(AB116,'02效果表'!D:D,'02效果表'!E:E),0)+AE116*MAX(_xlfn.XLOOKUP(AD116,'02效果表'!D:D,'02效果表'!E:E),0)),1)</f>
        <v>0</v>
      </c>
      <c r="H116" s="6"/>
      <c r="I116" s="6"/>
      <c r="J116" s="6"/>
      <c r="K116" s="6"/>
      <c r="L116" s="6"/>
      <c r="M116" s="6"/>
      <c r="N116" s="6"/>
      <c r="O116" s="6"/>
      <c r="P116" s="6"/>
      <c r="Q116" s="6"/>
      <c r="R116" s="6"/>
      <c r="S116" s="6"/>
      <c r="T116" s="6"/>
      <c r="U116" s="6"/>
      <c r="V116" s="6"/>
      <c r="W116" s="6"/>
      <c r="X116" s="6"/>
      <c r="Y116" s="6"/>
      <c r="Z116" s="6"/>
      <c r="AA116" s="6"/>
      <c r="AB116" s="6"/>
      <c r="AC116" s="6"/>
      <c r="AD116" s="6"/>
      <c r="AE116" s="6"/>
    </row>
    <row r="117" spans="1:31" x14ac:dyDescent="0.35">
      <c r="A117" s="6">
        <v>117</v>
      </c>
      <c r="B117" s="6" t="s">
        <v>3</v>
      </c>
      <c r="C117" s="10" t="s">
        <v>2</v>
      </c>
      <c r="D117" s="9" t="s">
        <v>1343</v>
      </c>
      <c r="E117" s="7">
        <f t="shared" si="7"/>
        <v>0</v>
      </c>
      <c r="F117" s="7">
        <f>-1*ROUND(1/6*(I117*IF(_xlfn.XLOOKUP(H117,'02效果表'!D:D,'02效果表'!E:E)&lt;0, _xlfn.XLOOKUP(H117,'02效果表'!D:D,'02效果表'!E:E), 0) +
K117*IF(_xlfn.XLOOKUP(J117,'02效果表'!D:D,'02效果表'!E:E)&lt;0, _xlfn.XLOOKUP(J117,'02效果表'!D:D,'02效果表'!E:E), 0) +
M117*IF(_xlfn.XLOOKUP(L117,'02效果表'!D:D,'02效果表'!E:E)&lt;0, _xlfn.XLOOKUP(L117,'02效果表'!D:D,'02效果表'!E:E), 0) +
O117*IF(_xlfn.XLOOKUP(N117,'02效果表'!D:D,'02效果表'!E:E)&lt;0, _xlfn.XLOOKUP(N117,'02效果表'!D:D,'02效果表'!E:E), 0) +
Q117*IF(_xlfn.XLOOKUP(P117,'02效果表'!D:D,'02效果表'!E:E)&lt;0, _xlfn.XLOOKUP(P117,'02效果表'!D:D,'02效果表'!E:E), 0) +
S117*IF(_xlfn.XLOOKUP(R117,'02效果表'!D:D,'02效果表'!E:E)&lt;0, _xlfn.XLOOKUP(R117,'02效果表'!D:D,'02效果表'!E:E), 0) +
U117*IF(_xlfn.XLOOKUP(T117,'02效果表'!D:D,'02效果表'!E:E)&lt;0, _xlfn.XLOOKUP(T117,'02效果表'!D:D,'02效果表'!E:E), 0) +
W117*IF(_xlfn.XLOOKUP(V117,'02效果表'!D:D,'02效果表'!E:E)&lt;0, _xlfn.XLOOKUP(V117,'02效果表'!D:D,'02效果表'!E:E), 0) +
Y117*IF(_xlfn.XLOOKUP(X117,'02效果表'!D:D,'02效果表'!E:E)&lt;0, _xlfn.XLOOKUP(X117,'02效果表'!D:D,'02效果表'!E:E), 0) +
AA117*IF(_xlfn.XLOOKUP(Z117,'02效果表'!D:D,'02效果表'!E:E)&lt;0, _xlfn.XLOOKUP(Z117,'02效果表'!D:D,'02效果表'!E:E), 0) +
AC117*IF(_xlfn.XLOOKUP(AB117,'02效果表'!D:D,'02效果表'!E:E)&lt;0, _xlfn.XLOOKUP(AB117,'02效果表'!D:D,'02效果表'!E:E), 0) +
AE117*IF(_xlfn.XLOOKUP(AD117,'02效果表'!D:D,'02效果表'!E:E)&lt;0, _xlfn.XLOOKUP(AD117,'02效果表'!D:D,'02效果表'!E:E), 0)), 1)</f>
        <v>0</v>
      </c>
      <c r="G117" s="7">
        <f>ROUND(1/6*(I117*MAX(_xlfn.XLOOKUP(H117,'02效果表'!D:D,'02效果表'!E:E),0)+K117*MAX(_xlfn.XLOOKUP(J117,'02效果表'!D:D,'02效果表'!E:E),0)+M117*MAX(_xlfn.XLOOKUP(L117,'02效果表'!D:D,'02效果表'!E:E),0)+O117*MAX(_xlfn.XLOOKUP(N117,'02效果表'!D:D,'02效果表'!E:E),0)+Q117*MAX(_xlfn.XLOOKUP(P117,'02效果表'!D:D,'02效果表'!E:E),0)+S117*MAX(_xlfn.XLOOKUP(R117,'02效果表'!D:D,'02效果表'!E:E),0)+U117*MAX(_xlfn.XLOOKUP(T117,'02效果表'!D:D,'02效果表'!E:E),0)+W117*MAX(_xlfn.XLOOKUP(V117,'02效果表'!D:D,'02效果表'!E:E),0)+Y117*MAX(_xlfn.XLOOKUP(X117,'02效果表'!D:D,'02效果表'!E:E),0)+AA117*MAX(_xlfn.XLOOKUP(Z117,'02效果表'!D:D,'02效果表'!E:E),0)+AC117*MAX(_xlfn.XLOOKUP(AB117,'02效果表'!D:D,'02效果表'!E:E),0)+AE117*MAX(_xlfn.XLOOKUP(AD117,'02效果表'!D:D,'02效果表'!E:E),0)),1)</f>
        <v>0</v>
      </c>
      <c r="H117" s="6"/>
      <c r="I117" s="6"/>
      <c r="J117" s="6"/>
      <c r="K117" s="6"/>
      <c r="L117" s="6"/>
      <c r="M117" s="6"/>
      <c r="N117" s="6"/>
      <c r="O117" s="6"/>
      <c r="P117" s="6"/>
      <c r="Q117" s="6"/>
      <c r="R117" s="6"/>
      <c r="S117" s="6"/>
      <c r="T117" s="6"/>
      <c r="U117" s="6"/>
      <c r="V117" s="6"/>
      <c r="W117" s="6"/>
      <c r="X117" s="6"/>
      <c r="Y117" s="6"/>
      <c r="Z117" s="6"/>
      <c r="AA117" s="6"/>
      <c r="AB117" s="6"/>
      <c r="AC117" s="6"/>
      <c r="AD117" s="6"/>
      <c r="AE117" s="6"/>
    </row>
    <row r="118" spans="1:31" x14ac:dyDescent="0.35">
      <c r="A118" s="6">
        <v>118</v>
      </c>
      <c r="B118" s="6" t="s">
        <v>3</v>
      </c>
      <c r="C118" s="10" t="s">
        <v>2</v>
      </c>
      <c r="D118" s="9" t="s">
        <v>1344</v>
      </c>
      <c r="E118" s="7">
        <f t="shared" si="7"/>
        <v>0</v>
      </c>
      <c r="F118" s="7">
        <f>-1*ROUND(1/6*(I118*IF(_xlfn.XLOOKUP(H118,'02效果表'!D:D,'02效果表'!E:E)&lt;0, _xlfn.XLOOKUP(H118,'02效果表'!D:D,'02效果表'!E:E), 0) +
K118*IF(_xlfn.XLOOKUP(J118,'02效果表'!D:D,'02效果表'!E:E)&lt;0, _xlfn.XLOOKUP(J118,'02效果表'!D:D,'02效果表'!E:E), 0) +
M118*IF(_xlfn.XLOOKUP(L118,'02效果表'!D:D,'02效果表'!E:E)&lt;0, _xlfn.XLOOKUP(L118,'02效果表'!D:D,'02效果表'!E:E), 0) +
O118*IF(_xlfn.XLOOKUP(N118,'02效果表'!D:D,'02效果表'!E:E)&lt;0, _xlfn.XLOOKUP(N118,'02效果表'!D:D,'02效果表'!E:E), 0) +
Q118*IF(_xlfn.XLOOKUP(P118,'02效果表'!D:D,'02效果表'!E:E)&lt;0, _xlfn.XLOOKUP(P118,'02效果表'!D:D,'02效果表'!E:E), 0) +
S118*IF(_xlfn.XLOOKUP(R118,'02效果表'!D:D,'02效果表'!E:E)&lt;0, _xlfn.XLOOKUP(R118,'02效果表'!D:D,'02效果表'!E:E), 0) +
U118*IF(_xlfn.XLOOKUP(T118,'02效果表'!D:D,'02效果表'!E:E)&lt;0, _xlfn.XLOOKUP(T118,'02效果表'!D:D,'02效果表'!E:E), 0) +
W118*IF(_xlfn.XLOOKUP(V118,'02效果表'!D:D,'02效果表'!E:E)&lt;0, _xlfn.XLOOKUP(V118,'02效果表'!D:D,'02效果表'!E:E), 0) +
Y118*IF(_xlfn.XLOOKUP(X118,'02效果表'!D:D,'02效果表'!E:E)&lt;0, _xlfn.XLOOKUP(X118,'02效果表'!D:D,'02效果表'!E:E), 0) +
AA118*IF(_xlfn.XLOOKUP(Z118,'02效果表'!D:D,'02效果表'!E:E)&lt;0, _xlfn.XLOOKUP(Z118,'02效果表'!D:D,'02效果表'!E:E), 0) +
AC118*IF(_xlfn.XLOOKUP(AB118,'02效果表'!D:D,'02效果表'!E:E)&lt;0, _xlfn.XLOOKUP(AB118,'02效果表'!D:D,'02效果表'!E:E), 0) +
AE118*IF(_xlfn.XLOOKUP(AD118,'02效果表'!D:D,'02效果表'!E:E)&lt;0, _xlfn.XLOOKUP(AD118,'02效果表'!D:D,'02效果表'!E:E), 0)), 1)</f>
        <v>0</v>
      </c>
      <c r="G118" s="7">
        <f>ROUND(1/6*(I118*MAX(_xlfn.XLOOKUP(H118,'02效果表'!D:D,'02效果表'!E:E),0)+K118*MAX(_xlfn.XLOOKUP(J118,'02效果表'!D:D,'02效果表'!E:E),0)+M118*MAX(_xlfn.XLOOKUP(L118,'02效果表'!D:D,'02效果表'!E:E),0)+O118*MAX(_xlfn.XLOOKUP(N118,'02效果表'!D:D,'02效果表'!E:E),0)+Q118*MAX(_xlfn.XLOOKUP(P118,'02效果表'!D:D,'02效果表'!E:E),0)+S118*MAX(_xlfn.XLOOKUP(R118,'02效果表'!D:D,'02效果表'!E:E),0)+U118*MAX(_xlfn.XLOOKUP(T118,'02效果表'!D:D,'02效果表'!E:E),0)+W118*MAX(_xlfn.XLOOKUP(V118,'02效果表'!D:D,'02效果表'!E:E),0)+Y118*MAX(_xlfn.XLOOKUP(X118,'02效果表'!D:D,'02效果表'!E:E),0)+AA118*MAX(_xlfn.XLOOKUP(Z118,'02效果表'!D:D,'02效果表'!E:E),0)+AC118*MAX(_xlfn.XLOOKUP(AB118,'02效果表'!D:D,'02效果表'!E:E),0)+AE118*MAX(_xlfn.XLOOKUP(AD118,'02效果表'!D:D,'02效果表'!E:E),0)),1)</f>
        <v>0</v>
      </c>
      <c r="H118" s="6"/>
      <c r="I118" s="6"/>
      <c r="J118" s="6"/>
      <c r="K118" s="6"/>
      <c r="L118" s="6"/>
      <c r="M118" s="6"/>
      <c r="N118" s="6"/>
      <c r="O118" s="6"/>
      <c r="P118" s="6"/>
      <c r="Q118" s="6"/>
      <c r="R118" s="6"/>
      <c r="S118" s="6"/>
      <c r="T118" s="6"/>
      <c r="U118" s="6"/>
      <c r="V118" s="6"/>
      <c r="W118" s="6"/>
      <c r="X118" s="6"/>
      <c r="Y118" s="6"/>
      <c r="Z118" s="6"/>
      <c r="AA118" s="6"/>
      <c r="AB118" s="6"/>
      <c r="AC118" s="6"/>
      <c r="AD118" s="6"/>
      <c r="AE118" s="6"/>
    </row>
    <row r="119" spans="1:31" x14ac:dyDescent="0.35">
      <c r="A119" s="6">
        <v>119</v>
      </c>
      <c r="B119" s="6" t="s">
        <v>3</v>
      </c>
      <c r="C119" s="10" t="s">
        <v>2</v>
      </c>
      <c r="D119" s="9" t="s">
        <v>1345</v>
      </c>
      <c r="E119" s="7">
        <f t="shared" si="7"/>
        <v>0</v>
      </c>
      <c r="F119" s="7">
        <f>-1*ROUND(1/6*(I119*IF(_xlfn.XLOOKUP(H119,'02效果表'!D:D,'02效果表'!E:E)&lt;0, _xlfn.XLOOKUP(H119,'02效果表'!D:D,'02效果表'!E:E), 0) +
K119*IF(_xlfn.XLOOKUP(J119,'02效果表'!D:D,'02效果表'!E:E)&lt;0, _xlfn.XLOOKUP(J119,'02效果表'!D:D,'02效果表'!E:E), 0) +
M119*IF(_xlfn.XLOOKUP(L119,'02效果表'!D:D,'02效果表'!E:E)&lt;0, _xlfn.XLOOKUP(L119,'02效果表'!D:D,'02效果表'!E:E), 0) +
O119*IF(_xlfn.XLOOKUP(N119,'02效果表'!D:D,'02效果表'!E:E)&lt;0, _xlfn.XLOOKUP(N119,'02效果表'!D:D,'02效果表'!E:E), 0) +
Q119*IF(_xlfn.XLOOKUP(P119,'02效果表'!D:D,'02效果表'!E:E)&lt;0, _xlfn.XLOOKUP(P119,'02效果表'!D:D,'02效果表'!E:E), 0) +
S119*IF(_xlfn.XLOOKUP(R119,'02效果表'!D:D,'02效果表'!E:E)&lt;0, _xlfn.XLOOKUP(R119,'02效果表'!D:D,'02效果表'!E:E), 0) +
U119*IF(_xlfn.XLOOKUP(T119,'02效果表'!D:D,'02效果表'!E:E)&lt;0, _xlfn.XLOOKUP(T119,'02效果表'!D:D,'02效果表'!E:E), 0) +
W119*IF(_xlfn.XLOOKUP(V119,'02效果表'!D:D,'02效果表'!E:E)&lt;0, _xlfn.XLOOKUP(V119,'02效果表'!D:D,'02效果表'!E:E), 0) +
Y119*IF(_xlfn.XLOOKUP(X119,'02效果表'!D:D,'02效果表'!E:E)&lt;0, _xlfn.XLOOKUP(X119,'02效果表'!D:D,'02效果表'!E:E), 0) +
AA119*IF(_xlfn.XLOOKUP(Z119,'02效果表'!D:D,'02效果表'!E:E)&lt;0, _xlfn.XLOOKUP(Z119,'02效果表'!D:D,'02效果表'!E:E), 0) +
AC119*IF(_xlfn.XLOOKUP(AB119,'02效果表'!D:D,'02效果表'!E:E)&lt;0, _xlfn.XLOOKUP(AB119,'02效果表'!D:D,'02效果表'!E:E), 0) +
AE119*IF(_xlfn.XLOOKUP(AD119,'02效果表'!D:D,'02效果表'!E:E)&lt;0, _xlfn.XLOOKUP(AD119,'02效果表'!D:D,'02效果表'!E:E), 0)), 1)</f>
        <v>0</v>
      </c>
      <c r="G119" s="7">
        <f>ROUND(1/6*(I119*MAX(_xlfn.XLOOKUP(H119,'02效果表'!D:D,'02效果表'!E:E),0)+K119*MAX(_xlfn.XLOOKUP(J119,'02效果表'!D:D,'02效果表'!E:E),0)+M119*MAX(_xlfn.XLOOKUP(L119,'02效果表'!D:D,'02效果表'!E:E),0)+O119*MAX(_xlfn.XLOOKUP(N119,'02效果表'!D:D,'02效果表'!E:E),0)+Q119*MAX(_xlfn.XLOOKUP(P119,'02效果表'!D:D,'02效果表'!E:E),0)+S119*MAX(_xlfn.XLOOKUP(R119,'02效果表'!D:D,'02效果表'!E:E),0)+U119*MAX(_xlfn.XLOOKUP(T119,'02效果表'!D:D,'02效果表'!E:E),0)+W119*MAX(_xlfn.XLOOKUP(V119,'02效果表'!D:D,'02效果表'!E:E),0)+Y119*MAX(_xlfn.XLOOKUP(X119,'02效果表'!D:D,'02效果表'!E:E),0)+AA119*MAX(_xlfn.XLOOKUP(Z119,'02效果表'!D:D,'02效果表'!E:E),0)+AC119*MAX(_xlfn.XLOOKUP(AB119,'02效果表'!D:D,'02效果表'!E:E),0)+AE119*MAX(_xlfn.XLOOKUP(AD119,'02效果表'!D:D,'02效果表'!E:E),0)),1)</f>
        <v>0</v>
      </c>
      <c r="H119" s="6"/>
      <c r="I119" s="6"/>
      <c r="J119" s="6"/>
      <c r="K119" s="6"/>
      <c r="L119" s="6"/>
      <c r="M119" s="6"/>
      <c r="N119" s="6"/>
      <c r="O119" s="6"/>
      <c r="P119" s="6"/>
      <c r="Q119" s="6"/>
      <c r="R119" s="6"/>
      <c r="S119" s="6"/>
      <c r="T119" s="6"/>
      <c r="U119" s="6"/>
      <c r="V119" s="6"/>
      <c r="W119" s="6"/>
      <c r="X119" s="6"/>
      <c r="Y119" s="6"/>
      <c r="Z119" s="6"/>
      <c r="AA119" s="6"/>
      <c r="AB119" s="6"/>
      <c r="AC119" s="6"/>
      <c r="AD119" s="6"/>
      <c r="AE119" s="6"/>
    </row>
    <row r="120" spans="1:31" x14ac:dyDescent="0.35">
      <c r="A120" s="6">
        <v>120</v>
      </c>
      <c r="B120" s="6" t="s">
        <v>3</v>
      </c>
      <c r="C120" s="10" t="s">
        <v>2</v>
      </c>
      <c r="D120" s="9" t="s">
        <v>1346</v>
      </c>
      <c r="E120" s="7">
        <f t="shared" si="7"/>
        <v>0</v>
      </c>
      <c r="F120" s="7">
        <f>-1*ROUND(1/6*(I120*IF(_xlfn.XLOOKUP(H120,'02效果表'!D:D,'02效果表'!E:E)&lt;0, _xlfn.XLOOKUP(H120,'02效果表'!D:D,'02效果表'!E:E), 0) +
K120*IF(_xlfn.XLOOKUP(J120,'02效果表'!D:D,'02效果表'!E:E)&lt;0, _xlfn.XLOOKUP(J120,'02效果表'!D:D,'02效果表'!E:E), 0) +
M120*IF(_xlfn.XLOOKUP(L120,'02效果表'!D:D,'02效果表'!E:E)&lt;0, _xlfn.XLOOKUP(L120,'02效果表'!D:D,'02效果表'!E:E), 0) +
O120*IF(_xlfn.XLOOKUP(N120,'02效果表'!D:D,'02效果表'!E:E)&lt;0, _xlfn.XLOOKUP(N120,'02效果表'!D:D,'02效果表'!E:E), 0) +
Q120*IF(_xlfn.XLOOKUP(P120,'02效果表'!D:D,'02效果表'!E:E)&lt;0, _xlfn.XLOOKUP(P120,'02效果表'!D:D,'02效果表'!E:E), 0) +
S120*IF(_xlfn.XLOOKUP(R120,'02效果表'!D:D,'02效果表'!E:E)&lt;0, _xlfn.XLOOKUP(R120,'02效果表'!D:D,'02效果表'!E:E), 0) +
U120*IF(_xlfn.XLOOKUP(T120,'02效果表'!D:D,'02效果表'!E:E)&lt;0, _xlfn.XLOOKUP(T120,'02效果表'!D:D,'02效果表'!E:E), 0) +
W120*IF(_xlfn.XLOOKUP(V120,'02效果表'!D:D,'02效果表'!E:E)&lt;0, _xlfn.XLOOKUP(V120,'02效果表'!D:D,'02效果表'!E:E), 0) +
Y120*IF(_xlfn.XLOOKUP(X120,'02效果表'!D:D,'02效果表'!E:E)&lt;0, _xlfn.XLOOKUP(X120,'02效果表'!D:D,'02效果表'!E:E), 0) +
AA120*IF(_xlfn.XLOOKUP(Z120,'02效果表'!D:D,'02效果表'!E:E)&lt;0, _xlfn.XLOOKUP(Z120,'02效果表'!D:D,'02效果表'!E:E), 0) +
AC120*IF(_xlfn.XLOOKUP(AB120,'02效果表'!D:D,'02效果表'!E:E)&lt;0, _xlfn.XLOOKUP(AB120,'02效果表'!D:D,'02效果表'!E:E), 0) +
AE120*IF(_xlfn.XLOOKUP(AD120,'02效果表'!D:D,'02效果表'!E:E)&lt;0, _xlfn.XLOOKUP(AD120,'02效果表'!D:D,'02效果表'!E:E), 0)), 1)</f>
        <v>0</v>
      </c>
      <c r="G120" s="7">
        <f>ROUND(1/6*(I120*MAX(_xlfn.XLOOKUP(H120,'02效果表'!D:D,'02效果表'!E:E),0)+K120*MAX(_xlfn.XLOOKUP(J120,'02效果表'!D:D,'02效果表'!E:E),0)+M120*MAX(_xlfn.XLOOKUP(L120,'02效果表'!D:D,'02效果表'!E:E),0)+O120*MAX(_xlfn.XLOOKUP(N120,'02效果表'!D:D,'02效果表'!E:E),0)+Q120*MAX(_xlfn.XLOOKUP(P120,'02效果表'!D:D,'02效果表'!E:E),0)+S120*MAX(_xlfn.XLOOKUP(R120,'02效果表'!D:D,'02效果表'!E:E),0)+U120*MAX(_xlfn.XLOOKUP(T120,'02效果表'!D:D,'02效果表'!E:E),0)+W120*MAX(_xlfn.XLOOKUP(V120,'02效果表'!D:D,'02效果表'!E:E),0)+Y120*MAX(_xlfn.XLOOKUP(X120,'02效果表'!D:D,'02效果表'!E:E),0)+AA120*MAX(_xlfn.XLOOKUP(Z120,'02效果表'!D:D,'02效果表'!E:E),0)+AC120*MAX(_xlfn.XLOOKUP(AB120,'02效果表'!D:D,'02效果表'!E:E),0)+AE120*MAX(_xlfn.XLOOKUP(AD120,'02效果表'!D:D,'02效果表'!E:E),0)),1)</f>
        <v>0</v>
      </c>
      <c r="H120" s="6"/>
      <c r="I120" s="6"/>
      <c r="J120" s="6"/>
      <c r="K120" s="6"/>
      <c r="L120" s="6"/>
      <c r="M120" s="6"/>
      <c r="N120" s="6"/>
      <c r="O120" s="6"/>
      <c r="P120" s="6"/>
      <c r="Q120" s="6"/>
      <c r="R120" s="6"/>
      <c r="S120" s="6"/>
      <c r="T120" s="6"/>
      <c r="U120" s="6"/>
      <c r="V120" s="6"/>
      <c r="W120" s="6"/>
      <c r="X120" s="6"/>
      <c r="Y120" s="6"/>
      <c r="Z120" s="6"/>
      <c r="AA120" s="6"/>
      <c r="AB120" s="6"/>
      <c r="AC120" s="6"/>
      <c r="AD120" s="6"/>
      <c r="AE120" s="6"/>
    </row>
    <row r="121" spans="1:31" x14ac:dyDescent="0.35">
      <c r="A121" s="6">
        <v>121</v>
      </c>
      <c r="B121" s="6" t="s">
        <v>3</v>
      </c>
      <c r="C121" s="10" t="s">
        <v>2</v>
      </c>
      <c r="D121" s="9" t="s">
        <v>1347</v>
      </c>
      <c r="E121" s="7">
        <f t="shared" si="7"/>
        <v>0</v>
      </c>
      <c r="F121" s="7">
        <f>-1*ROUND(1/6*(I121*IF(_xlfn.XLOOKUP(H121,'02效果表'!D:D,'02效果表'!E:E)&lt;0, _xlfn.XLOOKUP(H121,'02效果表'!D:D,'02效果表'!E:E), 0) +
K121*IF(_xlfn.XLOOKUP(J121,'02效果表'!D:D,'02效果表'!E:E)&lt;0, _xlfn.XLOOKUP(J121,'02效果表'!D:D,'02效果表'!E:E), 0) +
M121*IF(_xlfn.XLOOKUP(L121,'02效果表'!D:D,'02效果表'!E:E)&lt;0, _xlfn.XLOOKUP(L121,'02效果表'!D:D,'02效果表'!E:E), 0) +
O121*IF(_xlfn.XLOOKUP(N121,'02效果表'!D:D,'02效果表'!E:E)&lt;0, _xlfn.XLOOKUP(N121,'02效果表'!D:D,'02效果表'!E:E), 0) +
Q121*IF(_xlfn.XLOOKUP(P121,'02效果表'!D:D,'02效果表'!E:E)&lt;0, _xlfn.XLOOKUP(P121,'02效果表'!D:D,'02效果表'!E:E), 0) +
S121*IF(_xlfn.XLOOKUP(R121,'02效果表'!D:D,'02效果表'!E:E)&lt;0, _xlfn.XLOOKUP(R121,'02效果表'!D:D,'02效果表'!E:E), 0) +
U121*IF(_xlfn.XLOOKUP(T121,'02效果表'!D:D,'02效果表'!E:E)&lt;0, _xlfn.XLOOKUP(T121,'02效果表'!D:D,'02效果表'!E:E), 0) +
W121*IF(_xlfn.XLOOKUP(V121,'02效果表'!D:D,'02效果表'!E:E)&lt;0, _xlfn.XLOOKUP(V121,'02效果表'!D:D,'02效果表'!E:E), 0) +
Y121*IF(_xlfn.XLOOKUP(X121,'02效果表'!D:D,'02效果表'!E:E)&lt;0, _xlfn.XLOOKUP(X121,'02效果表'!D:D,'02效果表'!E:E), 0) +
AA121*IF(_xlfn.XLOOKUP(Z121,'02效果表'!D:D,'02效果表'!E:E)&lt;0, _xlfn.XLOOKUP(Z121,'02效果表'!D:D,'02效果表'!E:E), 0) +
AC121*IF(_xlfn.XLOOKUP(AB121,'02效果表'!D:D,'02效果表'!E:E)&lt;0, _xlfn.XLOOKUP(AB121,'02效果表'!D:D,'02效果表'!E:E), 0) +
AE121*IF(_xlfn.XLOOKUP(AD121,'02效果表'!D:D,'02效果表'!E:E)&lt;0, _xlfn.XLOOKUP(AD121,'02效果表'!D:D,'02效果表'!E:E), 0)), 1)</f>
        <v>0</v>
      </c>
      <c r="G121" s="7">
        <f>ROUND(1/6*(I121*MAX(_xlfn.XLOOKUP(H121,'02效果表'!D:D,'02效果表'!E:E),0)+K121*MAX(_xlfn.XLOOKUP(J121,'02效果表'!D:D,'02效果表'!E:E),0)+M121*MAX(_xlfn.XLOOKUP(L121,'02效果表'!D:D,'02效果表'!E:E),0)+O121*MAX(_xlfn.XLOOKUP(N121,'02效果表'!D:D,'02效果表'!E:E),0)+Q121*MAX(_xlfn.XLOOKUP(P121,'02效果表'!D:D,'02效果表'!E:E),0)+S121*MAX(_xlfn.XLOOKUP(R121,'02效果表'!D:D,'02效果表'!E:E),0)+U121*MAX(_xlfn.XLOOKUP(T121,'02效果表'!D:D,'02效果表'!E:E),0)+W121*MAX(_xlfn.XLOOKUP(V121,'02效果表'!D:D,'02效果表'!E:E),0)+Y121*MAX(_xlfn.XLOOKUP(X121,'02效果表'!D:D,'02效果表'!E:E),0)+AA121*MAX(_xlfn.XLOOKUP(Z121,'02效果表'!D:D,'02效果表'!E:E),0)+AC121*MAX(_xlfn.XLOOKUP(AB121,'02效果表'!D:D,'02效果表'!E:E),0)+AE121*MAX(_xlfn.XLOOKUP(AD121,'02效果表'!D:D,'02效果表'!E:E),0)),1)</f>
        <v>0</v>
      </c>
      <c r="H121" s="6"/>
      <c r="I121" s="6"/>
      <c r="J121" s="6"/>
      <c r="K121" s="6"/>
      <c r="L121" s="6"/>
      <c r="M121" s="6"/>
      <c r="N121" s="6"/>
      <c r="O121" s="6"/>
      <c r="P121" s="6"/>
      <c r="Q121" s="6"/>
      <c r="R121" s="6"/>
      <c r="S121" s="6"/>
      <c r="T121" s="6"/>
      <c r="U121" s="6"/>
      <c r="V121" s="6"/>
      <c r="W121" s="6"/>
      <c r="X121" s="6"/>
      <c r="Y121" s="6"/>
      <c r="Z121" s="6"/>
      <c r="AA121" s="6"/>
      <c r="AB121" s="6"/>
      <c r="AC121" s="6"/>
      <c r="AD121" s="6"/>
      <c r="AE121" s="6"/>
    </row>
    <row r="122" spans="1:31" x14ac:dyDescent="0.35">
      <c r="A122" s="6">
        <v>122</v>
      </c>
      <c r="B122" s="6" t="s">
        <v>3</v>
      </c>
      <c r="C122" s="10" t="s">
        <v>2</v>
      </c>
      <c r="D122" s="9" t="s">
        <v>1348</v>
      </c>
      <c r="E122" s="7">
        <f t="shared" si="7"/>
        <v>0</v>
      </c>
      <c r="F122" s="7">
        <f>-1*ROUND(1/6*(I122*IF(_xlfn.XLOOKUP(H122,'02效果表'!D:D,'02效果表'!E:E)&lt;0, _xlfn.XLOOKUP(H122,'02效果表'!D:D,'02效果表'!E:E), 0) +
K122*IF(_xlfn.XLOOKUP(J122,'02效果表'!D:D,'02效果表'!E:E)&lt;0, _xlfn.XLOOKUP(J122,'02效果表'!D:D,'02效果表'!E:E), 0) +
M122*IF(_xlfn.XLOOKUP(L122,'02效果表'!D:D,'02效果表'!E:E)&lt;0, _xlfn.XLOOKUP(L122,'02效果表'!D:D,'02效果表'!E:E), 0) +
O122*IF(_xlfn.XLOOKUP(N122,'02效果表'!D:D,'02效果表'!E:E)&lt;0, _xlfn.XLOOKUP(N122,'02效果表'!D:D,'02效果表'!E:E), 0) +
Q122*IF(_xlfn.XLOOKUP(P122,'02效果表'!D:D,'02效果表'!E:E)&lt;0, _xlfn.XLOOKUP(P122,'02效果表'!D:D,'02效果表'!E:E), 0) +
S122*IF(_xlfn.XLOOKUP(R122,'02效果表'!D:D,'02效果表'!E:E)&lt;0, _xlfn.XLOOKUP(R122,'02效果表'!D:D,'02效果表'!E:E), 0) +
U122*IF(_xlfn.XLOOKUP(T122,'02效果表'!D:D,'02效果表'!E:E)&lt;0, _xlfn.XLOOKUP(T122,'02效果表'!D:D,'02效果表'!E:E), 0) +
W122*IF(_xlfn.XLOOKUP(V122,'02效果表'!D:D,'02效果表'!E:E)&lt;0, _xlfn.XLOOKUP(V122,'02效果表'!D:D,'02效果表'!E:E), 0) +
Y122*IF(_xlfn.XLOOKUP(X122,'02效果表'!D:D,'02效果表'!E:E)&lt;0, _xlfn.XLOOKUP(X122,'02效果表'!D:D,'02效果表'!E:E), 0) +
AA122*IF(_xlfn.XLOOKUP(Z122,'02效果表'!D:D,'02效果表'!E:E)&lt;0, _xlfn.XLOOKUP(Z122,'02效果表'!D:D,'02效果表'!E:E), 0) +
AC122*IF(_xlfn.XLOOKUP(AB122,'02效果表'!D:D,'02效果表'!E:E)&lt;0, _xlfn.XLOOKUP(AB122,'02效果表'!D:D,'02效果表'!E:E), 0) +
AE122*IF(_xlfn.XLOOKUP(AD122,'02效果表'!D:D,'02效果表'!E:E)&lt;0, _xlfn.XLOOKUP(AD122,'02效果表'!D:D,'02效果表'!E:E), 0)), 1)</f>
        <v>0</v>
      </c>
      <c r="G122" s="7">
        <f>ROUND(1/6*(I122*MAX(_xlfn.XLOOKUP(H122,'02效果表'!D:D,'02效果表'!E:E),0)+K122*MAX(_xlfn.XLOOKUP(J122,'02效果表'!D:D,'02效果表'!E:E),0)+M122*MAX(_xlfn.XLOOKUP(L122,'02效果表'!D:D,'02效果表'!E:E),0)+O122*MAX(_xlfn.XLOOKUP(N122,'02效果表'!D:D,'02效果表'!E:E),0)+Q122*MAX(_xlfn.XLOOKUP(P122,'02效果表'!D:D,'02效果表'!E:E),0)+S122*MAX(_xlfn.XLOOKUP(R122,'02效果表'!D:D,'02效果表'!E:E),0)+U122*MAX(_xlfn.XLOOKUP(T122,'02效果表'!D:D,'02效果表'!E:E),0)+W122*MAX(_xlfn.XLOOKUP(V122,'02效果表'!D:D,'02效果表'!E:E),0)+Y122*MAX(_xlfn.XLOOKUP(X122,'02效果表'!D:D,'02效果表'!E:E),0)+AA122*MAX(_xlfn.XLOOKUP(Z122,'02效果表'!D:D,'02效果表'!E:E),0)+AC122*MAX(_xlfn.XLOOKUP(AB122,'02效果表'!D:D,'02效果表'!E:E),0)+AE122*MAX(_xlfn.XLOOKUP(AD122,'02效果表'!D:D,'02效果表'!E:E),0)),1)</f>
        <v>0</v>
      </c>
      <c r="H122" s="6"/>
      <c r="I122" s="6"/>
      <c r="J122" s="6"/>
      <c r="K122" s="6"/>
      <c r="L122" s="6"/>
      <c r="M122" s="6"/>
      <c r="N122" s="6"/>
      <c r="O122" s="6"/>
      <c r="P122" s="6"/>
      <c r="Q122" s="6"/>
      <c r="R122" s="6"/>
      <c r="S122" s="6"/>
      <c r="T122" s="6"/>
      <c r="U122" s="6"/>
      <c r="V122" s="6"/>
      <c r="W122" s="6"/>
      <c r="X122" s="6"/>
      <c r="Y122" s="6"/>
      <c r="Z122" s="6"/>
      <c r="AA122" s="6"/>
      <c r="AB122" s="6"/>
      <c r="AC122" s="6"/>
      <c r="AD122" s="6"/>
      <c r="AE122" s="6"/>
    </row>
    <row r="123" spans="1:31" x14ac:dyDescent="0.35">
      <c r="A123" s="6">
        <v>123</v>
      </c>
      <c r="B123" s="6" t="s">
        <v>3</v>
      </c>
      <c r="C123" s="10" t="s">
        <v>2</v>
      </c>
      <c r="D123" s="9" t="s">
        <v>1349</v>
      </c>
      <c r="E123" s="7">
        <f t="shared" si="7"/>
        <v>0</v>
      </c>
      <c r="F123" s="7">
        <f>-1*ROUND(1/6*(I123*IF(_xlfn.XLOOKUP(H123,'02效果表'!D:D,'02效果表'!E:E)&lt;0, _xlfn.XLOOKUP(H123,'02效果表'!D:D,'02效果表'!E:E), 0) +
K123*IF(_xlfn.XLOOKUP(J123,'02效果表'!D:D,'02效果表'!E:E)&lt;0, _xlfn.XLOOKUP(J123,'02效果表'!D:D,'02效果表'!E:E), 0) +
M123*IF(_xlfn.XLOOKUP(L123,'02效果表'!D:D,'02效果表'!E:E)&lt;0, _xlfn.XLOOKUP(L123,'02效果表'!D:D,'02效果表'!E:E), 0) +
O123*IF(_xlfn.XLOOKUP(N123,'02效果表'!D:D,'02效果表'!E:E)&lt;0, _xlfn.XLOOKUP(N123,'02效果表'!D:D,'02效果表'!E:E), 0) +
Q123*IF(_xlfn.XLOOKUP(P123,'02效果表'!D:D,'02效果表'!E:E)&lt;0, _xlfn.XLOOKUP(P123,'02效果表'!D:D,'02效果表'!E:E), 0) +
S123*IF(_xlfn.XLOOKUP(R123,'02效果表'!D:D,'02效果表'!E:E)&lt;0, _xlfn.XLOOKUP(R123,'02效果表'!D:D,'02效果表'!E:E), 0) +
U123*IF(_xlfn.XLOOKUP(T123,'02效果表'!D:D,'02效果表'!E:E)&lt;0, _xlfn.XLOOKUP(T123,'02效果表'!D:D,'02效果表'!E:E), 0) +
W123*IF(_xlfn.XLOOKUP(V123,'02效果表'!D:D,'02效果表'!E:E)&lt;0, _xlfn.XLOOKUP(V123,'02效果表'!D:D,'02效果表'!E:E), 0) +
Y123*IF(_xlfn.XLOOKUP(X123,'02效果表'!D:D,'02效果表'!E:E)&lt;0, _xlfn.XLOOKUP(X123,'02效果表'!D:D,'02效果表'!E:E), 0) +
AA123*IF(_xlfn.XLOOKUP(Z123,'02效果表'!D:D,'02效果表'!E:E)&lt;0, _xlfn.XLOOKUP(Z123,'02效果表'!D:D,'02效果表'!E:E), 0) +
AC123*IF(_xlfn.XLOOKUP(AB123,'02效果表'!D:D,'02效果表'!E:E)&lt;0, _xlfn.XLOOKUP(AB123,'02效果表'!D:D,'02效果表'!E:E), 0) +
AE123*IF(_xlfn.XLOOKUP(AD123,'02效果表'!D:D,'02效果表'!E:E)&lt;0, _xlfn.XLOOKUP(AD123,'02效果表'!D:D,'02效果表'!E:E), 0)), 1)</f>
        <v>0</v>
      </c>
      <c r="G123" s="7">
        <f>ROUND(1/6*(I123*MAX(_xlfn.XLOOKUP(H123,'02效果表'!D:D,'02效果表'!E:E),0)+K123*MAX(_xlfn.XLOOKUP(J123,'02效果表'!D:D,'02效果表'!E:E),0)+M123*MAX(_xlfn.XLOOKUP(L123,'02效果表'!D:D,'02效果表'!E:E),0)+O123*MAX(_xlfn.XLOOKUP(N123,'02效果表'!D:D,'02效果表'!E:E),0)+Q123*MAX(_xlfn.XLOOKUP(P123,'02效果表'!D:D,'02效果表'!E:E),0)+S123*MAX(_xlfn.XLOOKUP(R123,'02效果表'!D:D,'02效果表'!E:E),0)+U123*MAX(_xlfn.XLOOKUP(T123,'02效果表'!D:D,'02效果表'!E:E),0)+W123*MAX(_xlfn.XLOOKUP(V123,'02效果表'!D:D,'02效果表'!E:E),0)+Y123*MAX(_xlfn.XLOOKUP(X123,'02效果表'!D:D,'02效果表'!E:E),0)+AA123*MAX(_xlfn.XLOOKUP(Z123,'02效果表'!D:D,'02效果表'!E:E),0)+AC123*MAX(_xlfn.XLOOKUP(AB123,'02效果表'!D:D,'02效果表'!E:E),0)+AE123*MAX(_xlfn.XLOOKUP(AD123,'02效果表'!D:D,'02效果表'!E:E),0)),1)</f>
        <v>0</v>
      </c>
      <c r="H123" s="6"/>
      <c r="I123" s="6"/>
      <c r="J123" s="6"/>
      <c r="K123" s="6"/>
      <c r="L123" s="6"/>
      <c r="M123" s="6"/>
      <c r="N123" s="6"/>
      <c r="O123" s="6"/>
      <c r="P123" s="6"/>
      <c r="Q123" s="6"/>
      <c r="R123" s="6"/>
      <c r="S123" s="6"/>
      <c r="T123" s="6"/>
      <c r="U123" s="6"/>
      <c r="V123" s="6"/>
      <c r="W123" s="6"/>
      <c r="X123" s="6"/>
      <c r="Y123" s="6"/>
      <c r="Z123" s="6"/>
      <c r="AA123" s="6"/>
      <c r="AB123" s="6"/>
      <c r="AC123" s="6"/>
      <c r="AD123" s="6"/>
      <c r="AE123" s="6"/>
    </row>
    <row r="124" spans="1:31" x14ac:dyDescent="0.35">
      <c r="A124" s="6">
        <v>124</v>
      </c>
      <c r="B124" s="6" t="s">
        <v>3</v>
      </c>
      <c r="C124" s="10" t="s">
        <v>2</v>
      </c>
      <c r="D124" s="9" t="s">
        <v>1350</v>
      </c>
      <c r="E124" s="7">
        <f t="shared" si="7"/>
        <v>0</v>
      </c>
      <c r="F124" s="7">
        <f>-1*ROUND(1/6*(I124*IF(_xlfn.XLOOKUP(H124,'02效果表'!D:D,'02效果表'!E:E)&lt;0, _xlfn.XLOOKUP(H124,'02效果表'!D:D,'02效果表'!E:E), 0) +
K124*IF(_xlfn.XLOOKUP(J124,'02效果表'!D:D,'02效果表'!E:E)&lt;0, _xlfn.XLOOKUP(J124,'02效果表'!D:D,'02效果表'!E:E), 0) +
M124*IF(_xlfn.XLOOKUP(L124,'02效果表'!D:D,'02效果表'!E:E)&lt;0, _xlfn.XLOOKUP(L124,'02效果表'!D:D,'02效果表'!E:E), 0) +
O124*IF(_xlfn.XLOOKUP(N124,'02效果表'!D:D,'02效果表'!E:E)&lt;0, _xlfn.XLOOKUP(N124,'02效果表'!D:D,'02效果表'!E:E), 0) +
Q124*IF(_xlfn.XLOOKUP(P124,'02效果表'!D:D,'02效果表'!E:E)&lt;0, _xlfn.XLOOKUP(P124,'02效果表'!D:D,'02效果表'!E:E), 0) +
S124*IF(_xlfn.XLOOKUP(R124,'02效果表'!D:D,'02效果表'!E:E)&lt;0, _xlfn.XLOOKUP(R124,'02效果表'!D:D,'02效果表'!E:E), 0) +
U124*IF(_xlfn.XLOOKUP(T124,'02效果表'!D:D,'02效果表'!E:E)&lt;0, _xlfn.XLOOKUP(T124,'02效果表'!D:D,'02效果表'!E:E), 0) +
W124*IF(_xlfn.XLOOKUP(V124,'02效果表'!D:D,'02效果表'!E:E)&lt;0, _xlfn.XLOOKUP(V124,'02效果表'!D:D,'02效果表'!E:E), 0) +
Y124*IF(_xlfn.XLOOKUP(X124,'02效果表'!D:D,'02效果表'!E:E)&lt;0, _xlfn.XLOOKUP(X124,'02效果表'!D:D,'02效果表'!E:E), 0) +
AA124*IF(_xlfn.XLOOKUP(Z124,'02效果表'!D:D,'02效果表'!E:E)&lt;0, _xlfn.XLOOKUP(Z124,'02效果表'!D:D,'02效果表'!E:E), 0) +
AC124*IF(_xlfn.XLOOKUP(AB124,'02效果表'!D:D,'02效果表'!E:E)&lt;0, _xlfn.XLOOKUP(AB124,'02效果表'!D:D,'02效果表'!E:E), 0) +
AE124*IF(_xlfn.XLOOKUP(AD124,'02效果表'!D:D,'02效果表'!E:E)&lt;0, _xlfn.XLOOKUP(AD124,'02效果表'!D:D,'02效果表'!E:E), 0)), 1)</f>
        <v>0</v>
      </c>
      <c r="G124" s="7">
        <f>ROUND(1/6*(I124*MAX(_xlfn.XLOOKUP(H124,'02效果表'!D:D,'02效果表'!E:E),0)+K124*MAX(_xlfn.XLOOKUP(J124,'02效果表'!D:D,'02效果表'!E:E),0)+M124*MAX(_xlfn.XLOOKUP(L124,'02效果表'!D:D,'02效果表'!E:E),0)+O124*MAX(_xlfn.XLOOKUP(N124,'02效果表'!D:D,'02效果表'!E:E),0)+Q124*MAX(_xlfn.XLOOKUP(P124,'02效果表'!D:D,'02效果表'!E:E),0)+S124*MAX(_xlfn.XLOOKUP(R124,'02效果表'!D:D,'02效果表'!E:E),0)+U124*MAX(_xlfn.XLOOKUP(T124,'02效果表'!D:D,'02效果表'!E:E),0)+W124*MAX(_xlfn.XLOOKUP(V124,'02效果表'!D:D,'02效果表'!E:E),0)+Y124*MAX(_xlfn.XLOOKUP(X124,'02效果表'!D:D,'02效果表'!E:E),0)+AA124*MAX(_xlfn.XLOOKUP(Z124,'02效果表'!D:D,'02效果表'!E:E),0)+AC124*MAX(_xlfn.XLOOKUP(AB124,'02效果表'!D:D,'02效果表'!E:E),0)+AE124*MAX(_xlfn.XLOOKUP(AD124,'02效果表'!D:D,'02效果表'!E:E),0)),1)</f>
        <v>0</v>
      </c>
      <c r="H124" s="6"/>
      <c r="I124" s="6"/>
      <c r="J124" s="6"/>
      <c r="K124" s="6"/>
      <c r="L124" s="6"/>
      <c r="M124" s="6"/>
      <c r="N124" s="6"/>
      <c r="O124" s="6"/>
      <c r="P124" s="6"/>
      <c r="Q124" s="6"/>
      <c r="R124" s="6"/>
      <c r="S124" s="6"/>
      <c r="T124" s="6"/>
      <c r="U124" s="6"/>
      <c r="V124" s="6"/>
      <c r="W124" s="6"/>
      <c r="X124" s="6"/>
      <c r="Y124" s="6"/>
      <c r="Z124" s="6"/>
      <c r="AA124" s="6"/>
      <c r="AB124" s="6"/>
      <c r="AC124" s="6"/>
      <c r="AD124" s="6"/>
      <c r="AE124" s="6"/>
    </row>
    <row r="125" spans="1:31" x14ac:dyDescent="0.35">
      <c r="A125" s="6">
        <v>125</v>
      </c>
      <c r="B125" s="6" t="s">
        <v>3</v>
      </c>
      <c r="C125" s="10" t="s">
        <v>2</v>
      </c>
      <c r="D125" s="9" t="s">
        <v>1351</v>
      </c>
      <c r="E125" s="7">
        <f t="shared" si="7"/>
        <v>0</v>
      </c>
      <c r="F125" s="7">
        <f>-1*ROUND(1/6*(I125*IF(_xlfn.XLOOKUP(H125,'02效果表'!D:D,'02效果表'!E:E)&lt;0, _xlfn.XLOOKUP(H125,'02效果表'!D:D,'02效果表'!E:E), 0) +
K125*IF(_xlfn.XLOOKUP(J125,'02效果表'!D:D,'02效果表'!E:E)&lt;0, _xlfn.XLOOKUP(J125,'02效果表'!D:D,'02效果表'!E:E), 0) +
M125*IF(_xlfn.XLOOKUP(L125,'02效果表'!D:D,'02效果表'!E:E)&lt;0, _xlfn.XLOOKUP(L125,'02效果表'!D:D,'02效果表'!E:E), 0) +
O125*IF(_xlfn.XLOOKUP(N125,'02效果表'!D:D,'02效果表'!E:E)&lt;0, _xlfn.XLOOKUP(N125,'02效果表'!D:D,'02效果表'!E:E), 0) +
Q125*IF(_xlfn.XLOOKUP(P125,'02效果表'!D:D,'02效果表'!E:E)&lt;0, _xlfn.XLOOKUP(P125,'02效果表'!D:D,'02效果表'!E:E), 0) +
S125*IF(_xlfn.XLOOKUP(R125,'02效果表'!D:D,'02效果表'!E:E)&lt;0, _xlfn.XLOOKUP(R125,'02效果表'!D:D,'02效果表'!E:E), 0) +
U125*IF(_xlfn.XLOOKUP(T125,'02效果表'!D:D,'02效果表'!E:E)&lt;0, _xlfn.XLOOKUP(T125,'02效果表'!D:D,'02效果表'!E:E), 0) +
W125*IF(_xlfn.XLOOKUP(V125,'02效果表'!D:D,'02效果表'!E:E)&lt;0, _xlfn.XLOOKUP(V125,'02效果表'!D:D,'02效果表'!E:E), 0) +
Y125*IF(_xlfn.XLOOKUP(X125,'02效果表'!D:D,'02效果表'!E:E)&lt;0, _xlfn.XLOOKUP(X125,'02效果表'!D:D,'02效果表'!E:E), 0) +
AA125*IF(_xlfn.XLOOKUP(Z125,'02效果表'!D:D,'02效果表'!E:E)&lt;0, _xlfn.XLOOKUP(Z125,'02效果表'!D:D,'02效果表'!E:E), 0) +
AC125*IF(_xlfn.XLOOKUP(AB125,'02效果表'!D:D,'02效果表'!E:E)&lt;0, _xlfn.XLOOKUP(AB125,'02效果表'!D:D,'02效果表'!E:E), 0) +
AE125*IF(_xlfn.XLOOKUP(AD125,'02效果表'!D:D,'02效果表'!E:E)&lt;0, _xlfn.XLOOKUP(AD125,'02效果表'!D:D,'02效果表'!E:E), 0)), 1)</f>
        <v>0</v>
      </c>
      <c r="G125" s="7">
        <f>ROUND(1/6*(I125*MAX(_xlfn.XLOOKUP(H125,'02效果表'!D:D,'02效果表'!E:E),0)+K125*MAX(_xlfn.XLOOKUP(J125,'02效果表'!D:D,'02效果表'!E:E),0)+M125*MAX(_xlfn.XLOOKUP(L125,'02效果表'!D:D,'02效果表'!E:E),0)+O125*MAX(_xlfn.XLOOKUP(N125,'02效果表'!D:D,'02效果表'!E:E),0)+Q125*MAX(_xlfn.XLOOKUP(P125,'02效果表'!D:D,'02效果表'!E:E),0)+S125*MAX(_xlfn.XLOOKUP(R125,'02效果表'!D:D,'02效果表'!E:E),0)+U125*MAX(_xlfn.XLOOKUP(T125,'02效果表'!D:D,'02效果表'!E:E),0)+W125*MAX(_xlfn.XLOOKUP(V125,'02效果表'!D:D,'02效果表'!E:E),0)+Y125*MAX(_xlfn.XLOOKUP(X125,'02效果表'!D:D,'02效果表'!E:E),0)+AA125*MAX(_xlfn.XLOOKUP(Z125,'02效果表'!D:D,'02效果表'!E:E),0)+AC125*MAX(_xlfn.XLOOKUP(AB125,'02效果表'!D:D,'02效果表'!E:E),0)+AE125*MAX(_xlfn.XLOOKUP(AD125,'02效果表'!D:D,'02效果表'!E:E),0)),1)</f>
        <v>0</v>
      </c>
      <c r="H125" s="6"/>
      <c r="I125" s="6"/>
      <c r="J125" s="6"/>
      <c r="K125" s="6"/>
      <c r="L125" s="6"/>
      <c r="M125" s="6"/>
      <c r="N125" s="6"/>
      <c r="O125" s="6"/>
      <c r="P125" s="6"/>
      <c r="Q125" s="6"/>
      <c r="R125" s="6"/>
      <c r="S125" s="6"/>
      <c r="T125" s="6"/>
      <c r="U125" s="6"/>
      <c r="V125" s="6"/>
      <c r="W125" s="6"/>
      <c r="X125" s="6"/>
      <c r="Y125" s="6"/>
      <c r="Z125" s="6"/>
      <c r="AA125" s="6"/>
      <c r="AB125" s="6"/>
      <c r="AC125" s="6"/>
      <c r="AD125" s="6"/>
      <c r="AE125" s="6"/>
    </row>
    <row r="126" spans="1:31" x14ac:dyDescent="0.35">
      <c r="A126" s="6">
        <v>126</v>
      </c>
      <c r="B126" s="6" t="s">
        <v>3</v>
      </c>
      <c r="C126" s="10" t="s">
        <v>2</v>
      </c>
      <c r="D126" s="9" t="s">
        <v>1352</v>
      </c>
      <c r="E126" s="7">
        <f t="shared" si="7"/>
        <v>0</v>
      </c>
      <c r="F126" s="7">
        <f>-1*ROUND(1/6*(I126*IF(_xlfn.XLOOKUP(H126,'02效果表'!D:D,'02效果表'!E:E)&lt;0, _xlfn.XLOOKUP(H126,'02效果表'!D:D,'02效果表'!E:E), 0) +
K126*IF(_xlfn.XLOOKUP(J126,'02效果表'!D:D,'02效果表'!E:E)&lt;0, _xlfn.XLOOKUP(J126,'02效果表'!D:D,'02效果表'!E:E), 0) +
M126*IF(_xlfn.XLOOKUP(L126,'02效果表'!D:D,'02效果表'!E:E)&lt;0, _xlfn.XLOOKUP(L126,'02效果表'!D:D,'02效果表'!E:E), 0) +
O126*IF(_xlfn.XLOOKUP(N126,'02效果表'!D:D,'02效果表'!E:E)&lt;0, _xlfn.XLOOKUP(N126,'02效果表'!D:D,'02效果表'!E:E), 0) +
Q126*IF(_xlfn.XLOOKUP(P126,'02效果表'!D:D,'02效果表'!E:E)&lt;0, _xlfn.XLOOKUP(P126,'02效果表'!D:D,'02效果表'!E:E), 0) +
S126*IF(_xlfn.XLOOKUP(R126,'02效果表'!D:D,'02效果表'!E:E)&lt;0, _xlfn.XLOOKUP(R126,'02效果表'!D:D,'02效果表'!E:E), 0) +
U126*IF(_xlfn.XLOOKUP(T126,'02效果表'!D:D,'02效果表'!E:E)&lt;0, _xlfn.XLOOKUP(T126,'02效果表'!D:D,'02效果表'!E:E), 0) +
W126*IF(_xlfn.XLOOKUP(V126,'02效果表'!D:D,'02效果表'!E:E)&lt;0, _xlfn.XLOOKUP(V126,'02效果表'!D:D,'02效果表'!E:E), 0) +
Y126*IF(_xlfn.XLOOKUP(X126,'02效果表'!D:D,'02效果表'!E:E)&lt;0, _xlfn.XLOOKUP(X126,'02效果表'!D:D,'02效果表'!E:E), 0) +
AA126*IF(_xlfn.XLOOKUP(Z126,'02效果表'!D:D,'02效果表'!E:E)&lt;0, _xlfn.XLOOKUP(Z126,'02效果表'!D:D,'02效果表'!E:E), 0) +
AC126*IF(_xlfn.XLOOKUP(AB126,'02效果表'!D:D,'02效果表'!E:E)&lt;0, _xlfn.XLOOKUP(AB126,'02效果表'!D:D,'02效果表'!E:E), 0) +
AE126*IF(_xlfn.XLOOKUP(AD126,'02效果表'!D:D,'02效果表'!E:E)&lt;0, _xlfn.XLOOKUP(AD126,'02效果表'!D:D,'02效果表'!E:E), 0)), 1)</f>
        <v>0</v>
      </c>
      <c r="G126" s="7">
        <f>ROUND(1/6*(I126*MAX(_xlfn.XLOOKUP(H126,'02效果表'!D:D,'02效果表'!E:E),0)+K126*MAX(_xlfn.XLOOKUP(J126,'02效果表'!D:D,'02效果表'!E:E),0)+M126*MAX(_xlfn.XLOOKUP(L126,'02效果表'!D:D,'02效果表'!E:E),0)+O126*MAX(_xlfn.XLOOKUP(N126,'02效果表'!D:D,'02效果表'!E:E),0)+Q126*MAX(_xlfn.XLOOKUP(P126,'02效果表'!D:D,'02效果表'!E:E),0)+S126*MAX(_xlfn.XLOOKUP(R126,'02效果表'!D:D,'02效果表'!E:E),0)+U126*MAX(_xlfn.XLOOKUP(T126,'02效果表'!D:D,'02效果表'!E:E),0)+W126*MAX(_xlfn.XLOOKUP(V126,'02效果表'!D:D,'02效果表'!E:E),0)+Y126*MAX(_xlfn.XLOOKUP(X126,'02效果表'!D:D,'02效果表'!E:E),0)+AA126*MAX(_xlfn.XLOOKUP(Z126,'02效果表'!D:D,'02效果表'!E:E),0)+AC126*MAX(_xlfn.XLOOKUP(AB126,'02效果表'!D:D,'02效果表'!E:E),0)+AE126*MAX(_xlfn.XLOOKUP(AD126,'02效果表'!D:D,'02效果表'!E:E),0)),1)</f>
        <v>0</v>
      </c>
      <c r="H126" s="6"/>
      <c r="I126" s="6"/>
      <c r="J126" s="6"/>
      <c r="K126" s="6"/>
      <c r="L126" s="6"/>
      <c r="M126" s="6"/>
      <c r="N126" s="6"/>
      <c r="O126" s="6"/>
      <c r="P126" s="6"/>
      <c r="Q126" s="6"/>
      <c r="R126" s="6"/>
      <c r="S126" s="6"/>
      <c r="T126" s="6"/>
      <c r="U126" s="6"/>
      <c r="V126" s="6"/>
      <c r="W126" s="6"/>
      <c r="X126" s="6"/>
      <c r="Y126" s="6"/>
      <c r="Z126" s="6"/>
      <c r="AA126" s="6"/>
      <c r="AB126" s="6"/>
      <c r="AC126" s="6"/>
      <c r="AD126" s="6"/>
      <c r="AE126" s="6"/>
    </row>
    <row r="127" spans="1:31" x14ac:dyDescent="0.35">
      <c r="A127" s="6">
        <v>127</v>
      </c>
      <c r="B127" s="6" t="s">
        <v>3</v>
      </c>
      <c r="C127" s="10" t="s">
        <v>2</v>
      </c>
      <c r="D127" s="9"/>
      <c r="E127" s="7">
        <f t="shared" si="7"/>
        <v>0</v>
      </c>
      <c r="F127" s="7">
        <f>-1*ROUND(1/6*(I127*IF(_xlfn.XLOOKUP(H127,'02效果表'!D:D,'02效果表'!E:E)&lt;0, _xlfn.XLOOKUP(H127,'02效果表'!D:D,'02效果表'!E:E), 0) +
K127*IF(_xlfn.XLOOKUP(J127,'02效果表'!D:D,'02效果表'!E:E)&lt;0, _xlfn.XLOOKUP(J127,'02效果表'!D:D,'02效果表'!E:E), 0) +
M127*IF(_xlfn.XLOOKUP(L127,'02效果表'!D:D,'02效果表'!E:E)&lt;0, _xlfn.XLOOKUP(L127,'02效果表'!D:D,'02效果表'!E:E), 0) +
O127*IF(_xlfn.XLOOKUP(N127,'02效果表'!D:D,'02效果表'!E:E)&lt;0, _xlfn.XLOOKUP(N127,'02效果表'!D:D,'02效果表'!E:E), 0) +
Q127*IF(_xlfn.XLOOKUP(P127,'02效果表'!D:D,'02效果表'!E:E)&lt;0, _xlfn.XLOOKUP(P127,'02效果表'!D:D,'02效果表'!E:E), 0) +
S127*IF(_xlfn.XLOOKUP(R127,'02效果表'!D:D,'02效果表'!E:E)&lt;0, _xlfn.XLOOKUP(R127,'02效果表'!D:D,'02效果表'!E:E), 0) +
U127*IF(_xlfn.XLOOKUP(T127,'02效果表'!D:D,'02效果表'!E:E)&lt;0, _xlfn.XLOOKUP(T127,'02效果表'!D:D,'02效果表'!E:E), 0) +
W127*IF(_xlfn.XLOOKUP(V127,'02效果表'!D:D,'02效果表'!E:E)&lt;0, _xlfn.XLOOKUP(V127,'02效果表'!D:D,'02效果表'!E:E), 0) +
Y127*IF(_xlfn.XLOOKUP(X127,'02效果表'!D:D,'02效果表'!E:E)&lt;0, _xlfn.XLOOKUP(X127,'02效果表'!D:D,'02效果表'!E:E), 0) +
AA127*IF(_xlfn.XLOOKUP(Z127,'02效果表'!D:D,'02效果表'!E:E)&lt;0, _xlfn.XLOOKUP(Z127,'02效果表'!D:D,'02效果表'!E:E), 0) +
AC127*IF(_xlfn.XLOOKUP(AB127,'02效果表'!D:D,'02效果表'!E:E)&lt;0, _xlfn.XLOOKUP(AB127,'02效果表'!D:D,'02效果表'!E:E), 0) +
AE127*IF(_xlfn.XLOOKUP(AD127,'02效果表'!D:D,'02效果表'!E:E)&lt;0, _xlfn.XLOOKUP(AD127,'02效果表'!D:D,'02效果表'!E:E), 0)), 1)</f>
        <v>0</v>
      </c>
      <c r="G127" s="7">
        <f>ROUND(1/6*(I127*MAX(_xlfn.XLOOKUP(H127,'02效果表'!D:D,'02效果表'!E:E),0)+K127*MAX(_xlfn.XLOOKUP(J127,'02效果表'!D:D,'02效果表'!E:E),0)+M127*MAX(_xlfn.XLOOKUP(L127,'02效果表'!D:D,'02效果表'!E:E),0)+O127*MAX(_xlfn.XLOOKUP(N127,'02效果表'!D:D,'02效果表'!E:E),0)+Q127*MAX(_xlfn.XLOOKUP(P127,'02效果表'!D:D,'02效果表'!E:E),0)+S127*MAX(_xlfn.XLOOKUP(R127,'02效果表'!D:D,'02效果表'!E:E),0)+U127*MAX(_xlfn.XLOOKUP(T127,'02效果表'!D:D,'02效果表'!E:E),0)+W127*MAX(_xlfn.XLOOKUP(V127,'02效果表'!D:D,'02效果表'!E:E),0)+Y127*MAX(_xlfn.XLOOKUP(X127,'02效果表'!D:D,'02效果表'!E:E),0)+AA127*MAX(_xlfn.XLOOKUP(Z127,'02效果表'!D:D,'02效果表'!E:E),0)+AC127*MAX(_xlfn.XLOOKUP(AB127,'02效果表'!D:D,'02效果表'!E:E),0)+AE127*MAX(_xlfn.XLOOKUP(AD127,'02效果表'!D:D,'02效果表'!E:E),0)),1)</f>
        <v>0</v>
      </c>
      <c r="H127" s="6"/>
      <c r="I127" s="6"/>
      <c r="J127" s="6"/>
      <c r="K127" s="6"/>
      <c r="L127" s="6"/>
      <c r="M127" s="6"/>
      <c r="N127" s="6"/>
      <c r="O127" s="6"/>
      <c r="P127" s="6"/>
      <c r="Q127" s="6"/>
      <c r="R127" s="6"/>
      <c r="S127" s="6"/>
      <c r="T127" s="6"/>
      <c r="U127" s="6"/>
      <c r="V127" s="6"/>
      <c r="W127" s="6"/>
      <c r="X127" s="6"/>
      <c r="Y127" s="6"/>
      <c r="Z127" s="6"/>
      <c r="AA127" s="6"/>
      <c r="AB127" s="6"/>
      <c r="AC127" s="6"/>
      <c r="AD127" s="6"/>
      <c r="AE127" s="6"/>
    </row>
    <row r="128" spans="1:31" x14ac:dyDescent="0.35">
      <c r="A128" s="6">
        <v>128</v>
      </c>
      <c r="B128" s="6" t="s">
        <v>3</v>
      </c>
      <c r="C128" s="10" t="s">
        <v>2</v>
      </c>
      <c r="D128" s="9"/>
      <c r="E128" s="7">
        <f t="shared" si="7"/>
        <v>0</v>
      </c>
      <c r="F128" s="7">
        <f>-1*ROUND(1/6*(I128*IF(_xlfn.XLOOKUP(H128,'02效果表'!D:D,'02效果表'!E:E)&lt;0, _xlfn.XLOOKUP(H128,'02效果表'!D:D,'02效果表'!E:E), 0) +
K128*IF(_xlfn.XLOOKUP(J128,'02效果表'!D:D,'02效果表'!E:E)&lt;0, _xlfn.XLOOKUP(J128,'02效果表'!D:D,'02效果表'!E:E), 0) +
M128*IF(_xlfn.XLOOKUP(L128,'02效果表'!D:D,'02效果表'!E:E)&lt;0, _xlfn.XLOOKUP(L128,'02效果表'!D:D,'02效果表'!E:E), 0) +
O128*IF(_xlfn.XLOOKUP(N128,'02效果表'!D:D,'02效果表'!E:E)&lt;0, _xlfn.XLOOKUP(N128,'02效果表'!D:D,'02效果表'!E:E), 0) +
Q128*IF(_xlfn.XLOOKUP(P128,'02效果表'!D:D,'02效果表'!E:E)&lt;0, _xlfn.XLOOKUP(P128,'02效果表'!D:D,'02效果表'!E:E), 0) +
S128*IF(_xlfn.XLOOKUP(R128,'02效果表'!D:D,'02效果表'!E:E)&lt;0, _xlfn.XLOOKUP(R128,'02效果表'!D:D,'02效果表'!E:E), 0) +
U128*IF(_xlfn.XLOOKUP(T128,'02效果表'!D:D,'02效果表'!E:E)&lt;0, _xlfn.XLOOKUP(T128,'02效果表'!D:D,'02效果表'!E:E), 0) +
W128*IF(_xlfn.XLOOKUP(V128,'02效果表'!D:D,'02效果表'!E:E)&lt;0, _xlfn.XLOOKUP(V128,'02效果表'!D:D,'02效果表'!E:E), 0) +
Y128*IF(_xlfn.XLOOKUP(X128,'02效果表'!D:D,'02效果表'!E:E)&lt;0, _xlfn.XLOOKUP(X128,'02效果表'!D:D,'02效果表'!E:E), 0) +
AA128*IF(_xlfn.XLOOKUP(Z128,'02效果表'!D:D,'02效果表'!E:E)&lt;0, _xlfn.XLOOKUP(Z128,'02效果表'!D:D,'02效果表'!E:E), 0) +
AC128*IF(_xlfn.XLOOKUP(AB128,'02效果表'!D:D,'02效果表'!E:E)&lt;0, _xlfn.XLOOKUP(AB128,'02效果表'!D:D,'02效果表'!E:E), 0) +
AE128*IF(_xlfn.XLOOKUP(AD128,'02效果表'!D:D,'02效果表'!E:E)&lt;0, _xlfn.XLOOKUP(AD128,'02效果表'!D:D,'02效果表'!E:E), 0)), 1)</f>
        <v>0</v>
      </c>
      <c r="G128" s="7">
        <f>ROUND(1/6*(I128*MAX(_xlfn.XLOOKUP(H128,'02效果表'!D:D,'02效果表'!E:E),0)+K128*MAX(_xlfn.XLOOKUP(J128,'02效果表'!D:D,'02效果表'!E:E),0)+M128*MAX(_xlfn.XLOOKUP(L128,'02效果表'!D:D,'02效果表'!E:E),0)+O128*MAX(_xlfn.XLOOKUP(N128,'02效果表'!D:D,'02效果表'!E:E),0)+Q128*MAX(_xlfn.XLOOKUP(P128,'02效果表'!D:D,'02效果表'!E:E),0)+S128*MAX(_xlfn.XLOOKUP(R128,'02效果表'!D:D,'02效果表'!E:E),0)+U128*MAX(_xlfn.XLOOKUP(T128,'02效果表'!D:D,'02效果表'!E:E),0)+W128*MAX(_xlfn.XLOOKUP(V128,'02效果表'!D:D,'02效果表'!E:E),0)+Y128*MAX(_xlfn.XLOOKUP(X128,'02效果表'!D:D,'02效果表'!E:E),0)+AA128*MAX(_xlfn.XLOOKUP(Z128,'02效果表'!D:D,'02效果表'!E:E),0)+AC128*MAX(_xlfn.XLOOKUP(AB128,'02效果表'!D:D,'02效果表'!E:E),0)+AE128*MAX(_xlfn.XLOOKUP(AD128,'02效果表'!D:D,'02效果表'!E:E),0)),1)</f>
        <v>0</v>
      </c>
      <c r="H128" s="6"/>
      <c r="I128" s="6"/>
      <c r="J128" s="6"/>
      <c r="K128" s="6"/>
      <c r="L128" s="6"/>
      <c r="M128" s="6"/>
      <c r="N128" s="6"/>
      <c r="O128" s="6"/>
      <c r="P128" s="6"/>
      <c r="Q128" s="6"/>
      <c r="R128" s="6"/>
      <c r="S128" s="6"/>
      <c r="T128" s="6"/>
      <c r="U128" s="6"/>
      <c r="V128" s="6"/>
      <c r="W128" s="6"/>
      <c r="X128" s="6"/>
      <c r="Y128" s="6"/>
      <c r="Z128" s="6"/>
      <c r="AA128" s="6"/>
      <c r="AB128" s="6"/>
      <c r="AC128" s="6"/>
      <c r="AD128" s="6"/>
      <c r="AE128" s="6"/>
    </row>
    <row r="129" spans="1:31" x14ac:dyDescent="0.35">
      <c r="A129" s="6">
        <v>129</v>
      </c>
      <c r="B129" s="6" t="s">
        <v>3</v>
      </c>
      <c r="C129" s="10" t="s">
        <v>2</v>
      </c>
      <c r="D129" s="9"/>
      <c r="E129" s="7">
        <f t="shared" si="7"/>
        <v>0</v>
      </c>
      <c r="F129" s="7">
        <f>-1*ROUND(1/6*(I129*IF(_xlfn.XLOOKUP(H129,'02效果表'!D:D,'02效果表'!E:E)&lt;0, _xlfn.XLOOKUP(H129,'02效果表'!D:D,'02效果表'!E:E), 0) +
K129*IF(_xlfn.XLOOKUP(J129,'02效果表'!D:D,'02效果表'!E:E)&lt;0, _xlfn.XLOOKUP(J129,'02效果表'!D:D,'02效果表'!E:E), 0) +
M129*IF(_xlfn.XLOOKUP(L129,'02效果表'!D:D,'02效果表'!E:E)&lt;0, _xlfn.XLOOKUP(L129,'02效果表'!D:D,'02效果表'!E:E), 0) +
O129*IF(_xlfn.XLOOKUP(N129,'02效果表'!D:D,'02效果表'!E:E)&lt;0, _xlfn.XLOOKUP(N129,'02效果表'!D:D,'02效果表'!E:E), 0) +
Q129*IF(_xlfn.XLOOKUP(P129,'02效果表'!D:D,'02效果表'!E:E)&lt;0, _xlfn.XLOOKUP(P129,'02效果表'!D:D,'02效果表'!E:E), 0) +
S129*IF(_xlfn.XLOOKUP(R129,'02效果表'!D:D,'02效果表'!E:E)&lt;0, _xlfn.XLOOKUP(R129,'02效果表'!D:D,'02效果表'!E:E), 0) +
U129*IF(_xlfn.XLOOKUP(T129,'02效果表'!D:D,'02效果表'!E:E)&lt;0, _xlfn.XLOOKUP(T129,'02效果表'!D:D,'02效果表'!E:E), 0) +
W129*IF(_xlfn.XLOOKUP(V129,'02效果表'!D:D,'02效果表'!E:E)&lt;0, _xlfn.XLOOKUP(V129,'02效果表'!D:D,'02效果表'!E:E), 0) +
Y129*IF(_xlfn.XLOOKUP(X129,'02效果表'!D:D,'02效果表'!E:E)&lt;0, _xlfn.XLOOKUP(X129,'02效果表'!D:D,'02效果表'!E:E), 0) +
AA129*IF(_xlfn.XLOOKUP(Z129,'02效果表'!D:D,'02效果表'!E:E)&lt;0, _xlfn.XLOOKUP(Z129,'02效果表'!D:D,'02效果表'!E:E), 0) +
AC129*IF(_xlfn.XLOOKUP(AB129,'02效果表'!D:D,'02效果表'!E:E)&lt;0, _xlfn.XLOOKUP(AB129,'02效果表'!D:D,'02效果表'!E:E), 0) +
AE129*IF(_xlfn.XLOOKUP(AD129,'02效果表'!D:D,'02效果表'!E:E)&lt;0, _xlfn.XLOOKUP(AD129,'02效果表'!D:D,'02效果表'!E:E), 0)), 1)</f>
        <v>0</v>
      </c>
      <c r="G129" s="7">
        <f>ROUND(1/6*(I129*MAX(_xlfn.XLOOKUP(H129,'02效果表'!D:D,'02效果表'!E:E),0)+K129*MAX(_xlfn.XLOOKUP(J129,'02效果表'!D:D,'02效果表'!E:E),0)+M129*MAX(_xlfn.XLOOKUP(L129,'02效果表'!D:D,'02效果表'!E:E),0)+O129*MAX(_xlfn.XLOOKUP(N129,'02效果表'!D:D,'02效果表'!E:E),0)+Q129*MAX(_xlfn.XLOOKUP(P129,'02效果表'!D:D,'02效果表'!E:E),0)+S129*MAX(_xlfn.XLOOKUP(R129,'02效果表'!D:D,'02效果表'!E:E),0)+U129*MAX(_xlfn.XLOOKUP(T129,'02效果表'!D:D,'02效果表'!E:E),0)+W129*MAX(_xlfn.XLOOKUP(V129,'02效果表'!D:D,'02效果表'!E:E),0)+Y129*MAX(_xlfn.XLOOKUP(X129,'02效果表'!D:D,'02效果表'!E:E),0)+AA129*MAX(_xlfn.XLOOKUP(Z129,'02效果表'!D:D,'02效果表'!E:E),0)+AC129*MAX(_xlfn.XLOOKUP(AB129,'02效果表'!D:D,'02效果表'!E:E),0)+AE129*MAX(_xlfn.XLOOKUP(AD129,'02效果表'!D:D,'02效果表'!E:E),0)),1)</f>
        <v>0</v>
      </c>
      <c r="H129" s="6"/>
      <c r="I129" s="6"/>
      <c r="J129" s="6"/>
      <c r="K129" s="6"/>
      <c r="L129" s="6"/>
      <c r="M129" s="6"/>
      <c r="N129" s="6"/>
      <c r="O129" s="6"/>
      <c r="P129" s="6"/>
      <c r="Q129" s="6"/>
      <c r="R129" s="6"/>
      <c r="S129" s="6"/>
      <c r="T129" s="6"/>
      <c r="U129" s="6"/>
      <c r="V129" s="6"/>
      <c r="W129" s="6"/>
      <c r="X129" s="6"/>
      <c r="Y129" s="6"/>
      <c r="Z129" s="6"/>
      <c r="AA129" s="6"/>
      <c r="AB129" s="6"/>
      <c r="AC129" s="6"/>
      <c r="AD129" s="6"/>
      <c r="AE129" s="6"/>
    </row>
    <row r="130" spans="1:31" x14ac:dyDescent="0.35">
      <c r="A130" s="6">
        <v>130</v>
      </c>
      <c r="B130" s="6" t="s">
        <v>3</v>
      </c>
      <c r="C130" s="10" t="s">
        <v>2</v>
      </c>
      <c r="D130" s="9"/>
      <c r="E130" s="7">
        <f t="shared" ref="E130:E193" si="9">ROUND(G130-F130,0)</f>
        <v>0</v>
      </c>
      <c r="F130" s="7">
        <f>-1*ROUND(1/6*(I130*IF(_xlfn.XLOOKUP(H130,'02效果表'!D:D,'02效果表'!E:E)&lt;0, _xlfn.XLOOKUP(H130,'02效果表'!D:D,'02效果表'!E:E), 0) +
K130*IF(_xlfn.XLOOKUP(J130,'02效果表'!D:D,'02效果表'!E:E)&lt;0, _xlfn.XLOOKUP(J130,'02效果表'!D:D,'02效果表'!E:E), 0) +
M130*IF(_xlfn.XLOOKUP(L130,'02效果表'!D:D,'02效果表'!E:E)&lt;0, _xlfn.XLOOKUP(L130,'02效果表'!D:D,'02效果表'!E:E), 0) +
O130*IF(_xlfn.XLOOKUP(N130,'02效果表'!D:D,'02效果表'!E:E)&lt;0, _xlfn.XLOOKUP(N130,'02效果表'!D:D,'02效果表'!E:E), 0) +
Q130*IF(_xlfn.XLOOKUP(P130,'02效果表'!D:D,'02效果表'!E:E)&lt;0, _xlfn.XLOOKUP(P130,'02效果表'!D:D,'02效果表'!E:E), 0) +
S130*IF(_xlfn.XLOOKUP(R130,'02效果表'!D:D,'02效果表'!E:E)&lt;0, _xlfn.XLOOKUP(R130,'02效果表'!D:D,'02效果表'!E:E), 0) +
U130*IF(_xlfn.XLOOKUP(T130,'02效果表'!D:D,'02效果表'!E:E)&lt;0, _xlfn.XLOOKUP(T130,'02效果表'!D:D,'02效果表'!E:E), 0) +
W130*IF(_xlfn.XLOOKUP(V130,'02效果表'!D:D,'02效果表'!E:E)&lt;0, _xlfn.XLOOKUP(V130,'02效果表'!D:D,'02效果表'!E:E), 0) +
Y130*IF(_xlfn.XLOOKUP(X130,'02效果表'!D:D,'02效果表'!E:E)&lt;0, _xlfn.XLOOKUP(X130,'02效果表'!D:D,'02效果表'!E:E), 0) +
AA130*IF(_xlfn.XLOOKUP(Z130,'02效果表'!D:D,'02效果表'!E:E)&lt;0, _xlfn.XLOOKUP(Z130,'02效果表'!D:D,'02效果表'!E:E), 0) +
AC130*IF(_xlfn.XLOOKUP(AB130,'02效果表'!D:D,'02效果表'!E:E)&lt;0, _xlfn.XLOOKUP(AB130,'02效果表'!D:D,'02效果表'!E:E), 0) +
AE130*IF(_xlfn.XLOOKUP(AD130,'02效果表'!D:D,'02效果表'!E:E)&lt;0, _xlfn.XLOOKUP(AD130,'02效果表'!D:D,'02效果表'!E:E), 0)), 1)</f>
        <v>0</v>
      </c>
      <c r="G130" s="7">
        <f>ROUND(1/6*(I130*MAX(_xlfn.XLOOKUP(H130,'02效果表'!D:D,'02效果表'!E:E),0)+K130*MAX(_xlfn.XLOOKUP(J130,'02效果表'!D:D,'02效果表'!E:E),0)+M130*MAX(_xlfn.XLOOKUP(L130,'02效果表'!D:D,'02效果表'!E:E),0)+O130*MAX(_xlfn.XLOOKUP(N130,'02效果表'!D:D,'02效果表'!E:E),0)+Q130*MAX(_xlfn.XLOOKUP(P130,'02效果表'!D:D,'02效果表'!E:E),0)+S130*MAX(_xlfn.XLOOKUP(R130,'02效果表'!D:D,'02效果表'!E:E),0)+U130*MAX(_xlfn.XLOOKUP(T130,'02效果表'!D:D,'02效果表'!E:E),0)+W130*MAX(_xlfn.XLOOKUP(V130,'02效果表'!D:D,'02效果表'!E:E),0)+Y130*MAX(_xlfn.XLOOKUP(X130,'02效果表'!D:D,'02效果表'!E:E),0)+AA130*MAX(_xlfn.XLOOKUP(Z130,'02效果表'!D:D,'02效果表'!E:E),0)+AC130*MAX(_xlfn.XLOOKUP(AB130,'02效果表'!D:D,'02效果表'!E:E),0)+AE130*MAX(_xlfn.XLOOKUP(AD130,'02效果表'!D:D,'02效果表'!E:E),0)),1)</f>
        <v>0</v>
      </c>
      <c r="H130" s="6"/>
      <c r="I130" s="6"/>
      <c r="J130" s="6"/>
      <c r="K130" s="6"/>
      <c r="L130" s="6"/>
      <c r="M130" s="6"/>
      <c r="N130" s="6"/>
      <c r="O130" s="6"/>
      <c r="P130" s="6"/>
      <c r="Q130" s="6"/>
      <c r="R130" s="6"/>
      <c r="S130" s="6"/>
      <c r="T130" s="6"/>
      <c r="U130" s="6"/>
      <c r="V130" s="6"/>
      <c r="W130" s="6"/>
      <c r="X130" s="6"/>
      <c r="Y130" s="6"/>
      <c r="Z130" s="6"/>
      <c r="AA130" s="6"/>
      <c r="AB130" s="6"/>
      <c r="AC130" s="6"/>
      <c r="AD130" s="6"/>
      <c r="AE130" s="6"/>
    </row>
    <row r="131" spans="1:31" x14ac:dyDescent="0.35">
      <c r="A131" s="6">
        <v>131</v>
      </c>
      <c r="B131" s="6" t="s">
        <v>3</v>
      </c>
      <c r="C131" s="10" t="s">
        <v>16</v>
      </c>
      <c r="D131" s="9" t="s">
        <v>1353</v>
      </c>
      <c r="E131" s="7">
        <f t="shared" si="9"/>
        <v>0</v>
      </c>
      <c r="F131" s="7">
        <f>-1*ROUND(1/6*(I131*IF(_xlfn.XLOOKUP(H131,'02效果表'!D:D,'02效果表'!E:E)&lt;0, _xlfn.XLOOKUP(H131,'02效果表'!D:D,'02效果表'!E:E), 0) +
K131*IF(_xlfn.XLOOKUP(J131,'02效果表'!D:D,'02效果表'!E:E)&lt;0, _xlfn.XLOOKUP(J131,'02效果表'!D:D,'02效果表'!E:E), 0) +
M131*IF(_xlfn.XLOOKUP(L131,'02效果表'!D:D,'02效果表'!E:E)&lt;0, _xlfn.XLOOKUP(L131,'02效果表'!D:D,'02效果表'!E:E), 0) +
O131*IF(_xlfn.XLOOKUP(N131,'02效果表'!D:D,'02效果表'!E:E)&lt;0, _xlfn.XLOOKUP(N131,'02效果表'!D:D,'02效果表'!E:E), 0) +
Q131*IF(_xlfn.XLOOKUP(P131,'02效果表'!D:D,'02效果表'!E:E)&lt;0, _xlfn.XLOOKUP(P131,'02效果表'!D:D,'02效果表'!E:E), 0) +
S131*IF(_xlfn.XLOOKUP(R131,'02效果表'!D:D,'02效果表'!E:E)&lt;0, _xlfn.XLOOKUP(R131,'02效果表'!D:D,'02效果表'!E:E), 0) +
U131*IF(_xlfn.XLOOKUP(T131,'02效果表'!D:D,'02效果表'!E:E)&lt;0, _xlfn.XLOOKUP(T131,'02效果表'!D:D,'02效果表'!E:E), 0) +
W131*IF(_xlfn.XLOOKUP(V131,'02效果表'!D:D,'02效果表'!E:E)&lt;0, _xlfn.XLOOKUP(V131,'02效果表'!D:D,'02效果表'!E:E), 0) +
Y131*IF(_xlfn.XLOOKUP(X131,'02效果表'!D:D,'02效果表'!E:E)&lt;0, _xlfn.XLOOKUP(X131,'02效果表'!D:D,'02效果表'!E:E), 0) +
AA131*IF(_xlfn.XLOOKUP(Z131,'02效果表'!D:D,'02效果表'!E:E)&lt;0, _xlfn.XLOOKUP(Z131,'02效果表'!D:D,'02效果表'!E:E), 0) +
AC131*IF(_xlfn.XLOOKUP(AB131,'02效果表'!D:D,'02效果表'!E:E)&lt;0, _xlfn.XLOOKUP(AB131,'02效果表'!D:D,'02效果表'!E:E), 0) +
AE131*IF(_xlfn.XLOOKUP(AD131,'02效果表'!D:D,'02效果表'!E:E)&lt;0, _xlfn.XLOOKUP(AD131,'02效果表'!D:D,'02效果表'!E:E), 0)), 1)</f>
        <v>0</v>
      </c>
      <c r="G131" s="7">
        <f>ROUND(1/6*(I131*MAX(_xlfn.XLOOKUP(H131,'02效果表'!D:D,'02效果表'!E:E),0)+K131*MAX(_xlfn.XLOOKUP(J131,'02效果表'!D:D,'02效果表'!E:E),0)+M131*MAX(_xlfn.XLOOKUP(L131,'02效果表'!D:D,'02效果表'!E:E),0)+O131*MAX(_xlfn.XLOOKUP(N131,'02效果表'!D:D,'02效果表'!E:E),0)+Q131*MAX(_xlfn.XLOOKUP(P131,'02效果表'!D:D,'02效果表'!E:E),0)+S131*MAX(_xlfn.XLOOKUP(R131,'02效果表'!D:D,'02效果表'!E:E),0)+U131*MAX(_xlfn.XLOOKUP(T131,'02效果表'!D:D,'02效果表'!E:E),0)+W131*MAX(_xlfn.XLOOKUP(V131,'02效果表'!D:D,'02效果表'!E:E),0)+Y131*MAX(_xlfn.XLOOKUP(X131,'02效果表'!D:D,'02效果表'!E:E),0)+AA131*MAX(_xlfn.XLOOKUP(Z131,'02效果表'!D:D,'02效果表'!E:E),0)+AC131*MAX(_xlfn.XLOOKUP(AB131,'02效果表'!D:D,'02效果表'!E:E),0)+AE131*MAX(_xlfn.XLOOKUP(AD131,'02效果表'!D:D,'02效果表'!E:E),0)),1)</f>
        <v>0</v>
      </c>
      <c r="H131" s="6"/>
      <c r="I131" s="6"/>
      <c r="J131" s="6"/>
      <c r="K131" s="6"/>
      <c r="L131" s="6"/>
      <c r="M131" s="6"/>
      <c r="N131" s="6"/>
      <c r="O131" s="6"/>
      <c r="P131" s="6"/>
      <c r="Q131" s="6"/>
      <c r="R131" s="6"/>
      <c r="S131" s="6"/>
      <c r="T131" s="6"/>
      <c r="U131" s="6"/>
      <c r="V131" s="6"/>
      <c r="W131" s="6"/>
      <c r="X131" s="6"/>
      <c r="Y131" s="6"/>
      <c r="Z131" s="6"/>
      <c r="AA131" s="6"/>
      <c r="AB131" s="6"/>
      <c r="AC131" s="6"/>
      <c r="AD131" s="6"/>
      <c r="AE131" s="6"/>
    </row>
    <row r="132" spans="1:31" x14ac:dyDescent="0.35">
      <c r="A132" s="6">
        <v>132</v>
      </c>
      <c r="B132" s="6" t="s">
        <v>3</v>
      </c>
      <c r="C132" s="10" t="s">
        <v>16</v>
      </c>
      <c r="D132" s="9" t="s">
        <v>1354</v>
      </c>
      <c r="E132" s="7">
        <f t="shared" si="9"/>
        <v>0</v>
      </c>
      <c r="F132" s="7">
        <f>-1*ROUND(1/6*(I132*IF(_xlfn.XLOOKUP(H132,'02效果表'!D:D,'02效果表'!E:E)&lt;0, _xlfn.XLOOKUP(H132,'02效果表'!D:D,'02效果表'!E:E), 0) +
K132*IF(_xlfn.XLOOKUP(J132,'02效果表'!D:D,'02效果表'!E:E)&lt;0, _xlfn.XLOOKUP(J132,'02效果表'!D:D,'02效果表'!E:E), 0) +
M132*IF(_xlfn.XLOOKUP(L132,'02效果表'!D:D,'02效果表'!E:E)&lt;0, _xlfn.XLOOKUP(L132,'02效果表'!D:D,'02效果表'!E:E), 0) +
O132*IF(_xlfn.XLOOKUP(N132,'02效果表'!D:D,'02效果表'!E:E)&lt;0, _xlfn.XLOOKUP(N132,'02效果表'!D:D,'02效果表'!E:E), 0) +
Q132*IF(_xlfn.XLOOKUP(P132,'02效果表'!D:D,'02效果表'!E:E)&lt;0, _xlfn.XLOOKUP(P132,'02效果表'!D:D,'02效果表'!E:E), 0) +
S132*IF(_xlfn.XLOOKUP(R132,'02效果表'!D:D,'02效果表'!E:E)&lt;0, _xlfn.XLOOKUP(R132,'02效果表'!D:D,'02效果表'!E:E), 0) +
U132*IF(_xlfn.XLOOKUP(T132,'02效果表'!D:D,'02效果表'!E:E)&lt;0, _xlfn.XLOOKUP(T132,'02效果表'!D:D,'02效果表'!E:E), 0) +
W132*IF(_xlfn.XLOOKUP(V132,'02效果表'!D:D,'02效果表'!E:E)&lt;0, _xlfn.XLOOKUP(V132,'02效果表'!D:D,'02效果表'!E:E), 0) +
Y132*IF(_xlfn.XLOOKUP(X132,'02效果表'!D:D,'02效果表'!E:E)&lt;0, _xlfn.XLOOKUP(X132,'02效果表'!D:D,'02效果表'!E:E), 0) +
AA132*IF(_xlfn.XLOOKUP(Z132,'02效果表'!D:D,'02效果表'!E:E)&lt;0, _xlfn.XLOOKUP(Z132,'02效果表'!D:D,'02效果表'!E:E), 0) +
AC132*IF(_xlfn.XLOOKUP(AB132,'02效果表'!D:D,'02效果表'!E:E)&lt;0, _xlfn.XLOOKUP(AB132,'02效果表'!D:D,'02效果表'!E:E), 0) +
AE132*IF(_xlfn.XLOOKUP(AD132,'02效果表'!D:D,'02效果表'!E:E)&lt;0, _xlfn.XLOOKUP(AD132,'02效果表'!D:D,'02效果表'!E:E), 0)), 1)</f>
        <v>0</v>
      </c>
      <c r="G132" s="7">
        <f>ROUND(1/6*(I132*MAX(_xlfn.XLOOKUP(H132,'02效果表'!D:D,'02效果表'!E:E),0)+K132*MAX(_xlfn.XLOOKUP(J132,'02效果表'!D:D,'02效果表'!E:E),0)+M132*MAX(_xlfn.XLOOKUP(L132,'02效果表'!D:D,'02效果表'!E:E),0)+O132*MAX(_xlfn.XLOOKUP(N132,'02效果表'!D:D,'02效果表'!E:E),0)+Q132*MAX(_xlfn.XLOOKUP(P132,'02效果表'!D:D,'02效果表'!E:E),0)+S132*MAX(_xlfn.XLOOKUP(R132,'02效果表'!D:D,'02效果表'!E:E),0)+U132*MAX(_xlfn.XLOOKUP(T132,'02效果表'!D:D,'02效果表'!E:E),0)+W132*MAX(_xlfn.XLOOKUP(V132,'02效果表'!D:D,'02效果表'!E:E),0)+Y132*MAX(_xlfn.XLOOKUP(X132,'02效果表'!D:D,'02效果表'!E:E),0)+AA132*MAX(_xlfn.XLOOKUP(Z132,'02效果表'!D:D,'02效果表'!E:E),0)+AC132*MAX(_xlfn.XLOOKUP(AB132,'02效果表'!D:D,'02效果表'!E:E),0)+AE132*MAX(_xlfn.XLOOKUP(AD132,'02效果表'!D:D,'02效果表'!E:E),0)),1)</f>
        <v>0</v>
      </c>
      <c r="H132" s="6"/>
      <c r="I132" s="6"/>
      <c r="J132" s="6"/>
      <c r="K132" s="6"/>
      <c r="L132" s="6"/>
      <c r="M132" s="6"/>
      <c r="N132" s="6"/>
      <c r="O132" s="6"/>
      <c r="P132" s="6"/>
      <c r="Q132" s="6"/>
      <c r="R132" s="6"/>
      <c r="S132" s="6"/>
      <c r="T132" s="6"/>
      <c r="U132" s="6"/>
      <c r="V132" s="6"/>
      <c r="W132" s="6"/>
      <c r="X132" s="6"/>
      <c r="Y132" s="6"/>
      <c r="Z132" s="6"/>
      <c r="AA132" s="6"/>
      <c r="AB132" s="6"/>
      <c r="AC132" s="6"/>
      <c r="AD132" s="6"/>
      <c r="AE132" s="6"/>
    </row>
    <row r="133" spans="1:31" x14ac:dyDescent="0.35">
      <c r="A133" s="6">
        <v>133</v>
      </c>
      <c r="B133" s="6" t="s">
        <v>3</v>
      </c>
      <c r="C133" s="10" t="s">
        <v>16</v>
      </c>
      <c r="D133" s="9" t="s">
        <v>1355</v>
      </c>
      <c r="E133" s="7">
        <f t="shared" si="9"/>
        <v>0</v>
      </c>
      <c r="F133" s="7">
        <f>-1*ROUND(1/6*(I133*IF(_xlfn.XLOOKUP(H133,'02效果表'!D:D,'02效果表'!E:E)&lt;0, _xlfn.XLOOKUP(H133,'02效果表'!D:D,'02效果表'!E:E), 0) +
K133*IF(_xlfn.XLOOKUP(J133,'02效果表'!D:D,'02效果表'!E:E)&lt;0, _xlfn.XLOOKUP(J133,'02效果表'!D:D,'02效果表'!E:E), 0) +
M133*IF(_xlfn.XLOOKUP(L133,'02效果表'!D:D,'02效果表'!E:E)&lt;0, _xlfn.XLOOKUP(L133,'02效果表'!D:D,'02效果表'!E:E), 0) +
O133*IF(_xlfn.XLOOKUP(N133,'02效果表'!D:D,'02效果表'!E:E)&lt;0, _xlfn.XLOOKUP(N133,'02效果表'!D:D,'02效果表'!E:E), 0) +
Q133*IF(_xlfn.XLOOKUP(P133,'02效果表'!D:D,'02效果表'!E:E)&lt;0, _xlfn.XLOOKUP(P133,'02效果表'!D:D,'02效果表'!E:E), 0) +
S133*IF(_xlfn.XLOOKUP(R133,'02效果表'!D:D,'02效果表'!E:E)&lt;0, _xlfn.XLOOKUP(R133,'02效果表'!D:D,'02效果表'!E:E), 0) +
U133*IF(_xlfn.XLOOKUP(T133,'02效果表'!D:D,'02效果表'!E:E)&lt;0, _xlfn.XLOOKUP(T133,'02效果表'!D:D,'02效果表'!E:E), 0) +
W133*IF(_xlfn.XLOOKUP(V133,'02效果表'!D:D,'02效果表'!E:E)&lt;0, _xlfn.XLOOKUP(V133,'02效果表'!D:D,'02效果表'!E:E), 0) +
Y133*IF(_xlfn.XLOOKUP(X133,'02效果表'!D:D,'02效果表'!E:E)&lt;0, _xlfn.XLOOKUP(X133,'02效果表'!D:D,'02效果表'!E:E), 0) +
AA133*IF(_xlfn.XLOOKUP(Z133,'02效果表'!D:D,'02效果表'!E:E)&lt;0, _xlfn.XLOOKUP(Z133,'02效果表'!D:D,'02效果表'!E:E), 0) +
AC133*IF(_xlfn.XLOOKUP(AB133,'02效果表'!D:D,'02效果表'!E:E)&lt;0, _xlfn.XLOOKUP(AB133,'02效果表'!D:D,'02效果表'!E:E), 0) +
AE133*IF(_xlfn.XLOOKUP(AD133,'02效果表'!D:D,'02效果表'!E:E)&lt;0, _xlfn.XLOOKUP(AD133,'02效果表'!D:D,'02效果表'!E:E), 0)), 1)</f>
        <v>0</v>
      </c>
      <c r="G133" s="7">
        <f>ROUND(1/6*(I133*MAX(_xlfn.XLOOKUP(H133,'02效果表'!D:D,'02效果表'!E:E),0)+K133*MAX(_xlfn.XLOOKUP(J133,'02效果表'!D:D,'02效果表'!E:E),0)+M133*MAX(_xlfn.XLOOKUP(L133,'02效果表'!D:D,'02效果表'!E:E),0)+O133*MAX(_xlfn.XLOOKUP(N133,'02效果表'!D:D,'02效果表'!E:E),0)+Q133*MAX(_xlfn.XLOOKUP(P133,'02效果表'!D:D,'02效果表'!E:E),0)+S133*MAX(_xlfn.XLOOKUP(R133,'02效果表'!D:D,'02效果表'!E:E),0)+U133*MAX(_xlfn.XLOOKUP(T133,'02效果表'!D:D,'02效果表'!E:E),0)+W133*MAX(_xlfn.XLOOKUP(V133,'02效果表'!D:D,'02效果表'!E:E),0)+Y133*MAX(_xlfn.XLOOKUP(X133,'02效果表'!D:D,'02效果表'!E:E),0)+AA133*MAX(_xlfn.XLOOKUP(Z133,'02效果表'!D:D,'02效果表'!E:E),0)+AC133*MAX(_xlfn.XLOOKUP(AB133,'02效果表'!D:D,'02效果表'!E:E),0)+AE133*MAX(_xlfn.XLOOKUP(AD133,'02效果表'!D:D,'02效果表'!E:E),0)),1)</f>
        <v>0</v>
      </c>
      <c r="H133" s="6"/>
      <c r="I133" s="6"/>
      <c r="J133" s="6"/>
      <c r="K133" s="6"/>
      <c r="L133" s="6"/>
      <c r="M133" s="6"/>
      <c r="N133" s="6"/>
      <c r="O133" s="6"/>
      <c r="P133" s="6"/>
      <c r="Q133" s="6"/>
      <c r="R133" s="6"/>
      <c r="S133" s="6"/>
      <c r="T133" s="6"/>
      <c r="U133" s="6"/>
      <c r="V133" s="6"/>
      <c r="W133" s="6"/>
      <c r="X133" s="6"/>
      <c r="Y133" s="6"/>
      <c r="Z133" s="6"/>
      <c r="AA133" s="6"/>
      <c r="AB133" s="6"/>
      <c r="AC133" s="6"/>
      <c r="AD133" s="6"/>
      <c r="AE133" s="6"/>
    </row>
    <row r="134" spans="1:31" x14ac:dyDescent="0.35">
      <c r="A134" s="6">
        <v>134</v>
      </c>
      <c r="B134" s="6" t="s">
        <v>3</v>
      </c>
      <c r="C134" s="10" t="s">
        <v>16</v>
      </c>
      <c r="D134" s="9" t="s">
        <v>1356</v>
      </c>
      <c r="E134" s="7">
        <f t="shared" si="9"/>
        <v>0</v>
      </c>
      <c r="F134" s="7">
        <f>-1*ROUND(1/6*(I134*IF(_xlfn.XLOOKUP(H134,'02效果表'!D:D,'02效果表'!E:E)&lt;0, _xlfn.XLOOKUP(H134,'02效果表'!D:D,'02效果表'!E:E), 0) +
K134*IF(_xlfn.XLOOKUP(J134,'02效果表'!D:D,'02效果表'!E:E)&lt;0, _xlfn.XLOOKUP(J134,'02效果表'!D:D,'02效果表'!E:E), 0) +
M134*IF(_xlfn.XLOOKUP(L134,'02效果表'!D:D,'02效果表'!E:E)&lt;0, _xlfn.XLOOKUP(L134,'02效果表'!D:D,'02效果表'!E:E), 0) +
O134*IF(_xlfn.XLOOKUP(N134,'02效果表'!D:D,'02效果表'!E:E)&lt;0, _xlfn.XLOOKUP(N134,'02效果表'!D:D,'02效果表'!E:E), 0) +
Q134*IF(_xlfn.XLOOKUP(P134,'02效果表'!D:D,'02效果表'!E:E)&lt;0, _xlfn.XLOOKUP(P134,'02效果表'!D:D,'02效果表'!E:E), 0) +
S134*IF(_xlfn.XLOOKUP(R134,'02效果表'!D:D,'02效果表'!E:E)&lt;0, _xlfn.XLOOKUP(R134,'02效果表'!D:D,'02效果表'!E:E), 0) +
U134*IF(_xlfn.XLOOKUP(T134,'02效果表'!D:D,'02效果表'!E:E)&lt;0, _xlfn.XLOOKUP(T134,'02效果表'!D:D,'02效果表'!E:E), 0) +
W134*IF(_xlfn.XLOOKUP(V134,'02效果表'!D:D,'02效果表'!E:E)&lt;0, _xlfn.XLOOKUP(V134,'02效果表'!D:D,'02效果表'!E:E), 0) +
Y134*IF(_xlfn.XLOOKUP(X134,'02效果表'!D:D,'02效果表'!E:E)&lt;0, _xlfn.XLOOKUP(X134,'02效果表'!D:D,'02效果表'!E:E), 0) +
AA134*IF(_xlfn.XLOOKUP(Z134,'02效果表'!D:D,'02效果表'!E:E)&lt;0, _xlfn.XLOOKUP(Z134,'02效果表'!D:D,'02效果表'!E:E), 0) +
AC134*IF(_xlfn.XLOOKUP(AB134,'02效果表'!D:D,'02效果表'!E:E)&lt;0, _xlfn.XLOOKUP(AB134,'02效果表'!D:D,'02效果表'!E:E), 0) +
AE134*IF(_xlfn.XLOOKUP(AD134,'02效果表'!D:D,'02效果表'!E:E)&lt;0, _xlfn.XLOOKUP(AD134,'02效果表'!D:D,'02效果表'!E:E), 0)), 1)</f>
        <v>0</v>
      </c>
      <c r="G134" s="7">
        <f>ROUND(1/6*(I134*MAX(_xlfn.XLOOKUP(H134,'02效果表'!D:D,'02效果表'!E:E),0)+K134*MAX(_xlfn.XLOOKUP(J134,'02效果表'!D:D,'02效果表'!E:E),0)+M134*MAX(_xlfn.XLOOKUP(L134,'02效果表'!D:D,'02效果表'!E:E),0)+O134*MAX(_xlfn.XLOOKUP(N134,'02效果表'!D:D,'02效果表'!E:E),0)+Q134*MAX(_xlfn.XLOOKUP(P134,'02效果表'!D:D,'02效果表'!E:E),0)+S134*MAX(_xlfn.XLOOKUP(R134,'02效果表'!D:D,'02效果表'!E:E),0)+U134*MAX(_xlfn.XLOOKUP(T134,'02效果表'!D:D,'02效果表'!E:E),0)+W134*MAX(_xlfn.XLOOKUP(V134,'02效果表'!D:D,'02效果表'!E:E),0)+Y134*MAX(_xlfn.XLOOKUP(X134,'02效果表'!D:D,'02效果表'!E:E),0)+AA134*MAX(_xlfn.XLOOKUP(Z134,'02效果表'!D:D,'02效果表'!E:E),0)+AC134*MAX(_xlfn.XLOOKUP(AB134,'02效果表'!D:D,'02效果表'!E:E),0)+AE134*MAX(_xlfn.XLOOKUP(AD134,'02效果表'!D:D,'02效果表'!E:E),0)),1)</f>
        <v>0</v>
      </c>
      <c r="H134" s="6"/>
      <c r="I134" s="6"/>
      <c r="J134" s="6"/>
      <c r="K134" s="6"/>
      <c r="L134" s="6"/>
      <c r="M134" s="6"/>
      <c r="N134" s="6"/>
      <c r="O134" s="6"/>
      <c r="P134" s="6"/>
      <c r="Q134" s="6"/>
      <c r="R134" s="6"/>
      <c r="S134" s="6"/>
      <c r="T134" s="6"/>
      <c r="U134" s="6"/>
      <c r="V134" s="6"/>
      <c r="W134" s="6"/>
      <c r="X134" s="6"/>
      <c r="Y134" s="6"/>
      <c r="Z134" s="6"/>
      <c r="AA134" s="6"/>
      <c r="AB134" s="6"/>
      <c r="AC134" s="6"/>
      <c r="AD134" s="6"/>
      <c r="AE134" s="6"/>
    </row>
    <row r="135" spans="1:31" x14ac:dyDescent="0.35">
      <c r="A135" s="6">
        <v>135</v>
      </c>
      <c r="B135" s="6" t="s">
        <v>3</v>
      </c>
      <c r="C135" s="10" t="s">
        <v>16</v>
      </c>
      <c r="D135" s="9" t="s">
        <v>1357</v>
      </c>
      <c r="E135" s="7">
        <f t="shared" si="9"/>
        <v>0</v>
      </c>
      <c r="F135" s="7">
        <f>-1*ROUND(1/6*(I135*IF(_xlfn.XLOOKUP(H135,'02效果表'!D:D,'02效果表'!E:E)&lt;0, _xlfn.XLOOKUP(H135,'02效果表'!D:D,'02效果表'!E:E), 0) +
K135*IF(_xlfn.XLOOKUP(J135,'02效果表'!D:D,'02效果表'!E:E)&lt;0, _xlfn.XLOOKUP(J135,'02效果表'!D:D,'02效果表'!E:E), 0) +
M135*IF(_xlfn.XLOOKUP(L135,'02效果表'!D:D,'02效果表'!E:E)&lt;0, _xlfn.XLOOKUP(L135,'02效果表'!D:D,'02效果表'!E:E), 0) +
O135*IF(_xlfn.XLOOKUP(N135,'02效果表'!D:D,'02效果表'!E:E)&lt;0, _xlfn.XLOOKUP(N135,'02效果表'!D:D,'02效果表'!E:E), 0) +
Q135*IF(_xlfn.XLOOKUP(P135,'02效果表'!D:D,'02效果表'!E:E)&lt;0, _xlfn.XLOOKUP(P135,'02效果表'!D:D,'02效果表'!E:E), 0) +
S135*IF(_xlfn.XLOOKUP(R135,'02效果表'!D:D,'02效果表'!E:E)&lt;0, _xlfn.XLOOKUP(R135,'02效果表'!D:D,'02效果表'!E:E), 0) +
U135*IF(_xlfn.XLOOKUP(T135,'02效果表'!D:D,'02效果表'!E:E)&lt;0, _xlfn.XLOOKUP(T135,'02效果表'!D:D,'02效果表'!E:E), 0) +
W135*IF(_xlfn.XLOOKUP(V135,'02效果表'!D:D,'02效果表'!E:E)&lt;0, _xlfn.XLOOKUP(V135,'02效果表'!D:D,'02效果表'!E:E), 0) +
Y135*IF(_xlfn.XLOOKUP(X135,'02效果表'!D:D,'02效果表'!E:E)&lt;0, _xlfn.XLOOKUP(X135,'02效果表'!D:D,'02效果表'!E:E), 0) +
AA135*IF(_xlfn.XLOOKUP(Z135,'02效果表'!D:D,'02效果表'!E:E)&lt;0, _xlfn.XLOOKUP(Z135,'02效果表'!D:D,'02效果表'!E:E), 0) +
AC135*IF(_xlfn.XLOOKUP(AB135,'02效果表'!D:D,'02效果表'!E:E)&lt;0, _xlfn.XLOOKUP(AB135,'02效果表'!D:D,'02效果表'!E:E), 0) +
AE135*IF(_xlfn.XLOOKUP(AD135,'02效果表'!D:D,'02效果表'!E:E)&lt;0, _xlfn.XLOOKUP(AD135,'02效果表'!D:D,'02效果表'!E:E), 0)), 1)</f>
        <v>0</v>
      </c>
      <c r="G135" s="7">
        <f>ROUND(1/6*(I135*MAX(_xlfn.XLOOKUP(H135,'02效果表'!D:D,'02效果表'!E:E),0)+K135*MAX(_xlfn.XLOOKUP(J135,'02效果表'!D:D,'02效果表'!E:E),0)+M135*MAX(_xlfn.XLOOKUP(L135,'02效果表'!D:D,'02效果表'!E:E),0)+O135*MAX(_xlfn.XLOOKUP(N135,'02效果表'!D:D,'02效果表'!E:E),0)+Q135*MAX(_xlfn.XLOOKUP(P135,'02效果表'!D:D,'02效果表'!E:E),0)+S135*MAX(_xlfn.XLOOKUP(R135,'02效果表'!D:D,'02效果表'!E:E),0)+U135*MAX(_xlfn.XLOOKUP(T135,'02效果表'!D:D,'02效果表'!E:E),0)+W135*MAX(_xlfn.XLOOKUP(V135,'02效果表'!D:D,'02效果表'!E:E),0)+Y135*MAX(_xlfn.XLOOKUP(X135,'02效果表'!D:D,'02效果表'!E:E),0)+AA135*MAX(_xlfn.XLOOKUP(Z135,'02效果表'!D:D,'02效果表'!E:E),0)+AC135*MAX(_xlfn.XLOOKUP(AB135,'02效果表'!D:D,'02效果表'!E:E),0)+AE135*MAX(_xlfn.XLOOKUP(AD135,'02效果表'!D:D,'02效果表'!E:E),0)),1)</f>
        <v>0</v>
      </c>
      <c r="H135" s="6"/>
      <c r="I135" s="6"/>
      <c r="J135" s="6"/>
      <c r="K135" s="6"/>
      <c r="L135" s="6"/>
      <c r="M135" s="6"/>
      <c r="N135" s="6"/>
      <c r="O135" s="6"/>
      <c r="P135" s="6"/>
      <c r="Q135" s="6"/>
      <c r="R135" s="6"/>
      <c r="S135" s="6"/>
      <c r="T135" s="6"/>
      <c r="U135" s="6"/>
      <c r="V135" s="6"/>
      <c r="W135" s="6"/>
      <c r="X135" s="6"/>
      <c r="Y135" s="6"/>
      <c r="Z135" s="6"/>
      <c r="AA135" s="6"/>
      <c r="AB135" s="6"/>
      <c r="AC135" s="6"/>
      <c r="AD135" s="6"/>
      <c r="AE135" s="6"/>
    </row>
    <row r="136" spans="1:31" x14ac:dyDescent="0.35">
      <c r="A136" s="6">
        <v>136</v>
      </c>
      <c r="B136" s="6" t="s">
        <v>3</v>
      </c>
      <c r="C136" s="10" t="s">
        <v>16</v>
      </c>
      <c r="D136" s="9" t="s">
        <v>1358</v>
      </c>
      <c r="E136" s="7">
        <f t="shared" si="9"/>
        <v>0</v>
      </c>
      <c r="F136" s="7">
        <f>-1*ROUND(1/6*(I136*IF(_xlfn.XLOOKUP(H136,'02效果表'!D:D,'02效果表'!E:E)&lt;0, _xlfn.XLOOKUP(H136,'02效果表'!D:D,'02效果表'!E:E), 0) +
K136*IF(_xlfn.XLOOKUP(J136,'02效果表'!D:D,'02效果表'!E:E)&lt;0, _xlfn.XLOOKUP(J136,'02效果表'!D:D,'02效果表'!E:E), 0) +
M136*IF(_xlfn.XLOOKUP(L136,'02效果表'!D:D,'02效果表'!E:E)&lt;0, _xlfn.XLOOKUP(L136,'02效果表'!D:D,'02效果表'!E:E), 0) +
O136*IF(_xlfn.XLOOKUP(N136,'02效果表'!D:D,'02效果表'!E:E)&lt;0, _xlfn.XLOOKUP(N136,'02效果表'!D:D,'02效果表'!E:E), 0) +
Q136*IF(_xlfn.XLOOKUP(P136,'02效果表'!D:D,'02效果表'!E:E)&lt;0, _xlfn.XLOOKUP(P136,'02效果表'!D:D,'02效果表'!E:E), 0) +
S136*IF(_xlfn.XLOOKUP(R136,'02效果表'!D:D,'02效果表'!E:E)&lt;0, _xlfn.XLOOKUP(R136,'02效果表'!D:D,'02效果表'!E:E), 0) +
U136*IF(_xlfn.XLOOKUP(T136,'02效果表'!D:D,'02效果表'!E:E)&lt;0, _xlfn.XLOOKUP(T136,'02效果表'!D:D,'02效果表'!E:E), 0) +
W136*IF(_xlfn.XLOOKUP(V136,'02效果表'!D:D,'02效果表'!E:E)&lt;0, _xlfn.XLOOKUP(V136,'02效果表'!D:D,'02效果表'!E:E), 0) +
Y136*IF(_xlfn.XLOOKUP(X136,'02效果表'!D:D,'02效果表'!E:E)&lt;0, _xlfn.XLOOKUP(X136,'02效果表'!D:D,'02效果表'!E:E), 0) +
AA136*IF(_xlfn.XLOOKUP(Z136,'02效果表'!D:D,'02效果表'!E:E)&lt;0, _xlfn.XLOOKUP(Z136,'02效果表'!D:D,'02效果表'!E:E), 0) +
AC136*IF(_xlfn.XLOOKUP(AB136,'02效果表'!D:D,'02效果表'!E:E)&lt;0, _xlfn.XLOOKUP(AB136,'02效果表'!D:D,'02效果表'!E:E), 0) +
AE136*IF(_xlfn.XLOOKUP(AD136,'02效果表'!D:D,'02效果表'!E:E)&lt;0, _xlfn.XLOOKUP(AD136,'02效果表'!D:D,'02效果表'!E:E), 0)), 1)</f>
        <v>0</v>
      </c>
      <c r="G136" s="7">
        <f>ROUND(1/6*(I136*MAX(_xlfn.XLOOKUP(H136,'02效果表'!D:D,'02效果表'!E:E),0)+K136*MAX(_xlfn.XLOOKUP(J136,'02效果表'!D:D,'02效果表'!E:E),0)+M136*MAX(_xlfn.XLOOKUP(L136,'02效果表'!D:D,'02效果表'!E:E),0)+O136*MAX(_xlfn.XLOOKUP(N136,'02效果表'!D:D,'02效果表'!E:E),0)+Q136*MAX(_xlfn.XLOOKUP(P136,'02效果表'!D:D,'02效果表'!E:E),0)+S136*MAX(_xlfn.XLOOKUP(R136,'02效果表'!D:D,'02效果表'!E:E),0)+U136*MAX(_xlfn.XLOOKUP(T136,'02效果表'!D:D,'02效果表'!E:E),0)+W136*MAX(_xlfn.XLOOKUP(V136,'02效果表'!D:D,'02效果表'!E:E),0)+Y136*MAX(_xlfn.XLOOKUP(X136,'02效果表'!D:D,'02效果表'!E:E),0)+AA136*MAX(_xlfn.XLOOKUP(Z136,'02效果表'!D:D,'02效果表'!E:E),0)+AC136*MAX(_xlfn.XLOOKUP(AB136,'02效果表'!D:D,'02效果表'!E:E),0)+AE136*MAX(_xlfn.XLOOKUP(AD136,'02效果表'!D:D,'02效果表'!E:E),0)),1)</f>
        <v>0</v>
      </c>
      <c r="H136" s="6"/>
      <c r="I136" s="6"/>
      <c r="J136" s="6"/>
      <c r="K136" s="6"/>
      <c r="L136" s="6"/>
      <c r="M136" s="6"/>
      <c r="N136" s="6"/>
      <c r="O136" s="6"/>
      <c r="P136" s="6"/>
      <c r="Q136" s="6"/>
      <c r="R136" s="6"/>
      <c r="S136" s="6"/>
      <c r="T136" s="6"/>
      <c r="U136" s="6"/>
      <c r="V136" s="6"/>
      <c r="W136" s="6"/>
      <c r="X136" s="6"/>
      <c r="Y136" s="6"/>
      <c r="Z136" s="6"/>
      <c r="AA136" s="6"/>
      <c r="AB136" s="6"/>
      <c r="AC136" s="6"/>
      <c r="AD136" s="6"/>
      <c r="AE136" s="6"/>
    </row>
    <row r="137" spans="1:31" x14ac:dyDescent="0.35">
      <c r="A137" s="6">
        <v>137</v>
      </c>
      <c r="B137" s="6" t="s">
        <v>3</v>
      </c>
      <c r="C137" s="10" t="s">
        <v>16</v>
      </c>
      <c r="D137" s="9" t="s">
        <v>1359</v>
      </c>
      <c r="E137" s="7">
        <f t="shared" si="9"/>
        <v>0</v>
      </c>
      <c r="F137" s="7">
        <f>-1*ROUND(1/6*(I137*IF(_xlfn.XLOOKUP(H137,'02效果表'!D:D,'02效果表'!E:E)&lt;0, _xlfn.XLOOKUP(H137,'02效果表'!D:D,'02效果表'!E:E), 0) +
K137*IF(_xlfn.XLOOKUP(J137,'02效果表'!D:D,'02效果表'!E:E)&lt;0, _xlfn.XLOOKUP(J137,'02效果表'!D:D,'02效果表'!E:E), 0) +
M137*IF(_xlfn.XLOOKUP(L137,'02效果表'!D:D,'02效果表'!E:E)&lt;0, _xlfn.XLOOKUP(L137,'02效果表'!D:D,'02效果表'!E:E), 0) +
O137*IF(_xlfn.XLOOKUP(N137,'02效果表'!D:D,'02效果表'!E:E)&lt;0, _xlfn.XLOOKUP(N137,'02效果表'!D:D,'02效果表'!E:E), 0) +
Q137*IF(_xlfn.XLOOKUP(P137,'02效果表'!D:D,'02效果表'!E:E)&lt;0, _xlfn.XLOOKUP(P137,'02效果表'!D:D,'02效果表'!E:E), 0) +
S137*IF(_xlfn.XLOOKUP(R137,'02效果表'!D:D,'02效果表'!E:E)&lt;0, _xlfn.XLOOKUP(R137,'02效果表'!D:D,'02效果表'!E:E), 0) +
U137*IF(_xlfn.XLOOKUP(T137,'02效果表'!D:D,'02效果表'!E:E)&lt;0, _xlfn.XLOOKUP(T137,'02效果表'!D:D,'02效果表'!E:E), 0) +
W137*IF(_xlfn.XLOOKUP(V137,'02效果表'!D:D,'02效果表'!E:E)&lt;0, _xlfn.XLOOKUP(V137,'02效果表'!D:D,'02效果表'!E:E), 0) +
Y137*IF(_xlfn.XLOOKUP(X137,'02效果表'!D:D,'02效果表'!E:E)&lt;0, _xlfn.XLOOKUP(X137,'02效果表'!D:D,'02效果表'!E:E), 0) +
AA137*IF(_xlfn.XLOOKUP(Z137,'02效果表'!D:D,'02效果表'!E:E)&lt;0, _xlfn.XLOOKUP(Z137,'02效果表'!D:D,'02效果表'!E:E), 0) +
AC137*IF(_xlfn.XLOOKUP(AB137,'02效果表'!D:D,'02效果表'!E:E)&lt;0, _xlfn.XLOOKUP(AB137,'02效果表'!D:D,'02效果表'!E:E), 0) +
AE137*IF(_xlfn.XLOOKUP(AD137,'02效果表'!D:D,'02效果表'!E:E)&lt;0, _xlfn.XLOOKUP(AD137,'02效果表'!D:D,'02效果表'!E:E), 0)), 1)</f>
        <v>0</v>
      </c>
      <c r="G137" s="7">
        <f>ROUND(1/6*(I137*MAX(_xlfn.XLOOKUP(H137,'02效果表'!D:D,'02效果表'!E:E),0)+K137*MAX(_xlfn.XLOOKUP(J137,'02效果表'!D:D,'02效果表'!E:E),0)+M137*MAX(_xlfn.XLOOKUP(L137,'02效果表'!D:D,'02效果表'!E:E),0)+O137*MAX(_xlfn.XLOOKUP(N137,'02效果表'!D:D,'02效果表'!E:E),0)+Q137*MAX(_xlfn.XLOOKUP(P137,'02效果表'!D:D,'02效果表'!E:E),0)+S137*MAX(_xlfn.XLOOKUP(R137,'02效果表'!D:D,'02效果表'!E:E),0)+U137*MAX(_xlfn.XLOOKUP(T137,'02效果表'!D:D,'02效果表'!E:E),0)+W137*MAX(_xlfn.XLOOKUP(V137,'02效果表'!D:D,'02效果表'!E:E),0)+Y137*MAX(_xlfn.XLOOKUP(X137,'02效果表'!D:D,'02效果表'!E:E),0)+AA137*MAX(_xlfn.XLOOKUP(Z137,'02效果表'!D:D,'02效果表'!E:E),0)+AC137*MAX(_xlfn.XLOOKUP(AB137,'02效果表'!D:D,'02效果表'!E:E),0)+AE137*MAX(_xlfn.XLOOKUP(AD137,'02效果表'!D:D,'02效果表'!E:E),0)),1)</f>
        <v>0</v>
      </c>
      <c r="H137" s="6"/>
      <c r="I137" s="6"/>
      <c r="J137" s="6"/>
      <c r="K137" s="6"/>
      <c r="L137" s="6"/>
      <c r="M137" s="6"/>
      <c r="N137" s="6"/>
      <c r="O137" s="6"/>
      <c r="P137" s="6"/>
      <c r="Q137" s="6"/>
      <c r="R137" s="6"/>
      <c r="S137" s="6"/>
      <c r="T137" s="6"/>
      <c r="U137" s="6"/>
      <c r="V137" s="6"/>
      <c r="W137" s="6"/>
      <c r="X137" s="6"/>
      <c r="Y137" s="6"/>
      <c r="Z137" s="6"/>
      <c r="AA137" s="6"/>
      <c r="AB137" s="6"/>
      <c r="AC137" s="6"/>
      <c r="AD137" s="6"/>
      <c r="AE137" s="6"/>
    </row>
    <row r="138" spans="1:31" x14ac:dyDescent="0.35">
      <c r="A138" s="6">
        <v>138</v>
      </c>
      <c r="B138" s="6" t="s">
        <v>3</v>
      </c>
      <c r="C138" s="10" t="s">
        <v>16</v>
      </c>
      <c r="D138" s="9" t="s">
        <v>1360</v>
      </c>
      <c r="E138" s="7">
        <f t="shared" si="9"/>
        <v>0</v>
      </c>
      <c r="F138" s="7">
        <f>-1*ROUND(1/6*(I138*IF(_xlfn.XLOOKUP(H138,'02效果表'!D:D,'02效果表'!E:E)&lt;0, _xlfn.XLOOKUP(H138,'02效果表'!D:D,'02效果表'!E:E), 0) +
K138*IF(_xlfn.XLOOKUP(J138,'02效果表'!D:D,'02效果表'!E:E)&lt;0, _xlfn.XLOOKUP(J138,'02效果表'!D:D,'02效果表'!E:E), 0) +
M138*IF(_xlfn.XLOOKUP(L138,'02效果表'!D:D,'02效果表'!E:E)&lt;0, _xlfn.XLOOKUP(L138,'02效果表'!D:D,'02效果表'!E:E), 0) +
O138*IF(_xlfn.XLOOKUP(N138,'02效果表'!D:D,'02效果表'!E:E)&lt;0, _xlfn.XLOOKUP(N138,'02效果表'!D:D,'02效果表'!E:E), 0) +
Q138*IF(_xlfn.XLOOKUP(P138,'02效果表'!D:D,'02效果表'!E:E)&lt;0, _xlfn.XLOOKUP(P138,'02效果表'!D:D,'02效果表'!E:E), 0) +
S138*IF(_xlfn.XLOOKUP(R138,'02效果表'!D:D,'02效果表'!E:E)&lt;0, _xlfn.XLOOKUP(R138,'02效果表'!D:D,'02效果表'!E:E), 0) +
U138*IF(_xlfn.XLOOKUP(T138,'02效果表'!D:D,'02效果表'!E:E)&lt;0, _xlfn.XLOOKUP(T138,'02效果表'!D:D,'02效果表'!E:E), 0) +
W138*IF(_xlfn.XLOOKUP(V138,'02效果表'!D:D,'02效果表'!E:E)&lt;0, _xlfn.XLOOKUP(V138,'02效果表'!D:D,'02效果表'!E:E), 0) +
Y138*IF(_xlfn.XLOOKUP(X138,'02效果表'!D:D,'02效果表'!E:E)&lt;0, _xlfn.XLOOKUP(X138,'02效果表'!D:D,'02效果表'!E:E), 0) +
AA138*IF(_xlfn.XLOOKUP(Z138,'02效果表'!D:D,'02效果表'!E:E)&lt;0, _xlfn.XLOOKUP(Z138,'02效果表'!D:D,'02效果表'!E:E), 0) +
AC138*IF(_xlfn.XLOOKUP(AB138,'02效果表'!D:D,'02效果表'!E:E)&lt;0, _xlfn.XLOOKUP(AB138,'02效果表'!D:D,'02效果表'!E:E), 0) +
AE138*IF(_xlfn.XLOOKUP(AD138,'02效果表'!D:D,'02效果表'!E:E)&lt;0, _xlfn.XLOOKUP(AD138,'02效果表'!D:D,'02效果表'!E:E), 0)), 1)</f>
        <v>0</v>
      </c>
      <c r="G138" s="7">
        <f>ROUND(1/6*(I138*MAX(_xlfn.XLOOKUP(H138,'02效果表'!D:D,'02效果表'!E:E),0)+K138*MAX(_xlfn.XLOOKUP(J138,'02效果表'!D:D,'02效果表'!E:E),0)+M138*MAX(_xlfn.XLOOKUP(L138,'02效果表'!D:D,'02效果表'!E:E),0)+O138*MAX(_xlfn.XLOOKUP(N138,'02效果表'!D:D,'02效果表'!E:E),0)+Q138*MAX(_xlfn.XLOOKUP(P138,'02效果表'!D:D,'02效果表'!E:E),0)+S138*MAX(_xlfn.XLOOKUP(R138,'02效果表'!D:D,'02效果表'!E:E),0)+U138*MAX(_xlfn.XLOOKUP(T138,'02效果表'!D:D,'02效果表'!E:E),0)+W138*MAX(_xlfn.XLOOKUP(V138,'02效果表'!D:D,'02效果表'!E:E),0)+Y138*MAX(_xlfn.XLOOKUP(X138,'02效果表'!D:D,'02效果表'!E:E),0)+AA138*MAX(_xlfn.XLOOKUP(Z138,'02效果表'!D:D,'02效果表'!E:E),0)+AC138*MAX(_xlfn.XLOOKUP(AB138,'02效果表'!D:D,'02效果表'!E:E),0)+AE138*MAX(_xlfn.XLOOKUP(AD138,'02效果表'!D:D,'02效果表'!E:E),0)),1)</f>
        <v>0</v>
      </c>
      <c r="H138" s="6"/>
      <c r="I138" s="6"/>
      <c r="J138" s="6"/>
      <c r="K138" s="6"/>
      <c r="L138" s="6"/>
      <c r="M138" s="6"/>
      <c r="N138" s="6"/>
      <c r="O138" s="6"/>
      <c r="P138" s="6"/>
      <c r="Q138" s="6"/>
      <c r="R138" s="6"/>
      <c r="S138" s="6"/>
      <c r="T138" s="6"/>
      <c r="U138" s="6"/>
      <c r="V138" s="6"/>
      <c r="W138" s="6"/>
      <c r="X138" s="6"/>
      <c r="Y138" s="6"/>
      <c r="Z138" s="6"/>
      <c r="AA138" s="6"/>
      <c r="AB138" s="6"/>
      <c r="AC138" s="6"/>
      <c r="AD138" s="6"/>
      <c r="AE138" s="6"/>
    </row>
    <row r="139" spans="1:31" x14ac:dyDescent="0.35">
      <c r="A139" s="6">
        <v>139</v>
      </c>
      <c r="B139" s="6" t="s">
        <v>3</v>
      </c>
      <c r="C139" s="10" t="s">
        <v>16</v>
      </c>
      <c r="D139" s="9" t="s">
        <v>1361</v>
      </c>
      <c r="E139" s="7">
        <f t="shared" si="9"/>
        <v>0</v>
      </c>
      <c r="F139" s="7">
        <f>-1*ROUND(1/6*(I139*IF(_xlfn.XLOOKUP(H139,'02效果表'!D:D,'02效果表'!E:E)&lt;0, _xlfn.XLOOKUP(H139,'02效果表'!D:D,'02效果表'!E:E), 0) +
K139*IF(_xlfn.XLOOKUP(J139,'02效果表'!D:D,'02效果表'!E:E)&lt;0, _xlfn.XLOOKUP(J139,'02效果表'!D:D,'02效果表'!E:E), 0) +
M139*IF(_xlfn.XLOOKUP(L139,'02效果表'!D:D,'02效果表'!E:E)&lt;0, _xlfn.XLOOKUP(L139,'02效果表'!D:D,'02效果表'!E:E), 0) +
O139*IF(_xlfn.XLOOKUP(N139,'02效果表'!D:D,'02效果表'!E:E)&lt;0, _xlfn.XLOOKUP(N139,'02效果表'!D:D,'02效果表'!E:E), 0) +
Q139*IF(_xlfn.XLOOKUP(P139,'02效果表'!D:D,'02效果表'!E:E)&lt;0, _xlfn.XLOOKUP(P139,'02效果表'!D:D,'02效果表'!E:E), 0) +
S139*IF(_xlfn.XLOOKUP(R139,'02效果表'!D:D,'02效果表'!E:E)&lt;0, _xlfn.XLOOKUP(R139,'02效果表'!D:D,'02效果表'!E:E), 0) +
U139*IF(_xlfn.XLOOKUP(T139,'02效果表'!D:D,'02效果表'!E:E)&lt;0, _xlfn.XLOOKUP(T139,'02效果表'!D:D,'02效果表'!E:E), 0) +
W139*IF(_xlfn.XLOOKUP(V139,'02效果表'!D:D,'02效果表'!E:E)&lt;0, _xlfn.XLOOKUP(V139,'02效果表'!D:D,'02效果表'!E:E), 0) +
Y139*IF(_xlfn.XLOOKUP(X139,'02效果表'!D:D,'02效果表'!E:E)&lt;0, _xlfn.XLOOKUP(X139,'02效果表'!D:D,'02效果表'!E:E), 0) +
AA139*IF(_xlfn.XLOOKUP(Z139,'02效果表'!D:D,'02效果表'!E:E)&lt;0, _xlfn.XLOOKUP(Z139,'02效果表'!D:D,'02效果表'!E:E), 0) +
AC139*IF(_xlfn.XLOOKUP(AB139,'02效果表'!D:D,'02效果表'!E:E)&lt;0, _xlfn.XLOOKUP(AB139,'02效果表'!D:D,'02效果表'!E:E), 0) +
AE139*IF(_xlfn.XLOOKUP(AD139,'02效果表'!D:D,'02效果表'!E:E)&lt;0, _xlfn.XLOOKUP(AD139,'02效果表'!D:D,'02效果表'!E:E), 0)), 1)</f>
        <v>0</v>
      </c>
      <c r="G139" s="7">
        <f>ROUND(1/6*(I139*MAX(_xlfn.XLOOKUP(H139,'02效果表'!D:D,'02效果表'!E:E),0)+K139*MAX(_xlfn.XLOOKUP(J139,'02效果表'!D:D,'02效果表'!E:E),0)+M139*MAX(_xlfn.XLOOKUP(L139,'02效果表'!D:D,'02效果表'!E:E),0)+O139*MAX(_xlfn.XLOOKUP(N139,'02效果表'!D:D,'02效果表'!E:E),0)+Q139*MAX(_xlfn.XLOOKUP(P139,'02效果表'!D:D,'02效果表'!E:E),0)+S139*MAX(_xlfn.XLOOKUP(R139,'02效果表'!D:D,'02效果表'!E:E),0)+U139*MAX(_xlfn.XLOOKUP(T139,'02效果表'!D:D,'02效果表'!E:E),0)+W139*MAX(_xlfn.XLOOKUP(V139,'02效果表'!D:D,'02效果表'!E:E),0)+Y139*MAX(_xlfn.XLOOKUP(X139,'02效果表'!D:D,'02效果表'!E:E),0)+AA139*MAX(_xlfn.XLOOKUP(Z139,'02效果表'!D:D,'02效果表'!E:E),0)+AC139*MAX(_xlfn.XLOOKUP(AB139,'02效果表'!D:D,'02效果表'!E:E),0)+AE139*MAX(_xlfn.XLOOKUP(AD139,'02效果表'!D:D,'02效果表'!E:E),0)),1)</f>
        <v>0</v>
      </c>
      <c r="H139" s="6"/>
      <c r="I139" s="6"/>
      <c r="J139" s="6"/>
      <c r="K139" s="6"/>
      <c r="L139" s="6"/>
      <c r="M139" s="6"/>
      <c r="N139" s="6"/>
      <c r="O139" s="6"/>
      <c r="P139" s="6"/>
      <c r="Q139" s="6"/>
      <c r="R139" s="6"/>
      <c r="S139" s="6"/>
      <c r="T139" s="6"/>
      <c r="U139" s="6"/>
      <c r="V139" s="6"/>
      <c r="W139" s="6"/>
      <c r="X139" s="6"/>
      <c r="Y139" s="6"/>
      <c r="Z139" s="6"/>
      <c r="AA139" s="6"/>
      <c r="AB139" s="6"/>
      <c r="AC139" s="6"/>
      <c r="AD139" s="6"/>
      <c r="AE139" s="6"/>
    </row>
    <row r="140" spans="1:31" x14ac:dyDescent="0.35">
      <c r="A140" s="6">
        <v>140</v>
      </c>
      <c r="B140" s="6" t="s">
        <v>3</v>
      </c>
      <c r="C140" s="10" t="s">
        <v>16</v>
      </c>
      <c r="D140" s="9" t="s">
        <v>1362</v>
      </c>
      <c r="E140" s="7">
        <f t="shared" si="9"/>
        <v>0</v>
      </c>
      <c r="F140" s="7">
        <f>-1*ROUND(1/6*(I140*IF(_xlfn.XLOOKUP(H140,'02效果表'!D:D,'02效果表'!E:E)&lt;0, _xlfn.XLOOKUP(H140,'02效果表'!D:D,'02效果表'!E:E), 0) +
K140*IF(_xlfn.XLOOKUP(J140,'02效果表'!D:D,'02效果表'!E:E)&lt;0, _xlfn.XLOOKUP(J140,'02效果表'!D:D,'02效果表'!E:E), 0) +
M140*IF(_xlfn.XLOOKUP(L140,'02效果表'!D:D,'02效果表'!E:E)&lt;0, _xlfn.XLOOKUP(L140,'02效果表'!D:D,'02效果表'!E:E), 0) +
O140*IF(_xlfn.XLOOKUP(N140,'02效果表'!D:D,'02效果表'!E:E)&lt;0, _xlfn.XLOOKUP(N140,'02效果表'!D:D,'02效果表'!E:E), 0) +
Q140*IF(_xlfn.XLOOKUP(P140,'02效果表'!D:D,'02效果表'!E:E)&lt;0, _xlfn.XLOOKUP(P140,'02效果表'!D:D,'02效果表'!E:E), 0) +
S140*IF(_xlfn.XLOOKUP(R140,'02效果表'!D:D,'02效果表'!E:E)&lt;0, _xlfn.XLOOKUP(R140,'02效果表'!D:D,'02效果表'!E:E), 0) +
U140*IF(_xlfn.XLOOKUP(T140,'02效果表'!D:D,'02效果表'!E:E)&lt;0, _xlfn.XLOOKUP(T140,'02效果表'!D:D,'02效果表'!E:E), 0) +
W140*IF(_xlfn.XLOOKUP(V140,'02效果表'!D:D,'02效果表'!E:E)&lt;0, _xlfn.XLOOKUP(V140,'02效果表'!D:D,'02效果表'!E:E), 0) +
Y140*IF(_xlfn.XLOOKUP(X140,'02效果表'!D:D,'02效果表'!E:E)&lt;0, _xlfn.XLOOKUP(X140,'02效果表'!D:D,'02效果表'!E:E), 0) +
AA140*IF(_xlfn.XLOOKUP(Z140,'02效果表'!D:D,'02效果表'!E:E)&lt;0, _xlfn.XLOOKUP(Z140,'02效果表'!D:D,'02效果表'!E:E), 0) +
AC140*IF(_xlfn.XLOOKUP(AB140,'02效果表'!D:D,'02效果表'!E:E)&lt;0, _xlfn.XLOOKUP(AB140,'02效果表'!D:D,'02效果表'!E:E), 0) +
AE140*IF(_xlfn.XLOOKUP(AD140,'02效果表'!D:D,'02效果表'!E:E)&lt;0, _xlfn.XLOOKUP(AD140,'02效果表'!D:D,'02效果表'!E:E), 0)), 1)</f>
        <v>0</v>
      </c>
      <c r="G140" s="7">
        <f>ROUND(1/6*(I140*MAX(_xlfn.XLOOKUP(H140,'02效果表'!D:D,'02效果表'!E:E),0)+K140*MAX(_xlfn.XLOOKUP(J140,'02效果表'!D:D,'02效果表'!E:E),0)+M140*MAX(_xlfn.XLOOKUP(L140,'02效果表'!D:D,'02效果表'!E:E),0)+O140*MAX(_xlfn.XLOOKUP(N140,'02效果表'!D:D,'02效果表'!E:E),0)+Q140*MAX(_xlfn.XLOOKUP(P140,'02效果表'!D:D,'02效果表'!E:E),0)+S140*MAX(_xlfn.XLOOKUP(R140,'02效果表'!D:D,'02效果表'!E:E),0)+U140*MAX(_xlfn.XLOOKUP(T140,'02效果表'!D:D,'02效果表'!E:E),0)+W140*MAX(_xlfn.XLOOKUP(V140,'02效果表'!D:D,'02效果表'!E:E),0)+Y140*MAX(_xlfn.XLOOKUP(X140,'02效果表'!D:D,'02效果表'!E:E),0)+AA140*MAX(_xlfn.XLOOKUP(Z140,'02效果表'!D:D,'02效果表'!E:E),0)+AC140*MAX(_xlfn.XLOOKUP(AB140,'02效果表'!D:D,'02效果表'!E:E),0)+AE140*MAX(_xlfn.XLOOKUP(AD140,'02效果表'!D:D,'02效果表'!E:E),0)),1)</f>
        <v>0</v>
      </c>
      <c r="H140" s="6"/>
      <c r="I140" s="6"/>
      <c r="J140" s="6"/>
      <c r="K140" s="6"/>
      <c r="L140" s="6"/>
      <c r="M140" s="6"/>
      <c r="N140" s="6"/>
      <c r="O140" s="6"/>
      <c r="P140" s="6"/>
      <c r="Q140" s="6"/>
      <c r="R140" s="6"/>
      <c r="S140" s="6"/>
      <c r="T140" s="6"/>
      <c r="U140" s="6"/>
      <c r="V140" s="6"/>
      <c r="W140" s="6"/>
      <c r="X140" s="6"/>
      <c r="Y140" s="6"/>
      <c r="Z140" s="6"/>
      <c r="AA140" s="6"/>
      <c r="AB140" s="6"/>
      <c r="AC140" s="6"/>
      <c r="AD140" s="6"/>
      <c r="AE140" s="6"/>
    </row>
    <row r="141" spans="1:31" x14ac:dyDescent="0.35">
      <c r="A141" s="6">
        <v>141</v>
      </c>
      <c r="B141" s="6" t="s">
        <v>3</v>
      </c>
      <c r="C141" s="10" t="s">
        <v>16</v>
      </c>
      <c r="D141" s="9" t="s">
        <v>1363</v>
      </c>
      <c r="E141" s="7">
        <f t="shared" si="9"/>
        <v>0</v>
      </c>
      <c r="F141" s="7">
        <f>-1*ROUND(1/6*(I141*IF(_xlfn.XLOOKUP(H141,'02效果表'!D:D,'02效果表'!E:E)&lt;0, _xlfn.XLOOKUP(H141,'02效果表'!D:D,'02效果表'!E:E), 0) +
K141*IF(_xlfn.XLOOKUP(J141,'02效果表'!D:D,'02效果表'!E:E)&lt;0, _xlfn.XLOOKUP(J141,'02效果表'!D:D,'02效果表'!E:E), 0) +
M141*IF(_xlfn.XLOOKUP(L141,'02效果表'!D:D,'02效果表'!E:E)&lt;0, _xlfn.XLOOKUP(L141,'02效果表'!D:D,'02效果表'!E:E), 0) +
O141*IF(_xlfn.XLOOKUP(N141,'02效果表'!D:D,'02效果表'!E:E)&lt;0, _xlfn.XLOOKUP(N141,'02效果表'!D:D,'02效果表'!E:E), 0) +
Q141*IF(_xlfn.XLOOKUP(P141,'02效果表'!D:D,'02效果表'!E:E)&lt;0, _xlfn.XLOOKUP(P141,'02效果表'!D:D,'02效果表'!E:E), 0) +
S141*IF(_xlfn.XLOOKUP(R141,'02效果表'!D:D,'02效果表'!E:E)&lt;0, _xlfn.XLOOKUP(R141,'02效果表'!D:D,'02效果表'!E:E), 0) +
U141*IF(_xlfn.XLOOKUP(T141,'02效果表'!D:D,'02效果表'!E:E)&lt;0, _xlfn.XLOOKUP(T141,'02效果表'!D:D,'02效果表'!E:E), 0) +
W141*IF(_xlfn.XLOOKUP(V141,'02效果表'!D:D,'02效果表'!E:E)&lt;0, _xlfn.XLOOKUP(V141,'02效果表'!D:D,'02效果表'!E:E), 0) +
Y141*IF(_xlfn.XLOOKUP(X141,'02效果表'!D:D,'02效果表'!E:E)&lt;0, _xlfn.XLOOKUP(X141,'02效果表'!D:D,'02效果表'!E:E), 0) +
AA141*IF(_xlfn.XLOOKUP(Z141,'02效果表'!D:D,'02效果表'!E:E)&lt;0, _xlfn.XLOOKUP(Z141,'02效果表'!D:D,'02效果表'!E:E), 0) +
AC141*IF(_xlfn.XLOOKUP(AB141,'02效果表'!D:D,'02效果表'!E:E)&lt;0, _xlfn.XLOOKUP(AB141,'02效果表'!D:D,'02效果表'!E:E), 0) +
AE141*IF(_xlfn.XLOOKUP(AD141,'02效果表'!D:D,'02效果表'!E:E)&lt;0, _xlfn.XLOOKUP(AD141,'02效果表'!D:D,'02效果表'!E:E), 0)), 1)</f>
        <v>0</v>
      </c>
      <c r="G141" s="7">
        <f>ROUND(1/6*(I141*MAX(_xlfn.XLOOKUP(H141,'02效果表'!D:D,'02效果表'!E:E),0)+K141*MAX(_xlfn.XLOOKUP(J141,'02效果表'!D:D,'02效果表'!E:E),0)+M141*MAX(_xlfn.XLOOKUP(L141,'02效果表'!D:D,'02效果表'!E:E),0)+O141*MAX(_xlfn.XLOOKUP(N141,'02效果表'!D:D,'02效果表'!E:E),0)+Q141*MAX(_xlfn.XLOOKUP(P141,'02效果表'!D:D,'02效果表'!E:E),0)+S141*MAX(_xlfn.XLOOKUP(R141,'02效果表'!D:D,'02效果表'!E:E),0)+U141*MAX(_xlfn.XLOOKUP(T141,'02效果表'!D:D,'02效果表'!E:E),0)+W141*MAX(_xlfn.XLOOKUP(V141,'02效果表'!D:D,'02效果表'!E:E),0)+Y141*MAX(_xlfn.XLOOKUP(X141,'02效果表'!D:D,'02效果表'!E:E),0)+AA141*MAX(_xlfn.XLOOKUP(Z141,'02效果表'!D:D,'02效果表'!E:E),0)+AC141*MAX(_xlfn.XLOOKUP(AB141,'02效果表'!D:D,'02效果表'!E:E),0)+AE141*MAX(_xlfn.XLOOKUP(AD141,'02效果表'!D:D,'02效果表'!E:E),0)),1)</f>
        <v>0</v>
      </c>
      <c r="H141" s="6"/>
      <c r="I141" s="6"/>
      <c r="J141" s="6"/>
      <c r="K141" s="6"/>
      <c r="L141" s="6"/>
      <c r="M141" s="6"/>
      <c r="N141" s="6"/>
      <c r="O141" s="6"/>
      <c r="P141" s="6"/>
      <c r="Q141" s="6"/>
      <c r="R141" s="6"/>
      <c r="S141" s="6"/>
      <c r="T141" s="6"/>
      <c r="U141" s="6"/>
      <c r="V141" s="6"/>
      <c r="W141" s="6"/>
      <c r="X141" s="6"/>
      <c r="Y141" s="6"/>
      <c r="Z141" s="6"/>
      <c r="AA141" s="6"/>
      <c r="AB141" s="6"/>
      <c r="AC141" s="6"/>
      <c r="AD141" s="6"/>
      <c r="AE141" s="6"/>
    </row>
    <row r="142" spans="1:31" x14ac:dyDescent="0.35">
      <c r="A142" s="6">
        <v>142</v>
      </c>
      <c r="B142" s="6" t="s">
        <v>3</v>
      </c>
      <c r="C142" s="10" t="s">
        <v>16</v>
      </c>
      <c r="D142" s="9" t="s">
        <v>1364</v>
      </c>
      <c r="E142" s="7">
        <f t="shared" si="9"/>
        <v>0</v>
      </c>
      <c r="F142" s="7">
        <f>-1*ROUND(1/6*(I142*IF(_xlfn.XLOOKUP(H142,'02效果表'!D:D,'02效果表'!E:E)&lt;0, _xlfn.XLOOKUP(H142,'02效果表'!D:D,'02效果表'!E:E), 0) +
K142*IF(_xlfn.XLOOKUP(J142,'02效果表'!D:D,'02效果表'!E:E)&lt;0, _xlfn.XLOOKUP(J142,'02效果表'!D:D,'02效果表'!E:E), 0) +
M142*IF(_xlfn.XLOOKUP(L142,'02效果表'!D:D,'02效果表'!E:E)&lt;0, _xlfn.XLOOKUP(L142,'02效果表'!D:D,'02效果表'!E:E), 0) +
O142*IF(_xlfn.XLOOKUP(N142,'02效果表'!D:D,'02效果表'!E:E)&lt;0, _xlfn.XLOOKUP(N142,'02效果表'!D:D,'02效果表'!E:E), 0) +
Q142*IF(_xlfn.XLOOKUP(P142,'02效果表'!D:D,'02效果表'!E:E)&lt;0, _xlfn.XLOOKUP(P142,'02效果表'!D:D,'02效果表'!E:E), 0) +
S142*IF(_xlfn.XLOOKUP(R142,'02效果表'!D:D,'02效果表'!E:E)&lt;0, _xlfn.XLOOKUP(R142,'02效果表'!D:D,'02效果表'!E:E), 0) +
U142*IF(_xlfn.XLOOKUP(T142,'02效果表'!D:D,'02效果表'!E:E)&lt;0, _xlfn.XLOOKUP(T142,'02效果表'!D:D,'02效果表'!E:E), 0) +
W142*IF(_xlfn.XLOOKUP(V142,'02效果表'!D:D,'02效果表'!E:E)&lt;0, _xlfn.XLOOKUP(V142,'02效果表'!D:D,'02效果表'!E:E), 0) +
Y142*IF(_xlfn.XLOOKUP(X142,'02效果表'!D:D,'02效果表'!E:E)&lt;0, _xlfn.XLOOKUP(X142,'02效果表'!D:D,'02效果表'!E:E), 0) +
AA142*IF(_xlfn.XLOOKUP(Z142,'02效果表'!D:D,'02效果表'!E:E)&lt;0, _xlfn.XLOOKUP(Z142,'02效果表'!D:D,'02效果表'!E:E), 0) +
AC142*IF(_xlfn.XLOOKUP(AB142,'02效果表'!D:D,'02效果表'!E:E)&lt;0, _xlfn.XLOOKUP(AB142,'02效果表'!D:D,'02效果表'!E:E), 0) +
AE142*IF(_xlfn.XLOOKUP(AD142,'02效果表'!D:D,'02效果表'!E:E)&lt;0, _xlfn.XLOOKUP(AD142,'02效果表'!D:D,'02效果表'!E:E), 0)), 1)</f>
        <v>0</v>
      </c>
      <c r="G142" s="7">
        <f>ROUND(1/6*(I142*MAX(_xlfn.XLOOKUP(H142,'02效果表'!D:D,'02效果表'!E:E),0)+K142*MAX(_xlfn.XLOOKUP(J142,'02效果表'!D:D,'02效果表'!E:E),0)+M142*MAX(_xlfn.XLOOKUP(L142,'02效果表'!D:D,'02效果表'!E:E),0)+O142*MAX(_xlfn.XLOOKUP(N142,'02效果表'!D:D,'02效果表'!E:E),0)+Q142*MAX(_xlfn.XLOOKUP(P142,'02效果表'!D:D,'02效果表'!E:E),0)+S142*MAX(_xlfn.XLOOKUP(R142,'02效果表'!D:D,'02效果表'!E:E),0)+U142*MAX(_xlfn.XLOOKUP(T142,'02效果表'!D:D,'02效果表'!E:E),0)+W142*MAX(_xlfn.XLOOKUP(V142,'02效果表'!D:D,'02效果表'!E:E),0)+Y142*MAX(_xlfn.XLOOKUP(X142,'02效果表'!D:D,'02效果表'!E:E),0)+AA142*MAX(_xlfn.XLOOKUP(Z142,'02效果表'!D:D,'02效果表'!E:E),0)+AC142*MAX(_xlfn.XLOOKUP(AB142,'02效果表'!D:D,'02效果表'!E:E),0)+AE142*MAX(_xlfn.XLOOKUP(AD142,'02效果表'!D:D,'02效果表'!E:E),0)),1)</f>
        <v>0</v>
      </c>
      <c r="H142" s="6"/>
      <c r="I142" s="6"/>
      <c r="J142" s="6"/>
      <c r="K142" s="6"/>
      <c r="L142" s="6"/>
      <c r="M142" s="6"/>
      <c r="N142" s="6"/>
      <c r="O142" s="6"/>
      <c r="P142" s="6"/>
      <c r="Q142" s="6"/>
      <c r="R142" s="6"/>
      <c r="S142" s="6"/>
      <c r="T142" s="6"/>
      <c r="U142" s="6"/>
      <c r="V142" s="6"/>
      <c r="W142" s="6"/>
      <c r="X142" s="6"/>
      <c r="Y142" s="6"/>
      <c r="Z142" s="6"/>
      <c r="AA142" s="6"/>
      <c r="AB142" s="6"/>
      <c r="AC142" s="6"/>
      <c r="AD142" s="6"/>
      <c r="AE142" s="6"/>
    </row>
    <row r="143" spans="1:31" x14ac:dyDescent="0.35">
      <c r="A143" s="6">
        <v>143</v>
      </c>
      <c r="B143" s="6" t="s">
        <v>3</v>
      </c>
      <c r="C143" s="10" t="s">
        <v>16</v>
      </c>
      <c r="D143" s="9" t="s">
        <v>1365</v>
      </c>
      <c r="E143" s="7">
        <f t="shared" si="9"/>
        <v>0</v>
      </c>
      <c r="F143" s="7">
        <f>-1*ROUND(1/6*(I143*IF(_xlfn.XLOOKUP(H143,'02效果表'!D:D,'02效果表'!E:E)&lt;0, _xlfn.XLOOKUP(H143,'02效果表'!D:D,'02效果表'!E:E), 0) +
K143*IF(_xlfn.XLOOKUP(J143,'02效果表'!D:D,'02效果表'!E:E)&lt;0, _xlfn.XLOOKUP(J143,'02效果表'!D:D,'02效果表'!E:E), 0) +
M143*IF(_xlfn.XLOOKUP(L143,'02效果表'!D:D,'02效果表'!E:E)&lt;0, _xlfn.XLOOKUP(L143,'02效果表'!D:D,'02效果表'!E:E), 0) +
O143*IF(_xlfn.XLOOKUP(N143,'02效果表'!D:D,'02效果表'!E:E)&lt;0, _xlfn.XLOOKUP(N143,'02效果表'!D:D,'02效果表'!E:E), 0) +
Q143*IF(_xlfn.XLOOKUP(P143,'02效果表'!D:D,'02效果表'!E:E)&lt;0, _xlfn.XLOOKUP(P143,'02效果表'!D:D,'02效果表'!E:E), 0) +
S143*IF(_xlfn.XLOOKUP(R143,'02效果表'!D:D,'02效果表'!E:E)&lt;0, _xlfn.XLOOKUP(R143,'02效果表'!D:D,'02效果表'!E:E), 0) +
U143*IF(_xlfn.XLOOKUP(T143,'02效果表'!D:D,'02效果表'!E:E)&lt;0, _xlfn.XLOOKUP(T143,'02效果表'!D:D,'02效果表'!E:E), 0) +
W143*IF(_xlfn.XLOOKUP(V143,'02效果表'!D:D,'02效果表'!E:E)&lt;0, _xlfn.XLOOKUP(V143,'02效果表'!D:D,'02效果表'!E:E), 0) +
Y143*IF(_xlfn.XLOOKUP(X143,'02效果表'!D:D,'02效果表'!E:E)&lt;0, _xlfn.XLOOKUP(X143,'02效果表'!D:D,'02效果表'!E:E), 0) +
AA143*IF(_xlfn.XLOOKUP(Z143,'02效果表'!D:D,'02效果表'!E:E)&lt;0, _xlfn.XLOOKUP(Z143,'02效果表'!D:D,'02效果表'!E:E), 0) +
AC143*IF(_xlfn.XLOOKUP(AB143,'02效果表'!D:D,'02效果表'!E:E)&lt;0, _xlfn.XLOOKUP(AB143,'02效果表'!D:D,'02效果表'!E:E), 0) +
AE143*IF(_xlfn.XLOOKUP(AD143,'02效果表'!D:D,'02效果表'!E:E)&lt;0, _xlfn.XLOOKUP(AD143,'02效果表'!D:D,'02效果表'!E:E), 0)), 1)</f>
        <v>0</v>
      </c>
      <c r="G143" s="7">
        <f>ROUND(1/6*(I143*MAX(_xlfn.XLOOKUP(H143,'02效果表'!D:D,'02效果表'!E:E),0)+K143*MAX(_xlfn.XLOOKUP(J143,'02效果表'!D:D,'02效果表'!E:E),0)+M143*MAX(_xlfn.XLOOKUP(L143,'02效果表'!D:D,'02效果表'!E:E),0)+O143*MAX(_xlfn.XLOOKUP(N143,'02效果表'!D:D,'02效果表'!E:E),0)+Q143*MAX(_xlfn.XLOOKUP(P143,'02效果表'!D:D,'02效果表'!E:E),0)+S143*MAX(_xlfn.XLOOKUP(R143,'02效果表'!D:D,'02效果表'!E:E),0)+U143*MAX(_xlfn.XLOOKUP(T143,'02效果表'!D:D,'02效果表'!E:E),0)+W143*MAX(_xlfn.XLOOKUP(V143,'02效果表'!D:D,'02效果表'!E:E),0)+Y143*MAX(_xlfn.XLOOKUP(X143,'02效果表'!D:D,'02效果表'!E:E),0)+AA143*MAX(_xlfn.XLOOKUP(Z143,'02效果表'!D:D,'02效果表'!E:E),0)+AC143*MAX(_xlfn.XLOOKUP(AB143,'02效果表'!D:D,'02效果表'!E:E),0)+AE143*MAX(_xlfn.XLOOKUP(AD143,'02效果表'!D:D,'02效果表'!E:E),0)),1)</f>
        <v>0</v>
      </c>
      <c r="H143" s="6"/>
      <c r="I143" s="6"/>
      <c r="J143" s="6"/>
      <c r="K143" s="6"/>
      <c r="L143" s="6"/>
      <c r="M143" s="6"/>
      <c r="N143" s="6"/>
      <c r="O143" s="6"/>
      <c r="P143" s="6"/>
      <c r="Q143" s="6"/>
      <c r="R143" s="6"/>
      <c r="S143" s="6"/>
      <c r="T143" s="6"/>
      <c r="U143" s="6"/>
      <c r="V143" s="6"/>
      <c r="W143" s="6"/>
      <c r="X143" s="6"/>
      <c r="Y143" s="6"/>
      <c r="Z143" s="6"/>
      <c r="AA143" s="6"/>
      <c r="AB143" s="6"/>
      <c r="AC143" s="6"/>
      <c r="AD143" s="6"/>
      <c r="AE143" s="6"/>
    </row>
    <row r="144" spans="1:31" x14ac:dyDescent="0.35">
      <c r="A144" s="6">
        <v>144</v>
      </c>
      <c r="B144" s="6" t="s">
        <v>3</v>
      </c>
      <c r="C144" s="10" t="s">
        <v>16</v>
      </c>
      <c r="D144" s="9" t="s">
        <v>1366</v>
      </c>
      <c r="E144" s="7">
        <f t="shared" si="9"/>
        <v>0</v>
      </c>
      <c r="F144" s="7">
        <f>-1*ROUND(1/6*(I144*IF(_xlfn.XLOOKUP(H144,'02效果表'!D:D,'02效果表'!E:E)&lt;0, _xlfn.XLOOKUP(H144,'02效果表'!D:D,'02效果表'!E:E), 0) +
K144*IF(_xlfn.XLOOKUP(J144,'02效果表'!D:D,'02效果表'!E:E)&lt;0, _xlfn.XLOOKUP(J144,'02效果表'!D:D,'02效果表'!E:E), 0) +
M144*IF(_xlfn.XLOOKUP(L144,'02效果表'!D:D,'02效果表'!E:E)&lt;0, _xlfn.XLOOKUP(L144,'02效果表'!D:D,'02效果表'!E:E), 0) +
O144*IF(_xlfn.XLOOKUP(N144,'02效果表'!D:D,'02效果表'!E:E)&lt;0, _xlfn.XLOOKUP(N144,'02效果表'!D:D,'02效果表'!E:E), 0) +
Q144*IF(_xlfn.XLOOKUP(P144,'02效果表'!D:D,'02效果表'!E:E)&lt;0, _xlfn.XLOOKUP(P144,'02效果表'!D:D,'02效果表'!E:E), 0) +
S144*IF(_xlfn.XLOOKUP(R144,'02效果表'!D:D,'02效果表'!E:E)&lt;0, _xlfn.XLOOKUP(R144,'02效果表'!D:D,'02效果表'!E:E), 0) +
U144*IF(_xlfn.XLOOKUP(T144,'02效果表'!D:D,'02效果表'!E:E)&lt;0, _xlfn.XLOOKUP(T144,'02效果表'!D:D,'02效果表'!E:E), 0) +
W144*IF(_xlfn.XLOOKUP(V144,'02效果表'!D:D,'02效果表'!E:E)&lt;0, _xlfn.XLOOKUP(V144,'02效果表'!D:D,'02效果表'!E:E), 0) +
Y144*IF(_xlfn.XLOOKUP(X144,'02效果表'!D:D,'02效果表'!E:E)&lt;0, _xlfn.XLOOKUP(X144,'02效果表'!D:D,'02效果表'!E:E), 0) +
AA144*IF(_xlfn.XLOOKUP(Z144,'02效果表'!D:D,'02效果表'!E:E)&lt;0, _xlfn.XLOOKUP(Z144,'02效果表'!D:D,'02效果表'!E:E), 0) +
AC144*IF(_xlfn.XLOOKUP(AB144,'02效果表'!D:D,'02效果表'!E:E)&lt;0, _xlfn.XLOOKUP(AB144,'02效果表'!D:D,'02效果表'!E:E), 0) +
AE144*IF(_xlfn.XLOOKUP(AD144,'02效果表'!D:D,'02效果表'!E:E)&lt;0, _xlfn.XLOOKUP(AD144,'02效果表'!D:D,'02效果表'!E:E), 0)), 1)</f>
        <v>0</v>
      </c>
      <c r="G144" s="7">
        <f>ROUND(1/6*(I144*MAX(_xlfn.XLOOKUP(H144,'02效果表'!D:D,'02效果表'!E:E),0)+K144*MAX(_xlfn.XLOOKUP(J144,'02效果表'!D:D,'02效果表'!E:E),0)+M144*MAX(_xlfn.XLOOKUP(L144,'02效果表'!D:D,'02效果表'!E:E),0)+O144*MAX(_xlfn.XLOOKUP(N144,'02效果表'!D:D,'02效果表'!E:E),0)+Q144*MAX(_xlfn.XLOOKUP(P144,'02效果表'!D:D,'02效果表'!E:E),0)+S144*MAX(_xlfn.XLOOKUP(R144,'02效果表'!D:D,'02效果表'!E:E),0)+U144*MAX(_xlfn.XLOOKUP(T144,'02效果表'!D:D,'02效果表'!E:E),0)+W144*MAX(_xlfn.XLOOKUP(V144,'02效果表'!D:D,'02效果表'!E:E),0)+Y144*MAX(_xlfn.XLOOKUP(X144,'02效果表'!D:D,'02效果表'!E:E),0)+AA144*MAX(_xlfn.XLOOKUP(Z144,'02效果表'!D:D,'02效果表'!E:E),0)+AC144*MAX(_xlfn.XLOOKUP(AB144,'02效果表'!D:D,'02效果表'!E:E),0)+AE144*MAX(_xlfn.XLOOKUP(AD144,'02效果表'!D:D,'02效果表'!E:E),0)),1)</f>
        <v>0</v>
      </c>
      <c r="H144" s="6"/>
      <c r="I144" s="6"/>
      <c r="J144" s="6"/>
      <c r="K144" s="6"/>
      <c r="L144" s="6"/>
      <c r="M144" s="6"/>
      <c r="N144" s="6"/>
      <c r="O144" s="6"/>
      <c r="P144" s="6"/>
      <c r="Q144" s="6"/>
      <c r="R144" s="6"/>
      <c r="S144" s="6"/>
      <c r="T144" s="6"/>
      <c r="U144" s="6"/>
      <c r="V144" s="6"/>
      <c r="W144" s="6"/>
      <c r="X144" s="6"/>
      <c r="Y144" s="6"/>
      <c r="Z144" s="6"/>
      <c r="AA144" s="6"/>
      <c r="AB144" s="6"/>
      <c r="AC144" s="6"/>
      <c r="AD144" s="6"/>
      <c r="AE144" s="6"/>
    </row>
    <row r="145" spans="1:31" x14ac:dyDescent="0.35">
      <c r="A145" s="6">
        <v>145</v>
      </c>
      <c r="B145" s="6" t="s">
        <v>3</v>
      </c>
      <c r="C145" s="10" t="s">
        <v>16</v>
      </c>
      <c r="D145" s="9" t="s">
        <v>1367</v>
      </c>
      <c r="E145" s="7">
        <f t="shared" si="9"/>
        <v>0</v>
      </c>
      <c r="F145" s="7">
        <f>-1*ROUND(1/6*(I145*IF(_xlfn.XLOOKUP(H145,'02效果表'!D:D,'02效果表'!E:E)&lt;0, _xlfn.XLOOKUP(H145,'02效果表'!D:D,'02效果表'!E:E), 0) +
K145*IF(_xlfn.XLOOKUP(J145,'02效果表'!D:D,'02效果表'!E:E)&lt;0, _xlfn.XLOOKUP(J145,'02效果表'!D:D,'02效果表'!E:E), 0) +
M145*IF(_xlfn.XLOOKUP(L145,'02效果表'!D:D,'02效果表'!E:E)&lt;0, _xlfn.XLOOKUP(L145,'02效果表'!D:D,'02效果表'!E:E), 0) +
O145*IF(_xlfn.XLOOKUP(N145,'02效果表'!D:D,'02效果表'!E:E)&lt;0, _xlfn.XLOOKUP(N145,'02效果表'!D:D,'02效果表'!E:E), 0) +
Q145*IF(_xlfn.XLOOKUP(P145,'02效果表'!D:D,'02效果表'!E:E)&lt;0, _xlfn.XLOOKUP(P145,'02效果表'!D:D,'02效果表'!E:E), 0) +
S145*IF(_xlfn.XLOOKUP(R145,'02效果表'!D:D,'02效果表'!E:E)&lt;0, _xlfn.XLOOKUP(R145,'02效果表'!D:D,'02效果表'!E:E), 0) +
U145*IF(_xlfn.XLOOKUP(T145,'02效果表'!D:D,'02效果表'!E:E)&lt;0, _xlfn.XLOOKUP(T145,'02效果表'!D:D,'02效果表'!E:E), 0) +
W145*IF(_xlfn.XLOOKUP(V145,'02效果表'!D:D,'02效果表'!E:E)&lt;0, _xlfn.XLOOKUP(V145,'02效果表'!D:D,'02效果表'!E:E), 0) +
Y145*IF(_xlfn.XLOOKUP(X145,'02效果表'!D:D,'02效果表'!E:E)&lt;0, _xlfn.XLOOKUP(X145,'02效果表'!D:D,'02效果表'!E:E), 0) +
AA145*IF(_xlfn.XLOOKUP(Z145,'02效果表'!D:D,'02效果表'!E:E)&lt;0, _xlfn.XLOOKUP(Z145,'02效果表'!D:D,'02效果表'!E:E), 0) +
AC145*IF(_xlfn.XLOOKUP(AB145,'02效果表'!D:D,'02效果表'!E:E)&lt;0, _xlfn.XLOOKUP(AB145,'02效果表'!D:D,'02效果表'!E:E), 0) +
AE145*IF(_xlfn.XLOOKUP(AD145,'02效果表'!D:D,'02效果表'!E:E)&lt;0, _xlfn.XLOOKUP(AD145,'02效果表'!D:D,'02效果表'!E:E), 0)), 1)</f>
        <v>0</v>
      </c>
      <c r="G145" s="7">
        <f>ROUND(1/6*(I145*MAX(_xlfn.XLOOKUP(H145,'02效果表'!D:D,'02效果表'!E:E),0)+K145*MAX(_xlfn.XLOOKUP(J145,'02效果表'!D:D,'02效果表'!E:E),0)+M145*MAX(_xlfn.XLOOKUP(L145,'02效果表'!D:D,'02效果表'!E:E),0)+O145*MAX(_xlfn.XLOOKUP(N145,'02效果表'!D:D,'02效果表'!E:E),0)+Q145*MAX(_xlfn.XLOOKUP(P145,'02效果表'!D:D,'02效果表'!E:E),0)+S145*MAX(_xlfn.XLOOKUP(R145,'02效果表'!D:D,'02效果表'!E:E),0)+U145*MAX(_xlfn.XLOOKUP(T145,'02效果表'!D:D,'02效果表'!E:E),0)+W145*MAX(_xlfn.XLOOKUP(V145,'02效果表'!D:D,'02效果表'!E:E),0)+Y145*MAX(_xlfn.XLOOKUP(X145,'02效果表'!D:D,'02效果表'!E:E),0)+AA145*MAX(_xlfn.XLOOKUP(Z145,'02效果表'!D:D,'02效果表'!E:E),0)+AC145*MAX(_xlfn.XLOOKUP(AB145,'02效果表'!D:D,'02效果表'!E:E),0)+AE145*MAX(_xlfn.XLOOKUP(AD145,'02效果表'!D:D,'02效果表'!E:E),0)),1)</f>
        <v>0</v>
      </c>
      <c r="H145" s="6"/>
      <c r="I145" s="6"/>
      <c r="J145" s="6"/>
      <c r="K145" s="6"/>
      <c r="L145" s="6"/>
      <c r="M145" s="6"/>
      <c r="N145" s="6"/>
      <c r="O145" s="6"/>
      <c r="P145" s="6"/>
      <c r="Q145" s="6"/>
      <c r="R145" s="6"/>
      <c r="S145" s="6"/>
      <c r="T145" s="6"/>
      <c r="U145" s="6"/>
      <c r="V145" s="6"/>
      <c r="W145" s="6"/>
      <c r="X145" s="6"/>
      <c r="Y145" s="6"/>
      <c r="Z145" s="6"/>
      <c r="AA145" s="6"/>
      <c r="AB145" s="6"/>
      <c r="AC145" s="6"/>
      <c r="AD145" s="6"/>
      <c r="AE145" s="6"/>
    </row>
    <row r="146" spans="1:31" x14ac:dyDescent="0.35">
      <c r="A146" s="6">
        <v>146</v>
      </c>
      <c r="B146" s="6" t="s">
        <v>3</v>
      </c>
      <c r="C146" s="10" t="s">
        <v>16</v>
      </c>
      <c r="D146" s="9" t="s">
        <v>1368</v>
      </c>
      <c r="E146" s="7">
        <f t="shared" si="9"/>
        <v>0</v>
      </c>
      <c r="F146" s="7">
        <f>-1*ROUND(1/6*(I146*IF(_xlfn.XLOOKUP(H146,'02效果表'!D:D,'02效果表'!E:E)&lt;0, _xlfn.XLOOKUP(H146,'02效果表'!D:D,'02效果表'!E:E), 0) +
K146*IF(_xlfn.XLOOKUP(J146,'02效果表'!D:D,'02效果表'!E:E)&lt;0, _xlfn.XLOOKUP(J146,'02效果表'!D:D,'02效果表'!E:E), 0) +
M146*IF(_xlfn.XLOOKUP(L146,'02效果表'!D:D,'02效果表'!E:E)&lt;0, _xlfn.XLOOKUP(L146,'02效果表'!D:D,'02效果表'!E:E), 0) +
O146*IF(_xlfn.XLOOKUP(N146,'02效果表'!D:D,'02效果表'!E:E)&lt;0, _xlfn.XLOOKUP(N146,'02效果表'!D:D,'02效果表'!E:E), 0) +
Q146*IF(_xlfn.XLOOKUP(P146,'02效果表'!D:D,'02效果表'!E:E)&lt;0, _xlfn.XLOOKUP(P146,'02效果表'!D:D,'02效果表'!E:E), 0) +
S146*IF(_xlfn.XLOOKUP(R146,'02效果表'!D:D,'02效果表'!E:E)&lt;0, _xlfn.XLOOKUP(R146,'02效果表'!D:D,'02效果表'!E:E), 0) +
U146*IF(_xlfn.XLOOKUP(T146,'02效果表'!D:D,'02效果表'!E:E)&lt;0, _xlfn.XLOOKUP(T146,'02效果表'!D:D,'02效果表'!E:E), 0) +
W146*IF(_xlfn.XLOOKUP(V146,'02效果表'!D:D,'02效果表'!E:E)&lt;0, _xlfn.XLOOKUP(V146,'02效果表'!D:D,'02效果表'!E:E), 0) +
Y146*IF(_xlfn.XLOOKUP(X146,'02效果表'!D:D,'02效果表'!E:E)&lt;0, _xlfn.XLOOKUP(X146,'02效果表'!D:D,'02效果表'!E:E), 0) +
AA146*IF(_xlfn.XLOOKUP(Z146,'02效果表'!D:D,'02效果表'!E:E)&lt;0, _xlfn.XLOOKUP(Z146,'02效果表'!D:D,'02效果表'!E:E), 0) +
AC146*IF(_xlfn.XLOOKUP(AB146,'02效果表'!D:D,'02效果表'!E:E)&lt;0, _xlfn.XLOOKUP(AB146,'02效果表'!D:D,'02效果表'!E:E), 0) +
AE146*IF(_xlfn.XLOOKUP(AD146,'02效果表'!D:D,'02效果表'!E:E)&lt;0, _xlfn.XLOOKUP(AD146,'02效果表'!D:D,'02效果表'!E:E), 0)), 1)</f>
        <v>0</v>
      </c>
      <c r="G146" s="7">
        <f>ROUND(1/6*(I146*MAX(_xlfn.XLOOKUP(H146,'02效果表'!D:D,'02效果表'!E:E),0)+K146*MAX(_xlfn.XLOOKUP(J146,'02效果表'!D:D,'02效果表'!E:E),0)+M146*MAX(_xlfn.XLOOKUP(L146,'02效果表'!D:D,'02效果表'!E:E),0)+O146*MAX(_xlfn.XLOOKUP(N146,'02效果表'!D:D,'02效果表'!E:E),0)+Q146*MAX(_xlfn.XLOOKUP(P146,'02效果表'!D:D,'02效果表'!E:E),0)+S146*MAX(_xlfn.XLOOKUP(R146,'02效果表'!D:D,'02效果表'!E:E),0)+U146*MAX(_xlfn.XLOOKUP(T146,'02效果表'!D:D,'02效果表'!E:E),0)+W146*MAX(_xlfn.XLOOKUP(V146,'02效果表'!D:D,'02效果表'!E:E),0)+Y146*MAX(_xlfn.XLOOKUP(X146,'02效果表'!D:D,'02效果表'!E:E),0)+AA146*MAX(_xlfn.XLOOKUP(Z146,'02效果表'!D:D,'02效果表'!E:E),0)+AC146*MAX(_xlfn.XLOOKUP(AB146,'02效果表'!D:D,'02效果表'!E:E),0)+AE146*MAX(_xlfn.XLOOKUP(AD146,'02效果表'!D:D,'02效果表'!E:E),0)),1)</f>
        <v>0</v>
      </c>
      <c r="H146" s="6"/>
      <c r="I146" s="6"/>
      <c r="J146" s="6"/>
      <c r="K146" s="6"/>
      <c r="L146" s="6"/>
      <c r="M146" s="6"/>
      <c r="N146" s="6"/>
      <c r="O146" s="6"/>
      <c r="P146" s="6"/>
      <c r="Q146" s="6"/>
      <c r="R146" s="6"/>
      <c r="S146" s="6"/>
      <c r="T146" s="6"/>
      <c r="U146" s="6"/>
      <c r="V146" s="6"/>
      <c r="W146" s="6"/>
      <c r="X146" s="6"/>
      <c r="Y146" s="6"/>
      <c r="Z146" s="6"/>
      <c r="AA146" s="6"/>
      <c r="AB146" s="6"/>
      <c r="AC146" s="6"/>
      <c r="AD146" s="6"/>
      <c r="AE146" s="6"/>
    </row>
    <row r="147" spans="1:31" x14ac:dyDescent="0.35">
      <c r="A147" s="6">
        <v>147</v>
      </c>
      <c r="B147" s="6" t="s">
        <v>3</v>
      </c>
      <c r="C147" s="10" t="s">
        <v>16</v>
      </c>
      <c r="D147" s="9" t="s">
        <v>1369</v>
      </c>
      <c r="E147" s="7">
        <f t="shared" si="9"/>
        <v>0</v>
      </c>
      <c r="F147" s="7">
        <f>-1*ROUND(1/6*(I147*IF(_xlfn.XLOOKUP(H147,'02效果表'!D:D,'02效果表'!E:E)&lt;0, _xlfn.XLOOKUP(H147,'02效果表'!D:D,'02效果表'!E:E), 0) +
K147*IF(_xlfn.XLOOKUP(J147,'02效果表'!D:D,'02效果表'!E:E)&lt;0, _xlfn.XLOOKUP(J147,'02效果表'!D:D,'02效果表'!E:E), 0) +
M147*IF(_xlfn.XLOOKUP(L147,'02效果表'!D:D,'02效果表'!E:E)&lt;0, _xlfn.XLOOKUP(L147,'02效果表'!D:D,'02效果表'!E:E), 0) +
O147*IF(_xlfn.XLOOKUP(N147,'02效果表'!D:D,'02效果表'!E:E)&lt;0, _xlfn.XLOOKUP(N147,'02效果表'!D:D,'02效果表'!E:E), 0) +
Q147*IF(_xlfn.XLOOKUP(P147,'02效果表'!D:D,'02效果表'!E:E)&lt;0, _xlfn.XLOOKUP(P147,'02效果表'!D:D,'02效果表'!E:E), 0) +
S147*IF(_xlfn.XLOOKUP(R147,'02效果表'!D:D,'02效果表'!E:E)&lt;0, _xlfn.XLOOKUP(R147,'02效果表'!D:D,'02效果表'!E:E), 0) +
U147*IF(_xlfn.XLOOKUP(T147,'02效果表'!D:D,'02效果表'!E:E)&lt;0, _xlfn.XLOOKUP(T147,'02效果表'!D:D,'02效果表'!E:E), 0) +
W147*IF(_xlfn.XLOOKUP(V147,'02效果表'!D:D,'02效果表'!E:E)&lt;0, _xlfn.XLOOKUP(V147,'02效果表'!D:D,'02效果表'!E:E), 0) +
Y147*IF(_xlfn.XLOOKUP(X147,'02效果表'!D:D,'02效果表'!E:E)&lt;0, _xlfn.XLOOKUP(X147,'02效果表'!D:D,'02效果表'!E:E), 0) +
AA147*IF(_xlfn.XLOOKUP(Z147,'02效果表'!D:D,'02效果表'!E:E)&lt;0, _xlfn.XLOOKUP(Z147,'02效果表'!D:D,'02效果表'!E:E), 0) +
AC147*IF(_xlfn.XLOOKUP(AB147,'02效果表'!D:D,'02效果表'!E:E)&lt;0, _xlfn.XLOOKUP(AB147,'02效果表'!D:D,'02效果表'!E:E), 0) +
AE147*IF(_xlfn.XLOOKUP(AD147,'02效果表'!D:D,'02效果表'!E:E)&lt;0, _xlfn.XLOOKUP(AD147,'02效果表'!D:D,'02效果表'!E:E), 0)), 1)</f>
        <v>0</v>
      </c>
      <c r="G147" s="7">
        <f>ROUND(1/6*(I147*MAX(_xlfn.XLOOKUP(H147,'02效果表'!D:D,'02效果表'!E:E),0)+K147*MAX(_xlfn.XLOOKUP(J147,'02效果表'!D:D,'02效果表'!E:E),0)+M147*MAX(_xlfn.XLOOKUP(L147,'02效果表'!D:D,'02效果表'!E:E),0)+O147*MAX(_xlfn.XLOOKUP(N147,'02效果表'!D:D,'02效果表'!E:E),0)+Q147*MAX(_xlfn.XLOOKUP(P147,'02效果表'!D:D,'02效果表'!E:E),0)+S147*MAX(_xlfn.XLOOKUP(R147,'02效果表'!D:D,'02效果表'!E:E),0)+U147*MAX(_xlfn.XLOOKUP(T147,'02效果表'!D:D,'02效果表'!E:E),0)+W147*MAX(_xlfn.XLOOKUP(V147,'02效果表'!D:D,'02效果表'!E:E),0)+Y147*MAX(_xlfn.XLOOKUP(X147,'02效果表'!D:D,'02效果表'!E:E),0)+AA147*MAX(_xlfn.XLOOKUP(Z147,'02效果表'!D:D,'02效果表'!E:E),0)+AC147*MAX(_xlfn.XLOOKUP(AB147,'02效果表'!D:D,'02效果表'!E:E),0)+AE147*MAX(_xlfn.XLOOKUP(AD147,'02效果表'!D:D,'02效果表'!E:E),0)),1)</f>
        <v>0</v>
      </c>
      <c r="H147" s="6"/>
      <c r="I147" s="6"/>
      <c r="J147" s="6"/>
      <c r="K147" s="6"/>
      <c r="L147" s="6"/>
      <c r="M147" s="6"/>
      <c r="N147" s="6"/>
      <c r="O147" s="6"/>
      <c r="P147" s="6"/>
      <c r="Q147" s="6"/>
      <c r="R147" s="6"/>
      <c r="S147" s="6"/>
      <c r="T147" s="6"/>
      <c r="U147" s="6"/>
      <c r="V147" s="6"/>
      <c r="W147" s="6"/>
      <c r="X147" s="6"/>
      <c r="Y147" s="6"/>
      <c r="Z147" s="6"/>
      <c r="AA147" s="6"/>
      <c r="AB147" s="6"/>
      <c r="AC147" s="6"/>
      <c r="AD147" s="6"/>
      <c r="AE147" s="6"/>
    </row>
    <row r="148" spans="1:31" x14ac:dyDescent="0.35">
      <c r="A148" s="6">
        <v>148</v>
      </c>
      <c r="B148" s="6" t="s">
        <v>3</v>
      </c>
      <c r="C148" s="10" t="s">
        <v>16</v>
      </c>
      <c r="D148" s="9" t="s">
        <v>1370</v>
      </c>
      <c r="E148" s="7">
        <f t="shared" si="9"/>
        <v>0</v>
      </c>
      <c r="F148" s="7">
        <f>-1*ROUND(1/6*(I148*IF(_xlfn.XLOOKUP(H148,'02效果表'!D:D,'02效果表'!E:E)&lt;0, _xlfn.XLOOKUP(H148,'02效果表'!D:D,'02效果表'!E:E), 0) +
K148*IF(_xlfn.XLOOKUP(J148,'02效果表'!D:D,'02效果表'!E:E)&lt;0, _xlfn.XLOOKUP(J148,'02效果表'!D:D,'02效果表'!E:E), 0) +
M148*IF(_xlfn.XLOOKUP(L148,'02效果表'!D:D,'02效果表'!E:E)&lt;0, _xlfn.XLOOKUP(L148,'02效果表'!D:D,'02效果表'!E:E), 0) +
O148*IF(_xlfn.XLOOKUP(N148,'02效果表'!D:D,'02效果表'!E:E)&lt;0, _xlfn.XLOOKUP(N148,'02效果表'!D:D,'02效果表'!E:E), 0) +
Q148*IF(_xlfn.XLOOKUP(P148,'02效果表'!D:D,'02效果表'!E:E)&lt;0, _xlfn.XLOOKUP(P148,'02效果表'!D:D,'02效果表'!E:E), 0) +
S148*IF(_xlfn.XLOOKUP(R148,'02效果表'!D:D,'02效果表'!E:E)&lt;0, _xlfn.XLOOKUP(R148,'02效果表'!D:D,'02效果表'!E:E), 0) +
U148*IF(_xlfn.XLOOKUP(T148,'02效果表'!D:D,'02效果表'!E:E)&lt;0, _xlfn.XLOOKUP(T148,'02效果表'!D:D,'02效果表'!E:E), 0) +
W148*IF(_xlfn.XLOOKUP(V148,'02效果表'!D:D,'02效果表'!E:E)&lt;0, _xlfn.XLOOKUP(V148,'02效果表'!D:D,'02效果表'!E:E), 0) +
Y148*IF(_xlfn.XLOOKUP(X148,'02效果表'!D:D,'02效果表'!E:E)&lt;0, _xlfn.XLOOKUP(X148,'02效果表'!D:D,'02效果表'!E:E), 0) +
AA148*IF(_xlfn.XLOOKUP(Z148,'02效果表'!D:D,'02效果表'!E:E)&lt;0, _xlfn.XLOOKUP(Z148,'02效果表'!D:D,'02效果表'!E:E), 0) +
AC148*IF(_xlfn.XLOOKUP(AB148,'02效果表'!D:D,'02效果表'!E:E)&lt;0, _xlfn.XLOOKUP(AB148,'02效果表'!D:D,'02效果表'!E:E), 0) +
AE148*IF(_xlfn.XLOOKUP(AD148,'02效果表'!D:D,'02效果表'!E:E)&lt;0, _xlfn.XLOOKUP(AD148,'02效果表'!D:D,'02效果表'!E:E), 0)), 1)</f>
        <v>0</v>
      </c>
      <c r="G148" s="7">
        <f>ROUND(1/6*(I148*MAX(_xlfn.XLOOKUP(H148,'02效果表'!D:D,'02效果表'!E:E),0)+K148*MAX(_xlfn.XLOOKUP(J148,'02效果表'!D:D,'02效果表'!E:E),0)+M148*MAX(_xlfn.XLOOKUP(L148,'02效果表'!D:D,'02效果表'!E:E),0)+O148*MAX(_xlfn.XLOOKUP(N148,'02效果表'!D:D,'02效果表'!E:E),0)+Q148*MAX(_xlfn.XLOOKUP(P148,'02效果表'!D:D,'02效果表'!E:E),0)+S148*MAX(_xlfn.XLOOKUP(R148,'02效果表'!D:D,'02效果表'!E:E),0)+U148*MAX(_xlfn.XLOOKUP(T148,'02效果表'!D:D,'02效果表'!E:E),0)+W148*MAX(_xlfn.XLOOKUP(V148,'02效果表'!D:D,'02效果表'!E:E),0)+Y148*MAX(_xlfn.XLOOKUP(X148,'02效果表'!D:D,'02效果表'!E:E),0)+AA148*MAX(_xlfn.XLOOKUP(Z148,'02效果表'!D:D,'02效果表'!E:E),0)+AC148*MAX(_xlfn.XLOOKUP(AB148,'02效果表'!D:D,'02效果表'!E:E),0)+AE148*MAX(_xlfn.XLOOKUP(AD148,'02效果表'!D:D,'02效果表'!E:E),0)),1)</f>
        <v>0</v>
      </c>
      <c r="H148" s="6"/>
      <c r="I148" s="6"/>
      <c r="J148" s="6"/>
      <c r="K148" s="6"/>
      <c r="L148" s="6"/>
      <c r="M148" s="6"/>
      <c r="N148" s="6"/>
      <c r="O148" s="6"/>
      <c r="P148" s="6"/>
      <c r="Q148" s="6"/>
      <c r="R148" s="6"/>
      <c r="S148" s="6"/>
      <c r="T148" s="6"/>
      <c r="U148" s="6"/>
      <c r="V148" s="6"/>
      <c r="W148" s="6"/>
      <c r="X148" s="6"/>
      <c r="Y148" s="6"/>
      <c r="Z148" s="6"/>
      <c r="AA148" s="6"/>
      <c r="AB148" s="6"/>
      <c r="AC148" s="6"/>
      <c r="AD148" s="6"/>
      <c r="AE148" s="6"/>
    </row>
    <row r="149" spans="1:31" x14ac:dyDescent="0.35">
      <c r="A149" s="6">
        <v>149</v>
      </c>
      <c r="B149" s="6" t="s">
        <v>3</v>
      </c>
      <c r="C149" s="10" t="s">
        <v>16</v>
      </c>
      <c r="D149" s="9" t="s">
        <v>1371</v>
      </c>
      <c r="E149" s="7">
        <f t="shared" si="9"/>
        <v>0</v>
      </c>
      <c r="F149" s="7">
        <f>-1*ROUND(1/6*(I149*IF(_xlfn.XLOOKUP(H149,'02效果表'!D:D,'02效果表'!E:E)&lt;0, _xlfn.XLOOKUP(H149,'02效果表'!D:D,'02效果表'!E:E), 0) +
K149*IF(_xlfn.XLOOKUP(J149,'02效果表'!D:D,'02效果表'!E:E)&lt;0, _xlfn.XLOOKUP(J149,'02效果表'!D:D,'02效果表'!E:E), 0) +
M149*IF(_xlfn.XLOOKUP(L149,'02效果表'!D:D,'02效果表'!E:E)&lt;0, _xlfn.XLOOKUP(L149,'02效果表'!D:D,'02效果表'!E:E), 0) +
O149*IF(_xlfn.XLOOKUP(N149,'02效果表'!D:D,'02效果表'!E:E)&lt;0, _xlfn.XLOOKUP(N149,'02效果表'!D:D,'02效果表'!E:E), 0) +
Q149*IF(_xlfn.XLOOKUP(P149,'02效果表'!D:D,'02效果表'!E:E)&lt;0, _xlfn.XLOOKUP(P149,'02效果表'!D:D,'02效果表'!E:E), 0) +
S149*IF(_xlfn.XLOOKUP(R149,'02效果表'!D:D,'02效果表'!E:E)&lt;0, _xlfn.XLOOKUP(R149,'02效果表'!D:D,'02效果表'!E:E), 0) +
U149*IF(_xlfn.XLOOKUP(T149,'02效果表'!D:D,'02效果表'!E:E)&lt;0, _xlfn.XLOOKUP(T149,'02效果表'!D:D,'02效果表'!E:E), 0) +
W149*IF(_xlfn.XLOOKUP(V149,'02效果表'!D:D,'02效果表'!E:E)&lt;0, _xlfn.XLOOKUP(V149,'02效果表'!D:D,'02效果表'!E:E), 0) +
Y149*IF(_xlfn.XLOOKUP(X149,'02效果表'!D:D,'02效果表'!E:E)&lt;0, _xlfn.XLOOKUP(X149,'02效果表'!D:D,'02效果表'!E:E), 0) +
AA149*IF(_xlfn.XLOOKUP(Z149,'02效果表'!D:D,'02效果表'!E:E)&lt;0, _xlfn.XLOOKUP(Z149,'02效果表'!D:D,'02效果表'!E:E), 0) +
AC149*IF(_xlfn.XLOOKUP(AB149,'02效果表'!D:D,'02效果表'!E:E)&lt;0, _xlfn.XLOOKUP(AB149,'02效果表'!D:D,'02效果表'!E:E), 0) +
AE149*IF(_xlfn.XLOOKUP(AD149,'02效果表'!D:D,'02效果表'!E:E)&lt;0, _xlfn.XLOOKUP(AD149,'02效果表'!D:D,'02效果表'!E:E), 0)), 1)</f>
        <v>0</v>
      </c>
      <c r="G149" s="7">
        <f>ROUND(1/6*(I149*MAX(_xlfn.XLOOKUP(H149,'02效果表'!D:D,'02效果表'!E:E),0)+K149*MAX(_xlfn.XLOOKUP(J149,'02效果表'!D:D,'02效果表'!E:E),0)+M149*MAX(_xlfn.XLOOKUP(L149,'02效果表'!D:D,'02效果表'!E:E),0)+O149*MAX(_xlfn.XLOOKUP(N149,'02效果表'!D:D,'02效果表'!E:E),0)+Q149*MAX(_xlfn.XLOOKUP(P149,'02效果表'!D:D,'02效果表'!E:E),0)+S149*MAX(_xlfn.XLOOKUP(R149,'02效果表'!D:D,'02效果表'!E:E),0)+U149*MAX(_xlfn.XLOOKUP(T149,'02效果表'!D:D,'02效果表'!E:E),0)+W149*MAX(_xlfn.XLOOKUP(V149,'02效果表'!D:D,'02效果表'!E:E),0)+Y149*MAX(_xlfn.XLOOKUP(X149,'02效果表'!D:D,'02效果表'!E:E),0)+AA149*MAX(_xlfn.XLOOKUP(Z149,'02效果表'!D:D,'02效果表'!E:E),0)+AC149*MAX(_xlfn.XLOOKUP(AB149,'02效果表'!D:D,'02效果表'!E:E),0)+AE149*MAX(_xlfn.XLOOKUP(AD149,'02效果表'!D:D,'02效果表'!E:E),0)),1)</f>
        <v>0</v>
      </c>
      <c r="H149" s="6"/>
      <c r="I149" s="6"/>
      <c r="J149" s="6"/>
      <c r="K149" s="6"/>
      <c r="L149" s="6"/>
      <c r="M149" s="6"/>
      <c r="N149" s="6"/>
      <c r="O149" s="6"/>
      <c r="P149" s="6"/>
      <c r="Q149" s="6"/>
      <c r="R149" s="6"/>
      <c r="S149" s="6"/>
      <c r="T149" s="6"/>
      <c r="U149" s="6"/>
      <c r="V149" s="6"/>
      <c r="W149" s="6"/>
      <c r="X149" s="6"/>
      <c r="Y149" s="6"/>
      <c r="Z149" s="6"/>
      <c r="AA149" s="6"/>
      <c r="AB149" s="6"/>
      <c r="AC149" s="6"/>
      <c r="AD149" s="6"/>
      <c r="AE149" s="6"/>
    </row>
    <row r="150" spans="1:31" x14ac:dyDescent="0.35">
      <c r="A150" s="6">
        <v>150</v>
      </c>
      <c r="B150" s="6" t="s">
        <v>3</v>
      </c>
      <c r="C150" s="10" t="s">
        <v>16</v>
      </c>
      <c r="D150" s="9" t="s">
        <v>1372</v>
      </c>
      <c r="E150" s="7">
        <f t="shared" si="9"/>
        <v>0</v>
      </c>
      <c r="F150" s="7">
        <f>-1*ROUND(1/6*(I150*IF(_xlfn.XLOOKUP(H150,'02效果表'!D:D,'02效果表'!E:E)&lt;0, _xlfn.XLOOKUP(H150,'02效果表'!D:D,'02效果表'!E:E), 0) +
K150*IF(_xlfn.XLOOKUP(J150,'02效果表'!D:D,'02效果表'!E:E)&lt;0, _xlfn.XLOOKUP(J150,'02效果表'!D:D,'02效果表'!E:E), 0) +
M150*IF(_xlfn.XLOOKUP(L150,'02效果表'!D:D,'02效果表'!E:E)&lt;0, _xlfn.XLOOKUP(L150,'02效果表'!D:D,'02效果表'!E:E), 0) +
O150*IF(_xlfn.XLOOKUP(N150,'02效果表'!D:D,'02效果表'!E:E)&lt;0, _xlfn.XLOOKUP(N150,'02效果表'!D:D,'02效果表'!E:E), 0) +
Q150*IF(_xlfn.XLOOKUP(P150,'02效果表'!D:D,'02效果表'!E:E)&lt;0, _xlfn.XLOOKUP(P150,'02效果表'!D:D,'02效果表'!E:E), 0) +
S150*IF(_xlfn.XLOOKUP(R150,'02效果表'!D:D,'02效果表'!E:E)&lt;0, _xlfn.XLOOKUP(R150,'02效果表'!D:D,'02效果表'!E:E), 0) +
U150*IF(_xlfn.XLOOKUP(T150,'02效果表'!D:D,'02效果表'!E:E)&lt;0, _xlfn.XLOOKUP(T150,'02效果表'!D:D,'02效果表'!E:E), 0) +
W150*IF(_xlfn.XLOOKUP(V150,'02效果表'!D:D,'02效果表'!E:E)&lt;0, _xlfn.XLOOKUP(V150,'02效果表'!D:D,'02效果表'!E:E), 0) +
Y150*IF(_xlfn.XLOOKUP(X150,'02效果表'!D:D,'02效果表'!E:E)&lt;0, _xlfn.XLOOKUP(X150,'02效果表'!D:D,'02效果表'!E:E), 0) +
AA150*IF(_xlfn.XLOOKUP(Z150,'02效果表'!D:D,'02效果表'!E:E)&lt;0, _xlfn.XLOOKUP(Z150,'02效果表'!D:D,'02效果表'!E:E), 0) +
AC150*IF(_xlfn.XLOOKUP(AB150,'02效果表'!D:D,'02效果表'!E:E)&lt;0, _xlfn.XLOOKUP(AB150,'02效果表'!D:D,'02效果表'!E:E), 0) +
AE150*IF(_xlfn.XLOOKUP(AD150,'02效果表'!D:D,'02效果表'!E:E)&lt;0, _xlfn.XLOOKUP(AD150,'02效果表'!D:D,'02效果表'!E:E), 0)), 1)</f>
        <v>0</v>
      </c>
      <c r="G150" s="7">
        <f>ROUND(1/6*(I150*MAX(_xlfn.XLOOKUP(H150,'02效果表'!D:D,'02效果表'!E:E),0)+K150*MAX(_xlfn.XLOOKUP(J150,'02效果表'!D:D,'02效果表'!E:E),0)+M150*MAX(_xlfn.XLOOKUP(L150,'02效果表'!D:D,'02效果表'!E:E),0)+O150*MAX(_xlfn.XLOOKUP(N150,'02效果表'!D:D,'02效果表'!E:E),0)+Q150*MAX(_xlfn.XLOOKUP(P150,'02效果表'!D:D,'02效果表'!E:E),0)+S150*MAX(_xlfn.XLOOKUP(R150,'02效果表'!D:D,'02效果表'!E:E),0)+U150*MAX(_xlfn.XLOOKUP(T150,'02效果表'!D:D,'02效果表'!E:E),0)+W150*MAX(_xlfn.XLOOKUP(V150,'02效果表'!D:D,'02效果表'!E:E),0)+Y150*MAX(_xlfn.XLOOKUP(X150,'02效果表'!D:D,'02效果表'!E:E),0)+AA150*MAX(_xlfn.XLOOKUP(Z150,'02效果表'!D:D,'02效果表'!E:E),0)+AC150*MAX(_xlfn.XLOOKUP(AB150,'02效果表'!D:D,'02效果表'!E:E),0)+AE150*MAX(_xlfn.XLOOKUP(AD150,'02效果表'!D:D,'02效果表'!E:E),0)),1)</f>
        <v>0</v>
      </c>
      <c r="H150" s="6"/>
      <c r="I150" s="6"/>
      <c r="J150" s="6"/>
      <c r="K150" s="6"/>
      <c r="L150" s="6"/>
      <c r="M150" s="6"/>
      <c r="N150" s="6"/>
      <c r="O150" s="6"/>
      <c r="P150" s="6"/>
      <c r="Q150" s="6"/>
      <c r="R150" s="6"/>
      <c r="S150" s="6"/>
      <c r="T150" s="6"/>
      <c r="U150" s="6"/>
      <c r="V150" s="6"/>
      <c r="W150" s="6"/>
      <c r="X150" s="6"/>
      <c r="Y150" s="6"/>
      <c r="Z150" s="6"/>
      <c r="AA150" s="6"/>
      <c r="AB150" s="6"/>
      <c r="AC150" s="6"/>
      <c r="AD150" s="6"/>
      <c r="AE150" s="6"/>
    </row>
    <row r="151" spans="1:31" x14ac:dyDescent="0.35">
      <c r="A151" s="6">
        <v>151</v>
      </c>
      <c r="B151" s="6" t="s">
        <v>3</v>
      </c>
      <c r="C151" s="10" t="s">
        <v>16</v>
      </c>
      <c r="D151" s="9" t="s">
        <v>1373</v>
      </c>
      <c r="E151" s="7">
        <f t="shared" si="9"/>
        <v>0</v>
      </c>
      <c r="F151" s="7">
        <f>-1*ROUND(1/6*(I151*IF(_xlfn.XLOOKUP(H151,'02效果表'!D:D,'02效果表'!E:E)&lt;0, _xlfn.XLOOKUP(H151,'02效果表'!D:D,'02效果表'!E:E), 0) +
K151*IF(_xlfn.XLOOKUP(J151,'02效果表'!D:D,'02效果表'!E:E)&lt;0, _xlfn.XLOOKUP(J151,'02效果表'!D:D,'02效果表'!E:E), 0) +
M151*IF(_xlfn.XLOOKUP(L151,'02效果表'!D:D,'02效果表'!E:E)&lt;0, _xlfn.XLOOKUP(L151,'02效果表'!D:D,'02效果表'!E:E), 0) +
O151*IF(_xlfn.XLOOKUP(N151,'02效果表'!D:D,'02效果表'!E:E)&lt;0, _xlfn.XLOOKUP(N151,'02效果表'!D:D,'02效果表'!E:E), 0) +
Q151*IF(_xlfn.XLOOKUP(P151,'02效果表'!D:D,'02效果表'!E:E)&lt;0, _xlfn.XLOOKUP(P151,'02效果表'!D:D,'02效果表'!E:E), 0) +
S151*IF(_xlfn.XLOOKUP(R151,'02效果表'!D:D,'02效果表'!E:E)&lt;0, _xlfn.XLOOKUP(R151,'02效果表'!D:D,'02效果表'!E:E), 0) +
U151*IF(_xlfn.XLOOKUP(T151,'02效果表'!D:D,'02效果表'!E:E)&lt;0, _xlfn.XLOOKUP(T151,'02效果表'!D:D,'02效果表'!E:E), 0) +
W151*IF(_xlfn.XLOOKUP(V151,'02效果表'!D:D,'02效果表'!E:E)&lt;0, _xlfn.XLOOKUP(V151,'02效果表'!D:D,'02效果表'!E:E), 0) +
Y151*IF(_xlfn.XLOOKUP(X151,'02效果表'!D:D,'02效果表'!E:E)&lt;0, _xlfn.XLOOKUP(X151,'02效果表'!D:D,'02效果表'!E:E), 0) +
AA151*IF(_xlfn.XLOOKUP(Z151,'02效果表'!D:D,'02效果表'!E:E)&lt;0, _xlfn.XLOOKUP(Z151,'02效果表'!D:D,'02效果表'!E:E), 0) +
AC151*IF(_xlfn.XLOOKUP(AB151,'02效果表'!D:D,'02效果表'!E:E)&lt;0, _xlfn.XLOOKUP(AB151,'02效果表'!D:D,'02效果表'!E:E), 0) +
AE151*IF(_xlfn.XLOOKUP(AD151,'02效果表'!D:D,'02效果表'!E:E)&lt;0, _xlfn.XLOOKUP(AD151,'02效果表'!D:D,'02效果表'!E:E), 0)), 1)</f>
        <v>0</v>
      </c>
      <c r="G151" s="7">
        <f>ROUND(1/6*(I151*MAX(_xlfn.XLOOKUP(H151,'02效果表'!D:D,'02效果表'!E:E),0)+K151*MAX(_xlfn.XLOOKUP(J151,'02效果表'!D:D,'02效果表'!E:E),0)+M151*MAX(_xlfn.XLOOKUP(L151,'02效果表'!D:D,'02效果表'!E:E),0)+O151*MAX(_xlfn.XLOOKUP(N151,'02效果表'!D:D,'02效果表'!E:E),0)+Q151*MAX(_xlfn.XLOOKUP(P151,'02效果表'!D:D,'02效果表'!E:E),0)+S151*MAX(_xlfn.XLOOKUP(R151,'02效果表'!D:D,'02效果表'!E:E),0)+U151*MAX(_xlfn.XLOOKUP(T151,'02效果表'!D:D,'02效果表'!E:E),0)+W151*MAX(_xlfn.XLOOKUP(V151,'02效果表'!D:D,'02效果表'!E:E),0)+Y151*MAX(_xlfn.XLOOKUP(X151,'02效果表'!D:D,'02效果表'!E:E),0)+AA151*MAX(_xlfn.XLOOKUP(Z151,'02效果表'!D:D,'02效果表'!E:E),0)+AC151*MAX(_xlfn.XLOOKUP(AB151,'02效果表'!D:D,'02效果表'!E:E),0)+AE151*MAX(_xlfn.XLOOKUP(AD151,'02效果表'!D:D,'02效果表'!E:E),0)),1)</f>
        <v>0</v>
      </c>
      <c r="H151" s="6"/>
      <c r="I151" s="6"/>
      <c r="J151" s="6"/>
      <c r="K151" s="6"/>
      <c r="L151" s="6"/>
      <c r="M151" s="6"/>
      <c r="N151" s="6"/>
      <c r="O151" s="6"/>
      <c r="P151" s="6"/>
      <c r="Q151" s="6"/>
      <c r="R151" s="6"/>
      <c r="S151" s="6"/>
      <c r="T151" s="6"/>
      <c r="U151" s="6"/>
      <c r="V151" s="6"/>
      <c r="W151" s="6"/>
      <c r="X151" s="6"/>
      <c r="Y151" s="6"/>
      <c r="Z151" s="6"/>
      <c r="AA151" s="6"/>
      <c r="AB151" s="6"/>
      <c r="AC151" s="6"/>
      <c r="AD151" s="6"/>
      <c r="AE151" s="6"/>
    </row>
    <row r="152" spans="1:31" x14ac:dyDescent="0.35">
      <c r="A152" s="6">
        <v>152</v>
      </c>
      <c r="B152" s="6" t="s">
        <v>3</v>
      </c>
      <c r="C152" s="10" t="s">
        <v>16</v>
      </c>
      <c r="D152" s="9" t="s">
        <v>1374</v>
      </c>
      <c r="E152" s="7">
        <f t="shared" si="9"/>
        <v>0</v>
      </c>
      <c r="F152" s="7">
        <f>-1*ROUND(1/6*(I152*IF(_xlfn.XLOOKUP(H152,'02效果表'!D:D,'02效果表'!E:E)&lt;0, _xlfn.XLOOKUP(H152,'02效果表'!D:D,'02效果表'!E:E), 0) +
K152*IF(_xlfn.XLOOKUP(J152,'02效果表'!D:D,'02效果表'!E:E)&lt;0, _xlfn.XLOOKUP(J152,'02效果表'!D:D,'02效果表'!E:E), 0) +
M152*IF(_xlfn.XLOOKUP(L152,'02效果表'!D:D,'02效果表'!E:E)&lt;0, _xlfn.XLOOKUP(L152,'02效果表'!D:D,'02效果表'!E:E), 0) +
O152*IF(_xlfn.XLOOKUP(N152,'02效果表'!D:D,'02效果表'!E:E)&lt;0, _xlfn.XLOOKUP(N152,'02效果表'!D:D,'02效果表'!E:E), 0) +
Q152*IF(_xlfn.XLOOKUP(P152,'02效果表'!D:D,'02效果表'!E:E)&lt;0, _xlfn.XLOOKUP(P152,'02效果表'!D:D,'02效果表'!E:E), 0) +
S152*IF(_xlfn.XLOOKUP(R152,'02效果表'!D:D,'02效果表'!E:E)&lt;0, _xlfn.XLOOKUP(R152,'02效果表'!D:D,'02效果表'!E:E), 0) +
U152*IF(_xlfn.XLOOKUP(T152,'02效果表'!D:D,'02效果表'!E:E)&lt;0, _xlfn.XLOOKUP(T152,'02效果表'!D:D,'02效果表'!E:E), 0) +
W152*IF(_xlfn.XLOOKUP(V152,'02效果表'!D:D,'02效果表'!E:E)&lt;0, _xlfn.XLOOKUP(V152,'02效果表'!D:D,'02效果表'!E:E), 0) +
Y152*IF(_xlfn.XLOOKUP(X152,'02效果表'!D:D,'02效果表'!E:E)&lt;0, _xlfn.XLOOKUP(X152,'02效果表'!D:D,'02效果表'!E:E), 0) +
AA152*IF(_xlfn.XLOOKUP(Z152,'02效果表'!D:D,'02效果表'!E:E)&lt;0, _xlfn.XLOOKUP(Z152,'02效果表'!D:D,'02效果表'!E:E), 0) +
AC152*IF(_xlfn.XLOOKUP(AB152,'02效果表'!D:D,'02效果表'!E:E)&lt;0, _xlfn.XLOOKUP(AB152,'02效果表'!D:D,'02效果表'!E:E), 0) +
AE152*IF(_xlfn.XLOOKUP(AD152,'02效果表'!D:D,'02效果表'!E:E)&lt;0, _xlfn.XLOOKUP(AD152,'02效果表'!D:D,'02效果表'!E:E), 0)), 1)</f>
        <v>0</v>
      </c>
      <c r="G152" s="7">
        <f>ROUND(1/6*(I152*MAX(_xlfn.XLOOKUP(H152,'02效果表'!D:D,'02效果表'!E:E),0)+K152*MAX(_xlfn.XLOOKUP(J152,'02效果表'!D:D,'02效果表'!E:E),0)+M152*MAX(_xlfn.XLOOKUP(L152,'02效果表'!D:D,'02效果表'!E:E),0)+O152*MAX(_xlfn.XLOOKUP(N152,'02效果表'!D:D,'02效果表'!E:E),0)+Q152*MAX(_xlfn.XLOOKUP(P152,'02效果表'!D:D,'02效果表'!E:E),0)+S152*MAX(_xlfn.XLOOKUP(R152,'02效果表'!D:D,'02效果表'!E:E),0)+U152*MAX(_xlfn.XLOOKUP(T152,'02效果表'!D:D,'02效果表'!E:E),0)+W152*MAX(_xlfn.XLOOKUP(V152,'02效果表'!D:D,'02效果表'!E:E),0)+Y152*MAX(_xlfn.XLOOKUP(X152,'02效果表'!D:D,'02效果表'!E:E),0)+AA152*MAX(_xlfn.XLOOKUP(Z152,'02效果表'!D:D,'02效果表'!E:E),0)+AC152*MAX(_xlfn.XLOOKUP(AB152,'02效果表'!D:D,'02效果表'!E:E),0)+AE152*MAX(_xlfn.XLOOKUP(AD152,'02效果表'!D:D,'02效果表'!E:E),0)),1)</f>
        <v>0</v>
      </c>
      <c r="H152" s="6"/>
      <c r="I152" s="6"/>
      <c r="J152" s="6"/>
      <c r="K152" s="6"/>
      <c r="L152" s="6"/>
      <c r="M152" s="6"/>
      <c r="N152" s="6"/>
      <c r="O152" s="6"/>
      <c r="P152" s="6"/>
      <c r="Q152" s="6"/>
      <c r="R152" s="6"/>
      <c r="S152" s="6"/>
      <c r="T152" s="6"/>
      <c r="U152" s="6"/>
      <c r="V152" s="6"/>
      <c r="W152" s="6"/>
      <c r="X152" s="6"/>
      <c r="Y152" s="6"/>
      <c r="Z152" s="6"/>
      <c r="AA152" s="6"/>
      <c r="AB152" s="6"/>
      <c r="AC152" s="6"/>
      <c r="AD152" s="6"/>
      <c r="AE152" s="6"/>
    </row>
    <row r="153" spans="1:31" x14ac:dyDescent="0.35">
      <c r="A153" s="6">
        <v>153</v>
      </c>
      <c r="B153" s="6" t="s">
        <v>3</v>
      </c>
      <c r="C153" s="10" t="s">
        <v>16</v>
      </c>
      <c r="D153" s="9" t="s">
        <v>1375</v>
      </c>
      <c r="E153" s="7">
        <f t="shared" si="9"/>
        <v>0</v>
      </c>
      <c r="F153" s="7">
        <f>-1*ROUND(1/6*(I153*IF(_xlfn.XLOOKUP(H153,'02效果表'!D:D,'02效果表'!E:E)&lt;0, _xlfn.XLOOKUP(H153,'02效果表'!D:D,'02效果表'!E:E), 0) +
K153*IF(_xlfn.XLOOKUP(J153,'02效果表'!D:D,'02效果表'!E:E)&lt;0, _xlfn.XLOOKUP(J153,'02效果表'!D:D,'02效果表'!E:E), 0) +
M153*IF(_xlfn.XLOOKUP(L153,'02效果表'!D:D,'02效果表'!E:E)&lt;0, _xlfn.XLOOKUP(L153,'02效果表'!D:D,'02效果表'!E:E), 0) +
O153*IF(_xlfn.XLOOKUP(N153,'02效果表'!D:D,'02效果表'!E:E)&lt;0, _xlfn.XLOOKUP(N153,'02效果表'!D:D,'02效果表'!E:E), 0) +
Q153*IF(_xlfn.XLOOKUP(P153,'02效果表'!D:D,'02效果表'!E:E)&lt;0, _xlfn.XLOOKUP(P153,'02效果表'!D:D,'02效果表'!E:E), 0) +
S153*IF(_xlfn.XLOOKUP(R153,'02效果表'!D:D,'02效果表'!E:E)&lt;0, _xlfn.XLOOKUP(R153,'02效果表'!D:D,'02效果表'!E:E), 0) +
U153*IF(_xlfn.XLOOKUP(T153,'02效果表'!D:D,'02效果表'!E:E)&lt;0, _xlfn.XLOOKUP(T153,'02效果表'!D:D,'02效果表'!E:E), 0) +
W153*IF(_xlfn.XLOOKUP(V153,'02效果表'!D:D,'02效果表'!E:E)&lt;0, _xlfn.XLOOKUP(V153,'02效果表'!D:D,'02效果表'!E:E), 0) +
Y153*IF(_xlfn.XLOOKUP(X153,'02效果表'!D:D,'02效果表'!E:E)&lt;0, _xlfn.XLOOKUP(X153,'02效果表'!D:D,'02效果表'!E:E), 0) +
AA153*IF(_xlfn.XLOOKUP(Z153,'02效果表'!D:D,'02效果表'!E:E)&lt;0, _xlfn.XLOOKUP(Z153,'02效果表'!D:D,'02效果表'!E:E), 0) +
AC153*IF(_xlfn.XLOOKUP(AB153,'02效果表'!D:D,'02效果表'!E:E)&lt;0, _xlfn.XLOOKUP(AB153,'02效果表'!D:D,'02效果表'!E:E), 0) +
AE153*IF(_xlfn.XLOOKUP(AD153,'02效果表'!D:D,'02效果表'!E:E)&lt;0, _xlfn.XLOOKUP(AD153,'02效果表'!D:D,'02效果表'!E:E), 0)), 1)</f>
        <v>0</v>
      </c>
      <c r="G153" s="7">
        <f>ROUND(1/6*(I153*MAX(_xlfn.XLOOKUP(H153,'02效果表'!D:D,'02效果表'!E:E),0)+K153*MAX(_xlfn.XLOOKUP(J153,'02效果表'!D:D,'02效果表'!E:E),0)+M153*MAX(_xlfn.XLOOKUP(L153,'02效果表'!D:D,'02效果表'!E:E),0)+O153*MAX(_xlfn.XLOOKUP(N153,'02效果表'!D:D,'02效果表'!E:E),0)+Q153*MAX(_xlfn.XLOOKUP(P153,'02效果表'!D:D,'02效果表'!E:E),0)+S153*MAX(_xlfn.XLOOKUP(R153,'02效果表'!D:D,'02效果表'!E:E),0)+U153*MAX(_xlfn.XLOOKUP(T153,'02效果表'!D:D,'02效果表'!E:E),0)+W153*MAX(_xlfn.XLOOKUP(V153,'02效果表'!D:D,'02效果表'!E:E),0)+Y153*MAX(_xlfn.XLOOKUP(X153,'02效果表'!D:D,'02效果表'!E:E),0)+AA153*MAX(_xlfn.XLOOKUP(Z153,'02效果表'!D:D,'02效果表'!E:E),0)+AC153*MAX(_xlfn.XLOOKUP(AB153,'02效果表'!D:D,'02效果表'!E:E),0)+AE153*MAX(_xlfn.XLOOKUP(AD153,'02效果表'!D:D,'02效果表'!E:E),0)),1)</f>
        <v>0</v>
      </c>
      <c r="H153" s="6"/>
      <c r="I153" s="6"/>
      <c r="J153" s="6"/>
      <c r="K153" s="6"/>
      <c r="L153" s="6"/>
      <c r="M153" s="6"/>
      <c r="N153" s="6"/>
      <c r="O153" s="6"/>
      <c r="P153" s="6"/>
      <c r="Q153" s="6"/>
      <c r="R153" s="6"/>
      <c r="S153" s="6"/>
      <c r="T153" s="6"/>
      <c r="U153" s="6"/>
      <c r="V153" s="6"/>
      <c r="W153" s="6"/>
      <c r="X153" s="6"/>
      <c r="Y153" s="6"/>
      <c r="Z153" s="6"/>
      <c r="AA153" s="6"/>
      <c r="AB153" s="6"/>
      <c r="AC153" s="6"/>
      <c r="AD153" s="6"/>
      <c r="AE153" s="6"/>
    </row>
    <row r="154" spans="1:31" x14ac:dyDescent="0.35">
      <c r="A154" s="6">
        <v>154</v>
      </c>
      <c r="B154" s="6" t="s">
        <v>3</v>
      </c>
      <c r="C154" s="10" t="s">
        <v>16</v>
      </c>
      <c r="D154" s="9" t="s">
        <v>1376</v>
      </c>
      <c r="E154" s="7">
        <f t="shared" si="9"/>
        <v>0</v>
      </c>
      <c r="F154" s="7">
        <f>-1*ROUND(1/6*(I154*IF(_xlfn.XLOOKUP(H154,'02效果表'!D:D,'02效果表'!E:E)&lt;0, _xlfn.XLOOKUP(H154,'02效果表'!D:D,'02效果表'!E:E), 0) +
K154*IF(_xlfn.XLOOKUP(J154,'02效果表'!D:D,'02效果表'!E:E)&lt;0, _xlfn.XLOOKUP(J154,'02效果表'!D:D,'02效果表'!E:E), 0) +
M154*IF(_xlfn.XLOOKUP(L154,'02效果表'!D:D,'02效果表'!E:E)&lt;0, _xlfn.XLOOKUP(L154,'02效果表'!D:D,'02效果表'!E:E), 0) +
O154*IF(_xlfn.XLOOKUP(N154,'02效果表'!D:D,'02效果表'!E:E)&lt;0, _xlfn.XLOOKUP(N154,'02效果表'!D:D,'02效果表'!E:E), 0) +
Q154*IF(_xlfn.XLOOKUP(P154,'02效果表'!D:D,'02效果表'!E:E)&lt;0, _xlfn.XLOOKUP(P154,'02效果表'!D:D,'02效果表'!E:E), 0) +
S154*IF(_xlfn.XLOOKUP(R154,'02效果表'!D:D,'02效果表'!E:E)&lt;0, _xlfn.XLOOKUP(R154,'02效果表'!D:D,'02效果表'!E:E), 0) +
U154*IF(_xlfn.XLOOKUP(T154,'02效果表'!D:D,'02效果表'!E:E)&lt;0, _xlfn.XLOOKUP(T154,'02效果表'!D:D,'02效果表'!E:E), 0) +
W154*IF(_xlfn.XLOOKUP(V154,'02效果表'!D:D,'02效果表'!E:E)&lt;0, _xlfn.XLOOKUP(V154,'02效果表'!D:D,'02效果表'!E:E), 0) +
Y154*IF(_xlfn.XLOOKUP(X154,'02效果表'!D:D,'02效果表'!E:E)&lt;0, _xlfn.XLOOKUP(X154,'02效果表'!D:D,'02效果表'!E:E), 0) +
AA154*IF(_xlfn.XLOOKUP(Z154,'02效果表'!D:D,'02效果表'!E:E)&lt;0, _xlfn.XLOOKUP(Z154,'02效果表'!D:D,'02效果表'!E:E), 0) +
AC154*IF(_xlfn.XLOOKUP(AB154,'02效果表'!D:D,'02效果表'!E:E)&lt;0, _xlfn.XLOOKUP(AB154,'02效果表'!D:D,'02效果表'!E:E), 0) +
AE154*IF(_xlfn.XLOOKUP(AD154,'02效果表'!D:D,'02效果表'!E:E)&lt;0, _xlfn.XLOOKUP(AD154,'02效果表'!D:D,'02效果表'!E:E), 0)), 1)</f>
        <v>0</v>
      </c>
      <c r="G154" s="7">
        <f>ROUND(1/6*(I154*MAX(_xlfn.XLOOKUP(H154,'02效果表'!D:D,'02效果表'!E:E),0)+K154*MAX(_xlfn.XLOOKUP(J154,'02效果表'!D:D,'02效果表'!E:E),0)+M154*MAX(_xlfn.XLOOKUP(L154,'02效果表'!D:D,'02效果表'!E:E),0)+O154*MAX(_xlfn.XLOOKUP(N154,'02效果表'!D:D,'02效果表'!E:E),0)+Q154*MAX(_xlfn.XLOOKUP(P154,'02效果表'!D:D,'02效果表'!E:E),0)+S154*MAX(_xlfn.XLOOKUP(R154,'02效果表'!D:D,'02效果表'!E:E),0)+U154*MAX(_xlfn.XLOOKUP(T154,'02效果表'!D:D,'02效果表'!E:E),0)+W154*MAX(_xlfn.XLOOKUP(V154,'02效果表'!D:D,'02效果表'!E:E),0)+Y154*MAX(_xlfn.XLOOKUP(X154,'02效果表'!D:D,'02效果表'!E:E),0)+AA154*MAX(_xlfn.XLOOKUP(Z154,'02效果表'!D:D,'02效果表'!E:E),0)+AC154*MAX(_xlfn.XLOOKUP(AB154,'02效果表'!D:D,'02效果表'!E:E),0)+AE154*MAX(_xlfn.XLOOKUP(AD154,'02效果表'!D:D,'02效果表'!E:E),0)),1)</f>
        <v>0</v>
      </c>
      <c r="H154" s="6"/>
      <c r="I154" s="6"/>
      <c r="J154" s="6"/>
      <c r="K154" s="6"/>
      <c r="L154" s="6"/>
      <c r="M154" s="6"/>
      <c r="N154" s="6"/>
      <c r="O154" s="6"/>
      <c r="P154" s="6"/>
      <c r="Q154" s="6"/>
      <c r="R154" s="6"/>
      <c r="S154" s="6"/>
      <c r="T154" s="6"/>
      <c r="U154" s="6"/>
      <c r="V154" s="6"/>
      <c r="W154" s="6"/>
      <c r="X154" s="6"/>
      <c r="Y154" s="6"/>
      <c r="Z154" s="6"/>
      <c r="AA154" s="6"/>
      <c r="AB154" s="6"/>
      <c r="AC154" s="6"/>
      <c r="AD154" s="6"/>
      <c r="AE154" s="6"/>
    </row>
    <row r="155" spans="1:31" x14ac:dyDescent="0.35">
      <c r="A155" s="6">
        <v>155</v>
      </c>
      <c r="B155" s="6" t="s">
        <v>3</v>
      </c>
      <c r="C155" s="10" t="s">
        <v>16</v>
      </c>
      <c r="D155" s="9" t="s">
        <v>1377</v>
      </c>
      <c r="E155" s="7">
        <f t="shared" si="9"/>
        <v>0</v>
      </c>
      <c r="F155" s="7">
        <f>-1*ROUND(1/6*(I155*IF(_xlfn.XLOOKUP(H155,'02效果表'!D:D,'02效果表'!E:E)&lt;0, _xlfn.XLOOKUP(H155,'02效果表'!D:D,'02效果表'!E:E), 0) +
K155*IF(_xlfn.XLOOKUP(J155,'02效果表'!D:D,'02效果表'!E:E)&lt;0, _xlfn.XLOOKUP(J155,'02效果表'!D:D,'02效果表'!E:E), 0) +
M155*IF(_xlfn.XLOOKUP(L155,'02效果表'!D:D,'02效果表'!E:E)&lt;0, _xlfn.XLOOKUP(L155,'02效果表'!D:D,'02效果表'!E:E), 0) +
O155*IF(_xlfn.XLOOKUP(N155,'02效果表'!D:D,'02效果表'!E:E)&lt;0, _xlfn.XLOOKUP(N155,'02效果表'!D:D,'02效果表'!E:E), 0) +
Q155*IF(_xlfn.XLOOKUP(P155,'02效果表'!D:D,'02效果表'!E:E)&lt;0, _xlfn.XLOOKUP(P155,'02效果表'!D:D,'02效果表'!E:E), 0) +
S155*IF(_xlfn.XLOOKUP(R155,'02效果表'!D:D,'02效果表'!E:E)&lt;0, _xlfn.XLOOKUP(R155,'02效果表'!D:D,'02效果表'!E:E), 0) +
U155*IF(_xlfn.XLOOKUP(T155,'02效果表'!D:D,'02效果表'!E:E)&lt;0, _xlfn.XLOOKUP(T155,'02效果表'!D:D,'02效果表'!E:E), 0) +
W155*IF(_xlfn.XLOOKUP(V155,'02效果表'!D:D,'02效果表'!E:E)&lt;0, _xlfn.XLOOKUP(V155,'02效果表'!D:D,'02效果表'!E:E), 0) +
Y155*IF(_xlfn.XLOOKUP(X155,'02效果表'!D:D,'02效果表'!E:E)&lt;0, _xlfn.XLOOKUP(X155,'02效果表'!D:D,'02效果表'!E:E), 0) +
AA155*IF(_xlfn.XLOOKUP(Z155,'02效果表'!D:D,'02效果表'!E:E)&lt;0, _xlfn.XLOOKUP(Z155,'02效果表'!D:D,'02效果表'!E:E), 0) +
AC155*IF(_xlfn.XLOOKUP(AB155,'02效果表'!D:D,'02效果表'!E:E)&lt;0, _xlfn.XLOOKUP(AB155,'02效果表'!D:D,'02效果表'!E:E), 0) +
AE155*IF(_xlfn.XLOOKUP(AD155,'02效果表'!D:D,'02效果表'!E:E)&lt;0, _xlfn.XLOOKUP(AD155,'02效果表'!D:D,'02效果表'!E:E), 0)), 1)</f>
        <v>0</v>
      </c>
      <c r="G155" s="7">
        <f>ROUND(1/6*(I155*MAX(_xlfn.XLOOKUP(H155,'02效果表'!D:D,'02效果表'!E:E),0)+K155*MAX(_xlfn.XLOOKUP(J155,'02效果表'!D:D,'02效果表'!E:E),0)+M155*MAX(_xlfn.XLOOKUP(L155,'02效果表'!D:D,'02效果表'!E:E),0)+O155*MAX(_xlfn.XLOOKUP(N155,'02效果表'!D:D,'02效果表'!E:E),0)+Q155*MAX(_xlfn.XLOOKUP(P155,'02效果表'!D:D,'02效果表'!E:E),0)+S155*MAX(_xlfn.XLOOKUP(R155,'02效果表'!D:D,'02效果表'!E:E),0)+U155*MAX(_xlfn.XLOOKUP(T155,'02效果表'!D:D,'02效果表'!E:E),0)+W155*MAX(_xlfn.XLOOKUP(V155,'02效果表'!D:D,'02效果表'!E:E),0)+Y155*MAX(_xlfn.XLOOKUP(X155,'02效果表'!D:D,'02效果表'!E:E),0)+AA155*MAX(_xlfn.XLOOKUP(Z155,'02效果表'!D:D,'02效果表'!E:E),0)+AC155*MAX(_xlfn.XLOOKUP(AB155,'02效果表'!D:D,'02效果表'!E:E),0)+AE155*MAX(_xlfn.XLOOKUP(AD155,'02效果表'!D:D,'02效果表'!E:E),0)),1)</f>
        <v>0</v>
      </c>
      <c r="H155" s="6"/>
      <c r="I155" s="6"/>
      <c r="J155" s="6"/>
      <c r="K155" s="6"/>
      <c r="L155" s="6"/>
      <c r="M155" s="6"/>
      <c r="N155" s="6"/>
      <c r="O155" s="6"/>
      <c r="P155" s="6"/>
      <c r="Q155" s="6"/>
      <c r="R155" s="6"/>
      <c r="S155" s="6"/>
      <c r="T155" s="6"/>
      <c r="U155" s="6"/>
      <c r="V155" s="6"/>
      <c r="W155" s="6"/>
      <c r="X155" s="6"/>
      <c r="Y155" s="6"/>
      <c r="Z155" s="6"/>
      <c r="AA155" s="6"/>
      <c r="AB155" s="6"/>
      <c r="AC155" s="6"/>
      <c r="AD155" s="6"/>
      <c r="AE155" s="6"/>
    </row>
    <row r="156" spans="1:31" x14ac:dyDescent="0.35">
      <c r="A156" s="6">
        <v>156</v>
      </c>
      <c r="B156" s="6" t="s">
        <v>3</v>
      </c>
      <c r="C156" s="10" t="s">
        <v>16</v>
      </c>
      <c r="D156" s="9" t="s">
        <v>1378</v>
      </c>
      <c r="E156" s="7">
        <f t="shared" si="9"/>
        <v>0</v>
      </c>
      <c r="F156" s="7">
        <f>-1*ROUND(1/6*(I156*IF(_xlfn.XLOOKUP(H156,'02效果表'!D:D,'02效果表'!E:E)&lt;0, _xlfn.XLOOKUP(H156,'02效果表'!D:D,'02效果表'!E:E), 0) +
K156*IF(_xlfn.XLOOKUP(J156,'02效果表'!D:D,'02效果表'!E:E)&lt;0, _xlfn.XLOOKUP(J156,'02效果表'!D:D,'02效果表'!E:E), 0) +
M156*IF(_xlfn.XLOOKUP(L156,'02效果表'!D:D,'02效果表'!E:E)&lt;0, _xlfn.XLOOKUP(L156,'02效果表'!D:D,'02效果表'!E:E), 0) +
O156*IF(_xlfn.XLOOKUP(N156,'02效果表'!D:D,'02效果表'!E:E)&lt;0, _xlfn.XLOOKUP(N156,'02效果表'!D:D,'02效果表'!E:E), 0) +
Q156*IF(_xlfn.XLOOKUP(P156,'02效果表'!D:D,'02效果表'!E:E)&lt;0, _xlfn.XLOOKUP(P156,'02效果表'!D:D,'02效果表'!E:E), 0) +
S156*IF(_xlfn.XLOOKUP(R156,'02效果表'!D:D,'02效果表'!E:E)&lt;0, _xlfn.XLOOKUP(R156,'02效果表'!D:D,'02效果表'!E:E), 0) +
U156*IF(_xlfn.XLOOKUP(T156,'02效果表'!D:D,'02效果表'!E:E)&lt;0, _xlfn.XLOOKUP(T156,'02效果表'!D:D,'02效果表'!E:E), 0) +
W156*IF(_xlfn.XLOOKUP(V156,'02效果表'!D:D,'02效果表'!E:E)&lt;0, _xlfn.XLOOKUP(V156,'02效果表'!D:D,'02效果表'!E:E), 0) +
Y156*IF(_xlfn.XLOOKUP(X156,'02效果表'!D:D,'02效果表'!E:E)&lt;0, _xlfn.XLOOKUP(X156,'02效果表'!D:D,'02效果表'!E:E), 0) +
AA156*IF(_xlfn.XLOOKUP(Z156,'02效果表'!D:D,'02效果表'!E:E)&lt;0, _xlfn.XLOOKUP(Z156,'02效果表'!D:D,'02效果表'!E:E), 0) +
AC156*IF(_xlfn.XLOOKUP(AB156,'02效果表'!D:D,'02效果表'!E:E)&lt;0, _xlfn.XLOOKUP(AB156,'02效果表'!D:D,'02效果表'!E:E), 0) +
AE156*IF(_xlfn.XLOOKUP(AD156,'02效果表'!D:D,'02效果表'!E:E)&lt;0, _xlfn.XLOOKUP(AD156,'02效果表'!D:D,'02效果表'!E:E), 0)), 1)</f>
        <v>0</v>
      </c>
      <c r="G156" s="7">
        <f>ROUND(1/6*(I156*MAX(_xlfn.XLOOKUP(H156,'02效果表'!D:D,'02效果表'!E:E),0)+K156*MAX(_xlfn.XLOOKUP(J156,'02效果表'!D:D,'02效果表'!E:E),0)+M156*MAX(_xlfn.XLOOKUP(L156,'02效果表'!D:D,'02效果表'!E:E),0)+O156*MAX(_xlfn.XLOOKUP(N156,'02效果表'!D:D,'02效果表'!E:E),0)+Q156*MAX(_xlfn.XLOOKUP(P156,'02效果表'!D:D,'02效果表'!E:E),0)+S156*MAX(_xlfn.XLOOKUP(R156,'02效果表'!D:D,'02效果表'!E:E),0)+U156*MAX(_xlfn.XLOOKUP(T156,'02效果表'!D:D,'02效果表'!E:E),0)+W156*MAX(_xlfn.XLOOKUP(V156,'02效果表'!D:D,'02效果表'!E:E),0)+Y156*MAX(_xlfn.XLOOKUP(X156,'02效果表'!D:D,'02效果表'!E:E),0)+AA156*MAX(_xlfn.XLOOKUP(Z156,'02效果表'!D:D,'02效果表'!E:E),0)+AC156*MAX(_xlfn.XLOOKUP(AB156,'02效果表'!D:D,'02效果表'!E:E),0)+AE156*MAX(_xlfn.XLOOKUP(AD156,'02效果表'!D:D,'02效果表'!E:E),0)),1)</f>
        <v>0</v>
      </c>
      <c r="H156" s="6"/>
      <c r="I156" s="6"/>
      <c r="J156" s="6"/>
      <c r="K156" s="6"/>
      <c r="L156" s="6"/>
      <c r="M156" s="6"/>
      <c r="N156" s="6"/>
      <c r="O156" s="6"/>
      <c r="P156" s="6"/>
      <c r="Q156" s="6"/>
      <c r="R156" s="6"/>
      <c r="S156" s="6"/>
      <c r="T156" s="6"/>
      <c r="U156" s="6"/>
      <c r="V156" s="6"/>
      <c r="W156" s="6"/>
      <c r="X156" s="6"/>
      <c r="Y156" s="6"/>
      <c r="Z156" s="6"/>
      <c r="AA156" s="6"/>
      <c r="AB156" s="6"/>
      <c r="AC156" s="6"/>
      <c r="AD156" s="6"/>
      <c r="AE156" s="6"/>
    </row>
    <row r="157" spans="1:31" x14ac:dyDescent="0.35">
      <c r="A157" s="6">
        <v>157</v>
      </c>
      <c r="B157" s="6" t="s">
        <v>3</v>
      </c>
      <c r="C157" s="10" t="s">
        <v>16</v>
      </c>
      <c r="D157" s="9" t="s">
        <v>1379</v>
      </c>
      <c r="E157" s="7">
        <f t="shared" si="9"/>
        <v>0</v>
      </c>
      <c r="F157" s="7">
        <f>-1*ROUND(1/6*(I157*IF(_xlfn.XLOOKUP(H157,'02效果表'!D:D,'02效果表'!E:E)&lt;0, _xlfn.XLOOKUP(H157,'02效果表'!D:D,'02效果表'!E:E), 0) +
K157*IF(_xlfn.XLOOKUP(J157,'02效果表'!D:D,'02效果表'!E:E)&lt;0, _xlfn.XLOOKUP(J157,'02效果表'!D:D,'02效果表'!E:E), 0) +
M157*IF(_xlfn.XLOOKUP(L157,'02效果表'!D:D,'02效果表'!E:E)&lt;0, _xlfn.XLOOKUP(L157,'02效果表'!D:D,'02效果表'!E:E), 0) +
O157*IF(_xlfn.XLOOKUP(N157,'02效果表'!D:D,'02效果表'!E:E)&lt;0, _xlfn.XLOOKUP(N157,'02效果表'!D:D,'02效果表'!E:E), 0) +
Q157*IF(_xlfn.XLOOKUP(P157,'02效果表'!D:D,'02效果表'!E:E)&lt;0, _xlfn.XLOOKUP(P157,'02效果表'!D:D,'02效果表'!E:E), 0) +
S157*IF(_xlfn.XLOOKUP(R157,'02效果表'!D:D,'02效果表'!E:E)&lt;0, _xlfn.XLOOKUP(R157,'02效果表'!D:D,'02效果表'!E:E), 0) +
U157*IF(_xlfn.XLOOKUP(T157,'02效果表'!D:D,'02效果表'!E:E)&lt;0, _xlfn.XLOOKUP(T157,'02效果表'!D:D,'02效果表'!E:E), 0) +
W157*IF(_xlfn.XLOOKUP(V157,'02效果表'!D:D,'02效果表'!E:E)&lt;0, _xlfn.XLOOKUP(V157,'02效果表'!D:D,'02效果表'!E:E), 0) +
Y157*IF(_xlfn.XLOOKUP(X157,'02效果表'!D:D,'02效果表'!E:E)&lt;0, _xlfn.XLOOKUP(X157,'02效果表'!D:D,'02效果表'!E:E), 0) +
AA157*IF(_xlfn.XLOOKUP(Z157,'02效果表'!D:D,'02效果表'!E:E)&lt;0, _xlfn.XLOOKUP(Z157,'02效果表'!D:D,'02效果表'!E:E), 0) +
AC157*IF(_xlfn.XLOOKUP(AB157,'02效果表'!D:D,'02效果表'!E:E)&lt;0, _xlfn.XLOOKUP(AB157,'02效果表'!D:D,'02效果表'!E:E), 0) +
AE157*IF(_xlfn.XLOOKUP(AD157,'02效果表'!D:D,'02效果表'!E:E)&lt;0, _xlfn.XLOOKUP(AD157,'02效果表'!D:D,'02效果表'!E:E), 0)), 1)</f>
        <v>0</v>
      </c>
      <c r="G157" s="7">
        <f>ROUND(1/6*(I157*MAX(_xlfn.XLOOKUP(H157,'02效果表'!D:D,'02效果表'!E:E),0)+K157*MAX(_xlfn.XLOOKUP(J157,'02效果表'!D:D,'02效果表'!E:E),0)+M157*MAX(_xlfn.XLOOKUP(L157,'02效果表'!D:D,'02效果表'!E:E),0)+O157*MAX(_xlfn.XLOOKUP(N157,'02效果表'!D:D,'02效果表'!E:E),0)+Q157*MAX(_xlfn.XLOOKUP(P157,'02效果表'!D:D,'02效果表'!E:E),0)+S157*MAX(_xlfn.XLOOKUP(R157,'02效果表'!D:D,'02效果表'!E:E),0)+U157*MAX(_xlfn.XLOOKUP(T157,'02效果表'!D:D,'02效果表'!E:E),0)+W157*MAX(_xlfn.XLOOKUP(V157,'02效果表'!D:D,'02效果表'!E:E),0)+Y157*MAX(_xlfn.XLOOKUP(X157,'02效果表'!D:D,'02效果表'!E:E),0)+AA157*MAX(_xlfn.XLOOKUP(Z157,'02效果表'!D:D,'02效果表'!E:E),0)+AC157*MAX(_xlfn.XLOOKUP(AB157,'02效果表'!D:D,'02效果表'!E:E),0)+AE157*MAX(_xlfn.XLOOKUP(AD157,'02效果表'!D:D,'02效果表'!E:E),0)),1)</f>
        <v>0</v>
      </c>
      <c r="H157" s="6"/>
      <c r="I157" s="6"/>
      <c r="J157" s="6"/>
      <c r="K157" s="6"/>
      <c r="L157" s="6"/>
      <c r="M157" s="6"/>
      <c r="N157" s="6"/>
      <c r="O157" s="6"/>
      <c r="P157" s="6"/>
      <c r="Q157" s="6"/>
      <c r="R157" s="6"/>
      <c r="S157" s="6"/>
      <c r="T157" s="6"/>
      <c r="U157" s="6"/>
      <c r="V157" s="6"/>
      <c r="W157" s="6"/>
      <c r="X157" s="6"/>
      <c r="Y157" s="6"/>
      <c r="Z157" s="6"/>
      <c r="AA157" s="6"/>
      <c r="AB157" s="6"/>
      <c r="AC157" s="6"/>
      <c r="AD157" s="6"/>
      <c r="AE157" s="6"/>
    </row>
    <row r="158" spans="1:31" x14ac:dyDescent="0.35">
      <c r="A158" s="6">
        <v>158</v>
      </c>
      <c r="B158" s="6" t="s">
        <v>3</v>
      </c>
      <c r="C158" s="10" t="s">
        <v>16</v>
      </c>
      <c r="D158" s="9" t="s">
        <v>1380</v>
      </c>
      <c r="E158" s="7">
        <f t="shared" si="9"/>
        <v>0</v>
      </c>
      <c r="F158" s="7">
        <f>-1*ROUND(1/6*(I158*IF(_xlfn.XLOOKUP(H158,'02效果表'!D:D,'02效果表'!E:E)&lt;0, _xlfn.XLOOKUP(H158,'02效果表'!D:D,'02效果表'!E:E), 0) +
K158*IF(_xlfn.XLOOKUP(J158,'02效果表'!D:D,'02效果表'!E:E)&lt;0, _xlfn.XLOOKUP(J158,'02效果表'!D:D,'02效果表'!E:E), 0) +
M158*IF(_xlfn.XLOOKUP(L158,'02效果表'!D:D,'02效果表'!E:E)&lt;0, _xlfn.XLOOKUP(L158,'02效果表'!D:D,'02效果表'!E:E), 0) +
O158*IF(_xlfn.XLOOKUP(N158,'02效果表'!D:D,'02效果表'!E:E)&lt;0, _xlfn.XLOOKUP(N158,'02效果表'!D:D,'02效果表'!E:E), 0) +
Q158*IF(_xlfn.XLOOKUP(P158,'02效果表'!D:D,'02效果表'!E:E)&lt;0, _xlfn.XLOOKUP(P158,'02效果表'!D:D,'02效果表'!E:E), 0) +
S158*IF(_xlfn.XLOOKUP(R158,'02效果表'!D:D,'02效果表'!E:E)&lt;0, _xlfn.XLOOKUP(R158,'02效果表'!D:D,'02效果表'!E:E), 0) +
U158*IF(_xlfn.XLOOKUP(T158,'02效果表'!D:D,'02效果表'!E:E)&lt;0, _xlfn.XLOOKUP(T158,'02效果表'!D:D,'02效果表'!E:E), 0) +
W158*IF(_xlfn.XLOOKUP(V158,'02效果表'!D:D,'02效果表'!E:E)&lt;0, _xlfn.XLOOKUP(V158,'02效果表'!D:D,'02效果表'!E:E), 0) +
Y158*IF(_xlfn.XLOOKUP(X158,'02效果表'!D:D,'02效果表'!E:E)&lt;0, _xlfn.XLOOKUP(X158,'02效果表'!D:D,'02效果表'!E:E), 0) +
AA158*IF(_xlfn.XLOOKUP(Z158,'02效果表'!D:D,'02效果表'!E:E)&lt;0, _xlfn.XLOOKUP(Z158,'02效果表'!D:D,'02效果表'!E:E), 0) +
AC158*IF(_xlfn.XLOOKUP(AB158,'02效果表'!D:D,'02效果表'!E:E)&lt;0, _xlfn.XLOOKUP(AB158,'02效果表'!D:D,'02效果表'!E:E), 0) +
AE158*IF(_xlfn.XLOOKUP(AD158,'02效果表'!D:D,'02效果表'!E:E)&lt;0, _xlfn.XLOOKUP(AD158,'02效果表'!D:D,'02效果表'!E:E), 0)), 1)</f>
        <v>0</v>
      </c>
      <c r="G158" s="7">
        <f>ROUND(1/6*(I158*MAX(_xlfn.XLOOKUP(H158,'02效果表'!D:D,'02效果表'!E:E),0)+K158*MAX(_xlfn.XLOOKUP(J158,'02效果表'!D:D,'02效果表'!E:E),0)+M158*MAX(_xlfn.XLOOKUP(L158,'02效果表'!D:D,'02效果表'!E:E),0)+O158*MAX(_xlfn.XLOOKUP(N158,'02效果表'!D:D,'02效果表'!E:E),0)+Q158*MAX(_xlfn.XLOOKUP(P158,'02效果表'!D:D,'02效果表'!E:E),0)+S158*MAX(_xlfn.XLOOKUP(R158,'02效果表'!D:D,'02效果表'!E:E),0)+U158*MAX(_xlfn.XLOOKUP(T158,'02效果表'!D:D,'02效果表'!E:E),0)+W158*MAX(_xlfn.XLOOKUP(V158,'02效果表'!D:D,'02效果表'!E:E),0)+Y158*MAX(_xlfn.XLOOKUP(X158,'02效果表'!D:D,'02效果表'!E:E),0)+AA158*MAX(_xlfn.XLOOKUP(Z158,'02效果表'!D:D,'02效果表'!E:E),0)+AC158*MAX(_xlfn.XLOOKUP(AB158,'02效果表'!D:D,'02效果表'!E:E),0)+AE158*MAX(_xlfn.XLOOKUP(AD158,'02效果表'!D:D,'02效果表'!E:E),0)),1)</f>
        <v>0</v>
      </c>
      <c r="H158" s="6"/>
      <c r="I158" s="6"/>
      <c r="J158" s="6"/>
      <c r="K158" s="6"/>
      <c r="L158" s="6"/>
      <c r="M158" s="6"/>
      <c r="N158" s="6"/>
      <c r="O158" s="6"/>
      <c r="P158" s="6"/>
      <c r="Q158" s="6"/>
      <c r="R158" s="6"/>
      <c r="S158" s="6"/>
      <c r="T158" s="6"/>
      <c r="U158" s="6"/>
      <c r="V158" s="6"/>
      <c r="W158" s="6"/>
      <c r="X158" s="6"/>
      <c r="Y158" s="6"/>
      <c r="Z158" s="6"/>
      <c r="AA158" s="6"/>
      <c r="AB158" s="6"/>
      <c r="AC158" s="6"/>
      <c r="AD158" s="6"/>
      <c r="AE158" s="6"/>
    </row>
    <row r="159" spans="1:31" x14ac:dyDescent="0.35">
      <c r="A159" s="6">
        <v>159</v>
      </c>
      <c r="B159" s="6" t="s">
        <v>3</v>
      </c>
      <c r="C159" s="10" t="s">
        <v>16</v>
      </c>
      <c r="D159" s="9" t="s">
        <v>1381</v>
      </c>
      <c r="E159" s="7">
        <f t="shared" si="9"/>
        <v>0</v>
      </c>
      <c r="F159" s="7">
        <f>-1*ROUND(1/6*(I159*IF(_xlfn.XLOOKUP(H159,'02效果表'!D:D,'02效果表'!E:E)&lt;0, _xlfn.XLOOKUP(H159,'02效果表'!D:D,'02效果表'!E:E), 0) +
K159*IF(_xlfn.XLOOKUP(J159,'02效果表'!D:D,'02效果表'!E:E)&lt;0, _xlfn.XLOOKUP(J159,'02效果表'!D:D,'02效果表'!E:E), 0) +
M159*IF(_xlfn.XLOOKUP(L159,'02效果表'!D:D,'02效果表'!E:E)&lt;0, _xlfn.XLOOKUP(L159,'02效果表'!D:D,'02效果表'!E:E), 0) +
O159*IF(_xlfn.XLOOKUP(N159,'02效果表'!D:D,'02效果表'!E:E)&lt;0, _xlfn.XLOOKUP(N159,'02效果表'!D:D,'02效果表'!E:E), 0) +
Q159*IF(_xlfn.XLOOKUP(P159,'02效果表'!D:D,'02效果表'!E:E)&lt;0, _xlfn.XLOOKUP(P159,'02效果表'!D:D,'02效果表'!E:E), 0) +
S159*IF(_xlfn.XLOOKUP(R159,'02效果表'!D:D,'02效果表'!E:E)&lt;0, _xlfn.XLOOKUP(R159,'02效果表'!D:D,'02效果表'!E:E), 0) +
U159*IF(_xlfn.XLOOKUP(T159,'02效果表'!D:D,'02效果表'!E:E)&lt;0, _xlfn.XLOOKUP(T159,'02效果表'!D:D,'02效果表'!E:E), 0) +
W159*IF(_xlfn.XLOOKUP(V159,'02效果表'!D:D,'02效果表'!E:E)&lt;0, _xlfn.XLOOKUP(V159,'02效果表'!D:D,'02效果表'!E:E), 0) +
Y159*IF(_xlfn.XLOOKUP(X159,'02效果表'!D:D,'02效果表'!E:E)&lt;0, _xlfn.XLOOKUP(X159,'02效果表'!D:D,'02效果表'!E:E), 0) +
AA159*IF(_xlfn.XLOOKUP(Z159,'02效果表'!D:D,'02效果表'!E:E)&lt;0, _xlfn.XLOOKUP(Z159,'02效果表'!D:D,'02效果表'!E:E), 0) +
AC159*IF(_xlfn.XLOOKUP(AB159,'02效果表'!D:D,'02效果表'!E:E)&lt;0, _xlfn.XLOOKUP(AB159,'02效果表'!D:D,'02效果表'!E:E), 0) +
AE159*IF(_xlfn.XLOOKUP(AD159,'02效果表'!D:D,'02效果表'!E:E)&lt;0, _xlfn.XLOOKUP(AD159,'02效果表'!D:D,'02效果表'!E:E), 0)), 1)</f>
        <v>0</v>
      </c>
      <c r="G159" s="7">
        <f>ROUND(1/6*(I159*MAX(_xlfn.XLOOKUP(H159,'02效果表'!D:D,'02效果表'!E:E),0)+K159*MAX(_xlfn.XLOOKUP(J159,'02效果表'!D:D,'02效果表'!E:E),0)+M159*MAX(_xlfn.XLOOKUP(L159,'02效果表'!D:D,'02效果表'!E:E),0)+O159*MAX(_xlfn.XLOOKUP(N159,'02效果表'!D:D,'02效果表'!E:E),0)+Q159*MAX(_xlfn.XLOOKUP(P159,'02效果表'!D:D,'02效果表'!E:E),0)+S159*MAX(_xlfn.XLOOKUP(R159,'02效果表'!D:D,'02效果表'!E:E),0)+U159*MAX(_xlfn.XLOOKUP(T159,'02效果表'!D:D,'02效果表'!E:E),0)+W159*MAX(_xlfn.XLOOKUP(V159,'02效果表'!D:D,'02效果表'!E:E),0)+Y159*MAX(_xlfn.XLOOKUP(X159,'02效果表'!D:D,'02效果表'!E:E),0)+AA159*MAX(_xlfn.XLOOKUP(Z159,'02效果表'!D:D,'02效果表'!E:E),0)+AC159*MAX(_xlfn.XLOOKUP(AB159,'02效果表'!D:D,'02效果表'!E:E),0)+AE159*MAX(_xlfn.XLOOKUP(AD159,'02效果表'!D:D,'02效果表'!E:E),0)),1)</f>
        <v>0</v>
      </c>
      <c r="H159" s="6"/>
      <c r="I159" s="6"/>
      <c r="J159" s="6"/>
      <c r="K159" s="6"/>
      <c r="L159" s="6"/>
      <c r="M159" s="6"/>
      <c r="N159" s="6"/>
      <c r="O159" s="6"/>
      <c r="P159" s="6"/>
      <c r="Q159" s="6"/>
      <c r="R159" s="6"/>
      <c r="S159" s="6"/>
      <c r="T159" s="6"/>
      <c r="U159" s="6"/>
      <c r="V159" s="6"/>
      <c r="W159" s="6"/>
      <c r="X159" s="6"/>
      <c r="Y159" s="6"/>
      <c r="Z159" s="6"/>
      <c r="AA159" s="6"/>
      <c r="AB159" s="6"/>
      <c r="AC159" s="6"/>
      <c r="AD159" s="6"/>
      <c r="AE159" s="6"/>
    </row>
    <row r="160" spans="1:31" x14ac:dyDescent="0.35">
      <c r="A160" s="6">
        <v>160</v>
      </c>
      <c r="B160" s="6" t="s">
        <v>3</v>
      </c>
      <c r="C160" s="10" t="s">
        <v>16</v>
      </c>
      <c r="D160" s="9" t="s">
        <v>1382</v>
      </c>
      <c r="E160" s="7">
        <f t="shared" si="9"/>
        <v>0</v>
      </c>
      <c r="F160" s="7">
        <f>-1*ROUND(1/6*(I160*IF(_xlfn.XLOOKUP(H160,'02效果表'!D:D,'02效果表'!E:E)&lt;0, _xlfn.XLOOKUP(H160,'02效果表'!D:D,'02效果表'!E:E), 0) +
K160*IF(_xlfn.XLOOKUP(J160,'02效果表'!D:D,'02效果表'!E:E)&lt;0, _xlfn.XLOOKUP(J160,'02效果表'!D:D,'02效果表'!E:E), 0) +
M160*IF(_xlfn.XLOOKUP(L160,'02效果表'!D:D,'02效果表'!E:E)&lt;0, _xlfn.XLOOKUP(L160,'02效果表'!D:D,'02效果表'!E:E), 0) +
O160*IF(_xlfn.XLOOKUP(N160,'02效果表'!D:D,'02效果表'!E:E)&lt;0, _xlfn.XLOOKUP(N160,'02效果表'!D:D,'02效果表'!E:E), 0) +
Q160*IF(_xlfn.XLOOKUP(P160,'02效果表'!D:D,'02效果表'!E:E)&lt;0, _xlfn.XLOOKUP(P160,'02效果表'!D:D,'02效果表'!E:E), 0) +
S160*IF(_xlfn.XLOOKUP(R160,'02效果表'!D:D,'02效果表'!E:E)&lt;0, _xlfn.XLOOKUP(R160,'02效果表'!D:D,'02效果表'!E:E), 0) +
U160*IF(_xlfn.XLOOKUP(T160,'02效果表'!D:D,'02效果表'!E:E)&lt;0, _xlfn.XLOOKUP(T160,'02效果表'!D:D,'02效果表'!E:E), 0) +
W160*IF(_xlfn.XLOOKUP(V160,'02效果表'!D:D,'02效果表'!E:E)&lt;0, _xlfn.XLOOKUP(V160,'02效果表'!D:D,'02效果表'!E:E), 0) +
Y160*IF(_xlfn.XLOOKUP(X160,'02效果表'!D:D,'02效果表'!E:E)&lt;0, _xlfn.XLOOKUP(X160,'02效果表'!D:D,'02效果表'!E:E), 0) +
AA160*IF(_xlfn.XLOOKUP(Z160,'02效果表'!D:D,'02效果表'!E:E)&lt;0, _xlfn.XLOOKUP(Z160,'02效果表'!D:D,'02效果表'!E:E), 0) +
AC160*IF(_xlfn.XLOOKUP(AB160,'02效果表'!D:D,'02效果表'!E:E)&lt;0, _xlfn.XLOOKUP(AB160,'02效果表'!D:D,'02效果表'!E:E), 0) +
AE160*IF(_xlfn.XLOOKUP(AD160,'02效果表'!D:D,'02效果表'!E:E)&lt;0, _xlfn.XLOOKUP(AD160,'02效果表'!D:D,'02效果表'!E:E), 0)), 1)</f>
        <v>0</v>
      </c>
      <c r="G160" s="7">
        <f>ROUND(1/6*(I160*MAX(_xlfn.XLOOKUP(H160,'02效果表'!D:D,'02效果表'!E:E),0)+K160*MAX(_xlfn.XLOOKUP(J160,'02效果表'!D:D,'02效果表'!E:E),0)+M160*MAX(_xlfn.XLOOKUP(L160,'02效果表'!D:D,'02效果表'!E:E),0)+O160*MAX(_xlfn.XLOOKUP(N160,'02效果表'!D:D,'02效果表'!E:E),0)+Q160*MAX(_xlfn.XLOOKUP(P160,'02效果表'!D:D,'02效果表'!E:E),0)+S160*MAX(_xlfn.XLOOKUP(R160,'02效果表'!D:D,'02效果表'!E:E),0)+U160*MAX(_xlfn.XLOOKUP(T160,'02效果表'!D:D,'02效果表'!E:E),0)+W160*MAX(_xlfn.XLOOKUP(V160,'02效果表'!D:D,'02效果表'!E:E),0)+Y160*MAX(_xlfn.XLOOKUP(X160,'02效果表'!D:D,'02效果表'!E:E),0)+AA160*MAX(_xlfn.XLOOKUP(Z160,'02效果表'!D:D,'02效果表'!E:E),0)+AC160*MAX(_xlfn.XLOOKUP(AB160,'02效果表'!D:D,'02效果表'!E:E),0)+AE160*MAX(_xlfn.XLOOKUP(AD160,'02效果表'!D:D,'02效果表'!E:E),0)),1)</f>
        <v>0</v>
      </c>
      <c r="H160" s="6"/>
      <c r="I160" s="6"/>
      <c r="J160" s="6"/>
      <c r="K160" s="6"/>
      <c r="L160" s="6"/>
      <c r="M160" s="6"/>
      <c r="N160" s="6"/>
      <c r="O160" s="6"/>
      <c r="P160" s="6"/>
      <c r="Q160" s="6"/>
      <c r="R160" s="6"/>
      <c r="S160" s="6"/>
      <c r="T160" s="6"/>
      <c r="U160" s="6"/>
      <c r="V160" s="6"/>
      <c r="W160" s="6"/>
      <c r="X160" s="6"/>
      <c r="Y160" s="6"/>
      <c r="Z160" s="6"/>
      <c r="AA160" s="6"/>
      <c r="AB160" s="6"/>
      <c r="AC160" s="6"/>
      <c r="AD160" s="6"/>
      <c r="AE160" s="6"/>
    </row>
    <row r="161" spans="1:31" x14ac:dyDescent="0.35">
      <c r="A161" s="6">
        <v>161</v>
      </c>
      <c r="B161" s="6" t="s">
        <v>3</v>
      </c>
      <c r="C161" s="10" t="s">
        <v>16</v>
      </c>
      <c r="D161" s="9" t="s">
        <v>1383</v>
      </c>
      <c r="E161" s="7">
        <f t="shared" si="9"/>
        <v>0</v>
      </c>
      <c r="F161" s="7">
        <f>-1*ROUND(1/6*(I161*IF(_xlfn.XLOOKUP(H161,'02效果表'!D:D,'02效果表'!E:E)&lt;0, _xlfn.XLOOKUP(H161,'02效果表'!D:D,'02效果表'!E:E), 0) +
K161*IF(_xlfn.XLOOKUP(J161,'02效果表'!D:D,'02效果表'!E:E)&lt;0, _xlfn.XLOOKUP(J161,'02效果表'!D:D,'02效果表'!E:E), 0) +
M161*IF(_xlfn.XLOOKUP(L161,'02效果表'!D:D,'02效果表'!E:E)&lt;0, _xlfn.XLOOKUP(L161,'02效果表'!D:D,'02效果表'!E:E), 0) +
O161*IF(_xlfn.XLOOKUP(N161,'02效果表'!D:D,'02效果表'!E:E)&lt;0, _xlfn.XLOOKUP(N161,'02效果表'!D:D,'02效果表'!E:E), 0) +
Q161*IF(_xlfn.XLOOKUP(P161,'02效果表'!D:D,'02效果表'!E:E)&lt;0, _xlfn.XLOOKUP(P161,'02效果表'!D:D,'02效果表'!E:E), 0) +
S161*IF(_xlfn.XLOOKUP(R161,'02效果表'!D:D,'02效果表'!E:E)&lt;0, _xlfn.XLOOKUP(R161,'02效果表'!D:D,'02效果表'!E:E), 0) +
U161*IF(_xlfn.XLOOKUP(T161,'02效果表'!D:D,'02效果表'!E:E)&lt;0, _xlfn.XLOOKUP(T161,'02效果表'!D:D,'02效果表'!E:E), 0) +
W161*IF(_xlfn.XLOOKUP(V161,'02效果表'!D:D,'02效果表'!E:E)&lt;0, _xlfn.XLOOKUP(V161,'02效果表'!D:D,'02效果表'!E:E), 0) +
Y161*IF(_xlfn.XLOOKUP(X161,'02效果表'!D:D,'02效果表'!E:E)&lt;0, _xlfn.XLOOKUP(X161,'02效果表'!D:D,'02效果表'!E:E), 0) +
AA161*IF(_xlfn.XLOOKUP(Z161,'02效果表'!D:D,'02效果表'!E:E)&lt;0, _xlfn.XLOOKUP(Z161,'02效果表'!D:D,'02效果表'!E:E), 0) +
AC161*IF(_xlfn.XLOOKUP(AB161,'02效果表'!D:D,'02效果表'!E:E)&lt;0, _xlfn.XLOOKUP(AB161,'02效果表'!D:D,'02效果表'!E:E), 0) +
AE161*IF(_xlfn.XLOOKUP(AD161,'02效果表'!D:D,'02效果表'!E:E)&lt;0, _xlfn.XLOOKUP(AD161,'02效果表'!D:D,'02效果表'!E:E), 0)), 1)</f>
        <v>0</v>
      </c>
      <c r="G161" s="7">
        <f>ROUND(1/6*(I161*MAX(_xlfn.XLOOKUP(H161,'02效果表'!D:D,'02效果表'!E:E),0)+K161*MAX(_xlfn.XLOOKUP(J161,'02效果表'!D:D,'02效果表'!E:E),0)+M161*MAX(_xlfn.XLOOKUP(L161,'02效果表'!D:D,'02效果表'!E:E),0)+O161*MAX(_xlfn.XLOOKUP(N161,'02效果表'!D:D,'02效果表'!E:E),0)+Q161*MAX(_xlfn.XLOOKUP(P161,'02效果表'!D:D,'02效果表'!E:E),0)+S161*MAX(_xlfn.XLOOKUP(R161,'02效果表'!D:D,'02效果表'!E:E),0)+U161*MAX(_xlfn.XLOOKUP(T161,'02效果表'!D:D,'02效果表'!E:E),0)+W161*MAX(_xlfn.XLOOKUP(V161,'02效果表'!D:D,'02效果表'!E:E),0)+Y161*MAX(_xlfn.XLOOKUP(X161,'02效果表'!D:D,'02效果表'!E:E),0)+AA161*MAX(_xlfn.XLOOKUP(Z161,'02效果表'!D:D,'02效果表'!E:E),0)+AC161*MAX(_xlfn.XLOOKUP(AB161,'02效果表'!D:D,'02效果表'!E:E),0)+AE161*MAX(_xlfn.XLOOKUP(AD161,'02效果表'!D:D,'02效果表'!E:E),0)),1)</f>
        <v>0</v>
      </c>
      <c r="H161" s="6"/>
      <c r="I161" s="6"/>
      <c r="J161" s="6"/>
      <c r="K161" s="6"/>
      <c r="L161" s="6"/>
      <c r="M161" s="6"/>
      <c r="N161" s="6"/>
      <c r="O161" s="6"/>
      <c r="P161" s="6"/>
      <c r="Q161" s="6"/>
      <c r="R161" s="6"/>
      <c r="S161" s="6"/>
      <c r="T161" s="6"/>
      <c r="U161" s="6"/>
      <c r="V161" s="6"/>
      <c r="W161" s="6"/>
      <c r="X161" s="6"/>
      <c r="Y161" s="6"/>
      <c r="Z161" s="6"/>
      <c r="AA161" s="6"/>
      <c r="AB161" s="6"/>
      <c r="AC161" s="6"/>
      <c r="AD161" s="6"/>
      <c r="AE161" s="6"/>
    </row>
    <row r="162" spans="1:31" x14ac:dyDescent="0.35">
      <c r="A162" s="6">
        <v>162</v>
      </c>
      <c r="B162" s="6" t="s">
        <v>3</v>
      </c>
      <c r="C162" s="10" t="s">
        <v>16</v>
      </c>
      <c r="D162" s="9"/>
      <c r="E162" s="7">
        <f t="shared" si="9"/>
        <v>0</v>
      </c>
      <c r="F162" s="7">
        <f>-1*ROUND(1/6*(I162*IF(_xlfn.XLOOKUP(H162,'02效果表'!D:D,'02效果表'!E:E)&lt;0, _xlfn.XLOOKUP(H162,'02效果表'!D:D,'02效果表'!E:E), 0) +
K162*IF(_xlfn.XLOOKUP(J162,'02效果表'!D:D,'02效果表'!E:E)&lt;0, _xlfn.XLOOKUP(J162,'02效果表'!D:D,'02效果表'!E:E), 0) +
M162*IF(_xlfn.XLOOKUP(L162,'02效果表'!D:D,'02效果表'!E:E)&lt;0, _xlfn.XLOOKUP(L162,'02效果表'!D:D,'02效果表'!E:E), 0) +
O162*IF(_xlfn.XLOOKUP(N162,'02效果表'!D:D,'02效果表'!E:E)&lt;0, _xlfn.XLOOKUP(N162,'02效果表'!D:D,'02效果表'!E:E), 0) +
Q162*IF(_xlfn.XLOOKUP(P162,'02效果表'!D:D,'02效果表'!E:E)&lt;0, _xlfn.XLOOKUP(P162,'02效果表'!D:D,'02效果表'!E:E), 0) +
S162*IF(_xlfn.XLOOKUP(R162,'02效果表'!D:D,'02效果表'!E:E)&lt;0, _xlfn.XLOOKUP(R162,'02效果表'!D:D,'02效果表'!E:E), 0) +
U162*IF(_xlfn.XLOOKUP(T162,'02效果表'!D:D,'02效果表'!E:E)&lt;0, _xlfn.XLOOKUP(T162,'02效果表'!D:D,'02效果表'!E:E), 0) +
W162*IF(_xlfn.XLOOKUP(V162,'02效果表'!D:D,'02效果表'!E:E)&lt;0, _xlfn.XLOOKUP(V162,'02效果表'!D:D,'02效果表'!E:E), 0) +
Y162*IF(_xlfn.XLOOKUP(X162,'02效果表'!D:D,'02效果表'!E:E)&lt;0, _xlfn.XLOOKUP(X162,'02效果表'!D:D,'02效果表'!E:E), 0) +
AA162*IF(_xlfn.XLOOKUP(Z162,'02效果表'!D:D,'02效果表'!E:E)&lt;0, _xlfn.XLOOKUP(Z162,'02效果表'!D:D,'02效果表'!E:E), 0) +
AC162*IF(_xlfn.XLOOKUP(AB162,'02效果表'!D:D,'02效果表'!E:E)&lt;0, _xlfn.XLOOKUP(AB162,'02效果表'!D:D,'02效果表'!E:E), 0) +
AE162*IF(_xlfn.XLOOKUP(AD162,'02效果表'!D:D,'02效果表'!E:E)&lt;0, _xlfn.XLOOKUP(AD162,'02效果表'!D:D,'02效果表'!E:E), 0)), 1)</f>
        <v>0</v>
      </c>
      <c r="G162" s="7">
        <f>ROUND(1/6*(I162*MAX(_xlfn.XLOOKUP(H162,'02效果表'!D:D,'02效果表'!E:E),0)+K162*MAX(_xlfn.XLOOKUP(J162,'02效果表'!D:D,'02效果表'!E:E),0)+M162*MAX(_xlfn.XLOOKUP(L162,'02效果表'!D:D,'02效果表'!E:E),0)+O162*MAX(_xlfn.XLOOKUP(N162,'02效果表'!D:D,'02效果表'!E:E),0)+Q162*MAX(_xlfn.XLOOKUP(P162,'02效果表'!D:D,'02效果表'!E:E),0)+S162*MAX(_xlfn.XLOOKUP(R162,'02效果表'!D:D,'02效果表'!E:E),0)+U162*MAX(_xlfn.XLOOKUP(T162,'02效果表'!D:D,'02效果表'!E:E),0)+W162*MAX(_xlfn.XLOOKUP(V162,'02效果表'!D:D,'02效果表'!E:E),0)+Y162*MAX(_xlfn.XLOOKUP(X162,'02效果表'!D:D,'02效果表'!E:E),0)+AA162*MAX(_xlfn.XLOOKUP(Z162,'02效果表'!D:D,'02效果表'!E:E),0)+AC162*MAX(_xlfn.XLOOKUP(AB162,'02效果表'!D:D,'02效果表'!E:E),0)+AE162*MAX(_xlfn.XLOOKUP(AD162,'02效果表'!D:D,'02效果表'!E:E),0)),1)</f>
        <v>0</v>
      </c>
      <c r="H162" s="6"/>
      <c r="I162" s="6"/>
      <c r="J162" s="6"/>
      <c r="K162" s="6"/>
      <c r="L162" s="6"/>
      <c r="M162" s="6"/>
      <c r="N162" s="6"/>
      <c r="O162" s="6"/>
      <c r="P162" s="6"/>
      <c r="Q162" s="6"/>
      <c r="R162" s="6"/>
      <c r="S162" s="6"/>
      <c r="T162" s="6"/>
      <c r="U162" s="6"/>
      <c r="V162" s="6"/>
      <c r="W162" s="6"/>
      <c r="X162" s="6"/>
      <c r="Y162" s="6"/>
      <c r="Z162" s="6"/>
      <c r="AA162" s="6"/>
      <c r="AB162" s="6"/>
      <c r="AC162" s="6"/>
      <c r="AD162" s="6"/>
      <c r="AE162" s="6"/>
    </row>
    <row r="163" spans="1:31" x14ac:dyDescent="0.35">
      <c r="A163" s="6">
        <v>163</v>
      </c>
      <c r="B163" s="6" t="s">
        <v>3</v>
      </c>
      <c r="C163" s="10" t="s">
        <v>16</v>
      </c>
      <c r="D163" s="9"/>
      <c r="E163" s="7">
        <f t="shared" si="9"/>
        <v>0</v>
      </c>
      <c r="F163" s="7">
        <f>-1*ROUND(1/6*(I163*IF(_xlfn.XLOOKUP(H163,'02效果表'!D:D,'02效果表'!E:E)&lt;0, _xlfn.XLOOKUP(H163,'02效果表'!D:D,'02效果表'!E:E), 0) +
K163*IF(_xlfn.XLOOKUP(J163,'02效果表'!D:D,'02效果表'!E:E)&lt;0, _xlfn.XLOOKUP(J163,'02效果表'!D:D,'02效果表'!E:E), 0) +
M163*IF(_xlfn.XLOOKUP(L163,'02效果表'!D:D,'02效果表'!E:E)&lt;0, _xlfn.XLOOKUP(L163,'02效果表'!D:D,'02效果表'!E:E), 0) +
O163*IF(_xlfn.XLOOKUP(N163,'02效果表'!D:D,'02效果表'!E:E)&lt;0, _xlfn.XLOOKUP(N163,'02效果表'!D:D,'02效果表'!E:E), 0) +
Q163*IF(_xlfn.XLOOKUP(P163,'02效果表'!D:D,'02效果表'!E:E)&lt;0, _xlfn.XLOOKUP(P163,'02效果表'!D:D,'02效果表'!E:E), 0) +
S163*IF(_xlfn.XLOOKUP(R163,'02效果表'!D:D,'02效果表'!E:E)&lt;0, _xlfn.XLOOKUP(R163,'02效果表'!D:D,'02效果表'!E:E), 0) +
U163*IF(_xlfn.XLOOKUP(T163,'02效果表'!D:D,'02效果表'!E:E)&lt;0, _xlfn.XLOOKUP(T163,'02效果表'!D:D,'02效果表'!E:E), 0) +
W163*IF(_xlfn.XLOOKUP(V163,'02效果表'!D:D,'02效果表'!E:E)&lt;0, _xlfn.XLOOKUP(V163,'02效果表'!D:D,'02效果表'!E:E), 0) +
Y163*IF(_xlfn.XLOOKUP(X163,'02效果表'!D:D,'02效果表'!E:E)&lt;0, _xlfn.XLOOKUP(X163,'02效果表'!D:D,'02效果表'!E:E), 0) +
AA163*IF(_xlfn.XLOOKUP(Z163,'02效果表'!D:D,'02效果表'!E:E)&lt;0, _xlfn.XLOOKUP(Z163,'02效果表'!D:D,'02效果表'!E:E), 0) +
AC163*IF(_xlfn.XLOOKUP(AB163,'02效果表'!D:D,'02效果表'!E:E)&lt;0, _xlfn.XLOOKUP(AB163,'02效果表'!D:D,'02效果表'!E:E), 0) +
AE163*IF(_xlfn.XLOOKUP(AD163,'02效果表'!D:D,'02效果表'!E:E)&lt;0, _xlfn.XLOOKUP(AD163,'02效果表'!D:D,'02效果表'!E:E), 0)), 1)</f>
        <v>0</v>
      </c>
      <c r="G163" s="7">
        <f>ROUND(1/6*(I163*MAX(_xlfn.XLOOKUP(H163,'02效果表'!D:D,'02效果表'!E:E),0)+K163*MAX(_xlfn.XLOOKUP(J163,'02效果表'!D:D,'02效果表'!E:E),0)+M163*MAX(_xlfn.XLOOKUP(L163,'02效果表'!D:D,'02效果表'!E:E),0)+O163*MAX(_xlfn.XLOOKUP(N163,'02效果表'!D:D,'02效果表'!E:E),0)+Q163*MAX(_xlfn.XLOOKUP(P163,'02效果表'!D:D,'02效果表'!E:E),0)+S163*MAX(_xlfn.XLOOKUP(R163,'02效果表'!D:D,'02效果表'!E:E),0)+U163*MAX(_xlfn.XLOOKUP(T163,'02效果表'!D:D,'02效果表'!E:E),0)+W163*MAX(_xlfn.XLOOKUP(V163,'02效果表'!D:D,'02效果表'!E:E),0)+Y163*MAX(_xlfn.XLOOKUP(X163,'02效果表'!D:D,'02效果表'!E:E),0)+AA163*MAX(_xlfn.XLOOKUP(Z163,'02效果表'!D:D,'02效果表'!E:E),0)+AC163*MAX(_xlfn.XLOOKUP(AB163,'02效果表'!D:D,'02效果表'!E:E),0)+AE163*MAX(_xlfn.XLOOKUP(AD163,'02效果表'!D:D,'02效果表'!E:E),0)),1)</f>
        <v>0</v>
      </c>
      <c r="H163" s="6"/>
      <c r="I163" s="6"/>
      <c r="J163" s="6"/>
      <c r="K163" s="6"/>
      <c r="L163" s="6"/>
      <c r="M163" s="6"/>
      <c r="N163" s="6"/>
      <c r="O163" s="6"/>
      <c r="P163" s="6"/>
      <c r="Q163" s="6"/>
      <c r="R163" s="6"/>
      <c r="S163" s="6"/>
      <c r="T163" s="6"/>
      <c r="U163" s="6"/>
      <c r="V163" s="6"/>
      <c r="W163" s="6"/>
      <c r="X163" s="6"/>
      <c r="Y163" s="6"/>
      <c r="Z163" s="6"/>
      <c r="AA163" s="6"/>
      <c r="AB163" s="6"/>
      <c r="AC163" s="6"/>
      <c r="AD163" s="6"/>
      <c r="AE163" s="6"/>
    </row>
    <row r="164" spans="1:31" x14ac:dyDescent="0.35">
      <c r="A164" s="6">
        <v>164</v>
      </c>
      <c r="B164" s="6" t="s">
        <v>3</v>
      </c>
      <c r="C164" s="10" t="s">
        <v>17</v>
      </c>
      <c r="D164" s="9" t="s">
        <v>1384</v>
      </c>
      <c r="E164" s="7">
        <f t="shared" si="9"/>
        <v>0</v>
      </c>
      <c r="F164" s="7">
        <f>-1*ROUND(1/6*(I164*IF(_xlfn.XLOOKUP(H164,'02效果表'!D:D,'02效果表'!E:E)&lt;0, _xlfn.XLOOKUP(H164,'02效果表'!D:D,'02效果表'!E:E), 0) +
K164*IF(_xlfn.XLOOKUP(J164,'02效果表'!D:D,'02效果表'!E:E)&lt;0, _xlfn.XLOOKUP(J164,'02效果表'!D:D,'02效果表'!E:E), 0) +
M164*IF(_xlfn.XLOOKUP(L164,'02效果表'!D:D,'02效果表'!E:E)&lt;0, _xlfn.XLOOKUP(L164,'02效果表'!D:D,'02效果表'!E:E), 0) +
O164*IF(_xlfn.XLOOKUP(N164,'02效果表'!D:D,'02效果表'!E:E)&lt;0, _xlfn.XLOOKUP(N164,'02效果表'!D:D,'02效果表'!E:E), 0) +
Q164*IF(_xlfn.XLOOKUP(P164,'02效果表'!D:D,'02效果表'!E:E)&lt;0, _xlfn.XLOOKUP(P164,'02效果表'!D:D,'02效果表'!E:E), 0) +
S164*IF(_xlfn.XLOOKUP(R164,'02效果表'!D:D,'02效果表'!E:E)&lt;0, _xlfn.XLOOKUP(R164,'02效果表'!D:D,'02效果表'!E:E), 0) +
U164*IF(_xlfn.XLOOKUP(T164,'02效果表'!D:D,'02效果表'!E:E)&lt;0, _xlfn.XLOOKUP(T164,'02效果表'!D:D,'02效果表'!E:E), 0) +
W164*IF(_xlfn.XLOOKUP(V164,'02效果表'!D:D,'02效果表'!E:E)&lt;0, _xlfn.XLOOKUP(V164,'02效果表'!D:D,'02效果表'!E:E), 0) +
Y164*IF(_xlfn.XLOOKUP(X164,'02效果表'!D:D,'02效果表'!E:E)&lt;0, _xlfn.XLOOKUP(X164,'02效果表'!D:D,'02效果表'!E:E), 0) +
AA164*IF(_xlfn.XLOOKUP(Z164,'02效果表'!D:D,'02效果表'!E:E)&lt;0, _xlfn.XLOOKUP(Z164,'02效果表'!D:D,'02效果表'!E:E), 0) +
AC164*IF(_xlfn.XLOOKUP(AB164,'02效果表'!D:D,'02效果表'!E:E)&lt;0, _xlfn.XLOOKUP(AB164,'02效果表'!D:D,'02效果表'!E:E), 0) +
AE164*IF(_xlfn.XLOOKUP(AD164,'02效果表'!D:D,'02效果表'!E:E)&lt;0, _xlfn.XLOOKUP(AD164,'02效果表'!D:D,'02效果表'!E:E), 0)), 1)</f>
        <v>0</v>
      </c>
      <c r="G164" s="7">
        <f>ROUND(1/6*(I164*MAX(_xlfn.XLOOKUP(H164,'02效果表'!D:D,'02效果表'!E:E),0)+K164*MAX(_xlfn.XLOOKUP(J164,'02效果表'!D:D,'02效果表'!E:E),0)+M164*MAX(_xlfn.XLOOKUP(L164,'02效果表'!D:D,'02效果表'!E:E),0)+O164*MAX(_xlfn.XLOOKUP(N164,'02效果表'!D:D,'02效果表'!E:E),0)+Q164*MAX(_xlfn.XLOOKUP(P164,'02效果表'!D:D,'02效果表'!E:E),0)+S164*MAX(_xlfn.XLOOKUP(R164,'02效果表'!D:D,'02效果表'!E:E),0)+U164*MAX(_xlfn.XLOOKUP(T164,'02效果表'!D:D,'02效果表'!E:E),0)+W164*MAX(_xlfn.XLOOKUP(V164,'02效果表'!D:D,'02效果表'!E:E),0)+Y164*MAX(_xlfn.XLOOKUP(X164,'02效果表'!D:D,'02效果表'!E:E),0)+AA164*MAX(_xlfn.XLOOKUP(Z164,'02效果表'!D:D,'02效果表'!E:E),0)+AC164*MAX(_xlfn.XLOOKUP(AB164,'02效果表'!D:D,'02效果表'!E:E),0)+AE164*MAX(_xlfn.XLOOKUP(AD164,'02效果表'!D:D,'02效果表'!E:E),0)),1)</f>
        <v>0</v>
      </c>
      <c r="H164" s="6"/>
      <c r="I164" s="6"/>
      <c r="J164" s="6"/>
      <c r="K164" s="6"/>
      <c r="L164" s="6"/>
      <c r="M164" s="6"/>
      <c r="N164" s="6"/>
      <c r="O164" s="6"/>
      <c r="P164" s="6"/>
      <c r="Q164" s="6"/>
      <c r="R164" s="6"/>
      <c r="S164" s="6"/>
      <c r="T164" s="6"/>
      <c r="U164" s="6"/>
      <c r="V164" s="6"/>
      <c r="W164" s="6"/>
      <c r="X164" s="6"/>
      <c r="Y164" s="6"/>
      <c r="Z164" s="6"/>
      <c r="AA164" s="6"/>
      <c r="AB164" s="6"/>
      <c r="AC164" s="6"/>
      <c r="AD164" s="6"/>
      <c r="AE164" s="6"/>
    </row>
    <row r="165" spans="1:31" x14ac:dyDescent="0.35">
      <c r="A165" s="6">
        <v>165</v>
      </c>
      <c r="B165" s="6" t="s">
        <v>3</v>
      </c>
      <c r="C165" s="10" t="s">
        <v>17</v>
      </c>
      <c r="D165" s="9" t="s">
        <v>1385</v>
      </c>
      <c r="E165" s="7">
        <f t="shared" si="9"/>
        <v>0</v>
      </c>
      <c r="F165" s="7">
        <f>-1*ROUND(1/6*(I165*IF(_xlfn.XLOOKUP(H165,'02效果表'!D:D,'02效果表'!E:E)&lt;0, _xlfn.XLOOKUP(H165,'02效果表'!D:D,'02效果表'!E:E), 0) +
K165*IF(_xlfn.XLOOKUP(J165,'02效果表'!D:D,'02效果表'!E:E)&lt;0, _xlfn.XLOOKUP(J165,'02效果表'!D:D,'02效果表'!E:E), 0) +
M165*IF(_xlfn.XLOOKUP(L165,'02效果表'!D:D,'02效果表'!E:E)&lt;0, _xlfn.XLOOKUP(L165,'02效果表'!D:D,'02效果表'!E:E), 0) +
O165*IF(_xlfn.XLOOKUP(N165,'02效果表'!D:D,'02效果表'!E:E)&lt;0, _xlfn.XLOOKUP(N165,'02效果表'!D:D,'02效果表'!E:E), 0) +
Q165*IF(_xlfn.XLOOKUP(P165,'02效果表'!D:D,'02效果表'!E:E)&lt;0, _xlfn.XLOOKUP(P165,'02效果表'!D:D,'02效果表'!E:E), 0) +
S165*IF(_xlfn.XLOOKUP(R165,'02效果表'!D:D,'02效果表'!E:E)&lt;0, _xlfn.XLOOKUP(R165,'02效果表'!D:D,'02效果表'!E:E), 0) +
U165*IF(_xlfn.XLOOKUP(T165,'02效果表'!D:D,'02效果表'!E:E)&lt;0, _xlfn.XLOOKUP(T165,'02效果表'!D:D,'02效果表'!E:E), 0) +
W165*IF(_xlfn.XLOOKUP(V165,'02效果表'!D:D,'02效果表'!E:E)&lt;0, _xlfn.XLOOKUP(V165,'02效果表'!D:D,'02效果表'!E:E), 0) +
Y165*IF(_xlfn.XLOOKUP(X165,'02效果表'!D:D,'02效果表'!E:E)&lt;0, _xlfn.XLOOKUP(X165,'02效果表'!D:D,'02效果表'!E:E), 0) +
AA165*IF(_xlfn.XLOOKUP(Z165,'02效果表'!D:D,'02效果表'!E:E)&lt;0, _xlfn.XLOOKUP(Z165,'02效果表'!D:D,'02效果表'!E:E), 0) +
AC165*IF(_xlfn.XLOOKUP(AB165,'02效果表'!D:D,'02效果表'!E:E)&lt;0, _xlfn.XLOOKUP(AB165,'02效果表'!D:D,'02效果表'!E:E), 0) +
AE165*IF(_xlfn.XLOOKUP(AD165,'02效果表'!D:D,'02效果表'!E:E)&lt;0, _xlfn.XLOOKUP(AD165,'02效果表'!D:D,'02效果表'!E:E), 0)), 1)</f>
        <v>0</v>
      </c>
      <c r="G165" s="7">
        <f>ROUND(1/6*(I165*MAX(_xlfn.XLOOKUP(H165,'02效果表'!D:D,'02效果表'!E:E),0)+K165*MAX(_xlfn.XLOOKUP(J165,'02效果表'!D:D,'02效果表'!E:E),0)+M165*MAX(_xlfn.XLOOKUP(L165,'02效果表'!D:D,'02效果表'!E:E),0)+O165*MAX(_xlfn.XLOOKUP(N165,'02效果表'!D:D,'02效果表'!E:E),0)+Q165*MAX(_xlfn.XLOOKUP(P165,'02效果表'!D:D,'02效果表'!E:E),0)+S165*MAX(_xlfn.XLOOKUP(R165,'02效果表'!D:D,'02效果表'!E:E),0)+U165*MAX(_xlfn.XLOOKUP(T165,'02效果表'!D:D,'02效果表'!E:E),0)+W165*MAX(_xlfn.XLOOKUP(V165,'02效果表'!D:D,'02效果表'!E:E),0)+Y165*MAX(_xlfn.XLOOKUP(X165,'02效果表'!D:D,'02效果表'!E:E),0)+AA165*MAX(_xlfn.XLOOKUP(Z165,'02效果表'!D:D,'02效果表'!E:E),0)+AC165*MAX(_xlfn.XLOOKUP(AB165,'02效果表'!D:D,'02效果表'!E:E),0)+AE165*MAX(_xlfn.XLOOKUP(AD165,'02效果表'!D:D,'02效果表'!E:E),0)),1)</f>
        <v>0</v>
      </c>
      <c r="H165" s="6"/>
      <c r="I165" s="6"/>
      <c r="J165" s="6"/>
      <c r="K165" s="6"/>
      <c r="L165" s="6"/>
      <c r="M165" s="6"/>
      <c r="N165" s="6"/>
      <c r="O165" s="6"/>
      <c r="P165" s="6"/>
      <c r="Q165" s="6"/>
      <c r="R165" s="6"/>
      <c r="S165" s="6"/>
      <c r="T165" s="6"/>
      <c r="U165" s="6"/>
      <c r="V165" s="6"/>
      <c r="W165" s="6"/>
      <c r="X165" s="6"/>
      <c r="Y165" s="6"/>
      <c r="Z165" s="6"/>
      <c r="AA165" s="6"/>
      <c r="AB165" s="6"/>
      <c r="AC165" s="6"/>
      <c r="AD165" s="6"/>
      <c r="AE165" s="6"/>
    </row>
    <row r="166" spans="1:31" x14ac:dyDescent="0.35">
      <c r="A166" s="6">
        <v>166</v>
      </c>
      <c r="B166" s="6" t="s">
        <v>3</v>
      </c>
      <c r="C166" s="10" t="s">
        <v>17</v>
      </c>
      <c r="D166" s="9" t="s">
        <v>1386</v>
      </c>
      <c r="E166" s="7">
        <f t="shared" si="9"/>
        <v>0</v>
      </c>
      <c r="F166" s="7">
        <f>-1*ROUND(1/6*(I166*IF(_xlfn.XLOOKUP(H166,'02效果表'!D:D,'02效果表'!E:E)&lt;0, _xlfn.XLOOKUP(H166,'02效果表'!D:D,'02效果表'!E:E), 0) +
K166*IF(_xlfn.XLOOKUP(J166,'02效果表'!D:D,'02效果表'!E:E)&lt;0, _xlfn.XLOOKUP(J166,'02效果表'!D:D,'02效果表'!E:E), 0) +
M166*IF(_xlfn.XLOOKUP(L166,'02效果表'!D:D,'02效果表'!E:E)&lt;0, _xlfn.XLOOKUP(L166,'02效果表'!D:D,'02效果表'!E:E), 0) +
O166*IF(_xlfn.XLOOKUP(N166,'02效果表'!D:D,'02效果表'!E:E)&lt;0, _xlfn.XLOOKUP(N166,'02效果表'!D:D,'02效果表'!E:E), 0) +
Q166*IF(_xlfn.XLOOKUP(P166,'02效果表'!D:D,'02效果表'!E:E)&lt;0, _xlfn.XLOOKUP(P166,'02效果表'!D:D,'02效果表'!E:E), 0) +
S166*IF(_xlfn.XLOOKUP(R166,'02效果表'!D:D,'02效果表'!E:E)&lt;0, _xlfn.XLOOKUP(R166,'02效果表'!D:D,'02效果表'!E:E), 0) +
U166*IF(_xlfn.XLOOKUP(T166,'02效果表'!D:D,'02效果表'!E:E)&lt;0, _xlfn.XLOOKUP(T166,'02效果表'!D:D,'02效果表'!E:E), 0) +
W166*IF(_xlfn.XLOOKUP(V166,'02效果表'!D:D,'02效果表'!E:E)&lt;0, _xlfn.XLOOKUP(V166,'02效果表'!D:D,'02效果表'!E:E), 0) +
Y166*IF(_xlfn.XLOOKUP(X166,'02效果表'!D:D,'02效果表'!E:E)&lt;0, _xlfn.XLOOKUP(X166,'02效果表'!D:D,'02效果表'!E:E), 0) +
AA166*IF(_xlfn.XLOOKUP(Z166,'02效果表'!D:D,'02效果表'!E:E)&lt;0, _xlfn.XLOOKUP(Z166,'02效果表'!D:D,'02效果表'!E:E), 0) +
AC166*IF(_xlfn.XLOOKUP(AB166,'02效果表'!D:D,'02效果表'!E:E)&lt;0, _xlfn.XLOOKUP(AB166,'02效果表'!D:D,'02效果表'!E:E), 0) +
AE166*IF(_xlfn.XLOOKUP(AD166,'02效果表'!D:D,'02效果表'!E:E)&lt;0, _xlfn.XLOOKUP(AD166,'02效果表'!D:D,'02效果表'!E:E), 0)), 1)</f>
        <v>0</v>
      </c>
      <c r="G166" s="7">
        <f>ROUND(1/6*(I166*MAX(_xlfn.XLOOKUP(H166,'02效果表'!D:D,'02效果表'!E:E),0)+K166*MAX(_xlfn.XLOOKUP(J166,'02效果表'!D:D,'02效果表'!E:E),0)+M166*MAX(_xlfn.XLOOKUP(L166,'02效果表'!D:D,'02效果表'!E:E),0)+O166*MAX(_xlfn.XLOOKUP(N166,'02效果表'!D:D,'02效果表'!E:E),0)+Q166*MAX(_xlfn.XLOOKUP(P166,'02效果表'!D:D,'02效果表'!E:E),0)+S166*MAX(_xlfn.XLOOKUP(R166,'02效果表'!D:D,'02效果表'!E:E),0)+U166*MAX(_xlfn.XLOOKUP(T166,'02效果表'!D:D,'02效果表'!E:E),0)+W166*MAX(_xlfn.XLOOKUP(V166,'02效果表'!D:D,'02效果表'!E:E),0)+Y166*MAX(_xlfn.XLOOKUP(X166,'02效果表'!D:D,'02效果表'!E:E),0)+AA166*MAX(_xlfn.XLOOKUP(Z166,'02效果表'!D:D,'02效果表'!E:E),0)+AC166*MAX(_xlfn.XLOOKUP(AB166,'02效果表'!D:D,'02效果表'!E:E),0)+AE166*MAX(_xlfn.XLOOKUP(AD166,'02效果表'!D:D,'02效果表'!E:E),0)),1)</f>
        <v>0</v>
      </c>
      <c r="H166" s="6"/>
      <c r="I166" s="6"/>
      <c r="J166" s="6"/>
      <c r="K166" s="6"/>
      <c r="L166" s="6"/>
      <c r="M166" s="6"/>
      <c r="N166" s="6"/>
      <c r="O166" s="6"/>
      <c r="P166" s="6"/>
      <c r="Q166" s="6"/>
      <c r="R166" s="6"/>
      <c r="S166" s="6"/>
      <c r="T166" s="6"/>
      <c r="U166" s="6"/>
      <c r="V166" s="6"/>
      <c r="W166" s="6"/>
      <c r="X166" s="6"/>
      <c r="Y166" s="6"/>
      <c r="Z166" s="6"/>
      <c r="AA166" s="6"/>
      <c r="AB166" s="6"/>
      <c r="AC166" s="6"/>
      <c r="AD166" s="6"/>
      <c r="AE166" s="6"/>
    </row>
    <row r="167" spans="1:31" x14ac:dyDescent="0.35">
      <c r="A167" s="6">
        <v>167</v>
      </c>
      <c r="B167" s="6" t="s">
        <v>3</v>
      </c>
      <c r="C167" s="10" t="s">
        <v>17</v>
      </c>
      <c r="D167" s="9" t="s">
        <v>1387</v>
      </c>
      <c r="E167" s="7">
        <f t="shared" si="9"/>
        <v>0</v>
      </c>
      <c r="F167" s="7">
        <f>-1*ROUND(1/6*(I167*IF(_xlfn.XLOOKUP(H167,'02效果表'!D:D,'02效果表'!E:E)&lt;0, _xlfn.XLOOKUP(H167,'02效果表'!D:D,'02效果表'!E:E), 0) +
K167*IF(_xlfn.XLOOKUP(J167,'02效果表'!D:D,'02效果表'!E:E)&lt;0, _xlfn.XLOOKUP(J167,'02效果表'!D:D,'02效果表'!E:E), 0) +
M167*IF(_xlfn.XLOOKUP(L167,'02效果表'!D:D,'02效果表'!E:E)&lt;0, _xlfn.XLOOKUP(L167,'02效果表'!D:D,'02效果表'!E:E), 0) +
O167*IF(_xlfn.XLOOKUP(N167,'02效果表'!D:D,'02效果表'!E:E)&lt;0, _xlfn.XLOOKUP(N167,'02效果表'!D:D,'02效果表'!E:E), 0) +
Q167*IF(_xlfn.XLOOKUP(P167,'02效果表'!D:D,'02效果表'!E:E)&lt;0, _xlfn.XLOOKUP(P167,'02效果表'!D:D,'02效果表'!E:E), 0) +
S167*IF(_xlfn.XLOOKUP(R167,'02效果表'!D:D,'02效果表'!E:E)&lt;0, _xlfn.XLOOKUP(R167,'02效果表'!D:D,'02效果表'!E:E), 0) +
U167*IF(_xlfn.XLOOKUP(T167,'02效果表'!D:D,'02效果表'!E:E)&lt;0, _xlfn.XLOOKUP(T167,'02效果表'!D:D,'02效果表'!E:E), 0) +
W167*IF(_xlfn.XLOOKUP(V167,'02效果表'!D:D,'02效果表'!E:E)&lt;0, _xlfn.XLOOKUP(V167,'02效果表'!D:D,'02效果表'!E:E), 0) +
Y167*IF(_xlfn.XLOOKUP(X167,'02效果表'!D:D,'02效果表'!E:E)&lt;0, _xlfn.XLOOKUP(X167,'02效果表'!D:D,'02效果表'!E:E), 0) +
AA167*IF(_xlfn.XLOOKUP(Z167,'02效果表'!D:D,'02效果表'!E:E)&lt;0, _xlfn.XLOOKUP(Z167,'02效果表'!D:D,'02效果表'!E:E), 0) +
AC167*IF(_xlfn.XLOOKUP(AB167,'02效果表'!D:D,'02效果表'!E:E)&lt;0, _xlfn.XLOOKUP(AB167,'02效果表'!D:D,'02效果表'!E:E), 0) +
AE167*IF(_xlfn.XLOOKUP(AD167,'02效果表'!D:D,'02效果表'!E:E)&lt;0, _xlfn.XLOOKUP(AD167,'02效果表'!D:D,'02效果表'!E:E), 0)), 1)</f>
        <v>0</v>
      </c>
      <c r="G167" s="7">
        <f>ROUND(1/6*(I167*MAX(_xlfn.XLOOKUP(H167,'02效果表'!D:D,'02效果表'!E:E),0)+K167*MAX(_xlfn.XLOOKUP(J167,'02效果表'!D:D,'02效果表'!E:E),0)+M167*MAX(_xlfn.XLOOKUP(L167,'02效果表'!D:D,'02效果表'!E:E),0)+O167*MAX(_xlfn.XLOOKUP(N167,'02效果表'!D:D,'02效果表'!E:E),0)+Q167*MAX(_xlfn.XLOOKUP(P167,'02效果表'!D:D,'02效果表'!E:E),0)+S167*MAX(_xlfn.XLOOKUP(R167,'02效果表'!D:D,'02效果表'!E:E),0)+U167*MAX(_xlfn.XLOOKUP(T167,'02效果表'!D:D,'02效果表'!E:E),0)+W167*MAX(_xlfn.XLOOKUP(V167,'02效果表'!D:D,'02效果表'!E:E),0)+Y167*MAX(_xlfn.XLOOKUP(X167,'02效果表'!D:D,'02效果表'!E:E),0)+AA167*MAX(_xlfn.XLOOKUP(Z167,'02效果表'!D:D,'02效果表'!E:E),0)+AC167*MAX(_xlfn.XLOOKUP(AB167,'02效果表'!D:D,'02效果表'!E:E),0)+AE167*MAX(_xlfn.XLOOKUP(AD167,'02效果表'!D:D,'02效果表'!E:E),0)),1)</f>
        <v>0</v>
      </c>
      <c r="H167" s="6"/>
      <c r="I167" s="6"/>
      <c r="J167" s="6"/>
      <c r="K167" s="6"/>
      <c r="L167" s="6"/>
      <c r="M167" s="6"/>
      <c r="N167" s="6"/>
      <c r="O167" s="6"/>
      <c r="P167" s="6"/>
      <c r="Q167" s="6"/>
      <c r="R167" s="6"/>
      <c r="S167" s="6"/>
      <c r="T167" s="6"/>
      <c r="U167" s="6"/>
      <c r="V167" s="6"/>
      <c r="W167" s="6"/>
      <c r="X167" s="6"/>
      <c r="Y167" s="6"/>
      <c r="Z167" s="6"/>
      <c r="AA167" s="6"/>
      <c r="AB167" s="6"/>
      <c r="AC167" s="6"/>
      <c r="AD167" s="6"/>
      <c r="AE167" s="6"/>
    </row>
    <row r="168" spans="1:31" x14ac:dyDescent="0.35">
      <c r="A168" s="6">
        <v>168</v>
      </c>
      <c r="B168" s="6" t="s">
        <v>3</v>
      </c>
      <c r="C168" s="10" t="s">
        <v>17</v>
      </c>
      <c r="D168" s="9" t="s">
        <v>1388</v>
      </c>
      <c r="E168" s="7">
        <f t="shared" si="9"/>
        <v>0</v>
      </c>
      <c r="F168" s="7">
        <f>-1*ROUND(1/6*(I168*IF(_xlfn.XLOOKUP(H168,'02效果表'!D:D,'02效果表'!E:E)&lt;0, _xlfn.XLOOKUP(H168,'02效果表'!D:D,'02效果表'!E:E), 0) +
K168*IF(_xlfn.XLOOKUP(J168,'02效果表'!D:D,'02效果表'!E:E)&lt;0, _xlfn.XLOOKUP(J168,'02效果表'!D:D,'02效果表'!E:E), 0) +
M168*IF(_xlfn.XLOOKUP(L168,'02效果表'!D:D,'02效果表'!E:E)&lt;0, _xlfn.XLOOKUP(L168,'02效果表'!D:D,'02效果表'!E:E), 0) +
O168*IF(_xlfn.XLOOKUP(N168,'02效果表'!D:D,'02效果表'!E:E)&lt;0, _xlfn.XLOOKUP(N168,'02效果表'!D:D,'02效果表'!E:E), 0) +
Q168*IF(_xlfn.XLOOKUP(P168,'02效果表'!D:D,'02效果表'!E:E)&lt;0, _xlfn.XLOOKUP(P168,'02效果表'!D:D,'02效果表'!E:E), 0) +
S168*IF(_xlfn.XLOOKUP(R168,'02效果表'!D:D,'02效果表'!E:E)&lt;0, _xlfn.XLOOKUP(R168,'02效果表'!D:D,'02效果表'!E:E), 0) +
U168*IF(_xlfn.XLOOKUP(T168,'02效果表'!D:D,'02效果表'!E:E)&lt;0, _xlfn.XLOOKUP(T168,'02效果表'!D:D,'02效果表'!E:E), 0) +
W168*IF(_xlfn.XLOOKUP(V168,'02效果表'!D:D,'02效果表'!E:E)&lt;0, _xlfn.XLOOKUP(V168,'02效果表'!D:D,'02效果表'!E:E), 0) +
Y168*IF(_xlfn.XLOOKUP(X168,'02效果表'!D:D,'02效果表'!E:E)&lt;0, _xlfn.XLOOKUP(X168,'02效果表'!D:D,'02效果表'!E:E), 0) +
AA168*IF(_xlfn.XLOOKUP(Z168,'02效果表'!D:D,'02效果表'!E:E)&lt;0, _xlfn.XLOOKUP(Z168,'02效果表'!D:D,'02效果表'!E:E), 0) +
AC168*IF(_xlfn.XLOOKUP(AB168,'02效果表'!D:D,'02效果表'!E:E)&lt;0, _xlfn.XLOOKUP(AB168,'02效果表'!D:D,'02效果表'!E:E), 0) +
AE168*IF(_xlfn.XLOOKUP(AD168,'02效果表'!D:D,'02效果表'!E:E)&lt;0, _xlfn.XLOOKUP(AD168,'02效果表'!D:D,'02效果表'!E:E), 0)), 1)</f>
        <v>0</v>
      </c>
      <c r="G168" s="7">
        <f>ROUND(1/6*(I168*MAX(_xlfn.XLOOKUP(H168,'02效果表'!D:D,'02效果表'!E:E),0)+K168*MAX(_xlfn.XLOOKUP(J168,'02效果表'!D:D,'02效果表'!E:E),0)+M168*MAX(_xlfn.XLOOKUP(L168,'02效果表'!D:D,'02效果表'!E:E),0)+O168*MAX(_xlfn.XLOOKUP(N168,'02效果表'!D:D,'02效果表'!E:E),0)+Q168*MAX(_xlfn.XLOOKUP(P168,'02效果表'!D:D,'02效果表'!E:E),0)+S168*MAX(_xlfn.XLOOKUP(R168,'02效果表'!D:D,'02效果表'!E:E),0)+U168*MAX(_xlfn.XLOOKUP(T168,'02效果表'!D:D,'02效果表'!E:E),0)+W168*MAX(_xlfn.XLOOKUP(V168,'02效果表'!D:D,'02效果表'!E:E),0)+Y168*MAX(_xlfn.XLOOKUP(X168,'02效果表'!D:D,'02效果表'!E:E),0)+AA168*MAX(_xlfn.XLOOKUP(Z168,'02效果表'!D:D,'02效果表'!E:E),0)+AC168*MAX(_xlfn.XLOOKUP(AB168,'02效果表'!D:D,'02效果表'!E:E),0)+AE168*MAX(_xlfn.XLOOKUP(AD168,'02效果表'!D:D,'02效果表'!E:E),0)),1)</f>
        <v>0</v>
      </c>
      <c r="H168" s="6"/>
      <c r="I168" s="6"/>
      <c r="J168" s="6"/>
      <c r="K168" s="6"/>
      <c r="L168" s="6"/>
      <c r="M168" s="6"/>
      <c r="N168" s="6"/>
      <c r="O168" s="6"/>
      <c r="P168" s="6"/>
      <c r="Q168" s="6"/>
      <c r="R168" s="6"/>
      <c r="S168" s="6"/>
      <c r="T168" s="6"/>
      <c r="U168" s="6"/>
      <c r="V168" s="6"/>
      <c r="W168" s="6"/>
      <c r="X168" s="6"/>
      <c r="Y168" s="6"/>
      <c r="Z168" s="6"/>
      <c r="AA168" s="6"/>
      <c r="AB168" s="6"/>
      <c r="AC168" s="6"/>
      <c r="AD168" s="6"/>
      <c r="AE168" s="6"/>
    </row>
    <row r="169" spans="1:31" x14ac:dyDescent="0.35">
      <c r="A169" s="6">
        <v>169</v>
      </c>
      <c r="B169" s="6" t="s">
        <v>3</v>
      </c>
      <c r="C169" s="10" t="s">
        <v>17</v>
      </c>
      <c r="D169" s="9" t="s">
        <v>1389</v>
      </c>
      <c r="E169" s="7">
        <f t="shared" si="9"/>
        <v>0</v>
      </c>
      <c r="F169" s="7">
        <f>-1*ROUND(1/6*(I169*IF(_xlfn.XLOOKUP(H169,'02效果表'!D:D,'02效果表'!E:E)&lt;0, _xlfn.XLOOKUP(H169,'02效果表'!D:D,'02效果表'!E:E), 0) +
K169*IF(_xlfn.XLOOKUP(J169,'02效果表'!D:D,'02效果表'!E:E)&lt;0, _xlfn.XLOOKUP(J169,'02效果表'!D:D,'02效果表'!E:E), 0) +
M169*IF(_xlfn.XLOOKUP(L169,'02效果表'!D:D,'02效果表'!E:E)&lt;0, _xlfn.XLOOKUP(L169,'02效果表'!D:D,'02效果表'!E:E), 0) +
O169*IF(_xlfn.XLOOKUP(N169,'02效果表'!D:D,'02效果表'!E:E)&lt;0, _xlfn.XLOOKUP(N169,'02效果表'!D:D,'02效果表'!E:E), 0) +
Q169*IF(_xlfn.XLOOKUP(P169,'02效果表'!D:D,'02效果表'!E:E)&lt;0, _xlfn.XLOOKUP(P169,'02效果表'!D:D,'02效果表'!E:E), 0) +
S169*IF(_xlfn.XLOOKUP(R169,'02效果表'!D:D,'02效果表'!E:E)&lt;0, _xlfn.XLOOKUP(R169,'02效果表'!D:D,'02效果表'!E:E), 0) +
U169*IF(_xlfn.XLOOKUP(T169,'02效果表'!D:D,'02效果表'!E:E)&lt;0, _xlfn.XLOOKUP(T169,'02效果表'!D:D,'02效果表'!E:E), 0) +
W169*IF(_xlfn.XLOOKUP(V169,'02效果表'!D:D,'02效果表'!E:E)&lt;0, _xlfn.XLOOKUP(V169,'02效果表'!D:D,'02效果表'!E:E), 0) +
Y169*IF(_xlfn.XLOOKUP(X169,'02效果表'!D:D,'02效果表'!E:E)&lt;0, _xlfn.XLOOKUP(X169,'02效果表'!D:D,'02效果表'!E:E), 0) +
AA169*IF(_xlfn.XLOOKUP(Z169,'02效果表'!D:D,'02效果表'!E:E)&lt;0, _xlfn.XLOOKUP(Z169,'02效果表'!D:D,'02效果表'!E:E), 0) +
AC169*IF(_xlfn.XLOOKUP(AB169,'02效果表'!D:D,'02效果表'!E:E)&lt;0, _xlfn.XLOOKUP(AB169,'02效果表'!D:D,'02效果表'!E:E), 0) +
AE169*IF(_xlfn.XLOOKUP(AD169,'02效果表'!D:D,'02效果表'!E:E)&lt;0, _xlfn.XLOOKUP(AD169,'02效果表'!D:D,'02效果表'!E:E), 0)), 1)</f>
        <v>0</v>
      </c>
      <c r="G169" s="7">
        <f>ROUND(1/6*(I169*MAX(_xlfn.XLOOKUP(H169,'02效果表'!D:D,'02效果表'!E:E),0)+K169*MAX(_xlfn.XLOOKUP(J169,'02效果表'!D:D,'02效果表'!E:E),0)+M169*MAX(_xlfn.XLOOKUP(L169,'02效果表'!D:D,'02效果表'!E:E),0)+O169*MAX(_xlfn.XLOOKUP(N169,'02效果表'!D:D,'02效果表'!E:E),0)+Q169*MAX(_xlfn.XLOOKUP(P169,'02效果表'!D:D,'02效果表'!E:E),0)+S169*MAX(_xlfn.XLOOKUP(R169,'02效果表'!D:D,'02效果表'!E:E),0)+U169*MAX(_xlfn.XLOOKUP(T169,'02效果表'!D:D,'02效果表'!E:E),0)+W169*MAX(_xlfn.XLOOKUP(V169,'02效果表'!D:D,'02效果表'!E:E),0)+Y169*MAX(_xlfn.XLOOKUP(X169,'02效果表'!D:D,'02效果表'!E:E),0)+AA169*MAX(_xlfn.XLOOKUP(Z169,'02效果表'!D:D,'02效果表'!E:E),0)+AC169*MAX(_xlfn.XLOOKUP(AB169,'02效果表'!D:D,'02效果表'!E:E),0)+AE169*MAX(_xlfn.XLOOKUP(AD169,'02效果表'!D:D,'02效果表'!E:E),0)),1)</f>
        <v>0</v>
      </c>
      <c r="H169" s="6"/>
      <c r="I169" s="6"/>
      <c r="J169" s="6"/>
      <c r="K169" s="6"/>
      <c r="L169" s="6"/>
      <c r="M169" s="6"/>
      <c r="N169" s="6"/>
      <c r="O169" s="6"/>
      <c r="P169" s="6"/>
      <c r="Q169" s="6"/>
      <c r="R169" s="6"/>
      <c r="S169" s="6"/>
      <c r="T169" s="6"/>
      <c r="U169" s="6"/>
      <c r="V169" s="6"/>
      <c r="W169" s="6"/>
      <c r="X169" s="6"/>
      <c r="Y169" s="6"/>
      <c r="Z169" s="6"/>
      <c r="AA169" s="6"/>
      <c r="AB169" s="6"/>
      <c r="AC169" s="6"/>
      <c r="AD169" s="6"/>
      <c r="AE169" s="6"/>
    </row>
    <row r="170" spans="1:31" x14ac:dyDescent="0.35">
      <c r="A170" s="6">
        <v>170</v>
      </c>
      <c r="B170" s="6" t="s">
        <v>3</v>
      </c>
      <c r="C170" s="10" t="s">
        <v>17</v>
      </c>
      <c r="D170" s="9" t="s">
        <v>1390</v>
      </c>
      <c r="E170" s="7">
        <f t="shared" si="9"/>
        <v>0</v>
      </c>
      <c r="F170" s="7">
        <f>-1*ROUND(1/6*(I170*IF(_xlfn.XLOOKUP(H170,'02效果表'!D:D,'02效果表'!E:E)&lt;0, _xlfn.XLOOKUP(H170,'02效果表'!D:D,'02效果表'!E:E), 0) +
K170*IF(_xlfn.XLOOKUP(J170,'02效果表'!D:D,'02效果表'!E:E)&lt;0, _xlfn.XLOOKUP(J170,'02效果表'!D:D,'02效果表'!E:E), 0) +
M170*IF(_xlfn.XLOOKUP(L170,'02效果表'!D:D,'02效果表'!E:E)&lt;0, _xlfn.XLOOKUP(L170,'02效果表'!D:D,'02效果表'!E:E), 0) +
O170*IF(_xlfn.XLOOKUP(N170,'02效果表'!D:D,'02效果表'!E:E)&lt;0, _xlfn.XLOOKUP(N170,'02效果表'!D:D,'02效果表'!E:E), 0) +
Q170*IF(_xlfn.XLOOKUP(P170,'02效果表'!D:D,'02效果表'!E:E)&lt;0, _xlfn.XLOOKUP(P170,'02效果表'!D:D,'02效果表'!E:E), 0) +
S170*IF(_xlfn.XLOOKUP(R170,'02效果表'!D:D,'02效果表'!E:E)&lt;0, _xlfn.XLOOKUP(R170,'02效果表'!D:D,'02效果表'!E:E), 0) +
U170*IF(_xlfn.XLOOKUP(T170,'02效果表'!D:D,'02效果表'!E:E)&lt;0, _xlfn.XLOOKUP(T170,'02效果表'!D:D,'02效果表'!E:E), 0) +
W170*IF(_xlfn.XLOOKUP(V170,'02效果表'!D:D,'02效果表'!E:E)&lt;0, _xlfn.XLOOKUP(V170,'02效果表'!D:D,'02效果表'!E:E), 0) +
Y170*IF(_xlfn.XLOOKUP(X170,'02效果表'!D:D,'02效果表'!E:E)&lt;0, _xlfn.XLOOKUP(X170,'02效果表'!D:D,'02效果表'!E:E), 0) +
AA170*IF(_xlfn.XLOOKUP(Z170,'02效果表'!D:D,'02效果表'!E:E)&lt;0, _xlfn.XLOOKUP(Z170,'02效果表'!D:D,'02效果表'!E:E), 0) +
AC170*IF(_xlfn.XLOOKUP(AB170,'02效果表'!D:D,'02效果表'!E:E)&lt;0, _xlfn.XLOOKUP(AB170,'02效果表'!D:D,'02效果表'!E:E), 0) +
AE170*IF(_xlfn.XLOOKUP(AD170,'02效果表'!D:D,'02效果表'!E:E)&lt;0, _xlfn.XLOOKUP(AD170,'02效果表'!D:D,'02效果表'!E:E), 0)), 1)</f>
        <v>0</v>
      </c>
      <c r="G170" s="7">
        <f>ROUND(1/6*(I170*MAX(_xlfn.XLOOKUP(H170,'02效果表'!D:D,'02效果表'!E:E),0)+K170*MAX(_xlfn.XLOOKUP(J170,'02效果表'!D:D,'02效果表'!E:E),0)+M170*MAX(_xlfn.XLOOKUP(L170,'02效果表'!D:D,'02效果表'!E:E),0)+O170*MAX(_xlfn.XLOOKUP(N170,'02效果表'!D:D,'02效果表'!E:E),0)+Q170*MAX(_xlfn.XLOOKUP(P170,'02效果表'!D:D,'02效果表'!E:E),0)+S170*MAX(_xlfn.XLOOKUP(R170,'02效果表'!D:D,'02效果表'!E:E),0)+U170*MAX(_xlfn.XLOOKUP(T170,'02效果表'!D:D,'02效果表'!E:E),0)+W170*MAX(_xlfn.XLOOKUP(V170,'02效果表'!D:D,'02效果表'!E:E),0)+Y170*MAX(_xlfn.XLOOKUP(X170,'02效果表'!D:D,'02效果表'!E:E),0)+AA170*MAX(_xlfn.XLOOKUP(Z170,'02效果表'!D:D,'02效果表'!E:E),0)+AC170*MAX(_xlfn.XLOOKUP(AB170,'02效果表'!D:D,'02效果表'!E:E),0)+AE170*MAX(_xlfn.XLOOKUP(AD170,'02效果表'!D:D,'02效果表'!E:E),0)),1)</f>
        <v>0</v>
      </c>
      <c r="H170" s="6"/>
      <c r="I170" s="6"/>
      <c r="J170" s="6"/>
      <c r="K170" s="6"/>
      <c r="L170" s="6"/>
      <c r="M170" s="6"/>
      <c r="N170" s="6"/>
      <c r="O170" s="6"/>
      <c r="P170" s="6"/>
      <c r="Q170" s="6"/>
      <c r="R170" s="6"/>
      <c r="S170" s="6"/>
      <c r="T170" s="6"/>
      <c r="U170" s="6"/>
      <c r="V170" s="6"/>
      <c r="W170" s="6"/>
      <c r="X170" s="6"/>
      <c r="Y170" s="6"/>
      <c r="Z170" s="6"/>
      <c r="AA170" s="6"/>
      <c r="AB170" s="6"/>
      <c r="AC170" s="6"/>
      <c r="AD170" s="6"/>
      <c r="AE170" s="6"/>
    </row>
    <row r="171" spans="1:31" x14ac:dyDescent="0.35">
      <c r="A171" s="6">
        <v>171</v>
      </c>
      <c r="B171" s="6" t="s">
        <v>3</v>
      </c>
      <c r="C171" s="10" t="s">
        <v>17</v>
      </c>
      <c r="D171" s="9" t="s">
        <v>1391</v>
      </c>
      <c r="E171" s="7">
        <f t="shared" si="9"/>
        <v>0</v>
      </c>
      <c r="F171" s="7">
        <f>-1*ROUND(1/6*(I171*IF(_xlfn.XLOOKUP(H171,'02效果表'!D:D,'02效果表'!E:E)&lt;0, _xlfn.XLOOKUP(H171,'02效果表'!D:D,'02效果表'!E:E), 0) +
K171*IF(_xlfn.XLOOKUP(J171,'02效果表'!D:D,'02效果表'!E:E)&lt;0, _xlfn.XLOOKUP(J171,'02效果表'!D:D,'02效果表'!E:E), 0) +
M171*IF(_xlfn.XLOOKUP(L171,'02效果表'!D:D,'02效果表'!E:E)&lt;0, _xlfn.XLOOKUP(L171,'02效果表'!D:D,'02效果表'!E:E), 0) +
O171*IF(_xlfn.XLOOKUP(N171,'02效果表'!D:D,'02效果表'!E:E)&lt;0, _xlfn.XLOOKUP(N171,'02效果表'!D:D,'02效果表'!E:E), 0) +
Q171*IF(_xlfn.XLOOKUP(P171,'02效果表'!D:D,'02效果表'!E:E)&lt;0, _xlfn.XLOOKUP(P171,'02效果表'!D:D,'02效果表'!E:E), 0) +
S171*IF(_xlfn.XLOOKUP(R171,'02效果表'!D:D,'02效果表'!E:E)&lt;0, _xlfn.XLOOKUP(R171,'02效果表'!D:D,'02效果表'!E:E), 0) +
U171*IF(_xlfn.XLOOKUP(T171,'02效果表'!D:D,'02效果表'!E:E)&lt;0, _xlfn.XLOOKUP(T171,'02效果表'!D:D,'02效果表'!E:E), 0) +
W171*IF(_xlfn.XLOOKUP(V171,'02效果表'!D:D,'02效果表'!E:E)&lt;0, _xlfn.XLOOKUP(V171,'02效果表'!D:D,'02效果表'!E:E), 0) +
Y171*IF(_xlfn.XLOOKUP(X171,'02效果表'!D:D,'02效果表'!E:E)&lt;0, _xlfn.XLOOKUP(X171,'02效果表'!D:D,'02效果表'!E:E), 0) +
AA171*IF(_xlfn.XLOOKUP(Z171,'02效果表'!D:D,'02效果表'!E:E)&lt;0, _xlfn.XLOOKUP(Z171,'02效果表'!D:D,'02效果表'!E:E), 0) +
AC171*IF(_xlfn.XLOOKUP(AB171,'02效果表'!D:D,'02效果表'!E:E)&lt;0, _xlfn.XLOOKUP(AB171,'02效果表'!D:D,'02效果表'!E:E), 0) +
AE171*IF(_xlfn.XLOOKUP(AD171,'02效果表'!D:D,'02效果表'!E:E)&lt;0, _xlfn.XLOOKUP(AD171,'02效果表'!D:D,'02效果表'!E:E), 0)), 1)</f>
        <v>0</v>
      </c>
      <c r="G171" s="7">
        <f>ROUND(1/6*(I171*MAX(_xlfn.XLOOKUP(H171,'02效果表'!D:D,'02效果表'!E:E),0)+K171*MAX(_xlfn.XLOOKUP(J171,'02效果表'!D:D,'02效果表'!E:E),0)+M171*MAX(_xlfn.XLOOKUP(L171,'02效果表'!D:D,'02效果表'!E:E),0)+O171*MAX(_xlfn.XLOOKUP(N171,'02效果表'!D:D,'02效果表'!E:E),0)+Q171*MAX(_xlfn.XLOOKUP(P171,'02效果表'!D:D,'02效果表'!E:E),0)+S171*MAX(_xlfn.XLOOKUP(R171,'02效果表'!D:D,'02效果表'!E:E),0)+U171*MAX(_xlfn.XLOOKUP(T171,'02效果表'!D:D,'02效果表'!E:E),0)+W171*MAX(_xlfn.XLOOKUP(V171,'02效果表'!D:D,'02效果表'!E:E),0)+Y171*MAX(_xlfn.XLOOKUP(X171,'02效果表'!D:D,'02效果表'!E:E),0)+AA171*MAX(_xlfn.XLOOKUP(Z171,'02效果表'!D:D,'02效果表'!E:E),0)+AC171*MAX(_xlfn.XLOOKUP(AB171,'02效果表'!D:D,'02效果表'!E:E),0)+AE171*MAX(_xlfn.XLOOKUP(AD171,'02效果表'!D:D,'02效果表'!E:E),0)),1)</f>
        <v>0</v>
      </c>
      <c r="H171" s="6"/>
      <c r="I171" s="6"/>
      <c r="J171" s="6"/>
      <c r="K171" s="6"/>
      <c r="L171" s="6"/>
      <c r="M171" s="6"/>
      <c r="N171" s="6"/>
      <c r="O171" s="6"/>
      <c r="P171" s="6"/>
      <c r="Q171" s="6"/>
      <c r="R171" s="6"/>
      <c r="S171" s="6"/>
      <c r="T171" s="6"/>
      <c r="U171" s="6"/>
      <c r="V171" s="6"/>
      <c r="W171" s="6"/>
      <c r="X171" s="6"/>
      <c r="Y171" s="6"/>
      <c r="Z171" s="6"/>
      <c r="AA171" s="6"/>
      <c r="AB171" s="6"/>
      <c r="AC171" s="6"/>
      <c r="AD171" s="6"/>
      <c r="AE171" s="6"/>
    </row>
    <row r="172" spans="1:31" x14ac:dyDescent="0.35">
      <c r="A172" s="6">
        <v>172</v>
      </c>
      <c r="B172" s="6" t="s">
        <v>3</v>
      </c>
      <c r="C172" s="10" t="s">
        <v>17</v>
      </c>
      <c r="D172" s="9" t="s">
        <v>1392</v>
      </c>
      <c r="E172" s="7">
        <f t="shared" si="9"/>
        <v>0</v>
      </c>
      <c r="F172" s="7">
        <f>-1*ROUND(1/6*(I172*IF(_xlfn.XLOOKUP(H172,'02效果表'!D:D,'02效果表'!E:E)&lt;0, _xlfn.XLOOKUP(H172,'02效果表'!D:D,'02效果表'!E:E), 0) +
K172*IF(_xlfn.XLOOKUP(J172,'02效果表'!D:D,'02效果表'!E:E)&lt;0, _xlfn.XLOOKUP(J172,'02效果表'!D:D,'02效果表'!E:E), 0) +
M172*IF(_xlfn.XLOOKUP(L172,'02效果表'!D:D,'02效果表'!E:E)&lt;0, _xlfn.XLOOKUP(L172,'02效果表'!D:D,'02效果表'!E:E), 0) +
O172*IF(_xlfn.XLOOKUP(N172,'02效果表'!D:D,'02效果表'!E:E)&lt;0, _xlfn.XLOOKUP(N172,'02效果表'!D:D,'02效果表'!E:E), 0) +
Q172*IF(_xlfn.XLOOKUP(P172,'02效果表'!D:D,'02效果表'!E:E)&lt;0, _xlfn.XLOOKUP(P172,'02效果表'!D:D,'02效果表'!E:E), 0) +
S172*IF(_xlfn.XLOOKUP(R172,'02效果表'!D:D,'02效果表'!E:E)&lt;0, _xlfn.XLOOKUP(R172,'02效果表'!D:D,'02效果表'!E:E), 0) +
U172*IF(_xlfn.XLOOKUP(T172,'02效果表'!D:D,'02效果表'!E:E)&lt;0, _xlfn.XLOOKUP(T172,'02效果表'!D:D,'02效果表'!E:E), 0) +
W172*IF(_xlfn.XLOOKUP(V172,'02效果表'!D:D,'02效果表'!E:E)&lt;0, _xlfn.XLOOKUP(V172,'02效果表'!D:D,'02效果表'!E:E), 0) +
Y172*IF(_xlfn.XLOOKUP(X172,'02效果表'!D:D,'02效果表'!E:E)&lt;0, _xlfn.XLOOKUP(X172,'02效果表'!D:D,'02效果表'!E:E), 0) +
AA172*IF(_xlfn.XLOOKUP(Z172,'02效果表'!D:D,'02效果表'!E:E)&lt;0, _xlfn.XLOOKUP(Z172,'02效果表'!D:D,'02效果表'!E:E), 0) +
AC172*IF(_xlfn.XLOOKUP(AB172,'02效果表'!D:D,'02效果表'!E:E)&lt;0, _xlfn.XLOOKUP(AB172,'02效果表'!D:D,'02效果表'!E:E), 0) +
AE172*IF(_xlfn.XLOOKUP(AD172,'02效果表'!D:D,'02效果表'!E:E)&lt;0, _xlfn.XLOOKUP(AD172,'02效果表'!D:D,'02效果表'!E:E), 0)), 1)</f>
        <v>0</v>
      </c>
      <c r="G172" s="7">
        <f>ROUND(1/6*(I172*MAX(_xlfn.XLOOKUP(H172,'02效果表'!D:D,'02效果表'!E:E),0)+K172*MAX(_xlfn.XLOOKUP(J172,'02效果表'!D:D,'02效果表'!E:E),0)+M172*MAX(_xlfn.XLOOKUP(L172,'02效果表'!D:D,'02效果表'!E:E),0)+O172*MAX(_xlfn.XLOOKUP(N172,'02效果表'!D:D,'02效果表'!E:E),0)+Q172*MAX(_xlfn.XLOOKUP(P172,'02效果表'!D:D,'02效果表'!E:E),0)+S172*MAX(_xlfn.XLOOKUP(R172,'02效果表'!D:D,'02效果表'!E:E),0)+U172*MAX(_xlfn.XLOOKUP(T172,'02效果表'!D:D,'02效果表'!E:E),0)+W172*MAX(_xlfn.XLOOKUP(V172,'02效果表'!D:D,'02效果表'!E:E),0)+Y172*MAX(_xlfn.XLOOKUP(X172,'02效果表'!D:D,'02效果表'!E:E),0)+AA172*MAX(_xlfn.XLOOKUP(Z172,'02效果表'!D:D,'02效果表'!E:E),0)+AC172*MAX(_xlfn.XLOOKUP(AB172,'02效果表'!D:D,'02效果表'!E:E),0)+AE172*MAX(_xlfn.XLOOKUP(AD172,'02效果表'!D:D,'02效果表'!E:E),0)),1)</f>
        <v>0</v>
      </c>
      <c r="H172" s="6"/>
      <c r="I172" s="6"/>
      <c r="J172" s="6"/>
      <c r="K172" s="6"/>
      <c r="L172" s="6"/>
      <c r="M172" s="6"/>
      <c r="N172" s="6"/>
      <c r="O172" s="6"/>
      <c r="P172" s="6"/>
      <c r="Q172" s="6"/>
      <c r="R172" s="6"/>
      <c r="S172" s="6"/>
      <c r="T172" s="6"/>
      <c r="U172" s="6"/>
      <c r="V172" s="6"/>
      <c r="W172" s="6"/>
      <c r="X172" s="6"/>
      <c r="Y172" s="6"/>
      <c r="Z172" s="6"/>
      <c r="AA172" s="6"/>
      <c r="AB172" s="6"/>
      <c r="AC172" s="6"/>
      <c r="AD172" s="6"/>
      <c r="AE172" s="6"/>
    </row>
    <row r="173" spans="1:31" x14ac:dyDescent="0.35">
      <c r="A173" s="6">
        <v>173</v>
      </c>
      <c r="B173" s="6" t="s">
        <v>3</v>
      </c>
      <c r="C173" s="10" t="s">
        <v>17</v>
      </c>
      <c r="D173" s="9" t="s">
        <v>1393</v>
      </c>
      <c r="E173" s="7">
        <f t="shared" si="9"/>
        <v>0</v>
      </c>
      <c r="F173" s="7">
        <f>-1*ROUND(1/6*(I173*IF(_xlfn.XLOOKUP(H173,'02效果表'!D:D,'02效果表'!E:E)&lt;0, _xlfn.XLOOKUP(H173,'02效果表'!D:D,'02效果表'!E:E), 0) +
K173*IF(_xlfn.XLOOKUP(J173,'02效果表'!D:D,'02效果表'!E:E)&lt;0, _xlfn.XLOOKUP(J173,'02效果表'!D:D,'02效果表'!E:E), 0) +
M173*IF(_xlfn.XLOOKUP(L173,'02效果表'!D:D,'02效果表'!E:E)&lt;0, _xlfn.XLOOKUP(L173,'02效果表'!D:D,'02效果表'!E:E), 0) +
O173*IF(_xlfn.XLOOKUP(N173,'02效果表'!D:D,'02效果表'!E:E)&lt;0, _xlfn.XLOOKUP(N173,'02效果表'!D:D,'02效果表'!E:E), 0) +
Q173*IF(_xlfn.XLOOKUP(P173,'02效果表'!D:D,'02效果表'!E:E)&lt;0, _xlfn.XLOOKUP(P173,'02效果表'!D:D,'02效果表'!E:E), 0) +
S173*IF(_xlfn.XLOOKUP(R173,'02效果表'!D:D,'02效果表'!E:E)&lt;0, _xlfn.XLOOKUP(R173,'02效果表'!D:D,'02效果表'!E:E), 0) +
U173*IF(_xlfn.XLOOKUP(T173,'02效果表'!D:D,'02效果表'!E:E)&lt;0, _xlfn.XLOOKUP(T173,'02效果表'!D:D,'02效果表'!E:E), 0) +
W173*IF(_xlfn.XLOOKUP(V173,'02效果表'!D:D,'02效果表'!E:E)&lt;0, _xlfn.XLOOKUP(V173,'02效果表'!D:D,'02效果表'!E:E), 0) +
Y173*IF(_xlfn.XLOOKUP(X173,'02效果表'!D:D,'02效果表'!E:E)&lt;0, _xlfn.XLOOKUP(X173,'02效果表'!D:D,'02效果表'!E:E), 0) +
AA173*IF(_xlfn.XLOOKUP(Z173,'02效果表'!D:D,'02效果表'!E:E)&lt;0, _xlfn.XLOOKUP(Z173,'02效果表'!D:D,'02效果表'!E:E), 0) +
AC173*IF(_xlfn.XLOOKUP(AB173,'02效果表'!D:D,'02效果表'!E:E)&lt;0, _xlfn.XLOOKUP(AB173,'02效果表'!D:D,'02效果表'!E:E), 0) +
AE173*IF(_xlfn.XLOOKUP(AD173,'02效果表'!D:D,'02效果表'!E:E)&lt;0, _xlfn.XLOOKUP(AD173,'02效果表'!D:D,'02效果表'!E:E), 0)), 1)</f>
        <v>0</v>
      </c>
      <c r="G173" s="7">
        <f>ROUND(1/6*(I173*MAX(_xlfn.XLOOKUP(H173,'02效果表'!D:D,'02效果表'!E:E),0)+K173*MAX(_xlfn.XLOOKUP(J173,'02效果表'!D:D,'02效果表'!E:E),0)+M173*MAX(_xlfn.XLOOKUP(L173,'02效果表'!D:D,'02效果表'!E:E),0)+O173*MAX(_xlfn.XLOOKUP(N173,'02效果表'!D:D,'02效果表'!E:E),0)+Q173*MAX(_xlfn.XLOOKUP(P173,'02效果表'!D:D,'02效果表'!E:E),0)+S173*MAX(_xlfn.XLOOKUP(R173,'02效果表'!D:D,'02效果表'!E:E),0)+U173*MAX(_xlfn.XLOOKUP(T173,'02效果表'!D:D,'02效果表'!E:E),0)+W173*MAX(_xlfn.XLOOKUP(V173,'02效果表'!D:D,'02效果表'!E:E),0)+Y173*MAX(_xlfn.XLOOKUP(X173,'02效果表'!D:D,'02效果表'!E:E),0)+AA173*MAX(_xlfn.XLOOKUP(Z173,'02效果表'!D:D,'02效果表'!E:E),0)+AC173*MAX(_xlfn.XLOOKUP(AB173,'02效果表'!D:D,'02效果表'!E:E),0)+AE173*MAX(_xlfn.XLOOKUP(AD173,'02效果表'!D:D,'02效果表'!E:E),0)),1)</f>
        <v>0</v>
      </c>
      <c r="H173" s="6"/>
      <c r="I173" s="6"/>
      <c r="J173" s="6"/>
      <c r="K173" s="6"/>
      <c r="L173" s="6"/>
      <c r="M173" s="6"/>
      <c r="N173" s="6"/>
      <c r="O173" s="6"/>
      <c r="P173" s="6"/>
      <c r="Q173" s="6"/>
      <c r="R173" s="6"/>
      <c r="S173" s="6"/>
      <c r="T173" s="6"/>
      <c r="U173" s="6"/>
      <c r="V173" s="6"/>
      <c r="W173" s="6"/>
      <c r="X173" s="6"/>
      <c r="Y173" s="6"/>
      <c r="Z173" s="6"/>
      <c r="AA173" s="6"/>
      <c r="AB173" s="6"/>
      <c r="AC173" s="6"/>
      <c r="AD173" s="6"/>
      <c r="AE173" s="6"/>
    </row>
    <row r="174" spans="1:31" x14ac:dyDescent="0.35">
      <c r="A174" s="6">
        <v>174</v>
      </c>
      <c r="B174" s="6" t="s">
        <v>3</v>
      </c>
      <c r="C174" s="10" t="s">
        <v>17</v>
      </c>
      <c r="D174" s="9" t="s">
        <v>1394</v>
      </c>
      <c r="E174" s="7">
        <f t="shared" si="9"/>
        <v>0</v>
      </c>
      <c r="F174" s="7">
        <f>-1*ROUND(1/6*(I174*IF(_xlfn.XLOOKUP(H174,'02效果表'!D:D,'02效果表'!E:E)&lt;0, _xlfn.XLOOKUP(H174,'02效果表'!D:D,'02效果表'!E:E), 0) +
K174*IF(_xlfn.XLOOKUP(J174,'02效果表'!D:D,'02效果表'!E:E)&lt;0, _xlfn.XLOOKUP(J174,'02效果表'!D:D,'02效果表'!E:E), 0) +
M174*IF(_xlfn.XLOOKUP(L174,'02效果表'!D:D,'02效果表'!E:E)&lt;0, _xlfn.XLOOKUP(L174,'02效果表'!D:D,'02效果表'!E:E), 0) +
O174*IF(_xlfn.XLOOKUP(N174,'02效果表'!D:D,'02效果表'!E:E)&lt;0, _xlfn.XLOOKUP(N174,'02效果表'!D:D,'02效果表'!E:E), 0) +
Q174*IF(_xlfn.XLOOKUP(P174,'02效果表'!D:D,'02效果表'!E:E)&lt;0, _xlfn.XLOOKUP(P174,'02效果表'!D:D,'02效果表'!E:E), 0) +
S174*IF(_xlfn.XLOOKUP(R174,'02效果表'!D:D,'02效果表'!E:E)&lt;0, _xlfn.XLOOKUP(R174,'02效果表'!D:D,'02效果表'!E:E), 0) +
U174*IF(_xlfn.XLOOKUP(T174,'02效果表'!D:D,'02效果表'!E:E)&lt;0, _xlfn.XLOOKUP(T174,'02效果表'!D:D,'02效果表'!E:E), 0) +
W174*IF(_xlfn.XLOOKUP(V174,'02效果表'!D:D,'02效果表'!E:E)&lt;0, _xlfn.XLOOKUP(V174,'02效果表'!D:D,'02效果表'!E:E), 0) +
Y174*IF(_xlfn.XLOOKUP(X174,'02效果表'!D:D,'02效果表'!E:E)&lt;0, _xlfn.XLOOKUP(X174,'02效果表'!D:D,'02效果表'!E:E), 0) +
AA174*IF(_xlfn.XLOOKUP(Z174,'02效果表'!D:D,'02效果表'!E:E)&lt;0, _xlfn.XLOOKUP(Z174,'02效果表'!D:D,'02效果表'!E:E), 0) +
AC174*IF(_xlfn.XLOOKUP(AB174,'02效果表'!D:D,'02效果表'!E:E)&lt;0, _xlfn.XLOOKUP(AB174,'02效果表'!D:D,'02效果表'!E:E), 0) +
AE174*IF(_xlfn.XLOOKUP(AD174,'02效果表'!D:D,'02效果表'!E:E)&lt;0, _xlfn.XLOOKUP(AD174,'02效果表'!D:D,'02效果表'!E:E), 0)), 1)</f>
        <v>0</v>
      </c>
      <c r="G174" s="7">
        <f>ROUND(1/6*(I174*MAX(_xlfn.XLOOKUP(H174,'02效果表'!D:D,'02效果表'!E:E),0)+K174*MAX(_xlfn.XLOOKUP(J174,'02效果表'!D:D,'02效果表'!E:E),0)+M174*MAX(_xlfn.XLOOKUP(L174,'02效果表'!D:D,'02效果表'!E:E),0)+O174*MAX(_xlfn.XLOOKUP(N174,'02效果表'!D:D,'02效果表'!E:E),0)+Q174*MAX(_xlfn.XLOOKUP(P174,'02效果表'!D:D,'02效果表'!E:E),0)+S174*MAX(_xlfn.XLOOKUP(R174,'02效果表'!D:D,'02效果表'!E:E),0)+U174*MAX(_xlfn.XLOOKUP(T174,'02效果表'!D:D,'02效果表'!E:E),0)+W174*MAX(_xlfn.XLOOKUP(V174,'02效果表'!D:D,'02效果表'!E:E),0)+Y174*MAX(_xlfn.XLOOKUP(X174,'02效果表'!D:D,'02效果表'!E:E),0)+AA174*MAX(_xlfn.XLOOKUP(Z174,'02效果表'!D:D,'02效果表'!E:E),0)+AC174*MAX(_xlfn.XLOOKUP(AB174,'02效果表'!D:D,'02效果表'!E:E),0)+AE174*MAX(_xlfn.XLOOKUP(AD174,'02效果表'!D:D,'02效果表'!E:E),0)),1)</f>
        <v>0</v>
      </c>
      <c r="H174" s="6"/>
      <c r="I174" s="6"/>
      <c r="J174" s="6"/>
      <c r="K174" s="6"/>
      <c r="L174" s="6"/>
      <c r="M174" s="6"/>
      <c r="N174" s="6"/>
      <c r="O174" s="6"/>
      <c r="P174" s="6"/>
      <c r="Q174" s="6"/>
      <c r="R174" s="6"/>
      <c r="S174" s="6"/>
      <c r="T174" s="6"/>
      <c r="U174" s="6"/>
      <c r="V174" s="6"/>
      <c r="W174" s="6"/>
      <c r="X174" s="6"/>
      <c r="Y174" s="6"/>
      <c r="Z174" s="6"/>
      <c r="AA174" s="6"/>
      <c r="AB174" s="6"/>
      <c r="AC174" s="6"/>
      <c r="AD174" s="6"/>
      <c r="AE174" s="6"/>
    </row>
    <row r="175" spans="1:31" x14ac:dyDescent="0.35">
      <c r="A175" s="6">
        <v>175</v>
      </c>
      <c r="B175" s="6" t="s">
        <v>3</v>
      </c>
      <c r="C175" s="10" t="s">
        <v>17</v>
      </c>
      <c r="D175" s="9" t="s">
        <v>1395</v>
      </c>
      <c r="E175" s="7">
        <f t="shared" si="9"/>
        <v>0</v>
      </c>
      <c r="F175" s="7">
        <f>-1*ROUND(1/6*(I175*IF(_xlfn.XLOOKUP(H175,'02效果表'!D:D,'02效果表'!E:E)&lt;0, _xlfn.XLOOKUP(H175,'02效果表'!D:D,'02效果表'!E:E), 0) +
K175*IF(_xlfn.XLOOKUP(J175,'02效果表'!D:D,'02效果表'!E:E)&lt;0, _xlfn.XLOOKUP(J175,'02效果表'!D:D,'02效果表'!E:E), 0) +
M175*IF(_xlfn.XLOOKUP(L175,'02效果表'!D:D,'02效果表'!E:E)&lt;0, _xlfn.XLOOKUP(L175,'02效果表'!D:D,'02效果表'!E:E), 0) +
O175*IF(_xlfn.XLOOKUP(N175,'02效果表'!D:D,'02效果表'!E:E)&lt;0, _xlfn.XLOOKUP(N175,'02效果表'!D:D,'02效果表'!E:E), 0) +
Q175*IF(_xlfn.XLOOKUP(P175,'02效果表'!D:D,'02效果表'!E:E)&lt;0, _xlfn.XLOOKUP(P175,'02效果表'!D:D,'02效果表'!E:E), 0) +
S175*IF(_xlfn.XLOOKUP(R175,'02效果表'!D:D,'02效果表'!E:E)&lt;0, _xlfn.XLOOKUP(R175,'02效果表'!D:D,'02效果表'!E:E), 0) +
U175*IF(_xlfn.XLOOKUP(T175,'02效果表'!D:D,'02效果表'!E:E)&lt;0, _xlfn.XLOOKUP(T175,'02效果表'!D:D,'02效果表'!E:E), 0) +
W175*IF(_xlfn.XLOOKUP(V175,'02效果表'!D:D,'02效果表'!E:E)&lt;0, _xlfn.XLOOKUP(V175,'02效果表'!D:D,'02效果表'!E:E), 0) +
Y175*IF(_xlfn.XLOOKUP(X175,'02效果表'!D:D,'02效果表'!E:E)&lt;0, _xlfn.XLOOKUP(X175,'02效果表'!D:D,'02效果表'!E:E), 0) +
AA175*IF(_xlfn.XLOOKUP(Z175,'02效果表'!D:D,'02效果表'!E:E)&lt;0, _xlfn.XLOOKUP(Z175,'02效果表'!D:D,'02效果表'!E:E), 0) +
AC175*IF(_xlfn.XLOOKUP(AB175,'02效果表'!D:D,'02效果表'!E:E)&lt;0, _xlfn.XLOOKUP(AB175,'02效果表'!D:D,'02效果表'!E:E), 0) +
AE175*IF(_xlfn.XLOOKUP(AD175,'02效果表'!D:D,'02效果表'!E:E)&lt;0, _xlfn.XLOOKUP(AD175,'02效果表'!D:D,'02效果表'!E:E), 0)), 1)</f>
        <v>0</v>
      </c>
      <c r="G175" s="7">
        <f>ROUND(1/6*(I175*MAX(_xlfn.XLOOKUP(H175,'02效果表'!D:D,'02效果表'!E:E),0)+K175*MAX(_xlfn.XLOOKUP(J175,'02效果表'!D:D,'02效果表'!E:E),0)+M175*MAX(_xlfn.XLOOKUP(L175,'02效果表'!D:D,'02效果表'!E:E),0)+O175*MAX(_xlfn.XLOOKUP(N175,'02效果表'!D:D,'02效果表'!E:E),0)+Q175*MAX(_xlfn.XLOOKUP(P175,'02效果表'!D:D,'02效果表'!E:E),0)+S175*MAX(_xlfn.XLOOKUP(R175,'02效果表'!D:D,'02效果表'!E:E),0)+U175*MAX(_xlfn.XLOOKUP(T175,'02效果表'!D:D,'02效果表'!E:E),0)+W175*MAX(_xlfn.XLOOKUP(V175,'02效果表'!D:D,'02效果表'!E:E),0)+Y175*MAX(_xlfn.XLOOKUP(X175,'02效果表'!D:D,'02效果表'!E:E),0)+AA175*MAX(_xlfn.XLOOKUP(Z175,'02效果表'!D:D,'02效果表'!E:E),0)+AC175*MAX(_xlfn.XLOOKUP(AB175,'02效果表'!D:D,'02效果表'!E:E),0)+AE175*MAX(_xlfn.XLOOKUP(AD175,'02效果表'!D:D,'02效果表'!E:E),0)),1)</f>
        <v>0</v>
      </c>
      <c r="H175" s="6"/>
      <c r="I175" s="6"/>
      <c r="J175" s="6"/>
      <c r="K175" s="6"/>
      <c r="L175" s="6"/>
      <c r="M175" s="6"/>
      <c r="N175" s="6"/>
      <c r="O175" s="6"/>
      <c r="P175" s="6"/>
      <c r="Q175" s="6"/>
      <c r="R175" s="6"/>
      <c r="S175" s="6"/>
      <c r="T175" s="6"/>
      <c r="U175" s="6"/>
      <c r="V175" s="6"/>
      <c r="W175" s="6"/>
      <c r="X175" s="6"/>
      <c r="Y175" s="6"/>
      <c r="Z175" s="6"/>
      <c r="AA175" s="6"/>
      <c r="AB175" s="6"/>
      <c r="AC175" s="6"/>
      <c r="AD175" s="6"/>
      <c r="AE175" s="6"/>
    </row>
    <row r="176" spans="1:31" x14ac:dyDescent="0.35">
      <c r="A176" s="6">
        <v>176</v>
      </c>
      <c r="B176" s="6" t="s">
        <v>3</v>
      </c>
      <c r="C176" s="10" t="s">
        <v>17</v>
      </c>
      <c r="D176" s="9" t="s">
        <v>1396</v>
      </c>
      <c r="E176" s="7">
        <f t="shared" si="9"/>
        <v>0</v>
      </c>
      <c r="F176" s="7">
        <f>-1*ROUND(1/6*(I176*IF(_xlfn.XLOOKUP(H176,'02效果表'!D:D,'02效果表'!E:E)&lt;0, _xlfn.XLOOKUP(H176,'02效果表'!D:D,'02效果表'!E:E), 0) +
K176*IF(_xlfn.XLOOKUP(J176,'02效果表'!D:D,'02效果表'!E:E)&lt;0, _xlfn.XLOOKUP(J176,'02效果表'!D:D,'02效果表'!E:E), 0) +
M176*IF(_xlfn.XLOOKUP(L176,'02效果表'!D:D,'02效果表'!E:E)&lt;0, _xlfn.XLOOKUP(L176,'02效果表'!D:D,'02效果表'!E:E), 0) +
O176*IF(_xlfn.XLOOKUP(N176,'02效果表'!D:D,'02效果表'!E:E)&lt;0, _xlfn.XLOOKUP(N176,'02效果表'!D:D,'02效果表'!E:E), 0) +
Q176*IF(_xlfn.XLOOKUP(P176,'02效果表'!D:D,'02效果表'!E:E)&lt;0, _xlfn.XLOOKUP(P176,'02效果表'!D:D,'02效果表'!E:E), 0) +
S176*IF(_xlfn.XLOOKUP(R176,'02效果表'!D:D,'02效果表'!E:E)&lt;0, _xlfn.XLOOKUP(R176,'02效果表'!D:D,'02效果表'!E:E), 0) +
U176*IF(_xlfn.XLOOKUP(T176,'02效果表'!D:D,'02效果表'!E:E)&lt;0, _xlfn.XLOOKUP(T176,'02效果表'!D:D,'02效果表'!E:E), 0) +
W176*IF(_xlfn.XLOOKUP(V176,'02效果表'!D:D,'02效果表'!E:E)&lt;0, _xlfn.XLOOKUP(V176,'02效果表'!D:D,'02效果表'!E:E), 0) +
Y176*IF(_xlfn.XLOOKUP(X176,'02效果表'!D:D,'02效果表'!E:E)&lt;0, _xlfn.XLOOKUP(X176,'02效果表'!D:D,'02效果表'!E:E), 0) +
AA176*IF(_xlfn.XLOOKUP(Z176,'02效果表'!D:D,'02效果表'!E:E)&lt;0, _xlfn.XLOOKUP(Z176,'02效果表'!D:D,'02效果表'!E:E), 0) +
AC176*IF(_xlfn.XLOOKUP(AB176,'02效果表'!D:D,'02效果表'!E:E)&lt;0, _xlfn.XLOOKUP(AB176,'02效果表'!D:D,'02效果表'!E:E), 0) +
AE176*IF(_xlfn.XLOOKUP(AD176,'02效果表'!D:D,'02效果表'!E:E)&lt;0, _xlfn.XLOOKUP(AD176,'02效果表'!D:D,'02效果表'!E:E), 0)), 1)</f>
        <v>0</v>
      </c>
      <c r="G176" s="7">
        <f>ROUND(1/6*(I176*MAX(_xlfn.XLOOKUP(H176,'02效果表'!D:D,'02效果表'!E:E),0)+K176*MAX(_xlfn.XLOOKUP(J176,'02效果表'!D:D,'02效果表'!E:E),0)+M176*MAX(_xlfn.XLOOKUP(L176,'02效果表'!D:D,'02效果表'!E:E),0)+O176*MAX(_xlfn.XLOOKUP(N176,'02效果表'!D:D,'02效果表'!E:E),0)+Q176*MAX(_xlfn.XLOOKUP(P176,'02效果表'!D:D,'02效果表'!E:E),0)+S176*MAX(_xlfn.XLOOKUP(R176,'02效果表'!D:D,'02效果表'!E:E),0)+U176*MAX(_xlfn.XLOOKUP(T176,'02效果表'!D:D,'02效果表'!E:E),0)+W176*MAX(_xlfn.XLOOKUP(V176,'02效果表'!D:D,'02效果表'!E:E),0)+Y176*MAX(_xlfn.XLOOKUP(X176,'02效果表'!D:D,'02效果表'!E:E),0)+AA176*MAX(_xlfn.XLOOKUP(Z176,'02效果表'!D:D,'02效果表'!E:E),0)+AC176*MAX(_xlfn.XLOOKUP(AB176,'02效果表'!D:D,'02效果表'!E:E),0)+AE176*MAX(_xlfn.XLOOKUP(AD176,'02效果表'!D:D,'02效果表'!E:E),0)),1)</f>
        <v>0</v>
      </c>
      <c r="H176" s="6"/>
      <c r="I176" s="6"/>
      <c r="J176" s="6"/>
      <c r="K176" s="6"/>
      <c r="L176" s="6"/>
      <c r="M176" s="6"/>
      <c r="N176" s="6"/>
      <c r="O176" s="6"/>
      <c r="P176" s="6"/>
      <c r="Q176" s="6"/>
      <c r="R176" s="6"/>
      <c r="S176" s="6"/>
      <c r="T176" s="6"/>
      <c r="U176" s="6"/>
      <c r="V176" s="6"/>
      <c r="W176" s="6"/>
      <c r="X176" s="6"/>
      <c r="Y176" s="6"/>
      <c r="Z176" s="6"/>
      <c r="AA176" s="6"/>
      <c r="AB176" s="6"/>
      <c r="AC176" s="6"/>
      <c r="AD176" s="6"/>
      <c r="AE176" s="6"/>
    </row>
    <row r="177" spans="1:31" x14ac:dyDescent="0.35">
      <c r="A177" s="6">
        <v>177</v>
      </c>
      <c r="B177" s="6" t="s">
        <v>3</v>
      </c>
      <c r="C177" s="10" t="s">
        <v>17</v>
      </c>
      <c r="D177" s="9" t="s">
        <v>1397</v>
      </c>
      <c r="E177" s="7">
        <f t="shared" si="9"/>
        <v>0</v>
      </c>
      <c r="F177" s="7">
        <f>-1*ROUND(1/6*(I177*IF(_xlfn.XLOOKUP(H177,'02效果表'!D:D,'02效果表'!E:E)&lt;0, _xlfn.XLOOKUP(H177,'02效果表'!D:D,'02效果表'!E:E), 0) +
K177*IF(_xlfn.XLOOKUP(J177,'02效果表'!D:D,'02效果表'!E:E)&lt;0, _xlfn.XLOOKUP(J177,'02效果表'!D:D,'02效果表'!E:E), 0) +
M177*IF(_xlfn.XLOOKUP(L177,'02效果表'!D:D,'02效果表'!E:E)&lt;0, _xlfn.XLOOKUP(L177,'02效果表'!D:D,'02效果表'!E:E), 0) +
O177*IF(_xlfn.XLOOKUP(N177,'02效果表'!D:D,'02效果表'!E:E)&lt;0, _xlfn.XLOOKUP(N177,'02效果表'!D:D,'02效果表'!E:E), 0) +
Q177*IF(_xlfn.XLOOKUP(P177,'02效果表'!D:D,'02效果表'!E:E)&lt;0, _xlfn.XLOOKUP(P177,'02效果表'!D:D,'02效果表'!E:E), 0) +
S177*IF(_xlfn.XLOOKUP(R177,'02效果表'!D:D,'02效果表'!E:E)&lt;0, _xlfn.XLOOKUP(R177,'02效果表'!D:D,'02效果表'!E:E), 0) +
U177*IF(_xlfn.XLOOKUP(T177,'02效果表'!D:D,'02效果表'!E:E)&lt;0, _xlfn.XLOOKUP(T177,'02效果表'!D:D,'02效果表'!E:E), 0) +
W177*IF(_xlfn.XLOOKUP(V177,'02效果表'!D:D,'02效果表'!E:E)&lt;0, _xlfn.XLOOKUP(V177,'02效果表'!D:D,'02效果表'!E:E), 0) +
Y177*IF(_xlfn.XLOOKUP(X177,'02效果表'!D:D,'02效果表'!E:E)&lt;0, _xlfn.XLOOKUP(X177,'02效果表'!D:D,'02效果表'!E:E), 0) +
AA177*IF(_xlfn.XLOOKUP(Z177,'02效果表'!D:D,'02效果表'!E:E)&lt;0, _xlfn.XLOOKUP(Z177,'02效果表'!D:D,'02效果表'!E:E), 0) +
AC177*IF(_xlfn.XLOOKUP(AB177,'02效果表'!D:D,'02效果表'!E:E)&lt;0, _xlfn.XLOOKUP(AB177,'02效果表'!D:D,'02效果表'!E:E), 0) +
AE177*IF(_xlfn.XLOOKUP(AD177,'02效果表'!D:D,'02效果表'!E:E)&lt;0, _xlfn.XLOOKUP(AD177,'02效果表'!D:D,'02效果表'!E:E), 0)), 1)</f>
        <v>0</v>
      </c>
      <c r="G177" s="7">
        <f>ROUND(1/6*(I177*MAX(_xlfn.XLOOKUP(H177,'02效果表'!D:D,'02效果表'!E:E),0)+K177*MAX(_xlfn.XLOOKUP(J177,'02效果表'!D:D,'02效果表'!E:E),0)+M177*MAX(_xlfn.XLOOKUP(L177,'02效果表'!D:D,'02效果表'!E:E),0)+O177*MAX(_xlfn.XLOOKUP(N177,'02效果表'!D:D,'02效果表'!E:E),0)+Q177*MAX(_xlfn.XLOOKUP(P177,'02效果表'!D:D,'02效果表'!E:E),0)+S177*MAX(_xlfn.XLOOKUP(R177,'02效果表'!D:D,'02效果表'!E:E),0)+U177*MAX(_xlfn.XLOOKUP(T177,'02效果表'!D:D,'02效果表'!E:E),0)+W177*MAX(_xlfn.XLOOKUP(V177,'02效果表'!D:D,'02效果表'!E:E),0)+Y177*MAX(_xlfn.XLOOKUP(X177,'02效果表'!D:D,'02效果表'!E:E),0)+AA177*MAX(_xlfn.XLOOKUP(Z177,'02效果表'!D:D,'02效果表'!E:E),0)+AC177*MAX(_xlfn.XLOOKUP(AB177,'02效果表'!D:D,'02效果表'!E:E),0)+AE177*MAX(_xlfn.XLOOKUP(AD177,'02效果表'!D:D,'02效果表'!E:E),0)),1)</f>
        <v>0</v>
      </c>
      <c r="H177" s="6"/>
      <c r="I177" s="6"/>
      <c r="J177" s="6"/>
      <c r="K177" s="6"/>
      <c r="L177" s="6"/>
      <c r="M177" s="6"/>
      <c r="N177" s="6"/>
      <c r="O177" s="6"/>
      <c r="P177" s="6"/>
      <c r="Q177" s="6"/>
      <c r="R177" s="6"/>
      <c r="S177" s="6"/>
      <c r="T177" s="6"/>
      <c r="U177" s="6"/>
      <c r="V177" s="6"/>
      <c r="W177" s="6"/>
      <c r="X177" s="6"/>
      <c r="Y177" s="6"/>
      <c r="Z177" s="6"/>
      <c r="AA177" s="6"/>
      <c r="AB177" s="6"/>
      <c r="AC177" s="6"/>
      <c r="AD177" s="6"/>
      <c r="AE177" s="6"/>
    </row>
    <row r="178" spans="1:31" x14ac:dyDescent="0.35">
      <c r="A178" s="6">
        <v>178</v>
      </c>
      <c r="B178" s="6" t="s">
        <v>3</v>
      </c>
      <c r="C178" s="10" t="s">
        <v>17</v>
      </c>
      <c r="D178" s="9" t="s">
        <v>1398</v>
      </c>
      <c r="E178" s="7">
        <f t="shared" si="9"/>
        <v>0</v>
      </c>
      <c r="F178" s="7">
        <f>-1*ROUND(1/6*(I178*IF(_xlfn.XLOOKUP(H178,'02效果表'!D:D,'02效果表'!E:E)&lt;0, _xlfn.XLOOKUP(H178,'02效果表'!D:D,'02效果表'!E:E), 0) +
K178*IF(_xlfn.XLOOKUP(J178,'02效果表'!D:D,'02效果表'!E:E)&lt;0, _xlfn.XLOOKUP(J178,'02效果表'!D:D,'02效果表'!E:E), 0) +
M178*IF(_xlfn.XLOOKUP(L178,'02效果表'!D:D,'02效果表'!E:E)&lt;0, _xlfn.XLOOKUP(L178,'02效果表'!D:D,'02效果表'!E:E), 0) +
O178*IF(_xlfn.XLOOKUP(N178,'02效果表'!D:D,'02效果表'!E:E)&lt;0, _xlfn.XLOOKUP(N178,'02效果表'!D:D,'02效果表'!E:E), 0) +
Q178*IF(_xlfn.XLOOKUP(P178,'02效果表'!D:D,'02效果表'!E:E)&lt;0, _xlfn.XLOOKUP(P178,'02效果表'!D:D,'02效果表'!E:E), 0) +
S178*IF(_xlfn.XLOOKUP(R178,'02效果表'!D:D,'02效果表'!E:E)&lt;0, _xlfn.XLOOKUP(R178,'02效果表'!D:D,'02效果表'!E:E), 0) +
U178*IF(_xlfn.XLOOKUP(T178,'02效果表'!D:D,'02效果表'!E:E)&lt;0, _xlfn.XLOOKUP(T178,'02效果表'!D:D,'02效果表'!E:E), 0) +
W178*IF(_xlfn.XLOOKUP(V178,'02效果表'!D:D,'02效果表'!E:E)&lt;0, _xlfn.XLOOKUP(V178,'02效果表'!D:D,'02效果表'!E:E), 0) +
Y178*IF(_xlfn.XLOOKUP(X178,'02效果表'!D:D,'02效果表'!E:E)&lt;0, _xlfn.XLOOKUP(X178,'02效果表'!D:D,'02效果表'!E:E), 0) +
AA178*IF(_xlfn.XLOOKUP(Z178,'02效果表'!D:D,'02效果表'!E:E)&lt;0, _xlfn.XLOOKUP(Z178,'02效果表'!D:D,'02效果表'!E:E), 0) +
AC178*IF(_xlfn.XLOOKUP(AB178,'02效果表'!D:D,'02效果表'!E:E)&lt;0, _xlfn.XLOOKUP(AB178,'02效果表'!D:D,'02效果表'!E:E), 0) +
AE178*IF(_xlfn.XLOOKUP(AD178,'02效果表'!D:D,'02效果表'!E:E)&lt;0, _xlfn.XLOOKUP(AD178,'02效果表'!D:D,'02效果表'!E:E), 0)), 1)</f>
        <v>0</v>
      </c>
      <c r="G178" s="7">
        <f>ROUND(1/6*(I178*MAX(_xlfn.XLOOKUP(H178,'02效果表'!D:D,'02效果表'!E:E),0)+K178*MAX(_xlfn.XLOOKUP(J178,'02效果表'!D:D,'02效果表'!E:E),0)+M178*MAX(_xlfn.XLOOKUP(L178,'02效果表'!D:D,'02效果表'!E:E),0)+O178*MAX(_xlfn.XLOOKUP(N178,'02效果表'!D:D,'02效果表'!E:E),0)+Q178*MAX(_xlfn.XLOOKUP(P178,'02效果表'!D:D,'02效果表'!E:E),0)+S178*MAX(_xlfn.XLOOKUP(R178,'02效果表'!D:D,'02效果表'!E:E),0)+U178*MAX(_xlfn.XLOOKUP(T178,'02效果表'!D:D,'02效果表'!E:E),0)+W178*MAX(_xlfn.XLOOKUP(V178,'02效果表'!D:D,'02效果表'!E:E),0)+Y178*MAX(_xlfn.XLOOKUP(X178,'02效果表'!D:D,'02效果表'!E:E),0)+AA178*MAX(_xlfn.XLOOKUP(Z178,'02效果表'!D:D,'02效果表'!E:E),0)+AC178*MAX(_xlfn.XLOOKUP(AB178,'02效果表'!D:D,'02效果表'!E:E),0)+AE178*MAX(_xlfn.XLOOKUP(AD178,'02效果表'!D:D,'02效果表'!E:E),0)),1)</f>
        <v>0</v>
      </c>
      <c r="H178" s="6"/>
      <c r="I178" s="6"/>
      <c r="J178" s="6"/>
      <c r="K178" s="6"/>
      <c r="L178" s="6"/>
      <c r="M178" s="6"/>
      <c r="N178" s="6"/>
      <c r="O178" s="6"/>
      <c r="P178" s="6"/>
      <c r="Q178" s="6"/>
      <c r="R178" s="6"/>
      <c r="S178" s="6"/>
      <c r="T178" s="6"/>
      <c r="U178" s="6"/>
      <c r="V178" s="6"/>
      <c r="W178" s="6"/>
      <c r="X178" s="6"/>
      <c r="Y178" s="6"/>
      <c r="Z178" s="6"/>
      <c r="AA178" s="6"/>
      <c r="AB178" s="6"/>
      <c r="AC178" s="6"/>
      <c r="AD178" s="6"/>
      <c r="AE178" s="6"/>
    </row>
    <row r="179" spans="1:31" x14ac:dyDescent="0.35">
      <c r="A179" s="6">
        <v>179</v>
      </c>
      <c r="B179" s="6" t="s">
        <v>3</v>
      </c>
      <c r="C179" s="10" t="s">
        <v>17</v>
      </c>
      <c r="D179" s="9" t="s">
        <v>1399</v>
      </c>
      <c r="E179" s="7">
        <f t="shared" si="9"/>
        <v>0</v>
      </c>
      <c r="F179" s="7">
        <f>-1*ROUND(1/6*(I179*IF(_xlfn.XLOOKUP(H179,'02效果表'!D:D,'02效果表'!E:E)&lt;0, _xlfn.XLOOKUP(H179,'02效果表'!D:D,'02效果表'!E:E), 0) +
K179*IF(_xlfn.XLOOKUP(J179,'02效果表'!D:D,'02效果表'!E:E)&lt;0, _xlfn.XLOOKUP(J179,'02效果表'!D:D,'02效果表'!E:E), 0) +
M179*IF(_xlfn.XLOOKUP(L179,'02效果表'!D:D,'02效果表'!E:E)&lt;0, _xlfn.XLOOKUP(L179,'02效果表'!D:D,'02效果表'!E:E), 0) +
O179*IF(_xlfn.XLOOKUP(N179,'02效果表'!D:D,'02效果表'!E:E)&lt;0, _xlfn.XLOOKUP(N179,'02效果表'!D:D,'02效果表'!E:E), 0) +
Q179*IF(_xlfn.XLOOKUP(P179,'02效果表'!D:D,'02效果表'!E:E)&lt;0, _xlfn.XLOOKUP(P179,'02效果表'!D:D,'02效果表'!E:E), 0) +
S179*IF(_xlfn.XLOOKUP(R179,'02效果表'!D:D,'02效果表'!E:E)&lt;0, _xlfn.XLOOKUP(R179,'02效果表'!D:D,'02效果表'!E:E), 0) +
U179*IF(_xlfn.XLOOKUP(T179,'02效果表'!D:D,'02效果表'!E:E)&lt;0, _xlfn.XLOOKUP(T179,'02效果表'!D:D,'02效果表'!E:E), 0) +
W179*IF(_xlfn.XLOOKUP(V179,'02效果表'!D:D,'02效果表'!E:E)&lt;0, _xlfn.XLOOKUP(V179,'02效果表'!D:D,'02效果表'!E:E), 0) +
Y179*IF(_xlfn.XLOOKUP(X179,'02效果表'!D:D,'02效果表'!E:E)&lt;0, _xlfn.XLOOKUP(X179,'02效果表'!D:D,'02效果表'!E:E), 0) +
AA179*IF(_xlfn.XLOOKUP(Z179,'02效果表'!D:D,'02效果表'!E:E)&lt;0, _xlfn.XLOOKUP(Z179,'02效果表'!D:D,'02效果表'!E:E), 0) +
AC179*IF(_xlfn.XLOOKUP(AB179,'02效果表'!D:D,'02效果表'!E:E)&lt;0, _xlfn.XLOOKUP(AB179,'02效果表'!D:D,'02效果表'!E:E), 0) +
AE179*IF(_xlfn.XLOOKUP(AD179,'02效果表'!D:D,'02效果表'!E:E)&lt;0, _xlfn.XLOOKUP(AD179,'02效果表'!D:D,'02效果表'!E:E), 0)), 1)</f>
        <v>0</v>
      </c>
      <c r="G179" s="7">
        <f>ROUND(1/6*(I179*MAX(_xlfn.XLOOKUP(H179,'02效果表'!D:D,'02效果表'!E:E),0)+K179*MAX(_xlfn.XLOOKUP(J179,'02效果表'!D:D,'02效果表'!E:E),0)+M179*MAX(_xlfn.XLOOKUP(L179,'02效果表'!D:D,'02效果表'!E:E),0)+O179*MAX(_xlfn.XLOOKUP(N179,'02效果表'!D:D,'02效果表'!E:E),0)+Q179*MAX(_xlfn.XLOOKUP(P179,'02效果表'!D:D,'02效果表'!E:E),0)+S179*MAX(_xlfn.XLOOKUP(R179,'02效果表'!D:D,'02效果表'!E:E),0)+U179*MAX(_xlfn.XLOOKUP(T179,'02效果表'!D:D,'02效果表'!E:E),0)+W179*MAX(_xlfn.XLOOKUP(V179,'02效果表'!D:D,'02效果表'!E:E),0)+Y179*MAX(_xlfn.XLOOKUP(X179,'02效果表'!D:D,'02效果表'!E:E),0)+AA179*MAX(_xlfn.XLOOKUP(Z179,'02效果表'!D:D,'02效果表'!E:E),0)+AC179*MAX(_xlfn.XLOOKUP(AB179,'02效果表'!D:D,'02效果表'!E:E),0)+AE179*MAX(_xlfn.XLOOKUP(AD179,'02效果表'!D:D,'02效果表'!E:E),0)),1)</f>
        <v>0</v>
      </c>
      <c r="H179" s="6"/>
      <c r="I179" s="6"/>
      <c r="J179" s="6"/>
      <c r="K179" s="6"/>
      <c r="L179" s="6"/>
      <c r="M179" s="6"/>
      <c r="N179" s="6"/>
      <c r="O179" s="6"/>
      <c r="P179" s="6"/>
      <c r="Q179" s="6"/>
      <c r="R179" s="6"/>
      <c r="S179" s="6"/>
      <c r="T179" s="6"/>
      <c r="U179" s="6"/>
      <c r="V179" s="6"/>
      <c r="W179" s="6"/>
      <c r="X179" s="6"/>
      <c r="Y179" s="6"/>
      <c r="Z179" s="6"/>
      <c r="AA179" s="6"/>
      <c r="AB179" s="6"/>
      <c r="AC179" s="6"/>
      <c r="AD179" s="6"/>
      <c r="AE179" s="6"/>
    </row>
    <row r="180" spans="1:31" x14ac:dyDescent="0.35">
      <c r="A180" s="6">
        <v>180</v>
      </c>
      <c r="B180" s="6" t="s">
        <v>3</v>
      </c>
      <c r="C180" s="10" t="s">
        <v>17</v>
      </c>
      <c r="D180" s="9" t="s">
        <v>1400</v>
      </c>
      <c r="E180" s="7">
        <f t="shared" si="9"/>
        <v>0</v>
      </c>
      <c r="F180" s="7">
        <f>-1*ROUND(1/6*(I180*IF(_xlfn.XLOOKUP(H180,'02效果表'!D:D,'02效果表'!E:E)&lt;0, _xlfn.XLOOKUP(H180,'02效果表'!D:D,'02效果表'!E:E), 0) +
K180*IF(_xlfn.XLOOKUP(J180,'02效果表'!D:D,'02效果表'!E:E)&lt;0, _xlfn.XLOOKUP(J180,'02效果表'!D:D,'02效果表'!E:E), 0) +
M180*IF(_xlfn.XLOOKUP(L180,'02效果表'!D:D,'02效果表'!E:E)&lt;0, _xlfn.XLOOKUP(L180,'02效果表'!D:D,'02效果表'!E:E), 0) +
O180*IF(_xlfn.XLOOKUP(N180,'02效果表'!D:D,'02效果表'!E:E)&lt;0, _xlfn.XLOOKUP(N180,'02效果表'!D:D,'02效果表'!E:E), 0) +
Q180*IF(_xlfn.XLOOKUP(P180,'02效果表'!D:D,'02效果表'!E:E)&lt;0, _xlfn.XLOOKUP(P180,'02效果表'!D:D,'02效果表'!E:E), 0) +
S180*IF(_xlfn.XLOOKUP(R180,'02效果表'!D:D,'02效果表'!E:E)&lt;0, _xlfn.XLOOKUP(R180,'02效果表'!D:D,'02效果表'!E:E), 0) +
U180*IF(_xlfn.XLOOKUP(T180,'02效果表'!D:D,'02效果表'!E:E)&lt;0, _xlfn.XLOOKUP(T180,'02效果表'!D:D,'02效果表'!E:E), 0) +
W180*IF(_xlfn.XLOOKUP(V180,'02效果表'!D:D,'02效果表'!E:E)&lt;0, _xlfn.XLOOKUP(V180,'02效果表'!D:D,'02效果表'!E:E), 0) +
Y180*IF(_xlfn.XLOOKUP(X180,'02效果表'!D:D,'02效果表'!E:E)&lt;0, _xlfn.XLOOKUP(X180,'02效果表'!D:D,'02效果表'!E:E), 0) +
AA180*IF(_xlfn.XLOOKUP(Z180,'02效果表'!D:D,'02效果表'!E:E)&lt;0, _xlfn.XLOOKUP(Z180,'02效果表'!D:D,'02效果表'!E:E), 0) +
AC180*IF(_xlfn.XLOOKUP(AB180,'02效果表'!D:D,'02效果表'!E:E)&lt;0, _xlfn.XLOOKUP(AB180,'02效果表'!D:D,'02效果表'!E:E), 0) +
AE180*IF(_xlfn.XLOOKUP(AD180,'02效果表'!D:D,'02效果表'!E:E)&lt;0, _xlfn.XLOOKUP(AD180,'02效果表'!D:D,'02效果表'!E:E), 0)), 1)</f>
        <v>0</v>
      </c>
      <c r="G180" s="7">
        <f>ROUND(1/6*(I180*MAX(_xlfn.XLOOKUP(H180,'02效果表'!D:D,'02效果表'!E:E),0)+K180*MAX(_xlfn.XLOOKUP(J180,'02效果表'!D:D,'02效果表'!E:E),0)+M180*MAX(_xlfn.XLOOKUP(L180,'02效果表'!D:D,'02效果表'!E:E),0)+O180*MAX(_xlfn.XLOOKUP(N180,'02效果表'!D:D,'02效果表'!E:E),0)+Q180*MAX(_xlfn.XLOOKUP(P180,'02效果表'!D:D,'02效果表'!E:E),0)+S180*MAX(_xlfn.XLOOKUP(R180,'02效果表'!D:D,'02效果表'!E:E),0)+U180*MAX(_xlfn.XLOOKUP(T180,'02效果表'!D:D,'02效果表'!E:E),0)+W180*MAX(_xlfn.XLOOKUP(V180,'02效果表'!D:D,'02效果表'!E:E),0)+Y180*MAX(_xlfn.XLOOKUP(X180,'02效果表'!D:D,'02效果表'!E:E),0)+AA180*MAX(_xlfn.XLOOKUP(Z180,'02效果表'!D:D,'02效果表'!E:E),0)+AC180*MAX(_xlfn.XLOOKUP(AB180,'02效果表'!D:D,'02效果表'!E:E),0)+AE180*MAX(_xlfn.XLOOKUP(AD180,'02效果表'!D:D,'02效果表'!E:E),0)),1)</f>
        <v>0</v>
      </c>
      <c r="H180" s="6"/>
      <c r="I180" s="6"/>
      <c r="J180" s="6"/>
      <c r="K180" s="6"/>
      <c r="L180" s="6"/>
      <c r="M180" s="6"/>
      <c r="N180" s="6"/>
      <c r="O180" s="6"/>
      <c r="P180" s="6"/>
      <c r="Q180" s="6"/>
      <c r="R180" s="6"/>
      <c r="S180" s="6"/>
      <c r="T180" s="6"/>
      <c r="U180" s="6"/>
      <c r="V180" s="6"/>
      <c r="W180" s="6"/>
      <c r="X180" s="6"/>
      <c r="Y180" s="6"/>
      <c r="Z180" s="6"/>
      <c r="AA180" s="6"/>
      <c r="AB180" s="6"/>
      <c r="AC180" s="6"/>
      <c r="AD180" s="6"/>
      <c r="AE180" s="6"/>
    </row>
    <row r="181" spans="1:31" x14ac:dyDescent="0.35">
      <c r="A181" s="6">
        <v>181</v>
      </c>
      <c r="B181" s="6" t="s">
        <v>3</v>
      </c>
      <c r="C181" s="10" t="s">
        <v>17</v>
      </c>
      <c r="D181" s="9" t="s">
        <v>1401</v>
      </c>
      <c r="E181" s="7">
        <f t="shared" si="9"/>
        <v>0</v>
      </c>
      <c r="F181" s="7">
        <f>-1*ROUND(1/6*(I181*IF(_xlfn.XLOOKUP(H181,'02效果表'!D:D,'02效果表'!E:E)&lt;0, _xlfn.XLOOKUP(H181,'02效果表'!D:D,'02效果表'!E:E), 0) +
K181*IF(_xlfn.XLOOKUP(J181,'02效果表'!D:D,'02效果表'!E:E)&lt;0, _xlfn.XLOOKUP(J181,'02效果表'!D:D,'02效果表'!E:E), 0) +
M181*IF(_xlfn.XLOOKUP(L181,'02效果表'!D:D,'02效果表'!E:E)&lt;0, _xlfn.XLOOKUP(L181,'02效果表'!D:D,'02效果表'!E:E), 0) +
O181*IF(_xlfn.XLOOKUP(N181,'02效果表'!D:D,'02效果表'!E:E)&lt;0, _xlfn.XLOOKUP(N181,'02效果表'!D:D,'02效果表'!E:E), 0) +
Q181*IF(_xlfn.XLOOKUP(P181,'02效果表'!D:D,'02效果表'!E:E)&lt;0, _xlfn.XLOOKUP(P181,'02效果表'!D:D,'02效果表'!E:E), 0) +
S181*IF(_xlfn.XLOOKUP(R181,'02效果表'!D:D,'02效果表'!E:E)&lt;0, _xlfn.XLOOKUP(R181,'02效果表'!D:D,'02效果表'!E:E), 0) +
U181*IF(_xlfn.XLOOKUP(T181,'02效果表'!D:D,'02效果表'!E:E)&lt;0, _xlfn.XLOOKUP(T181,'02效果表'!D:D,'02效果表'!E:E), 0) +
W181*IF(_xlfn.XLOOKUP(V181,'02效果表'!D:D,'02效果表'!E:E)&lt;0, _xlfn.XLOOKUP(V181,'02效果表'!D:D,'02效果表'!E:E), 0) +
Y181*IF(_xlfn.XLOOKUP(X181,'02效果表'!D:D,'02效果表'!E:E)&lt;0, _xlfn.XLOOKUP(X181,'02效果表'!D:D,'02效果表'!E:E), 0) +
AA181*IF(_xlfn.XLOOKUP(Z181,'02效果表'!D:D,'02效果表'!E:E)&lt;0, _xlfn.XLOOKUP(Z181,'02效果表'!D:D,'02效果表'!E:E), 0) +
AC181*IF(_xlfn.XLOOKUP(AB181,'02效果表'!D:D,'02效果表'!E:E)&lt;0, _xlfn.XLOOKUP(AB181,'02效果表'!D:D,'02效果表'!E:E), 0) +
AE181*IF(_xlfn.XLOOKUP(AD181,'02效果表'!D:D,'02效果表'!E:E)&lt;0, _xlfn.XLOOKUP(AD181,'02效果表'!D:D,'02效果表'!E:E), 0)), 1)</f>
        <v>0</v>
      </c>
      <c r="G181" s="7">
        <f>ROUND(1/6*(I181*MAX(_xlfn.XLOOKUP(H181,'02效果表'!D:D,'02效果表'!E:E),0)+K181*MAX(_xlfn.XLOOKUP(J181,'02效果表'!D:D,'02效果表'!E:E),0)+M181*MAX(_xlfn.XLOOKUP(L181,'02效果表'!D:D,'02效果表'!E:E),0)+O181*MAX(_xlfn.XLOOKUP(N181,'02效果表'!D:D,'02效果表'!E:E),0)+Q181*MAX(_xlfn.XLOOKUP(P181,'02效果表'!D:D,'02效果表'!E:E),0)+S181*MAX(_xlfn.XLOOKUP(R181,'02效果表'!D:D,'02效果表'!E:E),0)+U181*MAX(_xlfn.XLOOKUP(T181,'02效果表'!D:D,'02效果表'!E:E),0)+W181*MAX(_xlfn.XLOOKUP(V181,'02效果表'!D:D,'02效果表'!E:E),0)+Y181*MAX(_xlfn.XLOOKUP(X181,'02效果表'!D:D,'02效果表'!E:E),0)+AA181*MAX(_xlfn.XLOOKUP(Z181,'02效果表'!D:D,'02效果表'!E:E),0)+AC181*MAX(_xlfn.XLOOKUP(AB181,'02效果表'!D:D,'02效果表'!E:E),0)+AE181*MAX(_xlfn.XLOOKUP(AD181,'02效果表'!D:D,'02效果表'!E:E),0)),1)</f>
        <v>0</v>
      </c>
      <c r="H181" s="6"/>
      <c r="I181" s="6"/>
      <c r="J181" s="6"/>
      <c r="K181" s="6"/>
      <c r="L181" s="6"/>
      <c r="M181" s="6"/>
      <c r="N181" s="6"/>
      <c r="O181" s="6"/>
      <c r="P181" s="6"/>
      <c r="Q181" s="6"/>
      <c r="R181" s="6"/>
      <c r="S181" s="6"/>
      <c r="T181" s="6"/>
      <c r="U181" s="6"/>
      <c r="V181" s="6"/>
      <c r="W181" s="6"/>
      <c r="X181" s="6"/>
      <c r="Y181" s="6"/>
      <c r="Z181" s="6"/>
      <c r="AA181" s="6"/>
      <c r="AB181" s="6"/>
      <c r="AC181" s="6"/>
      <c r="AD181" s="6"/>
      <c r="AE181" s="6"/>
    </row>
    <row r="182" spans="1:31" x14ac:dyDescent="0.35">
      <c r="A182" s="6">
        <v>182</v>
      </c>
      <c r="B182" s="6" t="s">
        <v>3</v>
      </c>
      <c r="C182" s="10" t="s">
        <v>17</v>
      </c>
      <c r="D182" s="9" t="s">
        <v>1402</v>
      </c>
      <c r="E182" s="7">
        <f t="shared" si="9"/>
        <v>0</v>
      </c>
      <c r="F182" s="7">
        <f>-1*ROUND(1/6*(I182*IF(_xlfn.XLOOKUP(H182,'02效果表'!D:D,'02效果表'!E:E)&lt;0, _xlfn.XLOOKUP(H182,'02效果表'!D:D,'02效果表'!E:E), 0) +
K182*IF(_xlfn.XLOOKUP(J182,'02效果表'!D:D,'02效果表'!E:E)&lt;0, _xlfn.XLOOKUP(J182,'02效果表'!D:D,'02效果表'!E:E), 0) +
M182*IF(_xlfn.XLOOKUP(L182,'02效果表'!D:D,'02效果表'!E:E)&lt;0, _xlfn.XLOOKUP(L182,'02效果表'!D:D,'02效果表'!E:E), 0) +
O182*IF(_xlfn.XLOOKUP(N182,'02效果表'!D:D,'02效果表'!E:E)&lt;0, _xlfn.XLOOKUP(N182,'02效果表'!D:D,'02效果表'!E:E), 0) +
Q182*IF(_xlfn.XLOOKUP(P182,'02效果表'!D:D,'02效果表'!E:E)&lt;0, _xlfn.XLOOKUP(P182,'02效果表'!D:D,'02效果表'!E:E), 0) +
S182*IF(_xlfn.XLOOKUP(R182,'02效果表'!D:D,'02效果表'!E:E)&lt;0, _xlfn.XLOOKUP(R182,'02效果表'!D:D,'02效果表'!E:E), 0) +
U182*IF(_xlfn.XLOOKUP(T182,'02效果表'!D:D,'02效果表'!E:E)&lt;0, _xlfn.XLOOKUP(T182,'02效果表'!D:D,'02效果表'!E:E), 0) +
W182*IF(_xlfn.XLOOKUP(V182,'02效果表'!D:D,'02效果表'!E:E)&lt;0, _xlfn.XLOOKUP(V182,'02效果表'!D:D,'02效果表'!E:E), 0) +
Y182*IF(_xlfn.XLOOKUP(X182,'02效果表'!D:D,'02效果表'!E:E)&lt;0, _xlfn.XLOOKUP(X182,'02效果表'!D:D,'02效果表'!E:E), 0) +
AA182*IF(_xlfn.XLOOKUP(Z182,'02效果表'!D:D,'02效果表'!E:E)&lt;0, _xlfn.XLOOKUP(Z182,'02效果表'!D:D,'02效果表'!E:E), 0) +
AC182*IF(_xlfn.XLOOKUP(AB182,'02效果表'!D:D,'02效果表'!E:E)&lt;0, _xlfn.XLOOKUP(AB182,'02效果表'!D:D,'02效果表'!E:E), 0) +
AE182*IF(_xlfn.XLOOKUP(AD182,'02效果表'!D:D,'02效果表'!E:E)&lt;0, _xlfn.XLOOKUP(AD182,'02效果表'!D:D,'02效果表'!E:E), 0)), 1)</f>
        <v>0</v>
      </c>
      <c r="G182" s="7">
        <f>ROUND(1/6*(I182*MAX(_xlfn.XLOOKUP(H182,'02效果表'!D:D,'02效果表'!E:E),0)+K182*MAX(_xlfn.XLOOKUP(J182,'02效果表'!D:D,'02效果表'!E:E),0)+M182*MAX(_xlfn.XLOOKUP(L182,'02效果表'!D:D,'02效果表'!E:E),0)+O182*MAX(_xlfn.XLOOKUP(N182,'02效果表'!D:D,'02效果表'!E:E),0)+Q182*MAX(_xlfn.XLOOKUP(P182,'02效果表'!D:D,'02效果表'!E:E),0)+S182*MAX(_xlfn.XLOOKUP(R182,'02效果表'!D:D,'02效果表'!E:E),0)+U182*MAX(_xlfn.XLOOKUP(T182,'02效果表'!D:D,'02效果表'!E:E),0)+W182*MAX(_xlfn.XLOOKUP(V182,'02效果表'!D:D,'02效果表'!E:E),0)+Y182*MAX(_xlfn.XLOOKUP(X182,'02效果表'!D:D,'02效果表'!E:E),0)+AA182*MAX(_xlfn.XLOOKUP(Z182,'02效果表'!D:D,'02效果表'!E:E),0)+AC182*MAX(_xlfn.XLOOKUP(AB182,'02效果表'!D:D,'02效果表'!E:E),0)+AE182*MAX(_xlfn.XLOOKUP(AD182,'02效果表'!D:D,'02效果表'!E:E),0)),1)</f>
        <v>0</v>
      </c>
      <c r="H182" s="6"/>
      <c r="I182" s="6"/>
      <c r="J182" s="6"/>
      <c r="K182" s="6"/>
      <c r="L182" s="6"/>
      <c r="M182" s="6"/>
      <c r="N182" s="6"/>
      <c r="O182" s="6"/>
      <c r="P182" s="6"/>
      <c r="Q182" s="6"/>
      <c r="R182" s="6"/>
      <c r="S182" s="6"/>
      <c r="T182" s="6"/>
      <c r="U182" s="6"/>
      <c r="V182" s="6"/>
      <c r="W182" s="6"/>
      <c r="X182" s="6"/>
      <c r="Y182" s="6"/>
      <c r="Z182" s="6"/>
      <c r="AA182" s="6"/>
      <c r="AB182" s="6"/>
      <c r="AC182" s="6"/>
      <c r="AD182" s="6"/>
      <c r="AE182" s="6"/>
    </row>
    <row r="183" spans="1:31" x14ac:dyDescent="0.35">
      <c r="A183" s="6">
        <v>183</v>
      </c>
      <c r="B183" s="6" t="s">
        <v>3</v>
      </c>
      <c r="C183" s="10" t="s">
        <v>17</v>
      </c>
      <c r="D183" s="9" t="s">
        <v>1403</v>
      </c>
      <c r="E183" s="7">
        <f t="shared" si="9"/>
        <v>0</v>
      </c>
      <c r="F183" s="7">
        <f>-1*ROUND(1/6*(I183*IF(_xlfn.XLOOKUP(H183,'02效果表'!D:D,'02效果表'!E:E)&lt;0, _xlfn.XLOOKUP(H183,'02效果表'!D:D,'02效果表'!E:E), 0) +
K183*IF(_xlfn.XLOOKUP(J183,'02效果表'!D:D,'02效果表'!E:E)&lt;0, _xlfn.XLOOKUP(J183,'02效果表'!D:D,'02效果表'!E:E), 0) +
M183*IF(_xlfn.XLOOKUP(L183,'02效果表'!D:D,'02效果表'!E:E)&lt;0, _xlfn.XLOOKUP(L183,'02效果表'!D:D,'02效果表'!E:E), 0) +
O183*IF(_xlfn.XLOOKUP(N183,'02效果表'!D:D,'02效果表'!E:E)&lt;0, _xlfn.XLOOKUP(N183,'02效果表'!D:D,'02效果表'!E:E), 0) +
Q183*IF(_xlfn.XLOOKUP(P183,'02效果表'!D:D,'02效果表'!E:E)&lt;0, _xlfn.XLOOKUP(P183,'02效果表'!D:D,'02效果表'!E:E), 0) +
S183*IF(_xlfn.XLOOKUP(R183,'02效果表'!D:D,'02效果表'!E:E)&lt;0, _xlfn.XLOOKUP(R183,'02效果表'!D:D,'02效果表'!E:E), 0) +
U183*IF(_xlfn.XLOOKUP(T183,'02效果表'!D:D,'02效果表'!E:E)&lt;0, _xlfn.XLOOKUP(T183,'02效果表'!D:D,'02效果表'!E:E), 0) +
W183*IF(_xlfn.XLOOKUP(V183,'02效果表'!D:D,'02效果表'!E:E)&lt;0, _xlfn.XLOOKUP(V183,'02效果表'!D:D,'02效果表'!E:E), 0) +
Y183*IF(_xlfn.XLOOKUP(X183,'02效果表'!D:D,'02效果表'!E:E)&lt;0, _xlfn.XLOOKUP(X183,'02效果表'!D:D,'02效果表'!E:E), 0) +
AA183*IF(_xlfn.XLOOKUP(Z183,'02效果表'!D:D,'02效果表'!E:E)&lt;0, _xlfn.XLOOKUP(Z183,'02效果表'!D:D,'02效果表'!E:E), 0) +
AC183*IF(_xlfn.XLOOKUP(AB183,'02效果表'!D:D,'02效果表'!E:E)&lt;0, _xlfn.XLOOKUP(AB183,'02效果表'!D:D,'02效果表'!E:E), 0) +
AE183*IF(_xlfn.XLOOKUP(AD183,'02效果表'!D:D,'02效果表'!E:E)&lt;0, _xlfn.XLOOKUP(AD183,'02效果表'!D:D,'02效果表'!E:E), 0)), 1)</f>
        <v>0</v>
      </c>
      <c r="G183" s="7">
        <f>ROUND(1/6*(I183*MAX(_xlfn.XLOOKUP(H183,'02效果表'!D:D,'02效果表'!E:E),0)+K183*MAX(_xlfn.XLOOKUP(J183,'02效果表'!D:D,'02效果表'!E:E),0)+M183*MAX(_xlfn.XLOOKUP(L183,'02效果表'!D:D,'02效果表'!E:E),0)+O183*MAX(_xlfn.XLOOKUP(N183,'02效果表'!D:D,'02效果表'!E:E),0)+Q183*MAX(_xlfn.XLOOKUP(P183,'02效果表'!D:D,'02效果表'!E:E),0)+S183*MAX(_xlfn.XLOOKUP(R183,'02效果表'!D:D,'02效果表'!E:E),0)+U183*MAX(_xlfn.XLOOKUP(T183,'02效果表'!D:D,'02效果表'!E:E),0)+W183*MAX(_xlfn.XLOOKUP(V183,'02效果表'!D:D,'02效果表'!E:E),0)+Y183*MAX(_xlfn.XLOOKUP(X183,'02效果表'!D:D,'02效果表'!E:E),0)+AA183*MAX(_xlfn.XLOOKUP(Z183,'02效果表'!D:D,'02效果表'!E:E),0)+AC183*MAX(_xlfn.XLOOKUP(AB183,'02效果表'!D:D,'02效果表'!E:E),0)+AE183*MAX(_xlfn.XLOOKUP(AD183,'02效果表'!D:D,'02效果表'!E:E),0)),1)</f>
        <v>0</v>
      </c>
      <c r="H183" s="6"/>
      <c r="I183" s="6"/>
      <c r="J183" s="6"/>
      <c r="K183" s="6"/>
      <c r="L183" s="6"/>
      <c r="M183" s="6"/>
      <c r="N183" s="6"/>
      <c r="O183" s="6"/>
      <c r="P183" s="6"/>
      <c r="Q183" s="6"/>
      <c r="R183" s="6"/>
      <c r="S183" s="6"/>
      <c r="T183" s="6"/>
      <c r="U183" s="6"/>
      <c r="V183" s="6"/>
      <c r="W183" s="6"/>
      <c r="X183" s="6"/>
      <c r="Y183" s="6"/>
      <c r="Z183" s="6"/>
      <c r="AA183" s="6"/>
      <c r="AB183" s="6"/>
      <c r="AC183" s="6"/>
      <c r="AD183" s="6"/>
      <c r="AE183" s="6"/>
    </row>
    <row r="184" spans="1:31" x14ac:dyDescent="0.35">
      <c r="A184" s="6">
        <v>184</v>
      </c>
      <c r="B184" s="6" t="s">
        <v>3</v>
      </c>
      <c r="C184" s="10" t="s">
        <v>17</v>
      </c>
      <c r="D184" s="9" t="s">
        <v>1404</v>
      </c>
      <c r="E184" s="7">
        <f t="shared" si="9"/>
        <v>0</v>
      </c>
      <c r="F184" s="7">
        <f>-1*ROUND(1/6*(I184*IF(_xlfn.XLOOKUP(H184,'02效果表'!D:D,'02效果表'!E:E)&lt;0, _xlfn.XLOOKUP(H184,'02效果表'!D:D,'02效果表'!E:E), 0) +
K184*IF(_xlfn.XLOOKUP(J184,'02效果表'!D:D,'02效果表'!E:E)&lt;0, _xlfn.XLOOKUP(J184,'02效果表'!D:D,'02效果表'!E:E), 0) +
M184*IF(_xlfn.XLOOKUP(L184,'02效果表'!D:D,'02效果表'!E:E)&lt;0, _xlfn.XLOOKUP(L184,'02效果表'!D:D,'02效果表'!E:E), 0) +
O184*IF(_xlfn.XLOOKUP(N184,'02效果表'!D:D,'02效果表'!E:E)&lt;0, _xlfn.XLOOKUP(N184,'02效果表'!D:D,'02效果表'!E:E), 0) +
Q184*IF(_xlfn.XLOOKUP(P184,'02效果表'!D:D,'02效果表'!E:E)&lt;0, _xlfn.XLOOKUP(P184,'02效果表'!D:D,'02效果表'!E:E), 0) +
S184*IF(_xlfn.XLOOKUP(R184,'02效果表'!D:D,'02效果表'!E:E)&lt;0, _xlfn.XLOOKUP(R184,'02效果表'!D:D,'02效果表'!E:E), 0) +
U184*IF(_xlfn.XLOOKUP(T184,'02效果表'!D:D,'02效果表'!E:E)&lt;0, _xlfn.XLOOKUP(T184,'02效果表'!D:D,'02效果表'!E:E), 0) +
W184*IF(_xlfn.XLOOKUP(V184,'02效果表'!D:D,'02效果表'!E:E)&lt;0, _xlfn.XLOOKUP(V184,'02效果表'!D:D,'02效果表'!E:E), 0) +
Y184*IF(_xlfn.XLOOKUP(X184,'02效果表'!D:D,'02效果表'!E:E)&lt;0, _xlfn.XLOOKUP(X184,'02效果表'!D:D,'02效果表'!E:E), 0) +
AA184*IF(_xlfn.XLOOKUP(Z184,'02效果表'!D:D,'02效果表'!E:E)&lt;0, _xlfn.XLOOKUP(Z184,'02效果表'!D:D,'02效果表'!E:E), 0) +
AC184*IF(_xlfn.XLOOKUP(AB184,'02效果表'!D:D,'02效果表'!E:E)&lt;0, _xlfn.XLOOKUP(AB184,'02效果表'!D:D,'02效果表'!E:E), 0) +
AE184*IF(_xlfn.XLOOKUP(AD184,'02效果表'!D:D,'02效果表'!E:E)&lt;0, _xlfn.XLOOKUP(AD184,'02效果表'!D:D,'02效果表'!E:E), 0)), 1)</f>
        <v>0</v>
      </c>
      <c r="G184" s="7">
        <f>ROUND(1/6*(I184*MAX(_xlfn.XLOOKUP(H184,'02效果表'!D:D,'02效果表'!E:E),0)+K184*MAX(_xlfn.XLOOKUP(J184,'02效果表'!D:D,'02效果表'!E:E),0)+M184*MAX(_xlfn.XLOOKUP(L184,'02效果表'!D:D,'02效果表'!E:E),0)+O184*MAX(_xlfn.XLOOKUP(N184,'02效果表'!D:D,'02效果表'!E:E),0)+Q184*MAX(_xlfn.XLOOKUP(P184,'02效果表'!D:D,'02效果表'!E:E),0)+S184*MAX(_xlfn.XLOOKUP(R184,'02效果表'!D:D,'02效果表'!E:E),0)+U184*MAX(_xlfn.XLOOKUP(T184,'02效果表'!D:D,'02效果表'!E:E),0)+W184*MAX(_xlfn.XLOOKUP(V184,'02效果表'!D:D,'02效果表'!E:E),0)+Y184*MAX(_xlfn.XLOOKUP(X184,'02效果表'!D:D,'02效果表'!E:E),0)+AA184*MAX(_xlfn.XLOOKUP(Z184,'02效果表'!D:D,'02效果表'!E:E),0)+AC184*MAX(_xlfn.XLOOKUP(AB184,'02效果表'!D:D,'02效果表'!E:E),0)+AE184*MAX(_xlfn.XLOOKUP(AD184,'02效果表'!D:D,'02效果表'!E:E),0)),1)</f>
        <v>0</v>
      </c>
      <c r="H184" s="6"/>
      <c r="I184" s="6"/>
      <c r="J184" s="6"/>
      <c r="K184" s="6"/>
      <c r="L184" s="6"/>
      <c r="M184" s="6"/>
      <c r="N184" s="6"/>
      <c r="O184" s="6"/>
      <c r="P184" s="6"/>
      <c r="Q184" s="6"/>
      <c r="R184" s="6"/>
      <c r="S184" s="6"/>
      <c r="T184" s="6"/>
      <c r="U184" s="6"/>
      <c r="V184" s="6"/>
      <c r="W184" s="6"/>
      <c r="X184" s="6"/>
      <c r="Y184" s="6"/>
      <c r="Z184" s="6"/>
      <c r="AA184" s="6"/>
      <c r="AB184" s="6"/>
      <c r="AC184" s="6"/>
      <c r="AD184" s="6"/>
      <c r="AE184" s="6"/>
    </row>
    <row r="185" spans="1:31" x14ac:dyDescent="0.35">
      <c r="A185" s="6">
        <v>185</v>
      </c>
      <c r="B185" s="6" t="s">
        <v>3</v>
      </c>
      <c r="C185" s="10" t="s">
        <v>17</v>
      </c>
      <c r="D185" s="9" t="s">
        <v>1405</v>
      </c>
      <c r="E185" s="7">
        <f t="shared" si="9"/>
        <v>0</v>
      </c>
      <c r="F185" s="7">
        <f>-1*ROUND(1/6*(I185*IF(_xlfn.XLOOKUP(H185,'02效果表'!D:D,'02效果表'!E:E)&lt;0, _xlfn.XLOOKUP(H185,'02效果表'!D:D,'02效果表'!E:E), 0) +
K185*IF(_xlfn.XLOOKUP(J185,'02效果表'!D:D,'02效果表'!E:E)&lt;0, _xlfn.XLOOKUP(J185,'02效果表'!D:D,'02效果表'!E:E), 0) +
M185*IF(_xlfn.XLOOKUP(L185,'02效果表'!D:D,'02效果表'!E:E)&lt;0, _xlfn.XLOOKUP(L185,'02效果表'!D:D,'02效果表'!E:E), 0) +
O185*IF(_xlfn.XLOOKUP(N185,'02效果表'!D:D,'02效果表'!E:E)&lt;0, _xlfn.XLOOKUP(N185,'02效果表'!D:D,'02效果表'!E:E), 0) +
Q185*IF(_xlfn.XLOOKUP(P185,'02效果表'!D:D,'02效果表'!E:E)&lt;0, _xlfn.XLOOKUP(P185,'02效果表'!D:D,'02效果表'!E:E), 0) +
S185*IF(_xlfn.XLOOKUP(R185,'02效果表'!D:D,'02效果表'!E:E)&lt;0, _xlfn.XLOOKUP(R185,'02效果表'!D:D,'02效果表'!E:E), 0) +
U185*IF(_xlfn.XLOOKUP(T185,'02效果表'!D:D,'02效果表'!E:E)&lt;0, _xlfn.XLOOKUP(T185,'02效果表'!D:D,'02效果表'!E:E), 0) +
W185*IF(_xlfn.XLOOKUP(V185,'02效果表'!D:D,'02效果表'!E:E)&lt;0, _xlfn.XLOOKUP(V185,'02效果表'!D:D,'02效果表'!E:E), 0) +
Y185*IF(_xlfn.XLOOKUP(X185,'02效果表'!D:D,'02效果表'!E:E)&lt;0, _xlfn.XLOOKUP(X185,'02效果表'!D:D,'02效果表'!E:E), 0) +
AA185*IF(_xlfn.XLOOKUP(Z185,'02效果表'!D:D,'02效果表'!E:E)&lt;0, _xlfn.XLOOKUP(Z185,'02效果表'!D:D,'02效果表'!E:E), 0) +
AC185*IF(_xlfn.XLOOKUP(AB185,'02效果表'!D:D,'02效果表'!E:E)&lt;0, _xlfn.XLOOKUP(AB185,'02效果表'!D:D,'02效果表'!E:E), 0) +
AE185*IF(_xlfn.XLOOKUP(AD185,'02效果表'!D:D,'02效果表'!E:E)&lt;0, _xlfn.XLOOKUP(AD185,'02效果表'!D:D,'02效果表'!E:E), 0)), 1)</f>
        <v>0</v>
      </c>
      <c r="G185" s="7">
        <f>ROUND(1/6*(I185*MAX(_xlfn.XLOOKUP(H185,'02效果表'!D:D,'02效果表'!E:E),0)+K185*MAX(_xlfn.XLOOKUP(J185,'02效果表'!D:D,'02效果表'!E:E),0)+M185*MAX(_xlfn.XLOOKUP(L185,'02效果表'!D:D,'02效果表'!E:E),0)+O185*MAX(_xlfn.XLOOKUP(N185,'02效果表'!D:D,'02效果表'!E:E),0)+Q185*MAX(_xlfn.XLOOKUP(P185,'02效果表'!D:D,'02效果表'!E:E),0)+S185*MAX(_xlfn.XLOOKUP(R185,'02效果表'!D:D,'02效果表'!E:E),0)+U185*MAX(_xlfn.XLOOKUP(T185,'02效果表'!D:D,'02效果表'!E:E),0)+W185*MAX(_xlfn.XLOOKUP(V185,'02效果表'!D:D,'02效果表'!E:E),0)+Y185*MAX(_xlfn.XLOOKUP(X185,'02效果表'!D:D,'02效果表'!E:E),0)+AA185*MAX(_xlfn.XLOOKUP(Z185,'02效果表'!D:D,'02效果表'!E:E),0)+AC185*MAX(_xlfn.XLOOKUP(AB185,'02效果表'!D:D,'02效果表'!E:E),0)+AE185*MAX(_xlfn.XLOOKUP(AD185,'02效果表'!D:D,'02效果表'!E:E),0)),1)</f>
        <v>0</v>
      </c>
      <c r="H185" s="6"/>
      <c r="I185" s="6"/>
      <c r="J185" s="6"/>
      <c r="K185" s="6"/>
      <c r="L185" s="6"/>
      <c r="M185" s="6"/>
      <c r="N185" s="6"/>
      <c r="O185" s="6"/>
      <c r="P185" s="6"/>
      <c r="Q185" s="6"/>
      <c r="R185" s="6"/>
      <c r="S185" s="6"/>
      <c r="T185" s="6"/>
      <c r="U185" s="6"/>
      <c r="V185" s="6"/>
      <c r="W185" s="6"/>
      <c r="X185" s="6"/>
      <c r="Y185" s="6"/>
      <c r="Z185" s="6"/>
      <c r="AA185" s="6"/>
      <c r="AB185" s="6"/>
      <c r="AC185" s="6"/>
      <c r="AD185" s="6"/>
      <c r="AE185" s="6"/>
    </row>
    <row r="186" spans="1:31" x14ac:dyDescent="0.35">
      <c r="A186" s="6">
        <v>186</v>
      </c>
      <c r="B186" s="6" t="s">
        <v>3</v>
      </c>
      <c r="C186" s="10" t="s">
        <v>17</v>
      </c>
      <c r="D186" s="9" t="s">
        <v>1406</v>
      </c>
      <c r="E186" s="7">
        <f t="shared" si="9"/>
        <v>0</v>
      </c>
      <c r="F186" s="7">
        <f>-1*ROUND(1/6*(I186*IF(_xlfn.XLOOKUP(H186,'02效果表'!D:D,'02效果表'!E:E)&lt;0, _xlfn.XLOOKUP(H186,'02效果表'!D:D,'02效果表'!E:E), 0) +
K186*IF(_xlfn.XLOOKUP(J186,'02效果表'!D:D,'02效果表'!E:E)&lt;0, _xlfn.XLOOKUP(J186,'02效果表'!D:D,'02效果表'!E:E), 0) +
M186*IF(_xlfn.XLOOKUP(L186,'02效果表'!D:D,'02效果表'!E:E)&lt;0, _xlfn.XLOOKUP(L186,'02效果表'!D:D,'02效果表'!E:E), 0) +
O186*IF(_xlfn.XLOOKUP(N186,'02效果表'!D:D,'02效果表'!E:E)&lt;0, _xlfn.XLOOKUP(N186,'02效果表'!D:D,'02效果表'!E:E), 0) +
Q186*IF(_xlfn.XLOOKUP(P186,'02效果表'!D:D,'02效果表'!E:E)&lt;0, _xlfn.XLOOKUP(P186,'02效果表'!D:D,'02效果表'!E:E), 0) +
S186*IF(_xlfn.XLOOKUP(R186,'02效果表'!D:D,'02效果表'!E:E)&lt;0, _xlfn.XLOOKUP(R186,'02效果表'!D:D,'02效果表'!E:E), 0) +
U186*IF(_xlfn.XLOOKUP(T186,'02效果表'!D:D,'02效果表'!E:E)&lt;0, _xlfn.XLOOKUP(T186,'02效果表'!D:D,'02效果表'!E:E), 0) +
W186*IF(_xlfn.XLOOKUP(V186,'02效果表'!D:D,'02效果表'!E:E)&lt;0, _xlfn.XLOOKUP(V186,'02效果表'!D:D,'02效果表'!E:E), 0) +
Y186*IF(_xlfn.XLOOKUP(X186,'02效果表'!D:D,'02效果表'!E:E)&lt;0, _xlfn.XLOOKUP(X186,'02效果表'!D:D,'02效果表'!E:E), 0) +
AA186*IF(_xlfn.XLOOKUP(Z186,'02效果表'!D:D,'02效果表'!E:E)&lt;0, _xlfn.XLOOKUP(Z186,'02效果表'!D:D,'02效果表'!E:E), 0) +
AC186*IF(_xlfn.XLOOKUP(AB186,'02效果表'!D:D,'02效果表'!E:E)&lt;0, _xlfn.XLOOKUP(AB186,'02效果表'!D:D,'02效果表'!E:E), 0) +
AE186*IF(_xlfn.XLOOKUP(AD186,'02效果表'!D:D,'02效果表'!E:E)&lt;0, _xlfn.XLOOKUP(AD186,'02效果表'!D:D,'02效果表'!E:E), 0)), 1)</f>
        <v>0</v>
      </c>
      <c r="G186" s="7">
        <f>ROUND(1/6*(I186*MAX(_xlfn.XLOOKUP(H186,'02效果表'!D:D,'02效果表'!E:E),0)+K186*MAX(_xlfn.XLOOKUP(J186,'02效果表'!D:D,'02效果表'!E:E),0)+M186*MAX(_xlfn.XLOOKUP(L186,'02效果表'!D:D,'02效果表'!E:E),0)+O186*MAX(_xlfn.XLOOKUP(N186,'02效果表'!D:D,'02效果表'!E:E),0)+Q186*MAX(_xlfn.XLOOKUP(P186,'02效果表'!D:D,'02效果表'!E:E),0)+S186*MAX(_xlfn.XLOOKUP(R186,'02效果表'!D:D,'02效果表'!E:E),0)+U186*MAX(_xlfn.XLOOKUP(T186,'02效果表'!D:D,'02效果表'!E:E),0)+W186*MAX(_xlfn.XLOOKUP(V186,'02效果表'!D:D,'02效果表'!E:E),0)+Y186*MAX(_xlfn.XLOOKUP(X186,'02效果表'!D:D,'02效果表'!E:E),0)+AA186*MAX(_xlfn.XLOOKUP(Z186,'02效果表'!D:D,'02效果表'!E:E),0)+AC186*MAX(_xlfn.XLOOKUP(AB186,'02效果表'!D:D,'02效果表'!E:E),0)+AE186*MAX(_xlfn.XLOOKUP(AD186,'02效果表'!D:D,'02效果表'!E:E),0)),1)</f>
        <v>0</v>
      </c>
      <c r="H186" s="6"/>
      <c r="I186" s="6"/>
      <c r="J186" s="6"/>
      <c r="K186" s="6"/>
      <c r="L186" s="6"/>
      <c r="M186" s="6"/>
      <c r="N186" s="6"/>
      <c r="O186" s="6"/>
      <c r="P186" s="6"/>
      <c r="Q186" s="6"/>
      <c r="R186" s="6"/>
      <c r="S186" s="6"/>
      <c r="T186" s="6"/>
      <c r="U186" s="6"/>
      <c r="V186" s="6"/>
      <c r="W186" s="6"/>
      <c r="X186" s="6"/>
      <c r="Y186" s="6"/>
      <c r="Z186" s="6"/>
      <c r="AA186" s="6"/>
      <c r="AB186" s="6"/>
      <c r="AC186" s="6"/>
      <c r="AD186" s="6"/>
      <c r="AE186" s="6"/>
    </row>
    <row r="187" spans="1:31" x14ac:dyDescent="0.35">
      <c r="A187" s="6">
        <v>187</v>
      </c>
      <c r="B187" s="6" t="s">
        <v>3</v>
      </c>
      <c r="C187" s="10" t="s">
        <v>17</v>
      </c>
      <c r="D187" s="9"/>
      <c r="E187" s="7">
        <f t="shared" si="9"/>
        <v>0</v>
      </c>
      <c r="F187" s="7">
        <f>-1*ROUND(1/6*(I187*IF(_xlfn.XLOOKUP(H187,'02效果表'!D:D,'02效果表'!E:E)&lt;0, _xlfn.XLOOKUP(H187,'02效果表'!D:D,'02效果表'!E:E), 0) +
K187*IF(_xlfn.XLOOKUP(J187,'02效果表'!D:D,'02效果表'!E:E)&lt;0, _xlfn.XLOOKUP(J187,'02效果表'!D:D,'02效果表'!E:E), 0) +
M187*IF(_xlfn.XLOOKUP(L187,'02效果表'!D:D,'02效果表'!E:E)&lt;0, _xlfn.XLOOKUP(L187,'02效果表'!D:D,'02效果表'!E:E), 0) +
O187*IF(_xlfn.XLOOKUP(N187,'02效果表'!D:D,'02效果表'!E:E)&lt;0, _xlfn.XLOOKUP(N187,'02效果表'!D:D,'02效果表'!E:E), 0) +
Q187*IF(_xlfn.XLOOKUP(P187,'02效果表'!D:D,'02效果表'!E:E)&lt;0, _xlfn.XLOOKUP(P187,'02效果表'!D:D,'02效果表'!E:E), 0) +
S187*IF(_xlfn.XLOOKUP(R187,'02效果表'!D:D,'02效果表'!E:E)&lt;0, _xlfn.XLOOKUP(R187,'02效果表'!D:D,'02效果表'!E:E), 0) +
U187*IF(_xlfn.XLOOKUP(T187,'02效果表'!D:D,'02效果表'!E:E)&lt;0, _xlfn.XLOOKUP(T187,'02效果表'!D:D,'02效果表'!E:E), 0) +
W187*IF(_xlfn.XLOOKUP(V187,'02效果表'!D:D,'02效果表'!E:E)&lt;0, _xlfn.XLOOKUP(V187,'02效果表'!D:D,'02效果表'!E:E), 0) +
Y187*IF(_xlfn.XLOOKUP(X187,'02效果表'!D:D,'02效果表'!E:E)&lt;0, _xlfn.XLOOKUP(X187,'02效果表'!D:D,'02效果表'!E:E), 0) +
AA187*IF(_xlfn.XLOOKUP(Z187,'02效果表'!D:D,'02效果表'!E:E)&lt;0, _xlfn.XLOOKUP(Z187,'02效果表'!D:D,'02效果表'!E:E), 0) +
AC187*IF(_xlfn.XLOOKUP(AB187,'02效果表'!D:D,'02效果表'!E:E)&lt;0, _xlfn.XLOOKUP(AB187,'02效果表'!D:D,'02效果表'!E:E), 0) +
AE187*IF(_xlfn.XLOOKUP(AD187,'02效果表'!D:D,'02效果表'!E:E)&lt;0, _xlfn.XLOOKUP(AD187,'02效果表'!D:D,'02效果表'!E:E), 0)), 1)</f>
        <v>0</v>
      </c>
      <c r="G187" s="7">
        <f>ROUND(1/6*(I187*MAX(_xlfn.XLOOKUP(H187,'02效果表'!D:D,'02效果表'!E:E),0)+K187*MAX(_xlfn.XLOOKUP(J187,'02效果表'!D:D,'02效果表'!E:E),0)+M187*MAX(_xlfn.XLOOKUP(L187,'02效果表'!D:D,'02效果表'!E:E),0)+O187*MAX(_xlfn.XLOOKUP(N187,'02效果表'!D:D,'02效果表'!E:E),0)+Q187*MAX(_xlfn.XLOOKUP(P187,'02效果表'!D:D,'02效果表'!E:E),0)+S187*MAX(_xlfn.XLOOKUP(R187,'02效果表'!D:D,'02效果表'!E:E),0)+U187*MAX(_xlfn.XLOOKUP(T187,'02效果表'!D:D,'02效果表'!E:E),0)+W187*MAX(_xlfn.XLOOKUP(V187,'02效果表'!D:D,'02效果表'!E:E),0)+Y187*MAX(_xlfn.XLOOKUP(X187,'02效果表'!D:D,'02效果表'!E:E),0)+AA187*MAX(_xlfn.XLOOKUP(Z187,'02效果表'!D:D,'02效果表'!E:E),0)+AC187*MAX(_xlfn.XLOOKUP(AB187,'02效果表'!D:D,'02效果表'!E:E),0)+AE187*MAX(_xlfn.XLOOKUP(AD187,'02效果表'!D:D,'02效果表'!E:E),0)),1)</f>
        <v>0</v>
      </c>
      <c r="H187" s="6"/>
      <c r="I187" s="6"/>
      <c r="J187" s="6"/>
      <c r="K187" s="6"/>
      <c r="L187" s="6"/>
      <c r="M187" s="6"/>
      <c r="N187" s="6"/>
      <c r="O187" s="6"/>
      <c r="P187" s="6"/>
      <c r="Q187" s="6"/>
      <c r="R187" s="6"/>
      <c r="S187" s="6"/>
      <c r="T187" s="6"/>
      <c r="U187" s="6"/>
      <c r="V187" s="6"/>
      <c r="W187" s="6"/>
      <c r="X187" s="6"/>
      <c r="Y187" s="6"/>
      <c r="Z187" s="6"/>
      <c r="AA187" s="6"/>
      <c r="AB187" s="6"/>
      <c r="AC187" s="6"/>
      <c r="AD187" s="6"/>
      <c r="AE187" s="6"/>
    </row>
    <row r="188" spans="1:31" x14ac:dyDescent="0.35">
      <c r="A188" s="6">
        <v>188</v>
      </c>
      <c r="B188" s="6" t="s">
        <v>3</v>
      </c>
      <c r="C188" s="10" t="s">
        <v>17</v>
      </c>
      <c r="D188" s="9"/>
      <c r="E188" s="7">
        <f t="shared" si="9"/>
        <v>0</v>
      </c>
      <c r="F188" s="7">
        <f>-1*ROUND(1/6*(I188*IF(_xlfn.XLOOKUP(H188,'02效果表'!D:D,'02效果表'!E:E)&lt;0, _xlfn.XLOOKUP(H188,'02效果表'!D:D,'02效果表'!E:E), 0) +
K188*IF(_xlfn.XLOOKUP(J188,'02效果表'!D:D,'02效果表'!E:E)&lt;0, _xlfn.XLOOKUP(J188,'02效果表'!D:D,'02效果表'!E:E), 0) +
M188*IF(_xlfn.XLOOKUP(L188,'02效果表'!D:D,'02效果表'!E:E)&lt;0, _xlfn.XLOOKUP(L188,'02效果表'!D:D,'02效果表'!E:E), 0) +
O188*IF(_xlfn.XLOOKUP(N188,'02效果表'!D:D,'02效果表'!E:E)&lt;0, _xlfn.XLOOKUP(N188,'02效果表'!D:D,'02效果表'!E:E), 0) +
Q188*IF(_xlfn.XLOOKUP(P188,'02效果表'!D:D,'02效果表'!E:E)&lt;0, _xlfn.XLOOKUP(P188,'02效果表'!D:D,'02效果表'!E:E), 0) +
S188*IF(_xlfn.XLOOKUP(R188,'02效果表'!D:D,'02效果表'!E:E)&lt;0, _xlfn.XLOOKUP(R188,'02效果表'!D:D,'02效果表'!E:E), 0) +
U188*IF(_xlfn.XLOOKUP(T188,'02效果表'!D:D,'02效果表'!E:E)&lt;0, _xlfn.XLOOKUP(T188,'02效果表'!D:D,'02效果表'!E:E), 0) +
W188*IF(_xlfn.XLOOKUP(V188,'02效果表'!D:D,'02效果表'!E:E)&lt;0, _xlfn.XLOOKUP(V188,'02效果表'!D:D,'02效果表'!E:E), 0) +
Y188*IF(_xlfn.XLOOKUP(X188,'02效果表'!D:D,'02效果表'!E:E)&lt;0, _xlfn.XLOOKUP(X188,'02效果表'!D:D,'02效果表'!E:E), 0) +
AA188*IF(_xlfn.XLOOKUP(Z188,'02效果表'!D:D,'02效果表'!E:E)&lt;0, _xlfn.XLOOKUP(Z188,'02效果表'!D:D,'02效果表'!E:E), 0) +
AC188*IF(_xlfn.XLOOKUP(AB188,'02效果表'!D:D,'02效果表'!E:E)&lt;0, _xlfn.XLOOKUP(AB188,'02效果表'!D:D,'02效果表'!E:E), 0) +
AE188*IF(_xlfn.XLOOKUP(AD188,'02效果表'!D:D,'02效果表'!E:E)&lt;0, _xlfn.XLOOKUP(AD188,'02效果表'!D:D,'02效果表'!E:E), 0)), 1)</f>
        <v>0</v>
      </c>
      <c r="G188" s="7">
        <f>ROUND(1/6*(I188*MAX(_xlfn.XLOOKUP(H188,'02效果表'!D:D,'02效果表'!E:E),0)+K188*MAX(_xlfn.XLOOKUP(J188,'02效果表'!D:D,'02效果表'!E:E),0)+M188*MAX(_xlfn.XLOOKUP(L188,'02效果表'!D:D,'02效果表'!E:E),0)+O188*MAX(_xlfn.XLOOKUP(N188,'02效果表'!D:D,'02效果表'!E:E),0)+Q188*MAX(_xlfn.XLOOKUP(P188,'02效果表'!D:D,'02效果表'!E:E),0)+S188*MAX(_xlfn.XLOOKUP(R188,'02效果表'!D:D,'02效果表'!E:E),0)+U188*MAX(_xlfn.XLOOKUP(T188,'02效果表'!D:D,'02效果表'!E:E),0)+W188*MAX(_xlfn.XLOOKUP(V188,'02效果表'!D:D,'02效果表'!E:E),0)+Y188*MAX(_xlfn.XLOOKUP(X188,'02效果表'!D:D,'02效果表'!E:E),0)+AA188*MAX(_xlfn.XLOOKUP(Z188,'02效果表'!D:D,'02效果表'!E:E),0)+AC188*MAX(_xlfn.XLOOKUP(AB188,'02效果表'!D:D,'02效果表'!E:E),0)+AE188*MAX(_xlfn.XLOOKUP(AD188,'02效果表'!D:D,'02效果表'!E:E),0)),1)</f>
        <v>0</v>
      </c>
      <c r="H188" s="6"/>
      <c r="I188" s="6"/>
      <c r="J188" s="6"/>
      <c r="K188" s="6"/>
      <c r="L188" s="6"/>
      <c r="M188" s="6"/>
      <c r="N188" s="6"/>
      <c r="O188" s="6"/>
      <c r="P188" s="6"/>
      <c r="Q188" s="6"/>
      <c r="R188" s="6"/>
      <c r="S188" s="6"/>
      <c r="T188" s="6"/>
      <c r="U188" s="6"/>
      <c r="V188" s="6"/>
      <c r="W188" s="6"/>
      <c r="X188" s="6"/>
      <c r="Y188" s="6"/>
      <c r="Z188" s="6"/>
      <c r="AA188" s="6"/>
      <c r="AB188" s="6"/>
      <c r="AC188" s="6"/>
      <c r="AD188" s="6"/>
      <c r="AE188" s="6"/>
    </row>
    <row r="189" spans="1:31" x14ac:dyDescent="0.35">
      <c r="A189" s="6">
        <v>189</v>
      </c>
      <c r="B189" s="6" t="s">
        <v>4</v>
      </c>
      <c r="C189" s="10" t="s">
        <v>18</v>
      </c>
      <c r="D189" s="9" t="s">
        <v>1407</v>
      </c>
      <c r="E189" s="7">
        <f t="shared" si="9"/>
        <v>0</v>
      </c>
      <c r="F189" s="7">
        <f>-1*ROUND(1/6*(I189*IF(_xlfn.XLOOKUP(H189,'02效果表'!D:D,'02效果表'!E:E)&lt;0, _xlfn.XLOOKUP(H189,'02效果表'!D:D,'02效果表'!E:E), 0) +
K189*IF(_xlfn.XLOOKUP(J189,'02效果表'!D:D,'02效果表'!E:E)&lt;0, _xlfn.XLOOKUP(J189,'02效果表'!D:D,'02效果表'!E:E), 0) +
M189*IF(_xlfn.XLOOKUP(L189,'02效果表'!D:D,'02效果表'!E:E)&lt;0, _xlfn.XLOOKUP(L189,'02效果表'!D:D,'02效果表'!E:E), 0) +
O189*IF(_xlfn.XLOOKUP(N189,'02效果表'!D:D,'02效果表'!E:E)&lt;0, _xlfn.XLOOKUP(N189,'02效果表'!D:D,'02效果表'!E:E), 0) +
Q189*IF(_xlfn.XLOOKUP(P189,'02效果表'!D:D,'02效果表'!E:E)&lt;0, _xlfn.XLOOKUP(P189,'02效果表'!D:D,'02效果表'!E:E), 0) +
S189*IF(_xlfn.XLOOKUP(R189,'02效果表'!D:D,'02效果表'!E:E)&lt;0, _xlfn.XLOOKUP(R189,'02效果表'!D:D,'02效果表'!E:E), 0) +
U189*IF(_xlfn.XLOOKUP(T189,'02效果表'!D:D,'02效果表'!E:E)&lt;0, _xlfn.XLOOKUP(T189,'02效果表'!D:D,'02效果表'!E:E), 0) +
W189*IF(_xlfn.XLOOKUP(V189,'02效果表'!D:D,'02效果表'!E:E)&lt;0, _xlfn.XLOOKUP(V189,'02效果表'!D:D,'02效果表'!E:E), 0) +
Y189*IF(_xlfn.XLOOKUP(X189,'02效果表'!D:D,'02效果表'!E:E)&lt;0, _xlfn.XLOOKUP(X189,'02效果表'!D:D,'02效果表'!E:E), 0) +
AA189*IF(_xlfn.XLOOKUP(Z189,'02效果表'!D:D,'02效果表'!E:E)&lt;0, _xlfn.XLOOKUP(Z189,'02效果表'!D:D,'02效果表'!E:E), 0) +
AC189*IF(_xlfn.XLOOKUP(AB189,'02效果表'!D:D,'02效果表'!E:E)&lt;0, _xlfn.XLOOKUP(AB189,'02效果表'!D:D,'02效果表'!E:E), 0) +
AE189*IF(_xlfn.XLOOKUP(AD189,'02效果表'!D:D,'02效果表'!E:E)&lt;0, _xlfn.XLOOKUP(AD189,'02效果表'!D:D,'02效果表'!E:E), 0)), 1)</f>
        <v>0</v>
      </c>
      <c r="G189" s="7">
        <f>ROUND(1/6*(I189*MAX(_xlfn.XLOOKUP(H189,'02效果表'!D:D,'02效果表'!E:E),0)+K189*MAX(_xlfn.XLOOKUP(J189,'02效果表'!D:D,'02效果表'!E:E),0)+M189*MAX(_xlfn.XLOOKUP(L189,'02效果表'!D:D,'02效果表'!E:E),0)+O189*MAX(_xlfn.XLOOKUP(N189,'02效果表'!D:D,'02效果表'!E:E),0)+Q189*MAX(_xlfn.XLOOKUP(P189,'02效果表'!D:D,'02效果表'!E:E),0)+S189*MAX(_xlfn.XLOOKUP(R189,'02效果表'!D:D,'02效果表'!E:E),0)+U189*MAX(_xlfn.XLOOKUP(T189,'02效果表'!D:D,'02效果表'!E:E),0)+W189*MAX(_xlfn.XLOOKUP(V189,'02效果表'!D:D,'02效果表'!E:E),0)+Y189*MAX(_xlfn.XLOOKUP(X189,'02效果表'!D:D,'02效果表'!E:E),0)+AA189*MAX(_xlfn.XLOOKUP(Z189,'02效果表'!D:D,'02效果表'!E:E),0)+AC189*MAX(_xlfn.XLOOKUP(AB189,'02效果表'!D:D,'02效果表'!E:E),0)+AE189*MAX(_xlfn.XLOOKUP(AD189,'02效果表'!D:D,'02效果表'!E:E),0)),1)</f>
        <v>0</v>
      </c>
      <c r="H189" s="6"/>
      <c r="I189" s="6"/>
      <c r="J189" s="6"/>
      <c r="K189" s="6"/>
      <c r="L189" s="6"/>
      <c r="M189" s="6"/>
      <c r="N189" s="6"/>
      <c r="O189" s="6"/>
      <c r="P189" s="6"/>
      <c r="Q189" s="6"/>
      <c r="R189" s="6"/>
      <c r="S189" s="6"/>
      <c r="T189" s="6"/>
      <c r="U189" s="6"/>
      <c r="V189" s="6"/>
      <c r="W189" s="6"/>
      <c r="X189" s="6"/>
      <c r="Y189" s="6"/>
      <c r="Z189" s="6"/>
      <c r="AA189" s="6"/>
      <c r="AB189" s="6"/>
      <c r="AC189" s="6"/>
      <c r="AD189" s="6"/>
      <c r="AE189" s="6"/>
    </row>
    <row r="190" spans="1:31" x14ac:dyDescent="0.35">
      <c r="A190" s="6">
        <v>190</v>
      </c>
      <c r="B190" s="6" t="s">
        <v>4</v>
      </c>
      <c r="C190" s="10" t="s">
        <v>18</v>
      </c>
      <c r="D190" s="9" t="s">
        <v>1313</v>
      </c>
      <c r="E190" s="7">
        <f t="shared" si="9"/>
        <v>0</v>
      </c>
      <c r="F190" s="7">
        <f>-1*ROUND(1/6*(I190*IF(_xlfn.XLOOKUP(H190,'02效果表'!D:D,'02效果表'!E:E)&lt;0, _xlfn.XLOOKUP(H190,'02效果表'!D:D,'02效果表'!E:E), 0) +
K190*IF(_xlfn.XLOOKUP(J190,'02效果表'!D:D,'02效果表'!E:E)&lt;0, _xlfn.XLOOKUP(J190,'02效果表'!D:D,'02效果表'!E:E), 0) +
M190*IF(_xlfn.XLOOKUP(L190,'02效果表'!D:D,'02效果表'!E:E)&lt;0, _xlfn.XLOOKUP(L190,'02效果表'!D:D,'02效果表'!E:E), 0) +
O190*IF(_xlfn.XLOOKUP(N190,'02效果表'!D:D,'02效果表'!E:E)&lt;0, _xlfn.XLOOKUP(N190,'02效果表'!D:D,'02效果表'!E:E), 0) +
Q190*IF(_xlfn.XLOOKUP(P190,'02效果表'!D:D,'02效果表'!E:E)&lt;0, _xlfn.XLOOKUP(P190,'02效果表'!D:D,'02效果表'!E:E), 0) +
S190*IF(_xlfn.XLOOKUP(R190,'02效果表'!D:D,'02效果表'!E:E)&lt;0, _xlfn.XLOOKUP(R190,'02效果表'!D:D,'02效果表'!E:E), 0) +
U190*IF(_xlfn.XLOOKUP(T190,'02效果表'!D:D,'02效果表'!E:E)&lt;0, _xlfn.XLOOKUP(T190,'02效果表'!D:D,'02效果表'!E:E), 0) +
W190*IF(_xlfn.XLOOKUP(V190,'02效果表'!D:D,'02效果表'!E:E)&lt;0, _xlfn.XLOOKUP(V190,'02效果表'!D:D,'02效果表'!E:E), 0) +
Y190*IF(_xlfn.XLOOKUP(X190,'02效果表'!D:D,'02效果表'!E:E)&lt;0, _xlfn.XLOOKUP(X190,'02效果表'!D:D,'02效果表'!E:E), 0) +
AA190*IF(_xlfn.XLOOKUP(Z190,'02效果表'!D:D,'02效果表'!E:E)&lt;0, _xlfn.XLOOKUP(Z190,'02效果表'!D:D,'02效果表'!E:E), 0) +
AC190*IF(_xlfn.XLOOKUP(AB190,'02效果表'!D:D,'02效果表'!E:E)&lt;0, _xlfn.XLOOKUP(AB190,'02效果表'!D:D,'02效果表'!E:E), 0) +
AE190*IF(_xlfn.XLOOKUP(AD190,'02效果表'!D:D,'02效果表'!E:E)&lt;0, _xlfn.XLOOKUP(AD190,'02效果表'!D:D,'02效果表'!E:E), 0)), 1)</f>
        <v>0</v>
      </c>
      <c r="G190" s="7">
        <f>ROUND(1/6*(I190*MAX(_xlfn.XLOOKUP(H190,'02效果表'!D:D,'02效果表'!E:E),0)+K190*MAX(_xlfn.XLOOKUP(J190,'02效果表'!D:D,'02效果表'!E:E),0)+M190*MAX(_xlfn.XLOOKUP(L190,'02效果表'!D:D,'02效果表'!E:E),0)+O190*MAX(_xlfn.XLOOKUP(N190,'02效果表'!D:D,'02效果表'!E:E),0)+Q190*MAX(_xlfn.XLOOKUP(P190,'02效果表'!D:D,'02效果表'!E:E),0)+S190*MAX(_xlfn.XLOOKUP(R190,'02效果表'!D:D,'02效果表'!E:E),0)+U190*MAX(_xlfn.XLOOKUP(T190,'02效果表'!D:D,'02效果表'!E:E),0)+W190*MAX(_xlfn.XLOOKUP(V190,'02效果表'!D:D,'02效果表'!E:E),0)+Y190*MAX(_xlfn.XLOOKUP(X190,'02效果表'!D:D,'02效果表'!E:E),0)+AA190*MAX(_xlfn.XLOOKUP(Z190,'02效果表'!D:D,'02效果表'!E:E),0)+AC190*MAX(_xlfn.XLOOKUP(AB190,'02效果表'!D:D,'02效果表'!E:E),0)+AE190*MAX(_xlfn.XLOOKUP(AD190,'02效果表'!D:D,'02效果表'!E:E),0)),1)</f>
        <v>0</v>
      </c>
      <c r="H190" s="6"/>
      <c r="I190" s="6"/>
      <c r="J190" s="6"/>
      <c r="K190" s="6"/>
      <c r="L190" s="6"/>
      <c r="M190" s="6"/>
      <c r="N190" s="6"/>
      <c r="O190" s="6"/>
      <c r="P190" s="6"/>
      <c r="Q190" s="6"/>
      <c r="R190" s="6"/>
      <c r="S190" s="6"/>
      <c r="T190" s="6"/>
      <c r="U190" s="6"/>
      <c r="V190" s="6"/>
      <c r="W190" s="6"/>
      <c r="X190" s="6"/>
      <c r="Y190" s="6"/>
      <c r="Z190" s="6"/>
      <c r="AA190" s="6"/>
      <c r="AB190" s="6"/>
      <c r="AC190" s="6"/>
      <c r="AD190" s="6"/>
      <c r="AE190" s="6"/>
    </row>
    <row r="191" spans="1:31" x14ac:dyDescent="0.35">
      <c r="A191" s="6">
        <v>191</v>
      </c>
      <c r="B191" s="6" t="s">
        <v>4</v>
      </c>
      <c r="C191" s="10" t="s">
        <v>18</v>
      </c>
      <c r="D191" s="9" t="s">
        <v>1314</v>
      </c>
      <c r="E191" s="7">
        <f t="shared" si="9"/>
        <v>0</v>
      </c>
      <c r="F191" s="7">
        <f>-1*ROUND(1/6*(I191*IF(_xlfn.XLOOKUP(H191,'02效果表'!D:D,'02效果表'!E:E)&lt;0, _xlfn.XLOOKUP(H191,'02效果表'!D:D,'02效果表'!E:E), 0) +
K191*IF(_xlfn.XLOOKUP(J191,'02效果表'!D:D,'02效果表'!E:E)&lt;0, _xlfn.XLOOKUP(J191,'02效果表'!D:D,'02效果表'!E:E), 0) +
M191*IF(_xlfn.XLOOKUP(L191,'02效果表'!D:D,'02效果表'!E:E)&lt;0, _xlfn.XLOOKUP(L191,'02效果表'!D:D,'02效果表'!E:E), 0) +
O191*IF(_xlfn.XLOOKUP(N191,'02效果表'!D:D,'02效果表'!E:E)&lt;0, _xlfn.XLOOKUP(N191,'02效果表'!D:D,'02效果表'!E:E), 0) +
Q191*IF(_xlfn.XLOOKUP(P191,'02效果表'!D:D,'02效果表'!E:E)&lt;0, _xlfn.XLOOKUP(P191,'02效果表'!D:D,'02效果表'!E:E), 0) +
S191*IF(_xlfn.XLOOKUP(R191,'02效果表'!D:D,'02效果表'!E:E)&lt;0, _xlfn.XLOOKUP(R191,'02效果表'!D:D,'02效果表'!E:E), 0) +
U191*IF(_xlfn.XLOOKUP(T191,'02效果表'!D:D,'02效果表'!E:E)&lt;0, _xlfn.XLOOKUP(T191,'02效果表'!D:D,'02效果表'!E:E), 0) +
W191*IF(_xlfn.XLOOKUP(V191,'02效果表'!D:D,'02效果表'!E:E)&lt;0, _xlfn.XLOOKUP(V191,'02效果表'!D:D,'02效果表'!E:E), 0) +
Y191*IF(_xlfn.XLOOKUP(X191,'02效果表'!D:D,'02效果表'!E:E)&lt;0, _xlfn.XLOOKUP(X191,'02效果表'!D:D,'02效果表'!E:E), 0) +
AA191*IF(_xlfn.XLOOKUP(Z191,'02效果表'!D:D,'02效果表'!E:E)&lt;0, _xlfn.XLOOKUP(Z191,'02效果表'!D:D,'02效果表'!E:E), 0) +
AC191*IF(_xlfn.XLOOKUP(AB191,'02效果表'!D:D,'02效果表'!E:E)&lt;0, _xlfn.XLOOKUP(AB191,'02效果表'!D:D,'02效果表'!E:E), 0) +
AE191*IF(_xlfn.XLOOKUP(AD191,'02效果表'!D:D,'02效果表'!E:E)&lt;0, _xlfn.XLOOKUP(AD191,'02效果表'!D:D,'02效果表'!E:E), 0)), 1)</f>
        <v>0</v>
      </c>
      <c r="G191" s="7">
        <f>ROUND(1/6*(I191*MAX(_xlfn.XLOOKUP(H191,'02效果表'!D:D,'02效果表'!E:E),0)+K191*MAX(_xlfn.XLOOKUP(J191,'02效果表'!D:D,'02效果表'!E:E),0)+M191*MAX(_xlfn.XLOOKUP(L191,'02效果表'!D:D,'02效果表'!E:E),0)+O191*MAX(_xlfn.XLOOKUP(N191,'02效果表'!D:D,'02效果表'!E:E),0)+Q191*MAX(_xlfn.XLOOKUP(P191,'02效果表'!D:D,'02效果表'!E:E),0)+S191*MAX(_xlfn.XLOOKUP(R191,'02效果表'!D:D,'02效果表'!E:E),0)+U191*MAX(_xlfn.XLOOKUP(T191,'02效果表'!D:D,'02效果表'!E:E),0)+W191*MAX(_xlfn.XLOOKUP(V191,'02效果表'!D:D,'02效果表'!E:E),0)+Y191*MAX(_xlfn.XLOOKUP(X191,'02效果表'!D:D,'02效果表'!E:E),0)+AA191*MAX(_xlfn.XLOOKUP(Z191,'02效果表'!D:D,'02效果表'!E:E),0)+AC191*MAX(_xlfn.XLOOKUP(AB191,'02效果表'!D:D,'02效果表'!E:E),0)+AE191*MAX(_xlfn.XLOOKUP(AD191,'02效果表'!D:D,'02效果表'!E:E),0)),1)</f>
        <v>0</v>
      </c>
      <c r="H191" s="6"/>
      <c r="I191" s="6"/>
      <c r="J191" s="6"/>
      <c r="K191" s="6"/>
      <c r="L191" s="6"/>
      <c r="M191" s="6"/>
      <c r="N191" s="6"/>
      <c r="O191" s="6"/>
      <c r="P191" s="6"/>
      <c r="Q191" s="6"/>
      <c r="R191" s="6"/>
      <c r="S191" s="6"/>
      <c r="T191" s="6"/>
      <c r="U191" s="6"/>
      <c r="V191" s="6"/>
      <c r="W191" s="6"/>
      <c r="X191" s="6"/>
      <c r="Y191" s="6"/>
      <c r="Z191" s="6"/>
      <c r="AA191" s="6"/>
      <c r="AB191" s="6"/>
      <c r="AC191" s="6"/>
      <c r="AD191" s="6"/>
      <c r="AE191" s="6"/>
    </row>
    <row r="192" spans="1:31" x14ac:dyDescent="0.35">
      <c r="A192" s="6">
        <v>192</v>
      </c>
      <c r="B192" s="6" t="s">
        <v>4</v>
      </c>
      <c r="C192" s="10" t="s">
        <v>18</v>
      </c>
      <c r="D192" s="9" t="s">
        <v>1408</v>
      </c>
      <c r="E192" s="7">
        <f t="shared" si="9"/>
        <v>0</v>
      </c>
      <c r="F192" s="7">
        <f>-1*ROUND(1/6*(I192*IF(_xlfn.XLOOKUP(H192,'02效果表'!D:D,'02效果表'!E:E)&lt;0, _xlfn.XLOOKUP(H192,'02效果表'!D:D,'02效果表'!E:E), 0) +
K192*IF(_xlfn.XLOOKUP(J192,'02效果表'!D:D,'02效果表'!E:E)&lt;0, _xlfn.XLOOKUP(J192,'02效果表'!D:D,'02效果表'!E:E), 0) +
M192*IF(_xlfn.XLOOKUP(L192,'02效果表'!D:D,'02效果表'!E:E)&lt;0, _xlfn.XLOOKUP(L192,'02效果表'!D:D,'02效果表'!E:E), 0) +
O192*IF(_xlfn.XLOOKUP(N192,'02效果表'!D:D,'02效果表'!E:E)&lt;0, _xlfn.XLOOKUP(N192,'02效果表'!D:D,'02效果表'!E:E), 0) +
Q192*IF(_xlfn.XLOOKUP(P192,'02效果表'!D:D,'02效果表'!E:E)&lt;0, _xlfn.XLOOKUP(P192,'02效果表'!D:D,'02效果表'!E:E), 0) +
S192*IF(_xlfn.XLOOKUP(R192,'02效果表'!D:D,'02效果表'!E:E)&lt;0, _xlfn.XLOOKUP(R192,'02效果表'!D:D,'02效果表'!E:E), 0) +
U192*IF(_xlfn.XLOOKUP(T192,'02效果表'!D:D,'02效果表'!E:E)&lt;0, _xlfn.XLOOKUP(T192,'02效果表'!D:D,'02效果表'!E:E), 0) +
W192*IF(_xlfn.XLOOKUP(V192,'02效果表'!D:D,'02效果表'!E:E)&lt;0, _xlfn.XLOOKUP(V192,'02效果表'!D:D,'02效果表'!E:E), 0) +
Y192*IF(_xlfn.XLOOKUP(X192,'02效果表'!D:D,'02效果表'!E:E)&lt;0, _xlfn.XLOOKUP(X192,'02效果表'!D:D,'02效果表'!E:E), 0) +
AA192*IF(_xlfn.XLOOKUP(Z192,'02效果表'!D:D,'02效果表'!E:E)&lt;0, _xlfn.XLOOKUP(Z192,'02效果表'!D:D,'02效果表'!E:E), 0) +
AC192*IF(_xlfn.XLOOKUP(AB192,'02效果表'!D:D,'02效果表'!E:E)&lt;0, _xlfn.XLOOKUP(AB192,'02效果表'!D:D,'02效果表'!E:E), 0) +
AE192*IF(_xlfn.XLOOKUP(AD192,'02效果表'!D:D,'02效果表'!E:E)&lt;0, _xlfn.XLOOKUP(AD192,'02效果表'!D:D,'02效果表'!E:E), 0)), 1)</f>
        <v>0</v>
      </c>
      <c r="G192" s="7">
        <f>ROUND(1/6*(I192*MAX(_xlfn.XLOOKUP(H192,'02效果表'!D:D,'02效果表'!E:E),0)+K192*MAX(_xlfn.XLOOKUP(J192,'02效果表'!D:D,'02效果表'!E:E),0)+M192*MAX(_xlfn.XLOOKUP(L192,'02效果表'!D:D,'02效果表'!E:E),0)+O192*MAX(_xlfn.XLOOKUP(N192,'02效果表'!D:D,'02效果表'!E:E),0)+Q192*MAX(_xlfn.XLOOKUP(P192,'02效果表'!D:D,'02效果表'!E:E),0)+S192*MAX(_xlfn.XLOOKUP(R192,'02效果表'!D:D,'02效果表'!E:E),0)+U192*MAX(_xlfn.XLOOKUP(T192,'02效果表'!D:D,'02效果表'!E:E),0)+W192*MAX(_xlfn.XLOOKUP(V192,'02效果表'!D:D,'02效果表'!E:E),0)+Y192*MAX(_xlfn.XLOOKUP(X192,'02效果表'!D:D,'02效果表'!E:E),0)+AA192*MAX(_xlfn.XLOOKUP(Z192,'02效果表'!D:D,'02效果表'!E:E),0)+AC192*MAX(_xlfn.XLOOKUP(AB192,'02效果表'!D:D,'02效果表'!E:E),0)+AE192*MAX(_xlfn.XLOOKUP(AD192,'02效果表'!D:D,'02效果表'!E:E),0)),1)</f>
        <v>0</v>
      </c>
      <c r="H192" s="6"/>
      <c r="I192" s="6"/>
      <c r="J192" s="6"/>
      <c r="K192" s="6"/>
      <c r="L192" s="6"/>
      <c r="M192" s="6"/>
      <c r="N192" s="6"/>
      <c r="O192" s="6"/>
      <c r="P192" s="6"/>
      <c r="Q192" s="6"/>
      <c r="R192" s="6"/>
      <c r="S192" s="6"/>
      <c r="T192" s="6"/>
      <c r="U192" s="6"/>
      <c r="V192" s="6"/>
      <c r="W192" s="6"/>
      <c r="X192" s="6"/>
      <c r="Y192" s="6"/>
      <c r="Z192" s="6"/>
      <c r="AA192" s="6"/>
      <c r="AB192" s="6"/>
      <c r="AC192" s="6"/>
      <c r="AD192" s="6"/>
      <c r="AE192" s="6"/>
    </row>
    <row r="193" spans="1:31" x14ac:dyDescent="0.35">
      <c r="A193" s="6">
        <v>193</v>
      </c>
      <c r="B193" s="6" t="s">
        <v>4</v>
      </c>
      <c r="C193" s="10" t="s">
        <v>1</v>
      </c>
      <c r="D193" s="9" t="s">
        <v>1409</v>
      </c>
      <c r="E193" s="7">
        <f t="shared" si="9"/>
        <v>0</v>
      </c>
      <c r="F193" s="7">
        <f>-1*ROUND(1/6*(I193*IF(_xlfn.XLOOKUP(H193,'02效果表'!D:D,'02效果表'!E:E)&lt;0, _xlfn.XLOOKUP(H193,'02效果表'!D:D,'02效果表'!E:E), 0) +
K193*IF(_xlfn.XLOOKUP(J193,'02效果表'!D:D,'02效果表'!E:E)&lt;0, _xlfn.XLOOKUP(J193,'02效果表'!D:D,'02效果表'!E:E), 0) +
M193*IF(_xlfn.XLOOKUP(L193,'02效果表'!D:D,'02效果表'!E:E)&lt;0, _xlfn.XLOOKUP(L193,'02效果表'!D:D,'02效果表'!E:E), 0) +
O193*IF(_xlfn.XLOOKUP(N193,'02效果表'!D:D,'02效果表'!E:E)&lt;0, _xlfn.XLOOKUP(N193,'02效果表'!D:D,'02效果表'!E:E), 0) +
Q193*IF(_xlfn.XLOOKUP(P193,'02效果表'!D:D,'02效果表'!E:E)&lt;0, _xlfn.XLOOKUP(P193,'02效果表'!D:D,'02效果表'!E:E), 0) +
S193*IF(_xlfn.XLOOKUP(R193,'02效果表'!D:D,'02效果表'!E:E)&lt;0, _xlfn.XLOOKUP(R193,'02效果表'!D:D,'02效果表'!E:E), 0) +
U193*IF(_xlfn.XLOOKUP(T193,'02效果表'!D:D,'02效果表'!E:E)&lt;0, _xlfn.XLOOKUP(T193,'02效果表'!D:D,'02效果表'!E:E), 0) +
W193*IF(_xlfn.XLOOKUP(V193,'02效果表'!D:D,'02效果表'!E:E)&lt;0, _xlfn.XLOOKUP(V193,'02效果表'!D:D,'02效果表'!E:E), 0) +
Y193*IF(_xlfn.XLOOKUP(X193,'02效果表'!D:D,'02效果表'!E:E)&lt;0, _xlfn.XLOOKUP(X193,'02效果表'!D:D,'02效果表'!E:E), 0) +
AA193*IF(_xlfn.XLOOKUP(Z193,'02效果表'!D:D,'02效果表'!E:E)&lt;0, _xlfn.XLOOKUP(Z193,'02效果表'!D:D,'02效果表'!E:E), 0) +
AC193*IF(_xlfn.XLOOKUP(AB193,'02效果表'!D:D,'02效果表'!E:E)&lt;0, _xlfn.XLOOKUP(AB193,'02效果表'!D:D,'02效果表'!E:E), 0) +
AE193*IF(_xlfn.XLOOKUP(AD193,'02效果表'!D:D,'02效果表'!E:E)&lt;0, _xlfn.XLOOKUP(AD193,'02效果表'!D:D,'02效果表'!E:E), 0)), 1)</f>
        <v>0</v>
      </c>
      <c r="G193" s="7">
        <f>ROUND(1/6*(I193*MAX(_xlfn.XLOOKUP(H193,'02效果表'!D:D,'02效果表'!E:E),0)+K193*MAX(_xlfn.XLOOKUP(J193,'02效果表'!D:D,'02效果表'!E:E),0)+M193*MAX(_xlfn.XLOOKUP(L193,'02效果表'!D:D,'02效果表'!E:E),0)+O193*MAX(_xlfn.XLOOKUP(N193,'02效果表'!D:D,'02效果表'!E:E),0)+Q193*MAX(_xlfn.XLOOKUP(P193,'02效果表'!D:D,'02效果表'!E:E),0)+S193*MAX(_xlfn.XLOOKUP(R193,'02效果表'!D:D,'02效果表'!E:E),0)+U193*MAX(_xlfn.XLOOKUP(T193,'02效果表'!D:D,'02效果表'!E:E),0)+W193*MAX(_xlfn.XLOOKUP(V193,'02效果表'!D:D,'02效果表'!E:E),0)+Y193*MAX(_xlfn.XLOOKUP(X193,'02效果表'!D:D,'02效果表'!E:E),0)+AA193*MAX(_xlfn.XLOOKUP(Z193,'02效果表'!D:D,'02效果表'!E:E),0)+AC193*MAX(_xlfn.XLOOKUP(AB193,'02效果表'!D:D,'02效果表'!E:E),0)+AE193*MAX(_xlfn.XLOOKUP(AD193,'02效果表'!D:D,'02效果表'!E:E),0)),1)</f>
        <v>0</v>
      </c>
      <c r="H193" s="6"/>
      <c r="I193" s="6"/>
      <c r="J193" s="6"/>
      <c r="K193" s="6"/>
      <c r="L193" s="6"/>
      <c r="M193" s="6"/>
      <c r="N193" s="6"/>
      <c r="O193" s="6"/>
      <c r="P193" s="6"/>
      <c r="Q193" s="6"/>
      <c r="R193" s="6"/>
      <c r="S193" s="6"/>
      <c r="T193" s="6"/>
      <c r="U193" s="6"/>
      <c r="V193" s="6"/>
      <c r="W193" s="6"/>
      <c r="X193" s="6"/>
      <c r="Y193" s="6"/>
      <c r="Z193" s="6"/>
      <c r="AA193" s="6"/>
      <c r="AB193" s="6"/>
      <c r="AC193" s="6"/>
      <c r="AD193" s="6"/>
      <c r="AE193" s="6"/>
    </row>
    <row r="194" spans="1:31" x14ac:dyDescent="0.35">
      <c r="A194" s="6">
        <v>194</v>
      </c>
      <c r="B194" s="6" t="s">
        <v>4</v>
      </c>
      <c r="C194" s="10" t="s">
        <v>1</v>
      </c>
      <c r="D194" s="9" t="s">
        <v>1410</v>
      </c>
      <c r="E194" s="7">
        <f t="shared" ref="E194:E257" si="10">ROUND(G194-F194,0)</f>
        <v>0</v>
      </c>
      <c r="F194" s="7">
        <f>-1*ROUND(1/6*(I194*IF(_xlfn.XLOOKUP(H194,'02效果表'!D:D,'02效果表'!E:E)&lt;0, _xlfn.XLOOKUP(H194,'02效果表'!D:D,'02效果表'!E:E), 0) +
K194*IF(_xlfn.XLOOKUP(J194,'02效果表'!D:D,'02效果表'!E:E)&lt;0, _xlfn.XLOOKUP(J194,'02效果表'!D:D,'02效果表'!E:E), 0) +
M194*IF(_xlfn.XLOOKUP(L194,'02效果表'!D:D,'02效果表'!E:E)&lt;0, _xlfn.XLOOKUP(L194,'02效果表'!D:D,'02效果表'!E:E), 0) +
O194*IF(_xlfn.XLOOKUP(N194,'02效果表'!D:D,'02效果表'!E:E)&lt;0, _xlfn.XLOOKUP(N194,'02效果表'!D:D,'02效果表'!E:E), 0) +
Q194*IF(_xlfn.XLOOKUP(P194,'02效果表'!D:D,'02效果表'!E:E)&lt;0, _xlfn.XLOOKUP(P194,'02效果表'!D:D,'02效果表'!E:E), 0) +
S194*IF(_xlfn.XLOOKUP(R194,'02效果表'!D:D,'02效果表'!E:E)&lt;0, _xlfn.XLOOKUP(R194,'02效果表'!D:D,'02效果表'!E:E), 0) +
U194*IF(_xlfn.XLOOKUP(T194,'02效果表'!D:D,'02效果表'!E:E)&lt;0, _xlfn.XLOOKUP(T194,'02效果表'!D:D,'02效果表'!E:E), 0) +
W194*IF(_xlfn.XLOOKUP(V194,'02效果表'!D:D,'02效果表'!E:E)&lt;0, _xlfn.XLOOKUP(V194,'02效果表'!D:D,'02效果表'!E:E), 0) +
Y194*IF(_xlfn.XLOOKUP(X194,'02效果表'!D:D,'02效果表'!E:E)&lt;0, _xlfn.XLOOKUP(X194,'02效果表'!D:D,'02效果表'!E:E), 0) +
AA194*IF(_xlfn.XLOOKUP(Z194,'02效果表'!D:D,'02效果表'!E:E)&lt;0, _xlfn.XLOOKUP(Z194,'02效果表'!D:D,'02效果表'!E:E), 0) +
AC194*IF(_xlfn.XLOOKUP(AB194,'02效果表'!D:D,'02效果表'!E:E)&lt;0, _xlfn.XLOOKUP(AB194,'02效果表'!D:D,'02效果表'!E:E), 0) +
AE194*IF(_xlfn.XLOOKUP(AD194,'02效果表'!D:D,'02效果表'!E:E)&lt;0, _xlfn.XLOOKUP(AD194,'02效果表'!D:D,'02效果表'!E:E), 0)), 1)</f>
        <v>0</v>
      </c>
      <c r="G194" s="7">
        <f>ROUND(1/6*(I194*MAX(_xlfn.XLOOKUP(H194,'02效果表'!D:D,'02效果表'!E:E),0)+K194*MAX(_xlfn.XLOOKUP(J194,'02效果表'!D:D,'02效果表'!E:E),0)+M194*MAX(_xlfn.XLOOKUP(L194,'02效果表'!D:D,'02效果表'!E:E),0)+O194*MAX(_xlfn.XLOOKUP(N194,'02效果表'!D:D,'02效果表'!E:E),0)+Q194*MAX(_xlfn.XLOOKUP(P194,'02效果表'!D:D,'02效果表'!E:E),0)+S194*MAX(_xlfn.XLOOKUP(R194,'02效果表'!D:D,'02效果表'!E:E),0)+U194*MAX(_xlfn.XLOOKUP(T194,'02效果表'!D:D,'02效果表'!E:E),0)+W194*MAX(_xlfn.XLOOKUP(V194,'02效果表'!D:D,'02效果表'!E:E),0)+Y194*MAX(_xlfn.XLOOKUP(X194,'02效果表'!D:D,'02效果表'!E:E),0)+AA194*MAX(_xlfn.XLOOKUP(Z194,'02效果表'!D:D,'02效果表'!E:E),0)+AC194*MAX(_xlfn.XLOOKUP(AB194,'02效果表'!D:D,'02效果表'!E:E),0)+AE194*MAX(_xlfn.XLOOKUP(AD194,'02效果表'!D:D,'02效果表'!E:E),0)),1)</f>
        <v>0</v>
      </c>
      <c r="H194" s="6"/>
      <c r="I194" s="6"/>
      <c r="J194" s="6"/>
      <c r="K194" s="6"/>
      <c r="L194" s="6"/>
      <c r="M194" s="6"/>
      <c r="N194" s="6"/>
      <c r="O194" s="6"/>
      <c r="P194" s="6"/>
      <c r="Q194" s="6"/>
      <c r="R194" s="6"/>
      <c r="S194" s="6"/>
      <c r="T194" s="6"/>
      <c r="U194" s="6"/>
      <c r="V194" s="6"/>
      <c r="W194" s="6"/>
      <c r="X194" s="6"/>
      <c r="Y194" s="6"/>
      <c r="Z194" s="6"/>
      <c r="AA194" s="6"/>
      <c r="AB194" s="6"/>
      <c r="AC194" s="6"/>
      <c r="AD194" s="6"/>
      <c r="AE194" s="6"/>
    </row>
    <row r="195" spans="1:31" x14ac:dyDescent="0.35">
      <c r="A195" s="6">
        <v>195</v>
      </c>
      <c r="B195" s="6" t="s">
        <v>4</v>
      </c>
      <c r="C195" s="10" t="s">
        <v>1</v>
      </c>
      <c r="D195" s="9" t="s">
        <v>1411</v>
      </c>
      <c r="E195" s="7">
        <f t="shared" si="10"/>
        <v>0</v>
      </c>
      <c r="F195" s="7">
        <f>-1*ROUND(1/6*(I195*IF(_xlfn.XLOOKUP(H195,'02效果表'!D:D,'02效果表'!E:E)&lt;0, _xlfn.XLOOKUP(H195,'02效果表'!D:D,'02效果表'!E:E), 0) +
K195*IF(_xlfn.XLOOKUP(J195,'02效果表'!D:D,'02效果表'!E:E)&lt;0, _xlfn.XLOOKUP(J195,'02效果表'!D:D,'02效果表'!E:E), 0) +
M195*IF(_xlfn.XLOOKUP(L195,'02效果表'!D:D,'02效果表'!E:E)&lt;0, _xlfn.XLOOKUP(L195,'02效果表'!D:D,'02效果表'!E:E), 0) +
O195*IF(_xlfn.XLOOKUP(N195,'02效果表'!D:D,'02效果表'!E:E)&lt;0, _xlfn.XLOOKUP(N195,'02效果表'!D:D,'02效果表'!E:E), 0) +
Q195*IF(_xlfn.XLOOKUP(P195,'02效果表'!D:D,'02效果表'!E:E)&lt;0, _xlfn.XLOOKUP(P195,'02效果表'!D:D,'02效果表'!E:E), 0) +
S195*IF(_xlfn.XLOOKUP(R195,'02效果表'!D:D,'02效果表'!E:E)&lt;0, _xlfn.XLOOKUP(R195,'02效果表'!D:D,'02效果表'!E:E), 0) +
U195*IF(_xlfn.XLOOKUP(T195,'02效果表'!D:D,'02效果表'!E:E)&lt;0, _xlfn.XLOOKUP(T195,'02效果表'!D:D,'02效果表'!E:E), 0) +
W195*IF(_xlfn.XLOOKUP(V195,'02效果表'!D:D,'02效果表'!E:E)&lt;0, _xlfn.XLOOKUP(V195,'02效果表'!D:D,'02效果表'!E:E), 0) +
Y195*IF(_xlfn.XLOOKUP(X195,'02效果表'!D:D,'02效果表'!E:E)&lt;0, _xlfn.XLOOKUP(X195,'02效果表'!D:D,'02效果表'!E:E), 0) +
AA195*IF(_xlfn.XLOOKUP(Z195,'02效果表'!D:D,'02效果表'!E:E)&lt;0, _xlfn.XLOOKUP(Z195,'02效果表'!D:D,'02效果表'!E:E), 0) +
AC195*IF(_xlfn.XLOOKUP(AB195,'02效果表'!D:D,'02效果表'!E:E)&lt;0, _xlfn.XLOOKUP(AB195,'02效果表'!D:D,'02效果表'!E:E), 0) +
AE195*IF(_xlfn.XLOOKUP(AD195,'02效果表'!D:D,'02效果表'!E:E)&lt;0, _xlfn.XLOOKUP(AD195,'02效果表'!D:D,'02效果表'!E:E), 0)), 1)</f>
        <v>0</v>
      </c>
      <c r="G195" s="7">
        <f>ROUND(1/6*(I195*MAX(_xlfn.XLOOKUP(H195,'02效果表'!D:D,'02效果表'!E:E),0)+K195*MAX(_xlfn.XLOOKUP(J195,'02效果表'!D:D,'02效果表'!E:E),0)+M195*MAX(_xlfn.XLOOKUP(L195,'02效果表'!D:D,'02效果表'!E:E),0)+O195*MAX(_xlfn.XLOOKUP(N195,'02效果表'!D:D,'02效果表'!E:E),0)+Q195*MAX(_xlfn.XLOOKUP(P195,'02效果表'!D:D,'02效果表'!E:E),0)+S195*MAX(_xlfn.XLOOKUP(R195,'02效果表'!D:D,'02效果表'!E:E),0)+U195*MAX(_xlfn.XLOOKUP(T195,'02效果表'!D:D,'02效果表'!E:E),0)+W195*MAX(_xlfn.XLOOKUP(V195,'02效果表'!D:D,'02效果表'!E:E),0)+Y195*MAX(_xlfn.XLOOKUP(X195,'02效果表'!D:D,'02效果表'!E:E),0)+AA195*MAX(_xlfn.XLOOKUP(Z195,'02效果表'!D:D,'02效果表'!E:E),0)+AC195*MAX(_xlfn.XLOOKUP(AB195,'02效果表'!D:D,'02效果表'!E:E),0)+AE195*MAX(_xlfn.XLOOKUP(AD195,'02效果表'!D:D,'02效果表'!E:E),0)),1)</f>
        <v>0</v>
      </c>
      <c r="H195" s="6"/>
      <c r="I195" s="6"/>
      <c r="J195" s="6"/>
      <c r="K195" s="6"/>
      <c r="L195" s="6"/>
      <c r="M195" s="6"/>
      <c r="N195" s="6"/>
      <c r="O195" s="6"/>
      <c r="P195" s="6"/>
      <c r="Q195" s="6"/>
      <c r="R195" s="6"/>
      <c r="S195" s="6"/>
      <c r="T195" s="6"/>
      <c r="U195" s="6"/>
      <c r="V195" s="6"/>
      <c r="W195" s="6"/>
      <c r="X195" s="6"/>
      <c r="Y195" s="6"/>
      <c r="Z195" s="6"/>
      <c r="AA195" s="6"/>
      <c r="AB195" s="6"/>
      <c r="AC195" s="6"/>
      <c r="AD195" s="6"/>
      <c r="AE195" s="6"/>
    </row>
    <row r="196" spans="1:31" x14ac:dyDescent="0.35">
      <c r="A196" s="6">
        <v>196</v>
      </c>
      <c r="B196" s="6" t="s">
        <v>4</v>
      </c>
      <c r="C196" s="10" t="s">
        <v>1</v>
      </c>
      <c r="D196" s="9" t="s">
        <v>1412</v>
      </c>
      <c r="E196" s="7">
        <f t="shared" si="10"/>
        <v>0</v>
      </c>
      <c r="F196" s="7">
        <f>-1*ROUND(1/6*(I196*IF(_xlfn.XLOOKUP(H196,'02效果表'!D:D,'02效果表'!E:E)&lt;0, _xlfn.XLOOKUP(H196,'02效果表'!D:D,'02效果表'!E:E), 0) +
K196*IF(_xlfn.XLOOKUP(J196,'02效果表'!D:D,'02效果表'!E:E)&lt;0, _xlfn.XLOOKUP(J196,'02效果表'!D:D,'02效果表'!E:E), 0) +
M196*IF(_xlfn.XLOOKUP(L196,'02效果表'!D:D,'02效果表'!E:E)&lt;0, _xlfn.XLOOKUP(L196,'02效果表'!D:D,'02效果表'!E:E), 0) +
O196*IF(_xlfn.XLOOKUP(N196,'02效果表'!D:D,'02效果表'!E:E)&lt;0, _xlfn.XLOOKUP(N196,'02效果表'!D:D,'02效果表'!E:E), 0) +
Q196*IF(_xlfn.XLOOKUP(P196,'02效果表'!D:D,'02效果表'!E:E)&lt;0, _xlfn.XLOOKUP(P196,'02效果表'!D:D,'02效果表'!E:E), 0) +
S196*IF(_xlfn.XLOOKUP(R196,'02效果表'!D:D,'02效果表'!E:E)&lt;0, _xlfn.XLOOKUP(R196,'02效果表'!D:D,'02效果表'!E:E), 0) +
U196*IF(_xlfn.XLOOKUP(T196,'02效果表'!D:D,'02效果表'!E:E)&lt;0, _xlfn.XLOOKUP(T196,'02效果表'!D:D,'02效果表'!E:E), 0) +
W196*IF(_xlfn.XLOOKUP(V196,'02效果表'!D:D,'02效果表'!E:E)&lt;0, _xlfn.XLOOKUP(V196,'02效果表'!D:D,'02效果表'!E:E), 0) +
Y196*IF(_xlfn.XLOOKUP(X196,'02效果表'!D:D,'02效果表'!E:E)&lt;0, _xlfn.XLOOKUP(X196,'02效果表'!D:D,'02效果表'!E:E), 0) +
AA196*IF(_xlfn.XLOOKUP(Z196,'02效果表'!D:D,'02效果表'!E:E)&lt;0, _xlfn.XLOOKUP(Z196,'02效果表'!D:D,'02效果表'!E:E), 0) +
AC196*IF(_xlfn.XLOOKUP(AB196,'02效果表'!D:D,'02效果表'!E:E)&lt;0, _xlfn.XLOOKUP(AB196,'02效果表'!D:D,'02效果表'!E:E), 0) +
AE196*IF(_xlfn.XLOOKUP(AD196,'02效果表'!D:D,'02效果表'!E:E)&lt;0, _xlfn.XLOOKUP(AD196,'02效果表'!D:D,'02效果表'!E:E), 0)), 1)</f>
        <v>0</v>
      </c>
      <c r="G196" s="7">
        <f>ROUND(1/6*(I196*MAX(_xlfn.XLOOKUP(H196,'02效果表'!D:D,'02效果表'!E:E),0)+K196*MAX(_xlfn.XLOOKUP(J196,'02效果表'!D:D,'02效果表'!E:E),0)+M196*MAX(_xlfn.XLOOKUP(L196,'02效果表'!D:D,'02效果表'!E:E),0)+O196*MAX(_xlfn.XLOOKUP(N196,'02效果表'!D:D,'02效果表'!E:E),0)+Q196*MAX(_xlfn.XLOOKUP(P196,'02效果表'!D:D,'02效果表'!E:E),0)+S196*MAX(_xlfn.XLOOKUP(R196,'02效果表'!D:D,'02效果表'!E:E),0)+U196*MAX(_xlfn.XLOOKUP(T196,'02效果表'!D:D,'02效果表'!E:E),0)+W196*MAX(_xlfn.XLOOKUP(V196,'02效果表'!D:D,'02效果表'!E:E),0)+Y196*MAX(_xlfn.XLOOKUP(X196,'02效果表'!D:D,'02效果表'!E:E),0)+AA196*MAX(_xlfn.XLOOKUP(Z196,'02效果表'!D:D,'02效果表'!E:E),0)+AC196*MAX(_xlfn.XLOOKUP(AB196,'02效果表'!D:D,'02效果表'!E:E),0)+AE196*MAX(_xlfn.XLOOKUP(AD196,'02效果表'!D:D,'02效果表'!E:E),0)),1)</f>
        <v>0</v>
      </c>
      <c r="H196" s="6"/>
      <c r="I196" s="6"/>
      <c r="J196" s="6"/>
      <c r="K196" s="6"/>
      <c r="L196" s="6"/>
      <c r="M196" s="6"/>
      <c r="N196" s="6"/>
      <c r="O196" s="6"/>
      <c r="P196" s="6"/>
      <c r="Q196" s="6"/>
      <c r="R196" s="6"/>
      <c r="S196" s="6"/>
      <c r="T196" s="6"/>
      <c r="U196" s="6"/>
      <c r="V196" s="6"/>
      <c r="W196" s="6"/>
      <c r="X196" s="6"/>
      <c r="Y196" s="6"/>
      <c r="Z196" s="6"/>
      <c r="AA196" s="6"/>
      <c r="AB196" s="6"/>
      <c r="AC196" s="6"/>
      <c r="AD196" s="6"/>
      <c r="AE196" s="6"/>
    </row>
    <row r="197" spans="1:31" x14ac:dyDescent="0.35">
      <c r="A197" s="6">
        <v>197</v>
      </c>
      <c r="B197" s="6" t="s">
        <v>4</v>
      </c>
      <c r="C197" s="10" t="s">
        <v>1</v>
      </c>
      <c r="D197" s="9" t="s">
        <v>1413</v>
      </c>
      <c r="E197" s="7">
        <f t="shared" si="10"/>
        <v>0</v>
      </c>
      <c r="F197" s="7">
        <f>-1*ROUND(1/6*(I197*IF(_xlfn.XLOOKUP(H197,'02效果表'!D:D,'02效果表'!E:E)&lt;0, _xlfn.XLOOKUP(H197,'02效果表'!D:D,'02效果表'!E:E), 0) +
K197*IF(_xlfn.XLOOKUP(J197,'02效果表'!D:D,'02效果表'!E:E)&lt;0, _xlfn.XLOOKUP(J197,'02效果表'!D:D,'02效果表'!E:E), 0) +
M197*IF(_xlfn.XLOOKUP(L197,'02效果表'!D:D,'02效果表'!E:E)&lt;0, _xlfn.XLOOKUP(L197,'02效果表'!D:D,'02效果表'!E:E), 0) +
O197*IF(_xlfn.XLOOKUP(N197,'02效果表'!D:D,'02效果表'!E:E)&lt;0, _xlfn.XLOOKUP(N197,'02效果表'!D:D,'02效果表'!E:E), 0) +
Q197*IF(_xlfn.XLOOKUP(P197,'02效果表'!D:D,'02效果表'!E:E)&lt;0, _xlfn.XLOOKUP(P197,'02效果表'!D:D,'02效果表'!E:E), 0) +
S197*IF(_xlfn.XLOOKUP(R197,'02效果表'!D:D,'02效果表'!E:E)&lt;0, _xlfn.XLOOKUP(R197,'02效果表'!D:D,'02效果表'!E:E), 0) +
U197*IF(_xlfn.XLOOKUP(T197,'02效果表'!D:D,'02效果表'!E:E)&lt;0, _xlfn.XLOOKUP(T197,'02效果表'!D:D,'02效果表'!E:E), 0) +
W197*IF(_xlfn.XLOOKUP(V197,'02效果表'!D:D,'02效果表'!E:E)&lt;0, _xlfn.XLOOKUP(V197,'02效果表'!D:D,'02效果表'!E:E), 0) +
Y197*IF(_xlfn.XLOOKUP(X197,'02效果表'!D:D,'02效果表'!E:E)&lt;0, _xlfn.XLOOKUP(X197,'02效果表'!D:D,'02效果表'!E:E), 0) +
AA197*IF(_xlfn.XLOOKUP(Z197,'02效果表'!D:D,'02效果表'!E:E)&lt;0, _xlfn.XLOOKUP(Z197,'02效果表'!D:D,'02效果表'!E:E), 0) +
AC197*IF(_xlfn.XLOOKUP(AB197,'02效果表'!D:D,'02效果表'!E:E)&lt;0, _xlfn.XLOOKUP(AB197,'02效果表'!D:D,'02效果表'!E:E), 0) +
AE197*IF(_xlfn.XLOOKUP(AD197,'02效果表'!D:D,'02效果表'!E:E)&lt;0, _xlfn.XLOOKUP(AD197,'02效果表'!D:D,'02效果表'!E:E), 0)), 1)</f>
        <v>0</v>
      </c>
      <c r="G197" s="7">
        <f>ROUND(1/6*(I197*MAX(_xlfn.XLOOKUP(H197,'02效果表'!D:D,'02效果表'!E:E),0)+K197*MAX(_xlfn.XLOOKUP(J197,'02效果表'!D:D,'02效果表'!E:E),0)+M197*MAX(_xlfn.XLOOKUP(L197,'02效果表'!D:D,'02效果表'!E:E),0)+O197*MAX(_xlfn.XLOOKUP(N197,'02效果表'!D:D,'02效果表'!E:E),0)+Q197*MAX(_xlfn.XLOOKUP(P197,'02效果表'!D:D,'02效果表'!E:E),0)+S197*MAX(_xlfn.XLOOKUP(R197,'02效果表'!D:D,'02效果表'!E:E),0)+U197*MAX(_xlfn.XLOOKUP(T197,'02效果表'!D:D,'02效果表'!E:E),0)+W197*MAX(_xlfn.XLOOKUP(V197,'02效果表'!D:D,'02效果表'!E:E),0)+Y197*MAX(_xlfn.XLOOKUP(X197,'02效果表'!D:D,'02效果表'!E:E),0)+AA197*MAX(_xlfn.XLOOKUP(Z197,'02效果表'!D:D,'02效果表'!E:E),0)+AC197*MAX(_xlfn.XLOOKUP(AB197,'02效果表'!D:D,'02效果表'!E:E),0)+AE197*MAX(_xlfn.XLOOKUP(AD197,'02效果表'!D:D,'02效果表'!E:E),0)),1)</f>
        <v>0</v>
      </c>
      <c r="H197" s="6"/>
      <c r="I197" s="6"/>
      <c r="J197" s="6"/>
      <c r="K197" s="6"/>
      <c r="L197" s="6"/>
      <c r="M197" s="6"/>
      <c r="N197" s="6"/>
      <c r="O197" s="6"/>
      <c r="P197" s="6"/>
      <c r="Q197" s="6"/>
      <c r="R197" s="6"/>
      <c r="S197" s="6"/>
      <c r="T197" s="6"/>
      <c r="U197" s="6"/>
      <c r="V197" s="6"/>
      <c r="W197" s="6"/>
      <c r="X197" s="6"/>
      <c r="Y197" s="6"/>
      <c r="Z197" s="6"/>
      <c r="AA197" s="6"/>
      <c r="AB197" s="6"/>
      <c r="AC197" s="6"/>
      <c r="AD197" s="6"/>
      <c r="AE197" s="6"/>
    </row>
    <row r="198" spans="1:31" x14ac:dyDescent="0.35">
      <c r="A198" s="6">
        <v>198</v>
      </c>
      <c r="B198" s="6" t="s">
        <v>4</v>
      </c>
      <c r="C198" s="10" t="s">
        <v>1</v>
      </c>
      <c r="D198" s="9" t="s">
        <v>1414</v>
      </c>
      <c r="E198" s="7">
        <f t="shared" si="10"/>
        <v>0</v>
      </c>
      <c r="F198" s="7">
        <f>-1*ROUND(1/6*(I198*IF(_xlfn.XLOOKUP(H198,'02效果表'!D:D,'02效果表'!E:E)&lt;0, _xlfn.XLOOKUP(H198,'02效果表'!D:D,'02效果表'!E:E), 0) +
K198*IF(_xlfn.XLOOKUP(J198,'02效果表'!D:D,'02效果表'!E:E)&lt;0, _xlfn.XLOOKUP(J198,'02效果表'!D:D,'02效果表'!E:E), 0) +
M198*IF(_xlfn.XLOOKUP(L198,'02效果表'!D:D,'02效果表'!E:E)&lt;0, _xlfn.XLOOKUP(L198,'02效果表'!D:D,'02效果表'!E:E), 0) +
O198*IF(_xlfn.XLOOKUP(N198,'02效果表'!D:D,'02效果表'!E:E)&lt;0, _xlfn.XLOOKUP(N198,'02效果表'!D:D,'02效果表'!E:E), 0) +
Q198*IF(_xlfn.XLOOKUP(P198,'02效果表'!D:D,'02效果表'!E:E)&lt;0, _xlfn.XLOOKUP(P198,'02效果表'!D:D,'02效果表'!E:E), 0) +
S198*IF(_xlfn.XLOOKUP(R198,'02效果表'!D:D,'02效果表'!E:E)&lt;0, _xlfn.XLOOKUP(R198,'02效果表'!D:D,'02效果表'!E:E), 0) +
U198*IF(_xlfn.XLOOKUP(T198,'02效果表'!D:D,'02效果表'!E:E)&lt;0, _xlfn.XLOOKUP(T198,'02效果表'!D:D,'02效果表'!E:E), 0) +
W198*IF(_xlfn.XLOOKUP(V198,'02效果表'!D:D,'02效果表'!E:E)&lt;0, _xlfn.XLOOKUP(V198,'02效果表'!D:D,'02效果表'!E:E), 0) +
Y198*IF(_xlfn.XLOOKUP(X198,'02效果表'!D:D,'02效果表'!E:E)&lt;0, _xlfn.XLOOKUP(X198,'02效果表'!D:D,'02效果表'!E:E), 0) +
AA198*IF(_xlfn.XLOOKUP(Z198,'02效果表'!D:D,'02效果表'!E:E)&lt;0, _xlfn.XLOOKUP(Z198,'02效果表'!D:D,'02效果表'!E:E), 0) +
AC198*IF(_xlfn.XLOOKUP(AB198,'02效果表'!D:D,'02效果表'!E:E)&lt;0, _xlfn.XLOOKUP(AB198,'02效果表'!D:D,'02效果表'!E:E), 0) +
AE198*IF(_xlfn.XLOOKUP(AD198,'02效果表'!D:D,'02效果表'!E:E)&lt;0, _xlfn.XLOOKUP(AD198,'02效果表'!D:D,'02效果表'!E:E), 0)), 1)</f>
        <v>0</v>
      </c>
      <c r="G198" s="7">
        <f>ROUND(1/6*(I198*MAX(_xlfn.XLOOKUP(H198,'02效果表'!D:D,'02效果表'!E:E),0)+K198*MAX(_xlfn.XLOOKUP(J198,'02效果表'!D:D,'02效果表'!E:E),0)+M198*MAX(_xlfn.XLOOKUP(L198,'02效果表'!D:D,'02效果表'!E:E),0)+O198*MAX(_xlfn.XLOOKUP(N198,'02效果表'!D:D,'02效果表'!E:E),0)+Q198*MAX(_xlfn.XLOOKUP(P198,'02效果表'!D:D,'02效果表'!E:E),0)+S198*MAX(_xlfn.XLOOKUP(R198,'02效果表'!D:D,'02效果表'!E:E),0)+U198*MAX(_xlfn.XLOOKUP(T198,'02效果表'!D:D,'02效果表'!E:E),0)+W198*MAX(_xlfn.XLOOKUP(V198,'02效果表'!D:D,'02效果表'!E:E),0)+Y198*MAX(_xlfn.XLOOKUP(X198,'02效果表'!D:D,'02效果表'!E:E),0)+AA198*MAX(_xlfn.XLOOKUP(Z198,'02效果表'!D:D,'02效果表'!E:E),0)+AC198*MAX(_xlfn.XLOOKUP(AB198,'02效果表'!D:D,'02效果表'!E:E),0)+AE198*MAX(_xlfn.XLOOKUP(AD198,'02效果表'!D:D,'02效果表'!E:E),0)),1)</f>
        <v>0</v>
      </c>
      <c r="H198" s="6"/>
      <c r="I198" s="6"/>
      <c r="J198" s="6"/>
      <c r="K198" s="6"/>
      <c r="L198" s="6"/>
      <c r="M198" s="6"/>
      <c r="N198" s="6"/>
      <c r="O198" s="6"/>
      <c r="P198" s="6"/>
      <c r="Q198" s="6"/>
      <c r="R198" s="6"/>
      <c r="S198" s="6"/>
      <c r="T198" s="6"/>
      <c r="U198" s="6"/>
      <c r="V198" s="6"/>
      <c r="W198" s="6"/>
      <c r="X198" s="6"/>
      <c r="Y198" s="6"/>
      <c r="Z198" s="6"/>
      <c r="AA198" s="6"/>
      <c r="AB198" s="6"/>
      <c r="AC198" s="6"/>
      <c r="AD198" s="6"/>
      <c r="AE198" s="6"/>
    </row>
    <row r="199" spans="1:31" x14ac:dyDescent="0.35">
      <c r="A199" s="6">
        <v>199</v>
      </c>
      <c r="B199" s="6" t="s">
        <v>4</v>
      </c>
      <c r="C199" s="10" t="s">
        <v>1</v>
      </c>
      <c r="D199" s="9" t="s">
        <v>1415</v>
      </c>
      <c r="E199" s="7">
        <f t="shared" si="10"/>
        <v>0</v>
      </c>
      <c r="F199" s="7">
        <f>-1*ROUND(1/6*(I199*IF(_xlfn.XLOOKUP(H199,'02效果表'!D:D,'02效果表'!E:E)&lt;0, _xlfn.XLOOKUP(H199,'02效果表'!D:D,'02效果表'!E:E), 0) +
K199*IF(_xlfn.XLOOKUP(J199,'02效果表'!D:D,'02效果表'!E:E)&lt;0, _xlfn.XLOOKUP(J199,'02效果表'!D:D,'02效果表'!E:E), 0) +
M199*IF(_xlfn.XLOOKUP(L199,'02效果表'!D:D,'02效果表'!E:E)&lt;0, _xlfn.XLOOKUP(L199,'02效果表'!D:D,'02效果表'!E:E), 0) +
O199*IF(_xlfn.XLOOKUP(N199,'02效果表'!D:D,'02效果表'!E:E)&lt;0, _xlfn.XLOOKUP(N199,'02效果表'!D:D,'02效果表'!E:E), 0) +
Q199*IF(_xlfn.XLOOKUP(P199,'02效果表'!D:D,'02效果表'!E:E)&lt;0, _xlfn.XLOOKUP(P199,'02效果表'!D:D,'02效果表'!E:E), 0) +
S199*IF(_xlfn.XLOOKUP(R199,'02效果表'!D:D,'02效果表'!E:E)&lt;0, _xlfn.XLOOKUP(R199,'02效果表'!D:D,'02效果表'!E:E), 0) +
U199*IF(_xlfn.XLOOKUP(T199,'02效果表'!D:D,'02效果表'!E:E)&lt;0, _xlfn.XLOOKUP(T199,'02效果表'!D:D,'02效果表'!E:E), 0) +
W199*IF(_xlfn.XLOOKUP(V199,'02效果表'!D:D,'02效果表'!E:E)&lt;0, _xlfn.XLOOKUP(V199,'02效果表'!D:D,'02效果表'!E:E), 0) +
Y199*IF(_xlfn.XLOOKUP(X199,'02效果表'!D:D,'02效果表'!E:E)&lt;0, _xlfn.XLOOKUP(X199,'02效果表'!D:D,'02效果表'!E:E), 0) +
AA199*IF(_xlfn.XLOOKUP(Z199,'02效果表'!D:D,'02效果表'!E:E)&lt;0, _xlfn.XLOOKUP(Z199,'02效果表'!D:D,'02效果表'!E:E), 0) +
AC199*IF(_xlfn.XLOOKUP(AB199,'02效果表'!D:D,'02效果表'!E:E)&lt;0, _xlfn.XLOOKUP(AB199,'02效果表'!D:D,'02效果表'!E:E), 0) +
AE199*IF(_xlfn.XLOOKUP(AD199,'02效果表'!D:D,'02效果表'!E:E)&lt;0, _xlfn.XLOOKUP(AD199,'02效果表'!D:D,'02效果表'!E:E), 0)), 1)</f>
        <v>0</v>
      </c>
      <c r="G199" s="7">
        <f>ROUND(1/6*(I199*MAX(_xlfn.XLOOKUP(H199,'02效果表'!D:D,'02效果表'!E:E),0)+K199*MAX(_xlfn.XLOOKUP(J199,'02效果表'!D:D,'02效果表'!E:E),0)+M199*MAX(_xlfn.XLOOKUP(L199,'02效果表'!D:D,'02效果表'!E:E),0)+O199*MAX(_xlfn.XLOOKUP(N199,'02效果表'!D:D,'02效果表'!E:E),0)+Q199*MAX(_xlfn.XLOOKUP(P199,'02效果表'!D:D,'02效果表'!E:E),0)+S199*MAX(_xlfn.XLOOKUP(R199,'02效果表'!D:D,'02效果表'!E:E),0)+U199*MAX(_xlfn.XLOOKUP(T199,'02效果表'!D:D,'02效果表'!E:E),0)+W199*MAX(_xlfn.XLOOKUP(V199,'02效果表'!D:D,'02效果表'!E:E),0)+Y199*MAX(_xlfn.XLOOKUP(X199,'02效果表'!D:D,'02效果表'!E:E),0)+AA199*MAX(_xlfn.XLOOKUP(Z199,'02效果表'!D:D,'02效果表'!E:E),0)+AC199*MAX(_xlfn.XLOOKUP(AB199,'02效果表'!D:D,'02效果表'!E:E),0)+AE199*MAX(_xlfn.XLOOKUP(AD199,'02效果表'!D:D,'02效果表'!E:E),0)),1)</f>
        <v>0</v>
      </c>
      <c r="H199" s="6"/>
      <c r="I199" s="6"/>
      <c r="J199" s="6"/>
      <c r="K199" s="6"/>
      <c r="L199" s="6"/>
      <c r="M199" s="6"/>
      <c r="N199" s="6"/>
      <c r="O199" s="6"/>
      <c r="P199" s="6"/>
      <c r="Q199" s="6"/>
      <c r="R199" s="6"/>
      <c r="S199" s="6"/>
      <c r="T199" s="6"/>
      <c r="U199" s="6"/>
      <c r="V199" s="6"/>
      <c r="W199" s="6"/>
      <c r="X199" s="6"/>
      <c r="Y199" s="6"/>
      <c r="Z199" s="6"/>
      <c r="AA199" s="6"/>
      <c r="AB199" s="6"/>
      <c r="AC199" s="6"/>
      <c r="AD199" s="6"/>
      <c r="AE199" s="6"/>
    </row>
    <row r="200" spans="1:31" x14ac:dyDescent="0.35">
      <c r="A200" s="6">
        <v>200</v>
      </c>
      <c r="B200" s="6" t="s">
        <v>4</v>
      </c>
      <c r="C200" s="10" t="s">
        <v>1</v>
      </c>
      <c r="D200" s="9" t="s">
        <v>1416</v>
      </c>
      <c r="E200" s="7">
        <f t="shared" si="10"/>
        <v>0</v>
      </c>
      <c r="F200" s="7">
        <f>-1*ROUND(1/6*(I200*IF(_xlfn.XLOOKUP(H200,'02效果表'!D:D,'02效果表'!E:E)&lt;0, _xlfn.XLOOKUP(H200,'02效果表'!D:D,'02效果表'!E:E), 0) +
K200*IF(_xlfn.XLOOKUP(J200,'02效果表'!D:D,'02效果表'!E:E)&lt;0, _xlfn.XLOOKUP(J200,'02效果表'!D:D,'02效果表'!E:E), 0) +
M200*IF(_xlfn.XLOOKUP(L200,'02效果表'!D:D,'02效果表'!E:E)&lt;0, _xlfn.XLOOKUP(L200,'02效果表'!D:D,'02效果表'!E:E), 0) +
O200*IF(_xlfn.XLOOKUP(N200,'02效果表'!D:D,'02效果表'!E:E)&lt;0, _xlfn.XLOOKUP(N200,'02效果表'!D:D,'02效果表'!E:E), 0) +
Q200*IF(_xlfn.XLOOKUP(P200,'02效果表'!D:D,'02效果表'!E:E)&lt;0, _xlfn.XLOOKUP(P200,'02效果表'!D:D,'02效果表'!E:E), 0) +
S200*IF(_xlfn.XLOOKUP(R200,'02效果表'!D:D,'02效果表'!E:E)&lt;0, _xlfn.XLOOKUP(R200,'02效果表'!D:D,'02效果表'!E:E), 0) +
U200*IF(_xlfn.XLOOKUP(T200,'02效果表'!D:D,'02效果表'!E:E)&lt;0, _xlfn.XLOOKUP(T200,'02效果表'!D:D,'02效果表'!E:E), 0) +
W200*IF(_xlfn.XLOOKUP(V200,'02效果表'!D:D,'02效果表'!E:E)&lt;0, _xlfn.XLOOKUP(V200,'02效果表'!D:D,'02效果表'!E:E), 0) +
Y200*IF(_xlfn.XLOOKUP(X200,'02效果表'!D:D,'02效果表'!E:E)&lt;0, _xlfn.XLOOKUP(X200,'02效果表'!D:D,'02效果表'!E:E), 0) +
AA200*IF(_xlfn.XLOOKUP(Z200,'02效果表'!D:D,'02效果表'!E:E)&lt;0, _xlfn.XLOOKUP(Z200,'02效果表'!D:D,'02效果表'!E:E), 0) +
AC200*IF(_xlfn.XLOOKUP(AB200,'02效果表'!D:D,'02效果表'!E:E)&lt;0, _xlfn.XLOOKUP(AB200,'02效果表'!D:D,'02效果表'!E:E), 0) +
AE200*IF(_xlfn.XLOOKUP(AD200,'02效果表'!D:D,'02效果表'!E:E)&lt;0, _xlfn.XLOOKUP(AD200,'02效果表'!D:D,'02效果表'!E:E), 0)), 1)</f>
        <v>0</v>
      </c>
      <c r="G200" s="7">
        <f>ROUND(1/6*(I200*MAX(_xlfn.XLOOKUP(H200,'02效果表'!D:D,'02效果表'!E:E),0)+K200*MAX(_xlfn.XLOOKUP(J200,'02效果表'!D:D,'02效果表'!E:E),0)+M200*MAX(_xlfn.XLOOKUP(L200,'02效果表'!D:D,'02效果表'!E:E),0)+O200*MAX(_xlfn.XLOOKUP(N200,'02效果表'!D:D,'02效果表'!E:E),0)+Q200*MAX(_xlfn.XLOOKUP(P200,'02效果表'!D:D,'02效果表'!E:E),0)+S200*MAX(_xlfn.XLOOKUP(R200,'02效果表'!D:D,'02效果表'!E:E),0)+U200*MAX(_xlfn.XLOOKUP(T200,'02效果表'!D:D,'02效果表'!E:E),0)+W200*MAX(_xlfn.XLOOKUP(V200,'02效果表'!D:D,'02效果表'!E:E),0)+Y200*MAX(_xlfn.XLOOKUP(X200,'02效果表'!D:D,'02效果表'!E:E),0)+AA200*MAX(_xlfn.XLOOKUP(Z200,'02效果表'!D:D,'02效果表'!E:E),0)+AC200*MAX(_xlfn.XLOOKUP(AB200,'02效果表'!D:D,'02效果表'!E:E),0)+AE200*MAX(_xlfn.XLOOKUP(AD200,'02效果表'!D:D,'02效果表'!E:E),0)),1)</f>
        <v>0</v>
      </c>
      <c r="H200" s="6"/>
      <c r="I200" s="6"/>
      <c r="J200" s="6"/>
      <c r="K200" s="6"/>
      <c r="L200" s="6"/>
      <c r="M200" s="6"/>
      <c r="N200" s="6"/>
      <c r="O200" s="6"/>
      <c r="P200" s="6"/>
      <c r="Q200" s="6"/>
      <c r="R200" s="6"/>
      <c r="S200" s="6"/>
      <c r="T200" s="6"/>
      <c r="U200" s="6"/>
      <c r="V200" s="6"/>
      <c r="W200" s="6"/>
      <c r="X200" s="6"/>
      <c r="Y200" s="6"/>
      <c r="Z200" s="6"/>
      <c r="AA200" s="6"/>
      <c r="AB200" s="6"/>
      <c r="AC200" s="6"/>
      <c r="AD200" s="6"/>
      <c r="AE200" s="6"/>
    </row>
    <row r="201" spans="1:31" x14ac:dyDescent="0.35">
      <c r="A201" s="6">
        <v>201</v>
      </c>
      <c r="B201" s="6" t="s">
        <v>4</v>
      </c>
      <c r="C201" s="10" t="s">
        <v>1</v>
      </c>
      <c r="D201" s="9" t="s">
        <v>1417</v>
      </c>
      <c r="E201" s="7">
        <f t="shared" si="10"/>
        <v>0</v>
      </c>
      <c r="F201" s="7">
        <f>-1*ROUND(1/6*(I201*IF(_xlfn.XLOOKUP(H201,'02效果表'!D:D,'02效果表'!E:E)&lt;0, _xlfn.XLOOKUP(H201,'02效果表'!D:D,'02效果表'!E:E), 0) +
K201*IF(_xlfn.XLOOKUP(J201,'02效果表'!D:D,'02效果表'!E:E)&lt;0, _xlfn.XLOOKUP(J201,'02效果表'!D:D,'02效果表'!E:E), 0) +
M201*IF(_xlfn.XLOOKUP(L201,'02效果表'!D:D,'02效果表'!E:E)&lt;0, _xlfn.XLOOKUP(L201,'02效果表'!D:D,'02效果表'!E:E), 0) +
O201*IF(_xlfn.XLOOKUP(N201,'02效果表'!D:D,'02效果表'!E:E)&lt;0, _xlfn.XLOOKUP(N201,'02效果表'!D:D,'02效果表'!E:E), 0) +
Q201*IF(_xlfn.XLOOKUP(P201,'02效果表'!D:D,'02效果表'!E:E)&lt;0, _xlfn.XLOOKUP(P201,'02效果表'!D:D,'02效果表'!E:E), 0) +
S201*IF(_xlfn.XLOOKUP(R201,'02效果表'!D:D,'02效果表'!E:E)&lt;0, _xlfn.XLOOKUP(R201,'02效果表'!D:D,'02效果表'!E:E), 0) +
U201*IF(_xlfn.XLOOKUP(T201,'02效果表'!D:D,'02效果表'!E:E)&lt;0, _xlfn.XLOOKUP(T201,'02效果表'!D:D,'02效果表'!E:E), 0) +
W201*IF(_xlfn.XLOOKUP(V201,'02效果表'!D:D,'02效果表'!E:E)&lt;0, _xlfn.XLOOKUP(V201,'02效果表'!D:D,'02效果表'!E:E), 0) +
Y201*IF(_xlfn.XLOOKUP(X201,'02效果表'!D:D,'02效果表'!E:E)&lt;0, _xlfn.XLOOKUP(X201,'02效果表'!D:D,'02效果表'!E:E), 0) +
AA201*IF(_xlfn.XLOOKUP(Z201,'02效果表'!D:D,'02效果表'!E:E)&lt;0, _xlfn.XLOOKUP(Z201,'02效果表'!D:D,'02效果表'!E:E), 0) +
AC201*IF(_xlfn.XLOOKUP(AB201,'02效果表'!D:D,'02效果表'!E:E)&lt;0, _xlfn.XLOOKUP(AB201,'02效果表'!D:D,'02效果表'!E:E), 0) +
AE201*IF(_xlfn.XLOOKUP(AD201,'02效果表'!D:D,'02效果表'!E:E)&lt;0, _xlfn.XLOOKUP(AD201,'02效果表'!D:D,'02效果表'!E:E), 0)), 1)</f>
        <v>0</v>
      </c>
      <c r="G201" s="7">
        <f>ROUND(1/6*(I201*MAX(_xlfn.XLOOKUP(H201,'02效果表'!D:D,'02效果表'!E:E),0)+K201*MAX(_xlfn.XLOOKUP(J201,'02效果表'!D:D,'02效果表'!E:E),0)+M201*MAX(_xlfn.XLOOKUP(L201,'02效果表'!D:D,'02效果表'!E:E),0)+O201*MAX(_xlfn.XLOOKUP(N201,'02效果表'!D:D,'02效果表'!E:E),0)+Q201*MAX(_xlfn.XLOOKUP(P201,'02效果表'!D:D,'02效果表'!E:E),0)+S201*MAX(_xlfn.XLOOKUP(R201,'02效果表'!D:D,'02效果表'!E:E),0)+U201*MAX(_xlfn.XLOOKUP(T201,'02效果表'!D:D,'02效果表'!E:E),0)+W201*MAX(_xlfn.XLOOKUP(V201,'02效果表'!D:D,'02效果表'!E:E),0)+Y201*MAX(_xlfn.XLOOKUP(X201,'02效果表'!D:D,'02效果表'!E:E),0)+AA201*MAX(_xlfn.XLOOKUP(Z201,'02效果表'!D:D,'02效果表'!E:E),0)+AC201*MAX(_xlfn.XLOOKUP(AB201,'02效果表'!D:D,'02效果表'!E:E),0)+AE201*MAX(_xlfn.XLOOKUP(AD201,'02效果表'!D:D,'02效果表'!E:E),0)),1)</f>
        <v>0</v>
      </c>
      <c r="H201" s="6"/>
      <c r="I201" s="6"/>
      <c r="J201" s="6"/>
      <c r="K201" s="6"/>
      <c r="L201" s="6"/>
      <c r="M201" s="6"/>
      <c r="N201" s="6"/>
      <c r="O201" s="6"/>
      <c r="P201" s="6"/>
      <c r="Q201" s="6"/>
      <c r="R201" s="6"/>
      <c r="S201" s="6"/>
      <c r="T201" s="6"/>
      <c r="U201" s="6"/>
      <c r="V201" s="6"/>
      <c r="W201" s="6"/>
      <c r="X201" s="6"/>
      <c r="Y201" s="6"/>
      <c r="Z201" s="6"/>
      <c r="AA201" s="6"/>
      <c r="AB201" s="6"/>
      <c r="AC201" s="6"/>
      <c r="AD201" s="6"/>
      <c r="AE201" s="6"/>
    </row>
    <row r="202" spans="1:31" x14ac:dyDescent="0.35">
      <c r="A202" s="6">
        <v>202</v>
      </c>
      <c r="B202" s="6" t="s">
        <v>4</v>
      </c>
      <c r="C202" s="10" t="s">
        <v>1</v>
      </c>
      <c r="D202" s="9" t="s">
        <v>1418</v>
      </c>
      <c r="E202" s="7">
        <f t="shared" si="10"/>
        <v>0</v>
      </c>
      <c r="F202" s="7">
        <f>-1*ROUND(1/6*(I202*IF(_xlfn.XLOOKUP(H202,'02效果表'!D:D,'02效果表'!E:E)&lt;0, _xlfn.XLOOKUP(H202,'02效果表'!D:D,'02效果表'!E:E), 0) +
K202*IF(_xlfn.XLOOKUP(J202,'02效果表'!D:D,'02效果表'!E:E)&lt;0, _xlfn.XLOOKUP(J202,'02效果表'!D:D,'02效果表'!E:E), 0) +
M202*IF(_xlfn.XLOOKUP(L202,'02效果表'!D:D,'02效果表'!E:E)&lt;0, _xlfn.XLOOKUP(L202,'02效果表'!D:D,'02效果表'!E:E), 0) +
O202*IF(_xlfn.XLOOKUP(N202,'02效果表'!D:D,'02效果表'!E:E)&lt;0, _xlfn.XLOOKUP(N202,'02效果表'!D:D,'02效果表'!E:E), 0) +
Q202*IF(_xlfn.XLOOKUP(P202,'02效果表'!D:D,'02效果表'!E:E)&lt;0, _xlfn.XLOOKUP(P202,'02效果表'!D:D,'02效果表'!E:E), 0) +
S202*IF(_xlfn.XLOOKUP(R202,'02效果表'!D:D,'02效果表'!E:E)&lt;0, _xlfn.XLOOKUP(R202,'02效果表'!D:D,'02效果表'!E:E), 0) +
U202*IF(_xlfn.XLOOKUP(T202,'02效果表'!D:D,'02效果表'!E:E)&lt;0, _xlfn.XLOOKUP(T202,'02效果表'!D:D,'02效果表'!E:E), 0) +
W202*IF(_xlfn.XLOOKUP(V202,'02效果表'!D:D,'02效果表'!E:E)&lt;0, _xlfn.XLOOKUP(V202,'02效果表'!D:D,'02效果表'!E:E), 0) +
Y202*IF(_xlfn.XLOOKUP(X202,'02效果表'!D:D,'02效果表'!E:E)&lt;0, _xlfn.XLOOKUP(X202,'02效果表'!D:D,'02效果表'!E:E), 0) +
AA202*IF(_xlfn.XLOOKUP(Z202,'02效果表'!D:D,'02效果表'!E:E)&lt;0, _xlfn.XLOOKUP(Z202,'02效果表'!D:D,'02效果表'!E:E), 0) +
AC202*IF(_xlfn.XLOOKUP(AB202,'02效果表'!D:D,'02效果表'!E:E)&lt;0, _xlfn.XLOOKUP(AB202,'02效果表'!D:D,'02效果表'!E:E), 0) +
AE202*IF(_xlfn.XLOOKUP(AD202,'02效果表'!D:D,'02效果表'!E:E)&lt;0, _xlfn.XLOOKUP(AD202,'02效果表'!D:D,'02效果表'!E:E), 0)), 1)</f>
        <v>0</v>
      </c>
      <c r="G202" s="7">
        <f>ROUND(1/6*(I202*MAX(_xlfn.XLOOKUP(H202,'02效果表'!D:D,'02效果表'!E:E),0)+K202*MAX(_xlfn.XLOOKUP(J202,'02效果表'!D:D,'02效果表'!E:E),0)+M202*MAX(_xlfn.XLOOKUP(L202,'02效果表'!D:D,'02效果表'!E:E),0)+O202*MAX(_xlfn.XLOOKUP(N202,'02效果表'!D:D,'02效果表'!E:E),0)+Q202*MAX(_xlfn.XLOOKUP(P202,'02效果表'!D:D,'02效果表'!E:E),0)+S202*MAX(_xlfn.XLOOKUP(R202,'02效果表'!D:D,'02效果表'!E:E),0)+U202*MAX(_xlfn.XLOOKUP(T202,'02效果表'!D:D,'02效果表'!E:E),0)+W202*MAX(_xlfn.XLOOKUP(V202,'02效果表'!D:D,'02效果表'!E:E),0)+Y202*MAX(_xlfn.XLOOKUP(X202,'02效果表'!D:D,'02效果表'!E:E),0)+AA202*MAX(_xlfn.XLOOKUP(Z202,'02效果表'!D:D,'02效果表'!E:E),0)+AC202*MAX(_xlfn.XLOOKUP(AB202,'02效果表'!D:D,'02效果表'!E:E),0)+AE202*MAX(_xlfn.XLOOKUP(AD202,'02效果表'!D:D,'02效果表'!E:E),0)),1)</f>
        <v>0</v>
      </c>
      <c r="H202" s="6"/>
      <c r="I202" s="6"/>
      <c r="J202" s="6"/>
      <c r="K202" s="6"/>
      <c r="L202" s="6"/>
      <c r="M202" s="6"/>
      <c r="N202" s="6"/>
      <c r="O202" s="6"/>
      <c r="P202" s="6"/>
      <c r="Q202" s="6"/>
      <c r="R202" s="6"/>
      <c r="S202" s="6"/>
      <c r="T202" s="6"/>
      <c r="U202" s="6"/>
      <c r="V202" s="6"/>
      <c r="W202" s="6"/>
      <c r="X202" s="6"/>
      <c r="Y202" s="6"/>
      <c r="Z202" s="6"/>
      <c r="AA202" s="6"/>
      <c r="AB202" s="6"/>
      <c r="AC202" s="6"/>
      <c r="AD202" s="6"/>
      <c r="AE202" s="6"/>
    </row>
    <row r="203" spans="1:31" x14ac:dyDescent="0.35">
      <c r="A203" s="6">
        <v>203</v>
      </c>
      <c r="B203" s="6" t="s">
        <v>4</v>
      </c>
      <c r="C203" s="10" t="s">
        <v>1</v>
      </c>
      <c r="D203" s="9"/>
      <c r="E203" s="7">
        <f t="shared" si="10"/>
        <v>0</v>
      </c>
      <c r="F203" s="7">
        <f>-1*ROUND(1/6*(I203*IF(_xlfn.XLOOKUP(H203,'02效果表'!D:D,'02效果表'!E:E)&lt;0, _xlfn.XLOOKUP(H203,'02效果表'!D:D,'02效果表'!E:E), 0) +
K203*IF(_xlfn.XLOOKUP(J203,'02效果表'!D:D,'02效果表'!E:E)&lt;0, _xlfn.XLOOKUP(J203,'02效果表'!D:D,'02效果表'!E:E), 0) +
M203*IF(_xlfn.XLOOKUP(L203,'02效果表'!D:D,'02效果表'!E:E)&lt;0, _xlfn.XLOOKUP(L203,'02效果表'!D:D,'02效果表'!E:E), 0) +
O203*IF(_xlfn.XLOOKUP(N203,'02效果表'!D:D,'02效果表'!E:E)&lt;0, _xlfn.XLOOKUP(N203,'02效果表'!D:D,'02效果表'!E:E), 0) +
Q203*IF(_xlfn.XLOOKUP(P203,'02效果表'!D:D,'02效果表'!E:E)&lt;0, _xlfn.XLOOKUP(P203,'02效果表'!D:D,'02效果表'!E:E), 0) +
S203*IF(_xlfn.XLOOKUP(R203,'02效果表'!D:D,'02效果表'!E:E)&lt;0, _xlfn.XLOOKUP(R203,'02效果表'!D:D,'02效果表'!E:E), 0) +
U203*IF(_xlfn.XLOOKUP(T203,'02效果表'!D:D,'02效果表'!E:E)&lt;0, _xlfn.XLOOKUP(T203,'02效果表'!D:D,'02效果表'!E:E), 0) +
W203*IF(_xlfn.XLOOKUP(V203,'02效果表'!D:D,'02效果表'!E:E)&lt;0, _xlfn.XLOOKUP(V203,'02效果表'!D:D,'02效果表'!E:E), 0) +
Y203*IF(_xlfn.XLOOKUP(X203,'02效果表'!D:D,'02效果表'!E:E)&lt;0, _xlfn.XLOOKUP(X203,'02效果表'!D:D,'02效果表'!E:E), 0) +
AA203*IF(_xlfn.XLOOKUP(Z203,'02效果表'!D:D,'02效果表'!E:E)&lt;0, _xlfn.XLOOKUP(Z203,'02效果表'!D:D,'02效果表'!E:E), 0) +
AC203*IF(_xlfn.XLOOKUP(AB203,'02效果表'!D:D,'02效果表'!E:E)&lt;0, _xlfn.XLOOKUP(AB203,'02效果表'!D:D,'02效果表'!E:E), 0) +
AE203*IF(_xlfn.XLOOKUP(AD203,'02效果表'!D:D,'02效果表'!E:E)&lt;0, _xlfn.XLOOKUP(AD203,'02效果表'!D:D,'02效果表'!E:E), 0)), 1)</f>
        <v>0</v>
      </c>
      <c r="G203" s="7">
        <f>ROUND(1/6*(I203*MAX(_xlfn.XLOOKUP(H203,'02效果表'!D:D,'02效果表'!E:E),0)+K203*MAX(_xlfn.XLOOKUP(J203,'02效果表'!D:D,'02效果表'!E:E),0)+M203*MAX(_xlfn.XLOOKUP(L203,'02效果表'!D:D,'02效果表'!E:E),0)+O203*MAX(_xlfn.XLOOKUP(N203,'02效果表'!D:D,'02效果表'!E:E),0)+Q203*MAX(_xlfn.XLOOKUP(P203,'02效果表'!D:D,'02效果表'!E:E),0)+S203*MAX(_xlfn.XLOOKUP(R203,'02效果表'!D:D,'02效果表'!E:E),0)+U203*MAX(_xlfn.XLOOKUP(T203,'02效果表'!D:D,'02效果表'!E:E),0)+W203*MAX(_xlfn.XLOOKUP(V203,'02效果表'!D:D,'02效果表'!E:E),0)+Y203*MAX(_xlfn.XLOOKUP(X203,'02效果表'!D:D,'02效果表'!E:E),0)+AA203*MAX(_xlfn.XLOOKUP(Z203,'02效果表'!D:D,'02效果表'!E:E),0)+AC203*MAX(_xlfn.XLOOKUP(AB203,'02效果表'!D:D,'02效果表'!E:E),0)+AE203*MAX(_xlfn.XLOOKUP(AD203,'02效果表'!D:D,'02效果表'!E:E),0)),1)</f>
        <v>0</v>
      </c>
      <c r="H203" s="6"/>
      <c r="I203" s="6"/>
      <c r="J203" s="6"/>
      <c r="K203" s="6"/>
      <c r="L203" s="6"/>
      <c r="M203" s="6"/>
      <c r="N203" s="6"/>
      <c r="O203" s="6"/>
      <c r="P203" s="6"/>
      <c r="Q203" s="6"/>
      <c r="R203" s="6"/>
      <c r="S203" s="6"/>
      <c r="T203" s="6"/>
      <c r="U203" s="6"/>
      <c r="V203" s="6"/>
      <c r="W203" s="6"/>
      <c r="X203" s="6"/>
      <c r="Y203" s="6"/>
      <c r="Z203" s="6"/>
      <c r="AA203" s="6"/>
      <c r="AB203" s="6"/>
      <c r="AC203" s="6"/>
      <c r="AD203" s="6"/>
      <c r="AE203" s="6"/>
    </row>
    <row r="204" spans="1:31" x14ac:dyDescent="0.35">
      <c r="A204" s="6">
        <v>204</v>
      </c>
      <c r="B204" s="6" t="s">
        <v>4</v>
      </c>
      <c r="C204" s="10" t="s">
        <v>1</v>
      </c>
      <c r="D204" s="9"/>
      <c r="E204" s="7">
        <f t="shared" si="10"/>
        <v>0</v>
      </c>
      <c r="F204" s="7">
        <f>-1*ROUND(1/6*(I204*IF(_xlfn.XLOOKUP(H204,'02效果表'!D:D,'02效果表'!E:E)&lt;0, _xlfn.XLOOKUP(H204,'02效果表'!D:D,'02效果表'!E:E), 0) +
K204*IF(_xlfn.XLOOKUP(J204,'02效果表'!D:D,'02效果表'!E:E)&lt;0, _xlfn.XLOOKUP(J204,'02效果表'!D:D,'02效果表'!E:E), 0) +
M204*IF(_xlfn.XLOOKUP(L204,'02效果表'!D:D,'02效果表'!E:E)&lt;0, _xlfn.XLOOKUP(L204,'02效果表'!D:D,'02效果表'!E:E), 0) +
O204*IF(_xlfn.XLOOKUP(N204,'02效果表'!D:D,'02效果表'!E:E)&lt;0, _xlfn.XLOOKUP(N204,'02效果表'!D:D,'02效果表'!E:E), 0) +
Q204*IF(_xlfn.XLOOKUP(P204,'02效果表'!D:D,'02效果表'!E:E)&lt;0, _xlfn.XLOOKUP(P204,'02效果表'!D:D,'02效果表'!E:E), 0) +
S204*IF(_xlfn.XLOOKUP(R204,'02效果表'!D:D,'02效果表'!E:E)&lt;0, _xlfn.XLOOKUP(R204,'02效果表'!D:D,'02效果表'!E:E), 0) +
U204*IF(_xlfn.XLOOKUP(T204,'02效果表'!D:D,'02效果表'!E:E)&lt;0, _xlfn.XLOOKUP(T204,'02效果表'!D:D,'02效果表'!E:E), 0) +
W204*IF(_xlfn.XLOOKUP(V204,'02效果表'!D:D,'02效果表'!E:E)&lt;0, _xlfn.XLOOKUP(V204,'02效果表'!D:D,'02效果表'!E:E), 0) +
Y204*IF(_xlfn.XLOOKUP(X204,'02效果表'!D:D,'02效果表'!E:E)&lt;0, _xlfn.XLOOKUP(X204,'02效果表'!D:D,'02效果表'!E:E), 0) +
AA204*IF(_xlfn.XLOOKUP(Z204,'02效果表'!D:D,'02效果表'!E:E)&lt;0, _xlfn.XLOOKUP(Z204,'02效果表'!D:D,'02效果表'!E:E), 0) +
AC204*IF(_xlfn.XLOOKUP(AB204,'02效果表'!D:D,'02效果表'!E:E)&lt;0, _xlfn.XLOOKUP(AB204,'02效果表'!D:D,'02效果表'!E:E), 0) +
AE204*IF(_xlfn.XLOOKUP(AD204,'02效果表'!D:D,'02效果表'!E:E)&lt;0, _xlfn.XLOOKUP(AD204,'02效果表'!D:D,'02效果表'!E:E), 0)), 1)</f>
        <v>0</v>
      </c>
      <c r="G204" s="7">
        <f>ROUND(1/6*(I204*MAX(_xlfn.XLOOKUP(H204,'02效果表'!D:D,'02效果表'!E:E),0)+K204*MAX(_xlfn.XLOOKUP(J204,'02效果表'!D:D,'02效果表'!E:E),0)+M204*MAX(_xlfn.XLOOKUP(L204,'02效果表'!D:D,'02效果表'!E:E),0)+O204*MAX(_xlfn.XLOOKUP(N204,'02效果表'!D:D,'02效果表'!E:E),0)+Q204*MAX(_xlfn.XLOOKUP(P204,'02效果表'!D:D,'02效果表'!E:E),0)+S204*MAX(_xlfn.XLOOKUP(R204,'02效果表'!D:D,'02效果表'!E:E),0)+U204*MAX(_xlfn.XLOOKUP(T204,'02效果表'!D:D,'02效果表'!E:E),0)+W204*MAX(_xlfn.XLOOKUP(V204,'02效果表'!D:D,'02效果表'!E:E),0)+Y204*MAX(_xlfn.XLOOKUP(X204,'02效果表'!D:D,'02效果表'!E:E),0)+AA204*MAX(_xlfn.XLOOKUP(Z204,'02效果表'!D:D,'02效果表'!E:E),0)+AC204*MAX(_xlfn.XLOOKUP(AB204,'02效果表'!D:D,'02效果表'!E:E),0)+AE204*MAX(_xlfn.XLOOKUP(AD204,'02效果表'!D:D,'02效果表'!E:E),0)),1)</f>
        <v>0</v>
      </c>
      <c r="H204" s="6"/>
      <c r="I204" s="6"/>
      <c r="J204" s="6"/>
      <c r="K204" s="6"/>
      <c r="L204" s="6"/>
      <c r="M204" s="6"/>
      <c r="N204" s="6"/>
      <c r="O204" s="6"/>
      <c r="P204" s="6"/>
      <c r="Q204" s="6"/>
      <c r="R204" s="6"/>
      <c r="S204" s="6"/>
      <c r="T204" s="6"/>
      <c r="U204" s="6"/>
      <c r="V204" s="6"/>
      <c r="W204" s="6"/>
      <c r="X204" s="6"/>
      <c r="Y204" s="6"/>
      <c r="Z204" s="6"/>
      <c r="AA204" s="6"/>
      <c r="AB204" s="6"/>
      <c r="AC204" s="6"/>
      <c r="AD204" s="6"/>
      <c r="AE204" s="6"/>
    </row>
    <row r="205" spans="1:31" x14ac:dyDescent="0.35">
      <c r="A205" s="6">
        <v>205</v>
      </c>
      <c r="B205" s="6" t="s">
        <v>4</v>
      </c>
      <c r="C205" s="10" t="s">
        <v>2</v>
      </c>
      <c r="D205" s="9" t="s">
        <v>1419</v>
      </c>
      <c r="E205" s="7">
        <f t="shared" si="10"/>
        <v>0</v>
      </c>
      <c r="F205" s="7">
        <f>-1*ROUND(1/6*(I205*IF(_xlfn.XLOOKUP(H205,'02效果表'!D:D,'02效果表'!E:E)&lt;0, _xlfn.XLOOKUP(H205,'02效果表'!D:D,'02效果表'!E:E), 0) +
K205*IF(_xlfn.XLOOKUP(J205,'02效果表'!D:D,'02效果表'!E:E)&lt;0, _xlfn.XLOOKUP(J205,'02效果表'!D:D,'02效果表'!E:E), 0) +
M205*IF(_xlfn.XLOOKUP(L205,'02效果表'!D:D,'02效果表'!E:E)&lt;0, _xlfn.XLOOKUP(L205,'02效果表'!D:D,'02效果表'!E:E), 0) +
O205*IF(_xlfn.XLOOKUP(N205,'02效果表'!D:D,'02效果表'!E:E)&lt;0, _xlfn.XLOOKUP(N205,'02效果表'!D:D,'02效果表'!E:E), 0) +
Q205*IF(_xlfn.XLOOKUP(P205,'02效果表'!D:D,'02效果表'!E:E)&lt;0, _xlfn.XLOOKUP(P205,'02效果表'!D:D,'02效果表'!E:E), 0) +
S205*IF(_xlfn.XLOOKUP(R205,'02效果表'!D:D,'02效果表'!E:E)&lt;0, _xlfn.XLOOKUP(R205,'02效果表'!D:D,'02效果表'!E:E), 0) +
U205*IF(_xlfn.XLOOKUP(T205,'02效果表'!D:D,'02效果表'!E:E)&lt;0, _xlfn.XLOOKUP(T205,'02效果表'!D:D,'02效果表'!E:E), 0) +
W205*IF(_xlfn.XLOOKUP(V205,'02效果表'!D:D,'02效果表'!E:E)&lt;0, _xlfn.XLOOKUP(V205,'02效果表'!D:D,'02效果表'!E:E), 0) +
Y205*IF(_xlfn.XLOOKUP(X205,'02效果表'!D:D,'02效果表'!E:E)&lt;0, _xlfn.XLOOKUP(X205,'02效果表'!D:D,'02效果表'!E:E), 0) +
AA205*IF(_xlfn.XLOOKUP(Z205,'02效果表'!D:D,'02效果表'!E:E)&lt;0, _xlfn.XLOOKUP(Z205,'02效果表'!D:D,'02效果表'!E:E), 0) +
AC205*IF(_xlfn.XLOOKUP(AB205,'02效果表'!D:D,'02效果表'!E:E)&lt;0, _xlfn.XLOOKUP(AB205,'02效果表'!D:D,'02效果表'!E:E), 0) +
AE205*IF(_xlfn.XLOOKUP(AD205,'02效果表'!D:D,'02效果表'!E:E)&lt;0, _xlfn.XLOOKUP(AD205,'02效果表'!D:D,'02效果表'!E:E), 0)), 1)</f>
        <v>0</v>
      </c>
      <c r="G205" s="7">
        <f>ROUND(1/6*(I205*MAX(_xlfn.XLOOKUP(H205,'02效果表'!D:D,'02效果表'!E:E),0)+K205*MAX(_xlfn.XLOOKUP(J205,'02效果表'!D:D,'02效果表'!E:E),0)+M205*MAX(_xlfn.XLOOKUP(L205,'02效果表'!D:D,'02效果表'!E:E),0)+O205*MAX(_xlfn.XLOOKUP(N205,'02效果表'!D:D,'02效果表'!E:E),0)+Q205*MAX(_xlfn.XLOOKUP(P205,'02效果表'!D:D,'02效果表'!E:E),0)+S205*MAX(_xlfn.XLOOKUP(R205,'02效果表'!D:D,'02效果表'!E:E),0)+U205*MAX(_xlfn.XLOOKUP(T205,'02效果表'!D:D,'02效果表'!E:E),0)+W205*MAX(_xlfn.XLOOKUP(V205,'02效果表'!D:D,'02效果表'!E:E),0)+Y205*MAX(_xlfn.XLOOKUP(X205,'02效果表'!D:D,'02效果表'!E:E),0)+AA205*MAX(_xlfn.XLOOKUP(Z205,'02效果表'!D:D,'02效果表'!E:E),0)+AC205*MAX(_xlfn.XLOOKUP(AB205,'02效果表'!D:D,'02效果表'!E:E),0)+AE205*MAX(_xlfn.XLOOKUP(AD205,'02效果表'!D:D,'02效果表'!E:E),0)),1)</f>
        <v>0</v>
      </c>
      <c r="H205" s="6"/>
      <c r="I205" s="6"/>
      <c r="J205" s="6"/>
      <c r="K205" s="6"/>
      <c r="L205" s="6"/>
      <c r="M205" s="6"/>
      <c r="N205" s="6"/>
      <c r="O205" s="6"/>
      <c r="P205" s="6"/>
      <c r="Q205" s="6"/>
      <c r="R205" s="6"/>
      <c r="S205" s="6"/>
      <c r="T205" s="6"/>
      <c r="U205" s="6"/>
      <c r="V205" s="6"/>
      <c r="W205" s="6"/>
      <c r="X205" s="6"/>
      <c r="Y205" s="6"/>
      <c r="Z205" s="6"/>
      <c r="AA205" s="6"/>
      <c r="AB205" s="6"/>
      <c r="AC205" s="6"/>
      <c r="AD205" s="6"/>
      <c r="AE205" s="6"/>
    </row>
    <row r="206" spans="1:31" x14ac:dyDescent="0.35">
      <c r="A206" s="6">
        <v>206</v>
      </c>
      <c r="B206" s="6" t="s">
        <v>4</v>
      </c>
      <c r="C206" s="10" t="s">
        <v>2</v>
      </c>
      <c r="D206" s="9" t="s">
        <v>1420</v>
      </c>
      <c r="E206" s="7">
        <f t="shared" si="10"/>
        <v>0</v>
      </c>
      <c r="F206" s="7">
        <f>-1*ROUND(1/6*(I206*IF(_xlfn.XLOOKUP(H206,'02效果表'!D:D,'02效果表'!E:E)&lt;0, _xlfn.XLOOKUP(H206,'02效果表'!D:D,'02效果表'!E:E), 0) +
K206*IF(_xlfn.XLOOKUP(J206,'02效果表'!D:D,'02效果表'!E:E)&lt;0, _xlfn.XLOOKUP(J206,'02效果表'!D:D,'02效果表'!E:E), 0) +
M206*IF(_xlfn.XLOOKUP(L206,'02效果表'!D:D,'02效果表'!E:E)&lt;0, _xlfn.XLOOKUP(L206,'02效果表'!D:D,'02效果表'!E:E), 0) +
O206*IF(_xlfn.XLOOKUP(N206,'02效果表'!D:D,'02效果表'!E:E)&lt;0, _xlfn.XLOOKUP(N206,'02效果表'!D:D,'02效果表'!E:E), 0) +
Q206*IF(_xlfn.XLOOKUP(P206,'02效果表'!D:D,'02效果表'!E:E)&lt;0, _xlfn.XLOOKUP(P206,'02效果表'!D:D,'02效果表'!E:E), 0) +
S206*IF(_xlfn.XLOOKUP(R206,'02效果表'!D:D,'02效果表'!E:E)&lt;0, _xlfn.XLOOKUP(R206,'02效果表'!D:D,'02效果表'!E:E), 0) +
U206*IF(_xlfn.XLOOKUP(T206,'02效果表'!D:D,'02效果表'!E:E)&lt;0, _xlfn.XLOOKUP(T206,'02效果表'!D:D,'02效果表'!E:E), 0) +
W206*IF(_xlfn.XLOOKUP(V206,'02效果表'!D:D,'02效果表'!E:E)&lt;0, _xlfn.XLOOKUP(V206,'02效果表'!D:D,'02效果表'!E:E), 0) +
Y206*IF(_xlfn.XLOOKUP(X206,'02效果表'!D:D,'02效果表'!E:E)&lt;0, _xlfn.XLOOKUP(X206,'02效果表'!D:D,'02效果表'!E:E), 0) +
AA206*IF(_xlfn.XLOOKUP(Z206,'02效果表'!D:D,'02效果表'!E:E)&lt;0, _xlfn.XLOOKUP(Z206,'02效果表'!D:D,'02效果表'!E:E), 0) +
AC206*IF(_xlfn.XLOOKUP(AB206,'02效果表'!D:D,'02效果表'!E:E)&lt;0, _xlfn.XLOOKUP(AB206,'02效果表'!D:D,'02效果表'!E:E), 0) +
AE206*IF(_xlfn.XLOOKUP(AD206,'02效果表'!D:D,'02效果表'!E:E)&lt;0, _xlfn.XLOOKUP(AD206,'02效果表'!D:D,'02效果表'!E:E), 0)), 1)</f>
        <v>0</v>
      </c>
      <c r="G206" s="7">
        <f>ROUND(1/6*(I206*MAX(_xlfn.XLOOKUP(H206,'02效果表'!D:D,'02效果表'!E:E),0)+K206*MAX(_xlfn.XLOOKUP(J206,'02效果表'!D:D,'02效果表'!E:E),0)+M206*MAX(_xlfn.XLOOKUP(L206,'02效果表'!D:D,'02效果表'!E:E),0)+O206*MAX(_xlfn.XLOOKUP(N206,'02效果表'!D:D,'02效果表'!E:E),0)+Q206*MAX(_xlfn.XLOOKUP(P206,'02效果表'!D:D,'02效果表'!E:E),0)+S206*MAX(_xlfn.XLOOKUP(R206,'02效果表'!D:D,'02效果表'!E:E),0)+U206*MAX(_xlfn.XLOOKUP(T206,'02效果表'!D:D,'02效果表'!E:E),0)+W206*MAX(_xlfn.XLOOKUP(V206,'02效果表'!D:D,'02效果表'!E:E),0)+Y206*MAX(_xlfn.XLOOKUP(X206,'02效果表'!D:D,'02效果表'!E:E),0)+AA206*MAX(_xlfn.XLOOKUP(Z206,'02效果表'!D:D,'02效果表'!E:E),0)+AC206*MAX(_xlfn.XLOOKUP(AB206,'02效果表'!D:D,'02效果表'!E:E),0)+AE206*MAX(_xlfn.XLOOKUP(AD206,'02效果表'!D:D,'02效果表'!E:E),0)),1)</f>
        <v>0</v>
      </c>
      <c r="H206" s="6"/>
      <c r="I206" s="6"/>
      <c r="J206" s="6"/>
      <c r="K206" s="6"/>
      <c r="L206" s="6"/>
      <c r="M206" s="6"/>
      <c r="N206" s="6"/>
      <c r="O206" s="6"/>
      <c r="P206" s="6"/>
      <c r="Q206" s="6"/>
      <c r="R206" s="6"/>
      <c r="S206" s="6"/>
      <c r="T206" s="6"/>
      <c r="U206" s="6"/>
      <c r="V206" s="6"/>
      <c r="W206" s="6"/>
      <c r="X206" s="6"/>
      <c r="Y206" s="6"/>
      <c r="Z206" s="6"/>
      <c r="AA206" s="6"/>
      <c r="AB206" s="6"/>
      <c r="AC206" s="6"/>
      <c r="AD206" s="6"/>
      <c r="AE206" s="6"/>
    </row>
    <row r="207" spans="1:31" x14ac:dyDescent="0.35">
      <c r="A207" s="6">
        <v>207</v>
      </c>
      <c r="B207" s="6" t="s">
        <v>4</v>
      </c>
      <c r="C207" s="10" t="s">
        <v>2</v>
      </c>
      <c r="D207" s="9" t="s">
        <v>1421</v>
      </c>
      <c r="E207" s="7">
        <f t="shared" si="10"/>
        <v>0</v>
      </c>
      <c r="F207" s="7">
        <f>-1*ROUND(1/6*(I207*IF(_xlfn.XLOOKUP(H207,'02效果表'!D:D,'02效果表'!E:E)&lt;0, _xlfn.XLOOKUP(H207,'02效果表'!D:D,'02效果表'!E:E), 0) +
K207*IF(_xlfn.XLOOKUP(J207,'02效果表'!D:D,'02效果表'!E:E)&lt;0, _xlfn.XLOOKUP(J207,'02效果表'!D:D,'02效果表'!E:E), 0) +
M207*IF(_xlfn.XLOOKUP(L207,'02效果表'!D:D,'02效果表'!E:E)&lt;0, _xlfn.XLOOKUP(L207,'02效果表'!D:D,'02效果表'!E:E), 0) +
O207*IF(_xlfn.XLOOKUP(N207,'02效果表'!D:D,'02效果表'!E:E)&lt;0, _xlfn.XLOOKUP(N207,'02效果表'!D:D,'02效果表'!E:E), 0) +
Q207*IF(_xlfn.XLOOKUP(P207,'02效果表'!D:D,'02效果表'!E:E)&lt;0, _xlfn.XLOOKUP(P207,'02效果表'!D:D,'02效果表'!E:E), 0) +
S207*IF(_xlfn.XLOOKUP(R207,'02效果表'!D:D,'02效果表'!E:E)&lt;0, _xlfn.XLOOKUP(R207,'02效果表'!D:D,'02效果表'!E:E), 0) +
U207*IF(_xlfn.XLOOKUP(T207,'02效果表'!D:D,'02效果表'!E:E)&lt;0, _xlfn.XLOOKUP(T207,'02效果表'!D:D,'02效果表'!E:E), 0) +
W207*IF(_xlfn.XLOOKUP(V207,'02效果表'!D:D,'02效果表'!E:E)&lt;0, _xlfn.XLOOKUP(V207,'02效果表'!D:D,'02效果表'!E:E), 0) +
Y207*IF(_xlfn.XLOOKUP(X207,'02效果表'!D:D,'02效果表'!E:E)&lt;0, _xlfn.XLOOKUP(X207,'02效果表'!D:D,'02效果表'!E:E), 0) +
AA207*IF(_xlfn.XLOOKUP(Z207,'02效果表'!D:D,'02效果表'!E:E)&lt;0, _xlfn.XLOOKUP(Z207,'02效果表'!D:D,'02效果表'!E:E), 0) +
AC207*IF(_xlfn.XLOOKUP(AB207,'02效果表'!D:D,'02效果表'!E:E)&lt;0, _xlfn.XLOOKUP(AB207,'02效果表'!D:D,'02效果表'!E:E), 0) +
AE207*IF(_xlfn.XLOOKUP(AD207,'02效果表'!D:D,'02效果表'!E:E)&lt;0, _xlfn.XLOOKUP(AD207,'02效果表'!D:D,'02效果表'!E:E), 0)), 1)</f>
        <v>0</v>
      </c>
      <c r="G207" s="7">
        <f>ROUND(1/6*(I207*MAX(_xlfn.XLOOKUP(H207,'02效果表'!D:D,'02效果表'!E:E),0)+K207*MAX(_xlfn.XLOOKUP(J207,'02效果表'!D:D,'02效果表'!E:E),0)+M207*MAX(_xlfn.XLOOKUP(L207,'02效果表'!D:D,'02效果表'!E:E),0)+O207*MAX(_xlfn.XLOOKUP(N207,'02效果表'!D:D,'02效果表'!E:E),0)+Q207*MAX(_xlfn.XLOOKUP(P207,'02效果表'!D:D,'02效果表'!E:E),0)+S207*MAX(_xlfn.XLOOKUP(R207,'02效果表'!D:D,'02效果表'!E:E),0)+U207*MAX(_xlfn.XLOOKUP(T207,'02效果表'!D:D,'02效果表'!E:E),0)+W207*MAX(_xlfn.XLOOKUP(V207,'02效果表'!D:D,'02效果表'!E:E),0)+Y207*MAX(_xlfn.XLOOKUP(X207,'02效果表'!D:D,'02效果表'!E:E),0)+AA207*MAX(_xlfn.XLOOKUP(Z207,'02效果表'!D:D,'02效果表'!E:E),0)+AC207*MAX(_xlfn.XLOOKUP(AB207,'02效果表'!D:D,'02效果表'!E:E),0)+AE207*MAX(_xlfn.XLOOKUP(AD207,'02效果表'!D:D,'02效果表'!E:E),0)),1)</f>
        <v>0</v>
      </c>
      <c r="H207" s="6"/>
      <c r="I207" s="6"/>
      <c r="J207" s="6"/>
      <c r="K207" s="6"/>
      <c r="L207" s="6"/>
      <c r="M207" s="6"/>
      <c r="N207" s="6"/>
      <c r="O207" s="6"/>
      <c r="P207" s="6"/>
      <c r="Q207" s="6"/>
      <c r="R207" s="6"/>
      <c r="S207" s="6"/>
      <c r="T207" s="6"/>
      <c r="U207" s="6"/>
      <c r="V207" s="6"/>
      <c r="W207" s="6"/>
      <c r="X207" s="6"/>
      <c r="Y207" s="6"/>
      <c r="Z207" s="6"/>
      <c r="AA207" s="6"/>
      <c r="AB207" s="6"/>
      <c r="AC207" s="6"/>
      <c r="AD207" s="6"/>
      <c r="AE207" s="6"/>
    </row>
    <row r="208" spans="1:31" x14ac:dyDescent="0.35">
      <c r="A208" s="6">
        <v>208</v>
      </c>
      <c r="B208" s="6" t="s">
        <v>4</v>
      </c>
      <c r="C208" s="10" t="s">
        <v>2</v>
      </c>
      <c r="D208" s="9" t="s">
        <v>1422</v>
      </c>
      <c r="E208" s="7">
        <f t="shared" si="10"/>
        <v>0</v>
      </c>
      <c r="F208" s="7">
        <f>-1*ROUND(1/6*(I208*IF(_xlfn.XLOOKUP(H208,'02效果表'!D:D,'02效果表'!E:E)&lt;0, _xlfn.XLOOKUP(H208,'02效果表'!D:D,'02效果表'!E:E), 0) +
K208*IF(_xlfn.XLOOKUP(J208,'02效果表'!D:D,'02效果表'!E:E)&lt;0, _xlfn.XLOOKUP(J208,'02效果表'!D:D,'02效果表'!E:E), 0) +
M208*IF(_xlfn.XLOOKUP(L208,'02效果表'!D:D,'02效果表'!E:E)&lt;0, _xlfn.XLOOKUP(L208,'02效果表'!D:D,'02效果表'!E:E), 0) +
O208*IF(_xlfn.XLOOKUP(N208,'02效果表'!D:D,'02效果表'!E:E)&lt;0, _xlfn.XLOOKUP(N208,'02效果表'!D:D,'02效果表'!E:E), 0) +
Q208*IF(_xlfn.XLOOKUP(P208,'02效果表'!D:D,'02效果表'!E:E)&lt;0, _xlfn.XLOOKUP(P208,'02效果表'!D:D,'02效果表'!E:E), 0) +
S208*IF(_xlfn.XLOOKUP(R208,'02效果表'!D:D,'02效果表'!E:E)&lt;0, _xlfn.XLOOKUP(R208,'02效果表'!D:D,'02效果表'!E:E), 0) +
U208*IF(_xlfn.XLOOKUP(T208,'02效果表'!D:D,'02效果表'!E:E)&lt;0, _xlfn.XLOOKUP(T208,'02效果表'!D:D,'02效果表'!E:E), 0) +
W208*IF(_xlfn.XLOOKUP(V208,'02效果表'!D:D,'02效果表'!E:E)&lt;0, _xlfn.XLOOKUP(V208,'02效果表'!D:D,'02效果表'!E:E), 0) +
Y208*IF(_xlfn.XLOOKUP(X208,'02效果表'!D:D,'02效果表'!E:E)&lt;0, _xlfn.XLOOKUP(X208,'02效果表'!D:D,'02效果表'!E:E), 0) +
AA208*IF(_xlfn.XLOOKUP(Z208,'02效果表'!D:D,'02效果表'!E:E)&lt;0, _xlfn.XLOOKUP(Z208,'02效果表'!D:D,'02效果表'!E:E), 0) +
AC208*IF(_xlfn.XLOOKUP(AB208,'02效果表'!D:D,'02效果表'!E:E)&lt;0, _xlfn.XLOOKUP(AB208,'02效果表'!D:D,'02效果表'!E:E), 0) +
AE208*IF(_xlfn.XLOOKUP(AD208,'02效果表'!D:D,'02效果表'!E:E)&lt;0, _xlfn.XLOOKUP(AD208,'02效果表'!D:D,'02效果表'!E:E), 0)), 1)</f>
        <v>0</v>
      </c>
      <c r="G208" s="7">
        <f>ROUND(1/6*(I208*MAX(_xlfn.XLOOKUP(H208,'02效果表'!D:D,'02效果表'!E:E),0)+K208*MAX(_xlfn.XLOOKUP(J208,'02效果表'!D:D,'02效果表'!E:E),0)+M208*MAX(_xlfn.XLOOKUP(L208,'02效果表'!D:D,'02效果表'!E:E),0)+O208*MAX(_xlfn.XLOOKUP(N208,'02效果表'!D:D,'02效果表'!E:E),0)+Q208*MAX(_xlfn.XLOOKUP(P208,'02效果表'!D:D,'02效果表'!E:E),0)+S208*MAX(_xlfn.XLOOKUP(R208,'02效果表'!D:D,'02效果表'!E:E),0)+U208*MAX(_xlfn.XLOOKUP(T208,'02效果表'!D:D,'02效果表'!E:E),0)+W208*MAX(_xlfn.XLOOKUP(V208,'02效果表'!D:D,'02效果表'!E:E),0)+Y208*MAX(_xlfn.XLOOKUP(X208,'02效果表'!D:D,'02效果表'!E:E),0)+AA208*MAX(_xlfn.XLOOKUP(Z208,'02效果表'!D:D,'02效果表'!E:E),0)+AC208*MAX(_xlfn.XLOOKUP(AB208,'02效果表'!D:D,'02效果表'!E:E),0)+AE208*MAX(_xlfn.XLOOKUP(AD208,'02效果表'!D:D,'02效果表'!E:E),0)),1)</f>
        <v>0</v>
      </c>
      <c r="H208" s="6"/>
      <c r="I208" s="6"/>
      <c r="J208" s="6"/>
      <c r="K208" s="6"/>
      <c r="L208" s="6"/>
      <c r="M208" s="6"/>
      <c r="N208" s="6"/>
      <c r="O208" s="6"/>
      <c r="P208" s="6"/>
      <c r="Q208" s="6"/>
      <c r="R208" s="6"/>
      <c r="S208" s="6"/>
      <c r="T208" s="6"/>
      <c r="U208" s="6"/>
      <c r="V208" s="6"/>
      <c r="W208" s="6"/>
      <c r="X208" s="6"/>
      <c r="Y208" s="6"/>
      <c r="Z208" s="6"/>
      <c r="AA208" s="6"/>
      <c r="AB208" s="6"/>
      <c r="AC208" s="6"/>
      <c r="AD208" s="6"/>
      <c r="AE208" s="6"/>
    </row>
    <row r="209" spans="1:31" x14ac:dyDescent="0.35">
      <c r="A209" s="6">
        <v>209</v>
      </c>
      <c r="B209" s="6" t="s">
        <v>4</v>
      </c>
      <c r="C209" s="10" t="s">
        <v>2</v>
      </c>
      <c r="D209" s="9" t="s">
        <v>1423</v>
      </c>
      <c r="E209" s="7">
        <f t="shared" si="10"/>
        <v>0</v>
      </c>
      <c r="F209" s="7">
        <f>-1*ROUND(1/6*(I209*IF(_xlfn.XLOOKUP(H209,'02效果表'!D:D,'02效果表'!E:E)&lt;0, _xlfn.XLOOKUP(H209,'02效果表'!D:D,'02效果表'!E:E), 0) +
K209*IF(_xlfn.XLOOKUP(J209,'02效果表'!D:D,'02效果表'!E:E)&lt;0, _xlfn.XLOOKUP(J209,'02效果表'!D:D,'02效果表'!E:E), 0) +
M209*IF(_xlfn.XLOOKUP(L209,'02效果表'!D:D,'02效果表'!E:E)&lt;0, _xlfn.XLOOKUP(L209,'02效果表'!D:D,'02效果表'!E:E), 0) +
O209*IF(_xlfn.XLOOKUP(N209,'02效果表'!D:D,'02效果表'!E:E)&lt;0, _xlfn.XLOOKUP(N209,'02效果表'!D:D,'02效果表'!E:E), 0) +
Q209*IF(_xlfn.XLOOKUP(P209,'02效果表'!D:D,'02效果表'!E:E)&lt;0, _xlfn.XLOOKUP(P209,'02效果表'!D:D,'02效果表'!E:E), 0) +
S209*IF(_xlfn.XLOOKUP(R209,'02效果表'!D:D,'02效果表'!E:E)&lt;0, _xlfn.XLOOKUP(R209,'02效果表'!D:D,'02效果表'!E:E), 0) +
U209*IF(_xlfn.XLOOKUP(T209,'02效果表'!D:D,'02效果表'!E:E)&lt;0, _xlfn.XLOOKUP(T209,'02效果表'!D:D,'02效果表'!E:E), 0) +
W209*IF(_xlfn.XLOOKUP(V209,'02效果表'!D:D,'02效果表'!E:E)&lt;0, _xlfn.XLOOKUP(V209,'02效果表'!D:D,'02效果表'!E:E), 0) +
Y209*IF(_xlfn.XLOOKUP(X209,'02效果表'!D:D,'02效果表'!E:E)&lt;0, _xlfn.XLOOKUP(X209,'02效果表'!D:D,'02效果表'!E:E), 0) +
AA209*IF(_xlfn.XLOOKUP(Z209,'02效果表'!D:D,'02效果表'!E:E)&lt;0, _xlfn.XLOOKUP(Z209,'02效果表'!D:D,'02效果表'!E:E), 0) +
AC209*IF(_xlfn.XLOOKUP(AB209,'02效果表'!D:D,'02效果表'!E:E)&lt;0, _xlfn.XLOOKUP(AB209,'02效果表'!D:D,'02效果表'!E:E), 0) +
AE209*IF(_xlfn.XLOOKUP(AD209,'02效果表'!D:D,'02效果表'!E:E)&lt;0, _xlfn.XLOOKUP(AD209,'02效果表'!D:D,'02效果表'!E:E), 0)), 1)</f>
        <v>0</v>
      </c>
      <c r="G209" s="7">
        <f>ROUND(1/6*(I209*MAX(_xlfn.XLOOKUP(H209,'02效果表'!D:D,'02效果表'!E:E),0)+K209*MAX(_xlfn.XLOOKUP(J209,'02效果表'!D:D,'02效果表'!E:E),0)+M209*MAX(_xlfn.XLOOKUP(L209,'02效果表'!D:D,'02效果表'!E:E),0)+O209*MAX(_xlfn.XLOOKUP(N209,'02效果表'!D:D,'02效果表'!E:E),0)+Q209*MAX(_xlfn.XLOOKUP(P209,'02效果表'!D:D,'02效果表'!E:E),0)+S209*MAX(_xlfn.XLOOKUP(R209,'02效果表'!D:D,'02效果表'!E:E),0)+U209*MAX(_xlfn.XLOOKUP(T209,'02效果表'!D:D,'02效果表'!E:E),0)+W209*MAX(_xlfn.XLOOKUP(V209,'02效果表'!D:D,'02效果表'!E:E),0)+Y209*MAX(_xlfn.XLOOKUP(X209,'02效果表'!D:D,'02效果表'!E:E),0)+AA209*MAX(_xlfn.XLOOKUP(Z209,'02效果表'!D:D,'02效果表'!E:E),0)+AC209*MAX(_xlfn.XLOOKUP(AB209,'02效果表'!D:D,'02效果表'!E:E),0)+AE209*MAX(_xlfn.XLOOKUP(AD209,'02效果表'!D:D,'02效果表'!E:E),0)),1)</f>
        <v>0</v>
      </c>
      <c r="H209" s="6"/>
      <c r="I209" s="6"/>
      <c r="J209" s="6"/>
      <c r="K209" s="6"/>
      <c r="L209" s="6"/>
      <c r="M209" s="6"/>
      <c r="N209" s="6"/>
      <c r="O209" s="6"/>
      <c r="P209" s="6"/>
      <c r="Q209" s="6"/>
      <c r="R209" s="6"/>
      <c r="S209" s="6"/>
      <c r="T209" s="6"/>
      <c r="U209" s="6"/>
      <c r="V209" s="6"/>
      <c r="W209" s="6"/>
      <c r="X209" s="6"/>
      <c r="Y209" s="6"/>
      <c r="Z209" s="6"/>
      <c r="AA209" s="6"/>
      <c r="AB209" s="6"/>
      <c r="AC209" s="6"/>
      <c r="AD209" s="6"/>
      <c r="AE209" s="6"/>
    </row>
    <row r="210" spans="1:31" x14ac:dyDescent="0.35">
      <c r="A210" s="6">
        <v>210</v>
      </c>
      <c r="B210" s="6" t="s">
        <v>4</v>
      </c>
      <c r="C210" s="10" t="s">
        <v>2</v>
      </c>
      <c r="D210" s="9" t="s">
        <v>1424</v>
      </c>
      <c r="E210" s="7">
        <f t="shared" si="10"/>
        <v>0</v>
      </c>
      <c r="F210" s="7">
        <f>-1*ROUND(1/6*(I210*IF(_xlfn.XLOOKUP(H210,'02效果表'!D:D,'02效果表'!E:E)&lt;0, _xlfn.XLOOKUP(H210,'02效果表'!D:D,'02效果表'!E:E), 0) +
K210*IF(_xlfn.XLOOKUP(J210,'02效果表'!D:D,'02效果表'!E:E)&lt;0, _xlfn.XLOOKUP(J210,'02效果表'!D:D,'02效果表'!E:E), 0) +
M210*IF(_xlfn.XLOOKUP(L210,'02效果表'!D:D,'02效果表'!E:E)&lt;0, _xlfn.XLOOKUP(L210,'02效果表'!D:D,'02效果表'!E:E), 0) +
O210*IF(_xlfn.XLOOKUP(N210,'02效果表'!D:D,'02效果表'!E:E)&lt;0, _xlfn.XLOOKUP(N210,'02效果表'!D:D,'02效果表'!E:E), 0) +
Q210*IF(_xlfn.XLOOKUP(P210,'02效果表'!D:D,'02效果表'!E:E)&lt;0, _xlfn.XLOOKUP(P210,'02效果表'!D:D,'02效果表'!E:E), 0) +
S210*IF(_xlfn.XLOOKUP(R210,'02效果表'!D:D,'02效果表'!E:E)&lt;0, _xlfn.XLOOKUP(R210,'02效果表'!D:D,'02效果表'!E:E), 0) +
U210*IF(_xlfn.XLOOKUP(T210,'02效果表'!D:D,'02效果表'!E:E)&lt;0, _xlfn.XLOOKUP(T210,'02效果表'!D:D,'02效果表'!E:E), 0) +
W210*IF(_xlfn.XLOOKUP(V210,'02效果表'!D:D,'02效果表'!E:E)&lt;0, _xlfn.XLOOKUP(V210,'02效果表'!D:D,'02效果表'!E:E), 0) +
Y210*IF(_xlfn.XLOOKUP(X210,'02效果表'!D:D,'02效果表'!E:E)&lt;0, _xlfn.XLOOKUP(X210,'02效果表'!D:D,'02效果表'!E:E), 0) +
AA210*IF(_xlfn.XLOOKUP(Z210,'02效果表'!D:D,'02效果表'!E:E)&lt;0, _xlfn.XLOOKUP(Z210,'02效果表'!D:D,'02效果表'!E:E), 0) +
AC210*IF(_xlfn.XLOOKUP(AB210,'02效果表'!D:D,'02效果表'!E:E)&lt;0, _xlfn.XLOOKUP(AB210,'02效果表'!D:D,'02效果表'!E:E), 0) +
AE210*IF(_xlfn.XLOOKUP(AD210,'02效果表'!D:D,'02效果表'!E:E)&lt;0, _xlfn.XLOOKUP(AD210,'02效果表'!D:D,'02效果表'!E:E), 0)), 1)</f>
        <v>0</v>
      </c>
      <c r="G210" s="7">
        <f>ROUND(1/6*(I210*MAX(_xlfn.XLOOKUP(H210,'02效果表'!D:D,'02效果表'!E:E),0)+K210*MAX(_xlfn.XLOOKUP(J210,'02效果表'!D:D,'02效果表'!E:E),0)+M210*MAX(_xlfn.XLOOKUP(L210,'02效果表'!D:D,'02效果表'!E:E),0)+O210*MAX(_xlfn.XLOOKUP(N210,'02效果表'!D:D,'02效果表'!E:E),0)+Q210*MAX(_xlfn.XLOOKUP(P210,'02效果表'!D:D,'02效果表'!E:E),0)+S210*MAX(_xlfn.XLOOKUP(R210,'02效果表'!D:D,'02效果表'!E:E),0)+U210*MAX(_xlfn.XLOOKUP(T210,'02效果表'!D:D,'02效果表'!E:E),0)+W210*MAX(_xlfn.XLOOKUP(V210,'02效果表'!D:D,'02效果表'!E:E),0)+Y210*MAX(_xlfn.XLOOKUP(X210,'02效果表'!D:D,'02效果表'!E:E),0)+AA210*MAX(_xlfn.XLOOKUP(Z210,'02效果表'!D:D,'02效果表'!E:E),0)+AC210*MAX(_xlfn.XLOOKUP(AB210,'02效果表'!D:D,'02效果表'!E:E),0)+AE210*MAX(_xlfn.XLOOKUP(AD210,'02效果表'!D:D,'02效果表'!E:E),0)),1)</f>
        <v>0</v>
      </c>
      <c r="H210" s="6"/>
      <c r="I210" s="6"/>
      <c r="J210" s="6"/>
      <c r="K210" s="6"/>
      <c r="L210" s="6"/>
      <c r="M210" s="6"/>
      <c r="N210" s="6"/>
      <c r="O210" s="6"/>
      <c r="P210" s="6"/>
      <c r="Q210" s="6"/>
      <c r="R210" s="6"/>
      <c r="S210" s="6"/>
      <c r="T210" s="6"/>
      <c r="U210" s="6"/>
      <c r="V210" s="6"/>
      <c r="W210" s="6"/>
      <c r="X210" s="6"/>
      <c r="Y210" s="6"/>
      <c r="Z210" s="6"/>
      <c r="AA210" s="6"/>
      <c r="AB210" s="6"/>
      <c r="AC210" s="6"/>
      <c r="AD210" s="6"/>
      <c r="AE210" s="6"/>
    </row>
    <row r="211" spans="1:31" x14ac:dyDescent="0.35">
      <c r="A211" s="6">
        <v>211</v>
      </c>
      <c r="B211" s="6" t="s">
        <v>4</v>
      </c>
      <c r="C211" s="10" t="s">
        <v>2</v>
      </c>
      <c r="D211" s="9" t="s">
        <v>1425</v>
      </c>
      <c r="E211" s="7">
        <f t="shared" si="10"/>
        <v>0</v>
      </c>
      <c r="F211" s="7">
        <f>-1*ROUND(1/6*(I211*IF(_xlfn.XLOOKUP(H211,'02效果表'!D:D,'02效果表'!E:E)&lt;0, _xlfn.XLOOKUP(H211,'02效果表'!D:D,'02效果表'!E:E), 0) +
K211*IF(_xlfn.XLOOKUP(J211,'02效果表'!D:D,'02效果表'!E:E)&lt;0, _xlfn.XLOOKUP(J211,'02效果表'!D:D,'02效果表'!E:E), 0) +
M211*IF(_xlfn.XLOOKUP(L211,'02效果表'!D:D,'02效果表'!E:E)&lt;0, _xlfn.XLOOKUP(L211,'02效果表'!D:D,'02效果表'!E:E), 0) +
O211*IF(_xlfn.XLOOKUP(N211,'02效果表'!D:D,'02效果表'!E:E)&lt;0, _xlfn.XLOOKUP(N211,'02效果表'!D:D,'02效果表'!E:E), 0) +
Q211*IF(_xlfn.XLOOKUP(P211,'02效果表'!D:D,'02效果表'!E:E)&lt;0, _xlfn.XLOOKUP(P211,'02效果表'!D:D,'02效果表'!E:E), 0) +
S211*IF(_xlfn.XLOOKUP(R211,'02效果表'!D:D,'02效果表'!E:E)&lt;0, _xlfn.XLOOKUP(R211,'02效果表'!D:D,'02效果表'!E:E), 0) +
U211*IF(_xlfn.XLOOKUP(T211,'02效果表'!D:D,'02效果表'!E:E)&lt;0, _xlfn.XLOOKUP(T211,'02效果表'!D:D,'02效果表'!E:E), 0) +
W211*IF(_xlfn.XLOOKUP(V211,'02效果表'!D:D,'02效果表'!E:E)&lt;0, _xlfn.XLOOKUP(V211,'02效果表'!D:D,'02效果表'!E:E), 0) +
Y211*IF(_xlfn.XLOOKUP(X211,'02效果表'!D:D,'02效果表'!E:E)&lt;0, _xlfn.XLOOKUP(X211,'02效果表'!D:D,'02效果表'!E:E), 0) +
AA211*IF(_xlfn.XLOOKUP(Z211,'02效果表'!D:D,'02效果表'!E:E)&lt;0, _xlfn.XLOOKUP(Z211,'02效果表'!D:D,'02效果表'!E:E), 0) +
AC211*IF(_xlfn.XLOOKUP(AB211,'02效果表'!D:D,'02效果表'!E:E)&lt;0, _xlfn.XLOOKUP(AB211,'02效果表'!D:D,'02效果表'!E:E), 0) +
AE211*IF(_xlfn.XLOOKUP(AD211,'02效果表'!D:D,'02效果表'!E:E)&lt;0, _xlfn.XLOOKUP(AD211,'02效果表'!D:D,'02效果表'!E:E), 0)), 1)</f>
        <v>0</v>
      </c>
      <c r="G211" s="7">
        <f>ROUND(1/6*(I211*MAX(_xlfn.XLOOKUP(H211,'02效果表'!D:D,'02效果表'!E:E),0)+K211*MAX(_xlfn.XLOOKUP(J211,'02效果表'!D:D,'02效果表'!E:E),0)+M211*MAX(_xlfn.XLOOKUP(L211,'02效果表'!D:D,'02效果表'!E:E),0)+O211*MAX(_xlfn.XLOOKUP(N211,'02效果表'!D:D,'02效果表'!E:E),0)+Q211*MAX(_xlfn.XLOOKUP(P211,'02效果表'!D:D,'02效果表'!E:E),0)+S211*MAX(_xlfn.XLOOKUP(R211,'02效果表'!D:D,'02效果表'!E:E),0)+U211*MAX(_xlfn.XLOOKUP(T211,'02效果表'!D:D,'02效果表'!E:E),0)+W211*MAX(_xlfn.XLOOKUP(V211,'02效果表'!D:D,'02效果表'!E:E),0)+Y211*MAX(_xlfn.XLOOKUP(X211,'02效果表'!D:D,'02效果表'!E:E),0)+AA211*MAX(_xlfn.XLOOKUP(Z211,'02效果表'!D:D,'02效果表'!E:E),0)+AC211*MAX(_xlfn.XLOOKUP(AB211,'02效果表'!D:D,'02效果表'!E:E),0)+AE211*MAX(_xlfn.XLOOKUP(AD211,'02效果表'!D:D,'02效果表'!E:E),0)),1)</f>
        <v>0</v>
      </c>
      <c r="H211" s="6"/>
      <c r="I211" s="6"/>
      <c r="J211" s="6"/>
      <c r="K211" s="6"/>
      <c r="L211" s="6"/>
      <c r="M211" s="6"/>
      <c r="N211" s="6"/>
      <c r="O211" s="6"/>
      <c r="P211" s="6"/>
      <c r="Q211" s="6"/>
      <c r="R211" s="6"/>
      <c r="S211" s="6"/>
      <c r="T211" s="6"/>
      <c r="U211" s="6"/>
      <c r="V211" s="6"/>
      <c r="W211" s="6"/>
      <c r="X211" s="6"/>
      <c r="Y211" s="6"/>
      <c r="Z211" s="6"/>
      <c r="AA211" s="6"/>
      <c r="AB211" s="6"/>
      <c r="AC211" s="6"/>
      <c r="AD211" s="6"/>
      <c r="AE211" s="6"/>
    </row>
    <row r="212" spans="1:31" x14ac:dyDescent="0.35">
      <c r="A212" s="6">
        <v>212</v>
      </c>
      <c r="B212" s="6" t="s">
        <v>4</v>
      </c>
      <c r="C212" s="10" t="s">
        <v>2</v>
      </c>
      <c r="D212" s="9" t="s">
        <v>1426</v>
      </c>
      <c r="E212" s="7">
        <f t="shared" si="10"/>
        <v>0</v>
      </c>
      <c r="F212" s="7">
        <f>-1*ROUND(1/6*(I212*IF(_xlfn.XLOOKUP(H212,'02效果表'!D:D,'02效果表'!E:E)&lt;0, _xlfn.XLOOKUP(H212,'02效果表'!D:D,'02效果表'!E:E), 0) +
K212*IF(_xlfn.XLOOKUP(J212,'02效果表'!D:D,'02效果表'!E:E)&lt;0, _xlfn.XLOOKUP(J212,'02效果表'!D:D,'02效果表'!E:E), 0) +
M212*IF(_xlfn.XLOOKUP(L212,'02效果表'!D:D,'02效果表'!E:E)&lt;0, _xlfn.XLOOKUP(L212,'02效果表'!D:D,'02效果表'!E:E), 0) +
O212*IF(_xlfn.XLOOKUP(N212,'02效果表'!D:D,'02效果表'!E:E)&lt;0, _xlfn.XLOOKUP(N212,'02效果表'!D:D,'02效果表'!E:E), 0) +
Q212*IF(_xlfn.XLOOKUP(P212,'02效果表'!D:D,'02效果表'!E:E)&lt;0, _xlfn.XLOOKUP(P212,'02效果表'!D:D,'02效果表'!E:E), 0) +
S212*IF(_xlfn.XLOOKUP(R212,'02效果表'!D:D,'02效果表'!E:E)&lt;0, _xlfn.XLOOKUP(R212,'02效果表'!D:D,'02效果表'!E:E), 0) +
U212*IF(_xlfn.XLOOKUP(T212,'02效果表'!D:D,'02效果表'!E:E)&lt;0, _xlfn.XLOOKUP(T212,'02效果表'!D:D,'02效果表'!E:E), 0) +
W212*IF(_xlfn.XLOOKUP(V212,'02效果表'!D:D,'02效果表'!E:E)&lt;0, _xlfn.XLOOKUP(V212,'02效果表'!D:D,'02效果表'!E:E), 0) +
Y212*IF(_xlfn.XLOOKUP(X212,'02效果表'!D:D,'02效果表'!E:E)&lt;0, _xlfn.XLOOKUP(X212,'02效果表'!D:D,'02效果表'!E:E), 0) +
AA212*IF(_xlfn.XLOOKUP(Z212,'02效果表'!D:D,'02效果表'!E:E)&lt;0, _xlfn.XLOOKUP(Z212,'02效果表'!D:D,'02效果表'!E:E), 0) +
AC212*IF(_xlfn.XLOOKUP(AB212,'02效果表'!D:D,'02效果表'!E:E)&lt;0, _xlfn.XLOOKUP(AB212,'02效果表'!D:D,'02效果表'!E:E), 0) +
AE212*IF(_xlfn.XLOOKUP(AD212,'02效果表'!D:D,'02效果表'!E:E)&lt;0, _xlfn.XLOOKUP(AD212,'02效果表'!D:D,'02效果表'!E:E), 0)), 1)</f>
        <v>0</v>
      </c>
      <c r="G212" s="7">
        <f>ROUND(1/6*(I212*MAX(_xlfn.XLOOKUP(H212,'02效果表'!D:D,'02效果表'!E:E),0)+K212*MAX(_xlfn.XLOOKUP(J212,'02效果表'!D:D,'02效果表'!E:E),0)+M212*MAX(_xlfn.XLOOKUP(L212,'02效果表'!D:D,'02效果表'!E:E),0)+O212*MAX(_xlfn.XLOOKUP(N212,'02效果表'!D:D,'02效果表'!E:E),0)+Q212*MAX(_xlfn.XLOOKUP(P212,'02效果表'!D:D,'02效果表'!E:E),0)+S212*MAX(_xlfn.XLOOKUP(R212,'02效果表'!D:D,'02效果表'!E:E),0)+U212*MAX(_xlfn.XLOOKUP(T212,'02效果表'!D:D,'02效果表'!E:E),0)+W212*MAX(_xlfn.XLOOKUP(V212,'02效果表'!D:D,'02效果表'!E:E),0)+Y212*MAX(_xlfn.XLOOKUP(X212,'02效果表'!D:D,'02效果表'!E:E),0)+AA212*MAX(_xlfn.XLOOKUP(Z212,'02效果表'!D:D,'02效果表'!E:E),0)+AC212*MAX(_xlfn.XLOOKUP(AB212,'02效果表'!D:D,'02效果表'!E:E),0)+AE212*MAX(_xlfn.XLOOKUP(AD212,'02效果表'!D:D,'02效果表'!E:E),0)),1)</f>
        <v>0</v>
      </c>
      <c r="H212" s="6"/>
      <c r="I212" s="6"/>
      <c r="J212" s="6"/>
      <c r="K212" s="6"/>
      <c r="L212" s="6"/>
      <c r="M212" s="6"/>
      <c r="N212" s="6"/>
      <c r="O212" s="6"/>
      <c r="P212" s="6"/>
      <c r="Q212" s="6"/>
      <c r="R212" s="6"/>
      <c r="S212" s="6"/>
      <c r="T212" s="6"/>
      <c r="U212" s="6"/>
      <c r="V212" s="6"/>
      <c r="W212" s="6"/>
      <c r="X212" s="6"/>
      <c r="Y212" s="6"/>
      <c r="Z212" s="6"/>
      <c r="AA212" s="6"/>
      <c r="AB212" s="6"/>
      <c r="AC212" s="6"/>
      <c r="AD212" s="6"/>
      <c r="AE212" s="6"/>
    </row>
    <row r="213" spans="1:31" x14ac:dyDescent="0.35">
      <c r="A213" s="6">
        <v>213</v>
      </c>
      <c r="B213" s="6" t="s">
        <v>4</v>
      </c>
      <c r="C213" s="10" t="s">
        <v>2</v>
      </c>
      <c r="D213" s="9" t="s">
        <v>1427</v>
      </c>
      <c r="E213" s="7">
        <f t="shared" si="10"/>
        <v>0</v>
      </c>
      <c r="F213" s="7">
        <f>-1*ROUND(1/6*(I213*IF(_xlfn.XLOOKUP(H213,'02效果表'!D:D,'02效果表'!E:E)&lt;0, _xlfn.XLOOKUP(H213,'02效果表'!D:D,'02效果表'!E:E), 0) +
K213*IF(_xlfn.XLOOKUP(J213,'02效果表'!D:D,'02效果表'!E:E)&lt;0, _xlfn.XLOOKUP(J213,'02效果表'!D:D,'02效果表'!E:E), 0) +
M213*IF(_xlfn.XLOOKUP(L213,'02效果表'!D:D,'02效果表'!E:E)&lt;0, _xlfn.XLOOKUP(L213,'02效果表'!D:D,'02效果表'!E:E), 0) +
O213*IF(_xlfn.XLOOKUP(N213,'02效果表'!D:D,'02效果表'!E:E)&lt;0, _xlfn.XLOOKUP(N213,'02效果表'!D:D,'02效果表'!E:E), 0) +
Q213*IF(_xlfn.XLOOKUP(P213,'02效果表'!D:D,'02效果表'!E:E)&lt;0, _xlfn.XLOOKUP(P213,'02效果表'!D:D,'02效果表'!E:E), 0) +
S213*IF(_xlfn.XLOOKUP(R213,'02效果表'!D:D,'02效果表'!E:E)&lt;0, _xlfn.XLOOKUP(R213,'02效果表'!D:D,'02效果表'!E:E), 0) +
U213*IF(_xlfn.XLOOKUP(T213,'02效果表'!D:D,'02效果表'!E:E)&lt;0, _xlfn.XLOOKUP(T213,'02效果表'!D:D,'02效果表'!E:E), 0) +
W213*IF(_xlfn.XLOOKUP(V213,'02效果表'!D:D,'02效果表'!E:E)&lt;0, _xlfn.XLOOKUP(V213,'02效果表'!D:D,'02效果表'!E:E), 0) +
Y213*IF(_xlfn.XLOOKUP(X213,'02效果表'!D:D,'02效果表'!E:E)&lt;0, _xlfn.XLOOKUP(X213,'02效果表'!D:D,'02效果表'!E:E), 0) +
AA213*IF(_xlfn.XLOOKUP(Z213,'02效果表'!D:D,'02效果表'!E:E)&lt;0, _xlfn.XLOOKUP(Z213,'02效果表'!D:D,'02效果表'!E:E), 0) +
AC213*IF(_xlfn.XLOOKUP(AB213,'02效果表'!D:D,'02效果表'!E:E)&lt;0, _xlfn.XLOOKUP(AB213,'02效果表'!D:D,'02效果表'!E:E), 0) +
AE213*IF(_xlfn.XLOOKUP(AD213,'02效果表'!D:D,'02效果表'!E:E)&lt;0, _xlfn.XLOOKUP(AD213,'02效果表'!D:D,'02效果表'!E:E), 0)), 1)</f>
        <v>0</v>
      </c>
      <c r="G213" s="7">
        <f>ROUND(1/6*(I213*MAX(_xlfn.XLOOKUP(H213,'02效果表'!D:D,'02效果表'!E:E),0)+K213*MAX(_xlfn.XLOOKUP(J213,'02效果表'!D:D,'02效果表'!E:E),0)+M213*MAX(_xlfn.XLOOKUP(L213,'02效果表'!D:D,'02效果表'!E:E),0)+O213*MAX(_xlfn.XLOOKUP(N213,'02效果表'!D:D,'02效果表'!E:E),0)+Q213*MAX(_xlfn.XLOOKUP(P213,'02效果表'!D:D,'02效果表'!E:E),0)+S213*MAX(_xlfn.XLOOKUP(R213,'02效果表'!D:D,'02效果表'!E:E),0)+U213*MAX(_xlfn.XLOOKUP(T213,'02效果表'!D:D,'02效果表'!E:E),0)+W213*MAX(_xlfn.XLOOKUP(V213,'02效果表'!D:D,'02效果表'!E:E),0)+Y213*MAX(_xlfn.XLOOKUP(X213,'02效果表'!D:D,'02效果表'!E:E),0)+AA213*MAX(_xlfn.XLOOKUP(Z213,'02效果表'!D:D,'02效果表'!E:E),0)+AC213*MAX(_xlfn.XLOOKUP(AB213,'02效果表'!D:D,'02效果表'!E:E),0)+AE213*MAX(_xlfn.XLOOKUP(AD213,'02效果表'!D:D,'02效果表'!E:E),0)),1)</f>
        <v>0</v>
      </c>
      <c r="H213" s="6"/>
      <c r="I213" s="6"/>
      <c r="J213" s="6"/>
      <c r="K213" s="6"/>
      <c r="L213" s="6"/>
      <c r="M213" s="6"/>
      <c r="N213" s="6"/>
      <c r="O213" s="6"/>
      <c r="P213" s="6"/>
      <c r="Q213" s="6"/>
      <c r="R213" s="6"/>
      <c r="S213" s="6"/>
      <c r="T213" s="6"/>
      <c r="U213" s="6"/>
      <c r="V213" s="6"/>
      <c r="W213" s="6"/>
      <c r="X213" s="6"/>
      <c r="Y213" s="6"/>
      <c r="Z213" s="6"/>
      <c r="AA213" s="6"/>
      <c r="AB213" s="6"/>
      <c r="AC213" s="6"/>
      <c r="AD213" s="6"/>
      <c r="AE213" s="6"/>
    </row>
    <row r="214" spans="1:31" x14ac:dyDescent="0.35">
      <c r="A214" s="6">
        <v>214</v>
      </c>
      <c r="B214" s="6" t="s">
        <v>4</v>
      </c>
      <c r="C214" s="10" t="s">
        <v>2</v>
      </c>
      <c r="D214" s="9" t="s">
        <v>1428</v>
      </c>
      <c r="E214" s="7">
        <f t="shared" si="10"/>
        <v>0</v>
      </c>
      <c r="F214" s="7">
        <f>-1*ROUND(1/6*(I214*IF(_xlfn.XLOOKUP(H214,'02效果表'!D:D,'02效果表'!E:E)&lt;0, _xlfn.XLOOKUP(H214,'02效果表'!D:D,'02效果表'!E:E), 0) +
K214*IF(_xlfn.XLOOKUP(J214,'02效果表'!D:D,'02效果表'!E:E)&lt;0, _xlfn.XLOOKUP(J214,'02效果表'!D:D,'02效果表'!E:E), 0) +
M214*IF(_xlfn.XLOOKUP(L214,'02效果表'!D:D,'02效果表'!E:E)&lt;0, _xlfn.XLOOKUP(L214,'02效果表'!D:D,'02效果表'!E:E), 0) +
O214*IF(_xlfn.XLOOKUP(N214,'02效果表'!D:D,'02效果表'!E:E)&lt;0, _xlfn.XLOOKUP(N214,'02效果表'!D:D,'02效果表'!E:E), 0) +
Q214*IF(_xlfn.XLOOKUP(P214,'02效果表'!D:D,'02效果表'!E:E)&lt;0, _xlfn.XLOOKUP(P214,'02效果表'!D:D,'02效果表'!E:E), 0) +
S214*IF(_xlfn.XLOOKUP(R214,'02效果表'!D:D,'02效果表'!E:E)&lt;0, _xlfn.XLOOKUP(R214,'02效果表'!D:D,'02效果表'!E:E), 0) +
U214*IF(_xlfn.XLOOKUP(T214,'02效果表'!D:D,'02效果表'!E:E)&lt;0, _xlfn.XLOOKUP(T214,'02效果表'!D:D,'02效果表'!E:E), 0) +
W214*IF(_xlfn.XLOOKUP(V214,'02效果表'!D:D,'02效果表'!E:E)&lt;0, _xlfn.XLOOKUP(V214,'02效果表'!D:D,'02效果表'!E:E), 0) +
Y214*IF(_xlfn.XLOOKUP(X214,'02效果表'!D:D,'02效果表'!E:E)&lt;0, _xlfn.XLOOKUP(X214,'02效果表'!D:D,'02效果表'!E:E), 0) +
AA214*IF(_xlfn.XLOOKUP(Z214,'02效果表'!D:D,'02效果表'!E:E)&lt;0, _xlfn.XLOOKUP(Z214,'02效果表'!D:D,'02效果表'!E:E), 0) +
AC214*IF(_xlfn.XLOOKUP(AB214,'02效果表'!D:D,'02效果表'!E:E)&lt;0, _xlfn.XLOOKUP(AB214,'02效果表'!D:D,'02效果表'!E:E), 0) +
AE214*IF(_xlfn.XLOOKUP(AD214,'02效果表'!D:D,'02效果表'!E:E)&lt;0, _xlfn.XLOOKUP(AD214,'02效果表'!D:D,'02效果表'!E:E), 0)), 1)</f>
        <v>0</v>
      </c>
      <c r="G214" s="7">
        <f>ROUND(1/6*(I214*MAX(_xlfn.XLOOKUP(H214,'02效果表'!D:D,'02效果表'!E:E),0)+K214*MAX(_xlfn.XLOOKUP(J214,'02效果表'!D:D,'02效果表'!E:E),0)+M214*MAX(_xlfn.XLOOKUP(L214,'02效果表'!D:D,'02效果表'!E:E),0)+O214*MAX(_xlfn.XLOOKUP(N214,'02效果表'!D:D,'02效果表'!E:E),0)+Q214*MAX(_xlfn.XLOOKUP(P214,'02效果表'!D:D,'02效果表'!E:E),0)+S214*MAX(_xlfn.XLOOKUP(R214,'02效果表'!D:D,'02效果表'!E:E),0)+U214*MAX(_xlfn.XLOOKUP(T214,'02效果表'!D:D,'02效果表'!E:E),0)+W214*MAX(_xlfn.XLOOKUP(V214,'02效果表'!D:D,'02效果表'!E:E),0)+Y214*MAX(_xlfn.XLOOKUP(X214,'02效果表'!D:D,'02效果表'!E:E),0)+AA214*MAX(_xlfn.XLOOKUP(Z214,'02效果表'!D:D,'02效果表'!E:E),0)+AC214*MAX(_xlfn.XLOOKUP(AB214,'02效果表'!D:D,'02效果表'!E:E),0)+AE214*MAX(_xlfn.XLOOKUP(AD214,'02效果表'!D:D,'02效果表'!E:E),0)),1)</f>
        <v>0</v>
      </c>
      <c r="H214" s="6"/>
      <c r="I214" s="6"/>
      <c r="J214" s="6"/>
      <c r="K214" s="6"/>
      <c r="L214" s="6"/>
      <c r="M214" s="6"/>
      <c r="N214" s="6"/>
      <c r="O214" s="6"/>
      <c r="P214" s="6"/>
      <c r="Q214" s="6"/>
      <c r="R214" s="6"/>
      <c r="S214" s="6"/>
      <c r="T214" s="6"/>
      <c r="U214" s="6"/>
      <c r="V214" s="6"/>
      <c r="W214" s="6"/>
      <c r="X214" s="6"/>
      <c r="Y214" s="6"/>
      <c r="Z214" s="6"/>
      <c r="AA214" s="6"/>
      <c r="AB214" s="6"/>
      <c r="AC214" s="6"/>
      <c r="AD214" s="6"/>
      <c r="AE214" s="6"/>
    </row>
    <row r="215" spans="1:31" x14ac:dyDescent="0.35">
      <c r="A215" s="6">
        <v>215</v>
      </c>
      <c r="B215" s="6" t="s">
        <v>4</v>
      </c>
      <c r="C215" s="10" t="s">
        <v>2</v>
      </c>
      <c r="D215" s="9" t="s">
        <v>1429</v>
      </c>
      <c r="E215" s="7">
        <f t="shared" si="10"/>
        <v>0</v>
      </c>
      <c r="F215" s="7">
        <f>-1*ROUND(1/6*(I215*IF(_xlfn.XLOOKUP(H215,'02效果表'!D:D,'02效果表'!E:E)&lt;0, _xlfn.XLOOKUP(H215,'02效果表'!D:D,'02效果表'!E:E), 0) +
K215*IF(_xlfn.XLOOKUP(J215,'02效果表'!D:D,'02效果表'!E:E)&lt;0, _xlfn.XLOOKUP(J215,'02效果表'!D:D,'02效果表'!E:E), 0) +
M215*IF(_xlfn.XLOOKUP(L215,'02效果表'!D:D,'02效果表'!E:E)&lt;0, _xlfn.XLOOKUP(L215,'02效果表'!D:D,'02效果表'!E:E), 0) +
O215*IF(_xlfn.XLOOKUP(N215,'02效果表'!D:D,'02效果表'!E:E)&lt;0, _xlfn.XLOOKUP(N215,'02效果表'!D:D,'02效果表'!E:E), 0) +
Q215*IF(_xlfn.XLOOKUP(P215,'02效果表'!D:D,'02效果表'!E:E)&lt;0, _xlfn.XLOOKUP(P215,'02效果表'!D:D,'02效果表'!E:E), 0) +
S215*IF(_xlfn.XLOOKUP(R215,'02效果表'!D:D,'02效果表'!E:E)&lt;0, _xlfn.XLOOKUP(R215,'02效果表'!D:D,'02效果表'!E:E), 0) +
U215*IF(_xlfn.XLOOKUP(T215,'02效果表'!D:D,'02效果表'!E:E)&lt;0, _xlfn.XLOOKUP(T215,'02效果表'!D:D,'02效果表'!E:E), 0) +
W215*IF(_xlfn.XLOOKUP(V215,'02效果表'!D:D,'02效果表'!E:E)&lt;0, _xlfn.XLOOKUP(V215,'02效果表'!D:D,'02效果表'!E:E), 0) +
Y215*IF(_xlfn.XLOOKUP(X215,'02效果表'!D:D,'02效果表'!E:E)&lt;0, _xlfn.XLOOKUP(X215,'02效果表'!D:D,'02效果表'!E:E), 0) +
AA215*IF(_xlfn.XLOOKUP(Z215,'02效果表'!D:D,'02效果表'!E:E)&lt;0, _xlfn.XLOOKUP(Z215,'02效果表'!D:D,'02效果表'!E:E), 0) +
AC215*IF(_xlfn.XLOOKUP(AB215,'02效果表'!D:D,'02效果表'!E:E)&lt;0, _xlfn.XLOOKUP(AB215,'02效果表'!D:D,'02效果表'!E:E), 0) +
AE215*IF(_xlfn.XLOOKUP(AD215,'02效果表'!D:D,'02效果表'!E:E)&lt;0, _xlfn.XLOOKUP(AD215,'02效果表'!D:D,'02效果表'!E:E), 0)), 1)</f>
        <v>0</v>
      </c>
      <c r="G215" s="7">
        <f>ROUND(1/6*(I215*MAX(_xlfn.XLOOKUP(H215,'02效果表'!D:D,'02效果表'!E:E),0)+K215*MAX(_xlfn.XLOOKUP(J215,'02效果表'!D:D,'02效果表'!E:E),0)+M215*MAX(_xlfn.XLOOKUP(L215,'02效果表'!D:D,'02效果表'!E:E),0)+O215*MAX(_xlfn.XLOOKUP(N215,'02效果表'!D:D,'02效果表'!E:E),0)+Q215*MAX(_xlfn.XLOOKUP(P215,'02效果表'!D:D,'02效果表'!E:E),0)+S215*MAX(_xlfn.XLOOKUP(R215,'02效果表'!D:D,'02效果表'!E:E),0)+U215*MAX(_xlfn.XLOOKUP(T215,'02效果表'!D:D,'02效果表'!E:E),0)+W215*MAX(_xlfn.XLOOKUP(V215,'02效果表'!D:D,'02效果表'!E:E),0)+Y215*MAX(_xlfn.XLOOKUP(X215,'02效果表'!D:D,'02效果表'!E:E),0)+AA215*MAX(_xlfn.XLOOKUP(Z215,'02效果表'!D:D,'02效果表'!E:E),0)+AC215*MAX(_xlfn.XLOOKUP(AB215,'02效果表'!D:D,'02效果表'!E:E),0)+AE215*MAX(_xlfn.XLOOKUP(AD215,'02效果表'!D:D,'02效果表'!E:E),0)),1)</f>
        <v>0</v>
      </c>
      <c r="H215" s="6"/>
      <c r="I215" s="6"/>
      <c r="J215" s="6"/>
      <c r="K215" s="6"/>
      <c r="L215" s="6"/>
      <c r="M215" s="6"/>
      <c r="N215" s="6"/>
      <c r="O215" s="6"/>
      <c r="P215" s="6"/>
      <c r="Q215" s="6"/>
      <c r="R215" s="6"/>
      <c r="S215" s="6"/>
      <c r="T215" s="6"/>
      <c r="U215" s="6"/>
      <c r="V215" s="6"/>
      <c r="W215" s="6"/>
      <c r="X215" s="6"/>
      <c r="Y215" s="6"/>
      <c r="Z215" s="6"/>
      <c r="AA215" s="6"/>
      <c r="AB215" s="6"/>
      <c r="AC215" s="6"/>
      <c r="AD215" s="6"/>
      <c r="AE215" s="6"/>
    </row>
    <row r="216" spans="1:31" x14ac:dyDescent="0.35">
      <c r="A216" s="6">
        <v>216</v>
      </c>
      <c r="B216" s="6" t="s">
        <v>4</v>
      </c>
      <c r="C216" s="10" t="s">
        <v>2</v>
      </c>
      <c r="D216" s="9" t="s">
        <v>1430</v>
      </c>
      <c r="E216" s="7">
        <f t="shared" si="10"/>
        <v>0</v>
      </c>
      <c r="F216" s="7">
        <f>-1*ROUND(1/6*(I216*IF(_xlfn.XLOOKUP(H216,'02效果表'!D:D,'02效果表'!E:E)&lt;0, _xlfn.XLOOKUP(H216,'02效果表'!D:D,'02效果表'!E:E), 0) +
K216*IF(_xlfn.XLOOKUP(J216,'02效果表'!D:D,'02效果表'!E:E)&lt;0, _xlfn.XLOOKUP(J216,'02效果表'!D:D,'02效果表'!E:E), 0) +
M216*IF(_xlfn.XLOOKUP(L216,'02效果表'!D:D,'02效果表'!E:E)&lt;0, _xlfn.XLOOKUP(L216,'02效果表'!D:D,'02效果表'!E:E), 0) +
O216*IF(_xlfn.XLOOKUP(N216,'02效果表'!D:D,'02效果表'!E:E)&lt;0, _xlfn.XLOOKUP(N216,'02效果表'!D:D,'02效果表'!E:E), 0) +
Q216*IF(_xlfn.XLOOKUP(P216,'02效果表'!D:D,'02效果表'!E:E)&lt;0, _xlfn.XLOOKUP(P216,'02效果表'!D:D,'02效果表'!E:E), 0) +
S216*IF(_xlfn.XLOOKUP(R216,'02效果表'!D:D,'02效果表'!E:E)&lt;0, _xlfn.XLOOKUP(R216,'02效果表'!D:D,'02效果表'!E:E), 0) +
U216*IF(_xlfn.XLOOKUP(T216,'02效果表'!D:D,'02效果表'!E:E)&lt;0, _xlfn.XLOOKUP(T216,'02效果表'!D:D,'02效果表'!E:E), 0) +
W216*IF(_xlfn.XLOOKUP(V216,'02效果表'!D:D,'02效果表'!E:E)&lt;0, _xlfn.XLOOKUP(V216,'02效果表'!D:D,'02效果表'!E:E), 0) +
Y216*IF(_xlfn.XLOOKUP(X216,'02效果表'!D:D,'02效果表'!E:E)&lt;0, _xlfn.XLOOKUP(X216,'02效果表'!D:D,'02效果表'!E:E), 0) +
AA216*IF(_xlfn.XLOOKUP(Z216,'02效果表'!D:D,'02效果表'!E:E)&lt;0, _xlfn.XLOOKUP(Z216,'02效果表'!D:D,'02效果表'!E:E), 0) +
AC216*IF(_xlfn.XLOOKUP(AB216,'02效果表'!D:D,'02效果表'!E:E)&lt;0, _xlfn.XLOOKUP(AB216,'02效果表'!D:D,'02效果表'!E:E), 0) +
AE216*IF(_xlfn.XLOOKUP(AD216,'02效果表'!D:D,'02效果表'!E:E)&lt;0, _xlfn.XLOOKUP(AD216,'02效果表'!D:D,'02效果表'!E:E), 0)), 1)</f>
        <v>0</v>
      </c>
      <c r="G216" s="7">
        <f>ROUND(1/6*(I216*MAX(_xlfn.XLOOKUP(H216,'02效果表'!D:D,'02效果表'!E:E),0)+K216*MAX(_xlfn.XLOOKUP(J216,'02效果表'!D:D,'02效果表'!E:E),0)+M216*MAX(_xlfn.XLOOKUP(L216,'02效果表'!D:D,'02效果表'!E:E),0)+O216*MAX(_xlfn.XLOOKUP(N216,'02效果表'!D:D,'02效果表'!E:E),0)+Q216*MAX(_xlfn.XLOOKUP(P216,'02效果表'!D:D,'02效果表'!E:E),0)+S216*MAX(_xlfn.XLOOKUP(R216,'02效果表'!D:D,'02效果表'!E:E),0)+U216*MAX(_xlfn.XLOOKUP(T216,'02效果表'!D:D,'02效果表'!E:E),0)+W216*MAX(_xlfn.XLOOKUP(V216,'02效果表'!D:D,'02效果表'!E:E),0)+Y216*MAX(_xlfn.XLOOKUP(X216,'02效果表'!D:D,'02效果表'!E:E),0)+AA216*MAX(_xlfn.XLOOKUP(Z216,'02效果表'!D:D,'02效果表'!E:E),0)+AC216*MAX(_xlfn.XLOOKUP(AB216,'02效果表'!D:D,'02效果表'!E:E),0)+AE216*MAX(_xlfn.XLOOKUP(AD216,'02效果表'!D:D,'02效果表'!E:E),0)),1)</f>
        <v>0</v>
      </c>
      <c r="H216" s="6"/>
      <c r="I216" s="6"/>
      <c r="J216" s="6"/>
      <c r="K216" s="6"/>
      <c r="L216" s="6"/>
      <c r="M216" s="6"/>
      <c r="N216" s="6"/>
      <c r="O216" s="6"/>
      <c r="P216" s="6"/>
      <c r="Q216" s="6"/>
      <c r="R216" s="6"/>
      <c r="S216" s="6"/>
      <c r="T216" s="6"/>
      <c r="U216" s="6"/>
      <c r="V216" s="6"/>
      <c r="W216" s="6"/>
      <c r="X216" s="6"/>
      <c r="Y216" s="6"/>
      <c r="Z216" s="6"/>
      <c r="AA216" s="6"/>
      <c r="AB216" s="6"/>
      <c r="AC216" s="6"/>
      <c r="AD216" s="6"/>
      <c r="AE216" s="6"/>
    </row>
    <row r="217" spans="1:31" x14ac:dyDescent="0.35">
      <c r="A217" s="6">
        <v>217</v>
      </c>
      <c r="B217" s="6" t="s">
        <v>4</v>
      </c>
      <c r="C217" s="10" t="s">
        <v>2</v>
      </c>
      <c r="D217" s="9" t="s">
        <v>1431</v>
      </c>
      <c r="E217" s="7">
        <f t="shared" si="10"/>
        <v>0</v>
      </c>
      <c r="F217" s="7">
        <f>-1*ROUND(1/6*(I217*IF(_xlfn.XLOOKUP(H217,'02效果表'!D:D,'02效果表'!E:E)&lt;0, _xlfn.XLOOKUP(H217,'02效果表'!D:D,'02效果表'!E:E), 0) +
K217*IF(_xlfn.XLOOKUP(J217,'02效果表'!D:D,'02效果表'!E:E)&lt;0, _xlfn.XLOOKUP(J217,'02效果表'!D:D,'02效果表'!E:E), 0) +
M217*IF(_xlfn.XLOOKUP(L217,'02效果表'!D:D,'02效果表'!E:E)&lt;0, _xlfn.XLOOKUP(L217,'02效果表'!D:D,'02效果表'!E:E), 0) +
O217*IF(_xlfn.XLOOKUP(N217,'02效果表'!D:D,'02效果表'!E:E)&lt;0, _xlfn.XLOOKUP(N217,'02效果表'!D:D,'02效果表'!E:E), 0) +
Q217*IF(_xlfn.XLOOKUP(P217,'02效果表'!D:D,'02效果表'!E:E)&lt;0, _xlfn.XLOOKUP(P217,'02效果表'!D:D,'02效果表'!E:E), 0) +
S217*IF(_xlfn.XLOOKUP(R217,'02效果表'!D:D,'02效果表'!E:E)&lt;0, _xlfn.XLOOKUP(R217,'02效果表'!D:D,'02效果表'!E:E), 0) +
U217*IF(_xlfn.XLOOKUP(T217,'02效果表'!D:D,'02效果表'!E:E)&lt;0, _xlfn.XLOOKUP(T217,'02效果表'!D:D,'02效果表'!E:E), 0) +
W217*IF(_xlfn.XLOOKUP(V217,'02效果表'!D:D,'02效果表'!E:E)&lt;0, _xlfn.XLOOKUP(V217,'02效果表'!D:D,'02效果表'!E:E), 0) +
Y217*IF(_xlfn.XLOOKUP(X217,'02效果表'!D:D,'02效果表'!E:E)&lt;0, _xlfn.XLOOKUP(X217,'02效果表'!D:D,'02效果表'!E:E), 0) +
AA217*IF(_xlfn.XLOOKUP(Z217,'02效果表'!D:D,'02效果表'!E:E)&lt;0, _xlfn.XLOOKUP(Z217,'02效果表'!D:D,'02效果表'!E:E), 0) +
AC217*IF(_xlfn.XLOOKUP(AB217,'02效果表'!D:D,'02效果表'!E:E)&lt;0, _xlfn.XLOOKUP(AB217,'02效果表'!D:D,'02效果表'!E:E), 0) +
AE217*IF(_xlfn.XLOOKUP(AD217,'02效果表'!D:D,'02效果表'!E:E)&lt;0, _xlfn.XLOOKUP(AD217,'02效果表'!D:D,'02效果表'!E:E), 0)), 1)</f>
        <v>0</v>
      </c>
      <c r="G217" s="7">
        <f>ROUND(1/6*(I217*MAX(_xlfn.XLOOKUP(H217,'02效果表'!D:D,'02效果表'!E:E),0)+K217*MAX(_xlfn.XLOOKUP(J217,'02效果表'!D:D,'02效果表'!E:E),0)+M217*MAX(_xlfn.XLOOKUP(L217,'02效果表'!D:D,'02效果表'!E:E),0)+O217*MAX(_xlfn.XLOOKUP(N217,'02效果表'!D:D,'02效果表'!E:E),0)+Q217*MAX(_xlfn.XLOOKUP(P217,'02效果表'!D:D,'02效果表'!E:E),0)+S217*MAX(_xlfn.XLOOKUP(R217,'02效果表'!D:D,'02效果表'!E:E),0)+U217*MAX(_xlfn.XLOOKUP(T217,'02效果表'!D:D,'02效果表'!E:E),0)+W217*MAX(_xlfn.XLOOKUP(V217,'02效果表'!D:D,'02效果表'!E:E),0)+Y217*MAX(_xlfn.XLOOKUP(X217,'02效果表'!D:D,'02效果表'!E:E),0)+AA217*MAX(_xlfn.XLOOKUP(Z217,'02效果表'!D:D,'02效果表'!E:E),0)+AC217*MAX(_xlfn.XLOOKUP(AB217,'02效果表'!D:D,'02效果表'!E:E),0)+AE217*MAX(_xlfn.XLOOKUP(AD217,'02效果表'!D:D,'02效果表'!E:E),0)),1)</f>
        <v>0</v>
      </c>
      <c r="H217" s="6"/>
      <c r="I217" s="6"/>
      <c r="J217" s="6"/>
      <c r="K217" s="6"/>
      <c r="L217" s="6"/>
      <c r="M217" s="6"/>
      <c r="N217" s="6"/>
      <c r="O217" s="6"/>
      <c r="P217" s="6"/>
      <c r="Q217" s="6"/>
      <c r="R217" s="6"/>
      <c r="S217" s="6"/>
      <c r="T217" s="6"/>
      <c r="U217" s="6"/>
      <c r="V217" s="6"/>
      <c r="W217" s="6"/>
      <c r="X217" s="6"/>
      <c r="Y217" s="6"/>
      <c r="Z217" s="6"/>
      <c r="AA217" s="6"/>
      <c r="AB217" s="6"/>
      <c r="AC217" s="6"/>
      <c r="AD217" s="6"/>
      <c r="AE217" s="6"/>
    </row>
    <row r="218" spans="1:31" x14ac:dyDescent="0.35">
      <c r="A218" s="6">
        <v>218</v>
      </c>
      <c r="B218" s="6" t="s">
        <v>4</v>
      </c>
      <c r="C218" s="10" t="s">
        <v>2</v>
      </c>
      <c r="D218" s="9" t="s">
        <v>1432</v>
      </c>
      <c r="E218" s="7">
        <f t="shared" si="10"/>
        <v>0</v>
      </c>
      <c r="F218" s="7">
        <f>-1*ROUND(1/6*(I218*IF(_xlfn.XLOOKUP(H218,'02效果表'!D:D,'02效果表'!E:E)&lt;0, _xlfn.XLOOKUP(H218,'02效果表'!D:D,'02效果表'!E:E), 0) +
K218*IF(_xlfn.XLOOKUP(J218,'02效果表'!D:D,'02效果表'!E:E)&lt;0, _xlfn.XLOOKUP(J218,'02效果表'!D:D,'02效果表'!E:E), 0) +
M218*IF(_xlfn.XLOOKUP(L218,'02效果表'!D:D,'02效果表'!E:E)&lt;0, _xlfn.XLOOKUP(L218,'02效果表'!D:D,'02效果表'!E:E), 0) +
O218*IF(_xlfn.XLOOKUP(N218,'02效果表'!D:D,'02效果表'!E:E)&lt;0, _xlfn.XLOOKUP(N218,'02效果表'!D:D,'02效果表'!E:E), 0) +
Q218*IF(_xlfn.XLOOKUP(P218,'02效果表'!D:D,'02效果表'!E:E)&lt;0, _xlfn.XLOOKUP(P218,'02效果表'!D:D,'02效果表'!E:E), 0) +
S218*IF(_xlfn.XLOOKUP(R218,'02效果表'!D:D,'02效果表'!E:E)&lt;0, _xlfn.XLOOKUP(R218,'02效果表'!D:D,'02效果表'!E:E), 0) +
U218*IF(_xlfn.XLOOKUP(T218,'02效果表'!D:D,'02效果表'!E:E)&lt;0, _xlfn.XLOOKUP(T218,'02效果表'!D:D,'02效果表'!E:E), 0) +
W218*IF(_xlfn.XLOOKUP(V218,'02效果表'!D:D,'02效果表'!E:E)&lt;0, _xlfn.XLOOKUP(V218,'02效果表'!D:D,'02效果表'!E:E), 0) +
Y218*IF(_xlfn.XLOOKUP(X218,'02效果表'!D:D,'02效果表'!E:E)&lt;0, _xlfn.XLOOKUP(X218,'02效果表'!D:D,'02效果表'!E:E), 0) +
AA218*IF(_xlfn.XLOOKUP(Z218,'02效果表'!D:D,'02效果表'!E:E)&lt;0, _xlfn.XLOOKUP(Z218,'02效果表'!D:D,'02效果表'!E:E), 0) +
AC218*IF(_xlfn.XLOOKUP(AB218,'02效果表'!D:D,'02效果表'!E:E)&lt;0, _xlfn.XLOOKUP(AB218,'02效果表'!D:D,'02效果表'!E:E), 0) +
AE218*IF(_xlfn.XLOOKUP(AD218,'02效果表'!D:D,'02效果表'!E:E)&lt;0, _xlfn.XLOOKUP(AD218,'02效果表'!D:D,'02效果表'!E:E), 0)), 1)</f>
        <v>0</v>
      </c>
      <c r="G218" s="7">
        <f>ROUND(1/6*(I218*MAX(_xlfn.XLOOKUP(H218,'02效果表'!D:D,'02效果表'!E:E),0)+K218*MAX(_xlfn.XLOOKUP(J218,'02效果表'!D:D,'02效果表'!E:E),0)+M218*MAX(_xlfn.XLOOKUP(L218,'02效果表'!D:D,'02效果表'!E:E),0)+O218*MAX(_xlfn.XLOOKUP(N218,'02效果表'!D:D,'02效果表'!E:E),0)+Q218*MAX(_xlfn.XLOOKUP(P218,'02效果表'!D:D,'02效果表'!E:E),0)+S218*MAX(_xlfn.XLOOKUP(R218,'02效果表'!D:D,'02效果表'!E:E),0)+U218*MAX(_xlfn.XLOOKUP(T218,'02效果表'!D:D,'02效果表'!E:E),0)+W218*MAX(_xlfn.XLOOKUP(V218,'02效果表'!D:D,'02效果表'!E:E),0)+Y218*MAX(_xlfn.XLOOKUP(X218,'02效果表'!D:D,'02效果表'!E:E),0)+AA218*MAX(_xlfn.XLOOKUP(Z218,'02效果表'!D:D,'02效果表'!E:E),0)+AC218*MAX(_xlfn.XLOOKUP(AB218,'02效果表'!D:D,'02效果表'!E:E),0)+AE218*MAX(_xlfn.XLOOKUP(AD218,'02效果表'!D:D,'02效果表'!E:E),0)),1)</f>
        <v>0</v>
      </c>
      <c r="H218" s="6"/>
      <c r="I218" s="6"/>
      <c r="J218" s="6"/>
      <c r="K218" s="6"/>
      <c r="L218" s="6"/>
      <c r="M218" s="6"/>
      <c r="N218" s="6"/>
      <c r="O218" s="6"/>
      <c r="P218" s="6"/>
      <c r="Q218" s="6"/>
      <c r="R218" s="6"/>
      <c r="S218" s="6"/>
      <c r="T218" s="6"/>
      <c r="U218" s="6"/>
      <c r="V218" s="6"/>
      <c r="W218" s="6"/>
      <c r="X218" s="6"/>
      <c r="Y218" s="6"/>
      <c r="Z218" s="6"/>
      <c r="AA218" s="6"/>
      <c r="AB218" s="6"/>
      <c r="AC218" s="6"/>
      <c r="AD218" s="6"/>
      <c r="AE218" s="6"/>
    </row>
    <row r="219" spans="1:31" x14ac:dyDescent="0.35">
      <c r="A219" s="6">
        <v>219</v>
      </c>
      <c r="B219" s="6" t="s">
        <v>4</v>
      </c>
      <c r="C219" s="10" t="s">
        <v>2</v>
      </c>
      <c r="D219" s="9" t="s">
        <v>1433</v>
      </c>
      <c r="E219" s="7">
        <f t="shared" si="10"/>
        <v>0</v>
      </c>
      <c r="F219" s="7">
        <f>-1*ROUND(1/6*(I219*IF(_xlfn.XLOOKUP(H219,'02效果表'!D:D,'02效果表'!E:E)&lt;0, _xlfn.XLOOKUP(H219,'02效果表'!D:D,'02效果表'!E:E), 0) +
K219*IF(_xlfn.XLOOKUP(J219,'02效果表'!D:D,'02效果表'!E:E)&lt;0, _xlfn.XLOOKUP(J219,'02效果表'!D:D,'02效果表'!E:E), 0) +
M219*IF(_xlfn.XLOOKUP(L219,'02效果表'!D:D,'02效果表'!E:E)&lt;0, _xlfn.XLOOKUP(L219,'02效果表'!D:D,'02效果表'!E:E), 0) +
O219*IF(_xlfn.XLOOKUP(N219,'02效果表'!D:D,'02效果表'!E:E)&lt;0, _xlfn.XLOOKUP(N219,'02效果表'!D:D,'02效果表'!E:E), 0) +
Q219*IF(_xlfn.XLOOKUP(P219,'02效果表'!D:D,'02效果表'!E:E)&lt;0, _xlfn.XLOOKUP(P219,'02效果表'!D:D,'02效果表'!E:E), 0) +
S219*IF(_xlfn.XLOOKUP(R219,'02效果表'!D:D,'02效果表'!E:E)&lt;0, _xlfn.XLOOKUP(R219,'02效果表'!D:D,'02效果表'!E:E), 0) +
U219*IF(_xlfn.XLOOKUP(T219,'02效果表'!D:D,'02效果表'!E:E)&lt;0, _xlfn.XLOOKUP(T219,'02效果表'!D:D,'02效果表'!E:E), 0) +
W219*IF(_xlfn.XLOOKUP(V219,'02效果表'!D:D,'02效果表'!E:E)&lt;0, _xlfn.XLOOKUP(V219,'02效果表'!D:D,'02效果表'!E:E), 0) +
Y219*IF(_xlfn.XLOOKUP(X219,'02效果表'!D:D,'02效果表'!E:E)&lt;0, _xlfn.XLOOKUP(X219,'02效果表'!D:D,'02效果表'!E:E), 0) +
AA219*IF(_xlfn.XLOOKUP(Z219,'02效果表'!D:D,'02效果表'!E:E)&lt;0, _xlfn.XLOOKUP(Z219,'02效果表'!D:D,'02效果表'!E:E), 0) +
AC219*IF(_xlfn.XLOOKUP(AB219,'02效果表'!D:D,'02效果表'!E:E)&lt;0, _xlfn.XLOOKUP(AB219,'02效果表'!D:D,'02效果表'!E:E), 0) +
AE219*IF(_xlfn.XLOOKUP(AD219,'02效果表'!D:D,'02效果表'!E:E)&lt;0, _xlfn.XLOOKUP(AD219,'02效果表'!D:D,'02效果表'!E:E), 0)), 1)</f>
        <v>0</v>
      </c>
      <c r="G219" s="7">
        <f>ROUND(1/6*(I219*MAX(_xlfn.XLOOKUP(H219,'02效果表'!D:D,'02效果表'!E:E),0)+K219*MAX(_xlfn.XLOOKUP(J219,'02效果表'!D:D,'02效果表'!E:E),0)+M219*MAX(_xlfn.XLOOKUP(L219,'02效果表'!D:D,'02效果表'!E:E),0)+O219*MAX(_xlfn.XLOOKUP(N219,'02效果表'!D:D,'02效果表'!E:E),0)+Q219*MAX(_xlfn.XLOOKUP(P219,'02效果表'!D:D,'02效果表'!E:E),0)+S219*MAX(_xlfn.XLOOKUP(R219,'02效果表'!D:D,'02效果表'!E:E),0)+U219*MAX(_xlfn.XLOOKUP(T219,'02效果表'!D:D,'02效果表'!E:E),0)+W219*MAX(_xlfn.XLOOKUP(V219,'02效果表'!D:D,'02效果表'!E:E),0)+Y219*MAX(_xlfn.XLOOKUP(X219,'02效果表'!D:D,'02效果表'!E:E),0)+AA219*MAX(_xlfn.XLOOKUP(Z219,'02效果表'!D:D,'02效果表'!E:E),0)+AC219*MAX(_xlfn.XLOOKUP(AB219,'02效果表'!D:D,'02效果表'!E:E),0)+AE219*MAX(_xlfn.XLOOKUP(AD219,'02效果表'!D:D,'02效果表'!E:E),0)),1)</f>
        <v>0</v>
      </c>
      <c r="H219" s="6"/>
      <c r="I219" s="6"/>
      <c r="J219" s="6"/>
      <c r="K219" s="6"/>
      <c r="L219" s="6"/>
      <c r="M219" s="6"/>
      <c r="N219" s="6"/>
      <c r="O219" s="6"/>
      <c r="P219" s="6"/>
      <c r="Q219" s="6"/>
      <c r="R219" s="6"/>
      <c r="S219" s="6"/>
      <c r="T219" s="6"/>
      <c r="U219" s="6"/>
      <c r="V219" s="6"/>
      <c r="W219" s="6"/>
      <c r="X219" s="6"/>
      <c r="Y219" s="6"/>
      <c r="Z219" s="6"/>
      <c r="AA219" s="6"/>
      <c r="AB219" s="6"/>
      <c r="AC219" s="6"/>
      <c r="AD219" s="6"/>
      <c r="AE219" s="6"/>
    </row>
    <row r="220" spans="1:31" x14ac:dyDescent="0.35">
      <c r="A220" s="6">
        <v>220</v>
      </c>
      <c r="B220" s="6" t="s">
        <v>4</v>
      </c>
      <c r="C220" s="10" t="s">
        <v>2</v>
      </c>
      <c r="D220" s="9" t="s">
        <v>1434</v>
      </c>
      <c r="E220" s="7">
        <f t="shared" si="10"/>
        <v>0</v>
      </c>
      <c r="F220" s="7">
        <f>-1*ROUND(1/6*(I220*IF(_xlfn.XLOOKUP(H220,'02效果表'!D:D,'02效果表'!E:E)&lt;0, _xlfn.XLOOKUP(H220,'02效果表'!D:D,'02效果表'!E:E), 0) +
K220*IF(_xlfn.XLOOKUP(J220,'02效果表'!D:D,'02效果表'!E:E)&lt;0, _xlfn.XLOOKUP(J220,'02效果表'!D:D,'02效果表'!E:E), 0) +
M220*IF(_xlfn.XLOOKUP(L220,'02效果表'!D:D,'02效果表'!E:E)&lt;0, _xlfn.XLOOKUP(L220,'02效果表'!D:D,'02效果表'!E:E), 0) +
O220*IF(_xlfn.XLOOKUP(N220,'02效果表'!D:D,'02效果表'!E:E)&lt;0, _xlfn.XLOOKUP(N220,'02效果表'!D:D,'02效果表'!E:E), 0) +
Q220*IF(_xlfn.XLOOKUP(P220,'02效果表'!D:D,'02效果表'!E:E)&lt;0, _xlfn.XLOOKUP(P220,'02效果表'!D:D,'02效果表'!E:E), 0) +
S220*IF(_xlfn.XLOOKUP(R220,'02效果表'!D:D,'02效果表'!E:E)&lt;0, _xlfn.XLOOKUP(R220,'02效果表'!D:D,'02效果表'!E:E), 0) +
U220*IF(_xlfn.XLOOKUP(T220,'02效果表'!D:D,'02效果表'!E:E)&lt;0, _xlfn.XLOOKUP(T220,'02效果表'!D:D,'02效果表'!E:E), 0) +
W220*IF(_xlfn.XLOOKUP(V220,'02效果表'!D:D,'02效果表'!E:E)&lt;0, _xlfn.XLOOKUP(V220,'02效果表'!D:D,'02效果表'!E:E), 0) +
Y220*IF(_xlfn.XLOOKUP(X220,'02效果表'!D:D,'02效果表'!E:E)&lt;0, _xlfn.XLOOKUP(X220,'02效果表'!D:D,'02效果表'!E:E), 0) +
AA220*IF(_xlfn.XLOOKUP(Z220,'02效果表'!D:D,'02效果表'!E:E)&lt;0, _xlfn.XLOOKUP(Z220,'02效果表'!D:D,'02效果表'!E:E), 0) +
AC220*IF(_xlfn.XLOOKUP(AB220,'02效果表'!D:D,'02效果表'!E:E)&lt;0, _xlfn.XLOOKUP(AB220,'02效果表'!D:D,'02效果表'!E:E), 0) +
AE220*IF(_xlfn.XLOOKUP(AD220,'02效果表'!D:D,'02效果表'!E:E)&lt;0, _xlfn.XLOOKUP(AD220,'02效果表'!D:D,'02效果表'!E:E), 0)), 1)</f>
        <v>0</v>
      </c>
      <c r="G220" s="7">
        <f>ROUND(1/6*(I220*MAX(_xlfn.XLOOKUP(H220,'02效果表'!D:D,'02效果表'!E:E),0)+K220*MAX(_xlfn.XLOOKUP(J220,'02效果表'!D:D,'02效果表'!E:E),0)+M220*MAX(_xlfn.XLOOKUP(L220,'02效果表'!D:D,'02效果表'!E:E),0)+O220*MAX(_xlfn.XLOOKUP(N220,'02效果表'!D:D,'02效果表'!E:E),0)+Q220*MAX(_xlfn.XLOOKUP(P220,'02效果表'!D:D,'02效果表'!E:E),0)+S220*MAX(_xlfn.XLOOKUP(R220,'02效果表'!D:D,'02效果表'!E:E),0)+U220*MAX(_xlfn.XLOOKUP(T220,'02效果表'!D:D,'02效果表'!E:E),0)+W220*MAX(_xlfn.XLOOKUP(V220,'02效果表'!D:D,'02效果表'!E:E),0)+Y220*MAX(_xlfn.XLOOKUP(X220,'02效果表'!D:D,'02效果表'!E:E),0)+AA220*MAX(_xlfn.XLOOKUP(Z220,'02效果表'!D:D,'02效果表'!E:E),0)+AC220*MAX(_xlfn.XLOOKUP(AB220,'02效果表'!D:D,'02效果表'!E:E),0)+AE220*MAX(_xlfn.XLOOKUP(AD220,'02效果表'!D:D,'02效果表'!E:E),0)),1)</f>
        <v>0</v>
      </c>
      <c r="H220" s="6"/>
      <c r="I220" s="6"/>
      <c r="J220" s="6"/>
      <c r="K220" s="6"/>
      <c r="L220" s="6"/>
      <c r="M220" s="6"/>
      <c r="N220" s="6"/>
      <c r="O220" s="6"/>
      <c r="P220" s="6"/>
      <c r="Q220" s="6"/>
      <c r="R220" s="6"/>
      <c r="S220" s="6"/>
      <c r="T220" s="6"/>
      <c r="U220" s="6"/>
      <c r="V220" s="6"/>
      <c r="W220" s="6"/>
      <c r="X220" s="6"/>
      <c r="Y220" s="6"/>
      <c r="Z220" s="6"/>
      <c r="AA220" s="6"/>
      <c r="AB220" s="6"/>
      <c r="AC220" s="6"/>
      <c r="AD220" s="6"/>
      <c r="AE220" s="6"/>
    </row>
    <row r="221" spans="1:31" x14ac:dyDescent="0.35">
      <c r="A221" s="6">
        <v>221</v>
      </c>
      <c r="B221" s="6" t="s">
        <v>4</v>
      </c>
      <c r="C221" s="10" t="s">
        <v>2</v>
      </c>
      <c r="D221" s="9" t="s">
        <v>1435</v>
      </c>
      <c r="E221" s="7">
        <f t="shared" si="10"/>
        <v>0</v>
      </c>
      <c r="F221" s="7">
        <f>-1*ROUND(1/6*(I221*IF(_xlfn.XLOOKUP(H221,'02效果表'!D:D,'02效果表'!E:E)&lt;0, _xlfn.XLOOKUP(H221,'02效果表'!D:D,'02效果表'!E:E), 0) +
K221*IF(_xlfn.XLOOKUP(J221,'02效果表'!D:D,'02效果表'!E:E)&lt;0, _xlfn.XLOOKUP(J221,'02效果表'!D:D,'02效果表'!E:E), 0) +
M221*IF(_xlfn.XLOOKUP(L221,'02效果表'!D:D,'02效果表'!E:E)&lt;0, _xlfn.XLOOKUP(L221,'02效果表'!D:D,'02效果表'!E:E), 0) +
O221*IF(_xlfn.XLOOKUP(N221,'02效果表'!D:D,'02效果表'!E:E)&lt;0, _xlfn.XLOOKUP(N221,'02效果表'!D:D,'02效果表'!E:E), 0) +
Q221*IF(_xlfn.XLOOKUP(P221,'02效果表'!D:D,'02效果表'!E:E)&lt;0, _xlfn.XLOOKUP(P221,'02效果表'!D:D,'02效果表'!E:E), 0) +
S221*IF(_xlfn.XLOOKUP(R221,'02效果表'!D:D,'02效果表'!E:E)&lt;0, _xlfn.XLOOKUP(R221,'02效果表'!D:D,'02效果表'!E:E), 0) +
U221*IF(_xlfn.XLOOKUP(T221,'02效果表'!D:D,'02效果表'!E:E)&lt;0, _xlfn.XLOOKUP(T221,'02效果表'!D:D,'02效果表'!E:E), 0) +
W221*IF(_xlfn.XLOOKUP(V221,'02效果表'!D:D,'02效果表'!E:E)&lt;0, _xlfn.XLOOKUP(V221,'02效果表'!D:D,'02效果表'!E:E), 0) +
Y221*IF(_xlfn.XLOOKUP(X221,'02效果表'!D:D,'02效果表'!E:E)&lt;0, _xlfn.XLOOKUP(X221,'02效果表'!D:D,'02效果表'!E:E), 0) +
AA221*IF(_xlfn.XLOOKUP(Z221,'02效果表'!D:D,'02效果表'!E:E)&lt;0, _xlfn.XLOOKUP(Z221,'02效果表'!D:D,'02效果表'!E:E), 0) +
AC221*IF(_xlfn.XLOOKUP(AB221,'02效果表'!D:D,'02效果表'!E:E)&lt;0, _xlfn.XLOOKUP(AB221,'02效果表'!D:D,'02效果表'!E:E), 0) +
AE221*IF(_xlfn.XLOOKUP(AD221,'02效果表'!D:D,'02效果表'!E:E)&lt;0, _xlfn.XLOOKUP(AD221,'02效果表'!D:D,'02效果表'!E:E), 0)), 1)</f>
        <v>0</v>
      </c>
      <c r="G221" s="7">
        <f>ROUND(1/6*(I221*MAX(_xlfn.XLOOKUP(H221,'02效果表'!D:D,'02效果表'!E:E),0)+K221*MAX(_xlfn.XLOOKUP(J221,'02效果表'!D:D,'02效果表'!E:E),0)+M221*MAX(_xlfn.XLOOKUP(L221,'02效果表'!D:D,'02效果表'!E:E),0)+O221*MAX(_xlfn.XLOOKUP(N221,'02效果表'!D:D,'02效果表'!E:E),0)+Q221*MAX(_xlfn.XLOOKUP(P221,'02效果表'!D:D,'02效果表'!E:E),0)+S221*MAX(_xlfn.XLOOKUP(R221,'02效果表'!D:D,'02效果表'!E:E),0)+U221*MAX(_xlfn.XLOOKUP(T221,'02效果表'!D:D,'02效果表'!E:E),0)+W221*MAX(_xlfn.XLOOKUP(V221,'02效果表'!D:D,'02效果表'!E:E),0)+Y221*MAX(_xlfn.XLOOKUP(X221,'02效果表'!D:D,'02效果表'!E:E),0)+AA221*MAX(_xlfn.XLOOKUP(Z221,'02效果表'!D:D,'02效果表'!E:E),0)+AC221*MAX(_xlfn.XLOOKUP(AB221,'02效果表'!D:D,'02效果表'!E:E),0)+AE221*MAX(_xlfn.XLOOKUP(AD221,'02效果表'!D:D,'02效果表'!E:E),0)),1)</f>
        <v>0</v>
      </c>
      <c r="H221" s="6"/>
      <c r="I221" s="6"/>
      <c r="J221" s="6"/>
      <c r="K221" s="6"/>
      <c r="L221" s="6"/>
      <c r="M221" s="6"/>
      <c r="N221" s="6"/>
      <c r="O221" s="6"/>
      <c r="P221" s="6"/>
      <c r="Q221" s="6"/>
      <c r="R221" s="6"/>
      <c r="S221" s="6"/>
      <c r="T221" s="6"/>
      <c r="U221" s="6"/>
      <c r="V221" s="6"/>
      <c r="W221" s="6"/>
      <c r="X221" s="6"/>
      <c r="Y221" s="6"/>
      <c r="Z221" s="6"/>
      <c r="AA221" s="6"/>
      <c r="AB221" s="6"/>
      <c r="AC221" s="6"/>
      <c r="AD221" s="6"/>
      <c r="AE221" s="6"/>
    </row>
    <row r="222" spans="1:31" x14ac:dyDescent="0.35">
      <c r="A222" s="6">
        <v>222</v>
      </c>
      <c r="B222" s="6" t="s">
        <v>4</v>
      </c>
      <c r="C222" s="10" t="s">
        <v>2</v>
      </c>
      <c r="D222" s="9" t="s">
        <v>1436</v>
      </c>
      <c r="E222" s="7">
        <f t="shared" si="10"/>
        <v>0</v>
      </c>
      <c r="F222" s="7">
        <f>-1*ROUND(1/6*(I222*IF(_xlfn.XLOOKUP(H222,'02效果表'!D:D,'02效果表'!E:E)&lt;0, _xlfn.XLOOKUP(H222,'02效果表'!D:D,'02效果表'!E:E), 0) +
K222*IF(_xlfn.XLOOKUP(J222,'02效果表'!D:D,'02效果表'!E:E)&lt;0, _xlfn.XLOOKUP(J222,'02效果表'!D:D,'02效果表'!E:E), 0) +
M222*IF(_xlfn.XLOOKUP(L222,'02效果表'!D:D,'02效果表'!E:E)&lt;0, _xlfn.XLOOKUP(L222,'02效果表'!D:D,'02效果表'!E:E), 0) +
O222*IF(_xlfn.XLOOKUP(N222,'02效果表'!D:D,'02效果表'!E:E)&lt;0, _xlfn.XLOOKUP(N222,'02效果表'!D:D,'02效果表'!E:E), 0) +
Q222*IF(_xlfn.XLOOKUP(P222,'02效果表'!D:D,'02效果表'!E:E)&lt;0, _xlfn.XLOOKUP(P222,'02效果表'!D:D,'02效果表'!E:E), 0) +
S222*IF(_xlfn.XLOOKUP(R222,'02效果表'!D:D,'02效果表'!E:E)&lt;0, _xlfn.XLOOKUP(R222,'02效果表'!D:D,'02效果表'!E:E), 0) +
U222*IF(_xlfn.XLOOKUP(T222,'02效果表'!D:D,'02效果表'!E:E)&lt;0, _xlfn.XLOOKUP(T222,'02效果表'!D:D,'02效果表'!E:E), 0) +
W222*IF(_xlfn.XLOOKUP(V222,'02效果表'!D:D,'02效果表'!E:E)&lt;0, _xlfn.XLOOKUP(V222,'02效果表'!D:D,'02效果表'!E:E), 0) +
Y222*IF(_xlfn.XLOOKUP(X222,'02效果表'!D:D,'02效果表'!E:E)&lt;0, _xlfn.XLOOKUP(X222,'02效果表'!D:D,'02效果表'!E:E), 0) +
AA222*IF(_xlfn.XLOOKUP(Z222,'02效果表'!D:D,'02效果表'!E:E)&lt;0, _xlfn.XLOOKUP(Z222,'02效果表'!D:D,'02效果表'!E:E), 0) +
AC222*IF(_xlfn.XLOOKUP(AB222,'02效果表'!D:D,'02效果表'!E:E)&lt;0, _xlfn.XLOOKUP(AB222,'02效果表'!D:D,'02效果表'!E:E), 0) +
AE222*IF(_xlfn.XLOOKUP(AD222,'02效果表'!D:D,'02效果表'!E:E)&lt;0, _xlfn.XLOOKUP(AD222,'02效果表'!D:D,'02效果表'!E:E), 0)), 1)</f>
        <v>0</v>
      </c>
      <c r="G222" s="7">
        <f>ROUND(1/6*(I222*MAX(_xlfn.XLOOKUP(H222,'02效果表'!D:D,'02效果表'!E:E),0)+K222*MAX(_xlfn.XLOOKUP(J222,'02效果表'!D:D,'02效果表'!E:E),0)+M222*MAX(_xlfn.XLOOKUP(L222,'02效果表'!D:D,'02效果表'!E:E),0)+O222*MAX(_xlfn.XLOOKUP(N222,'02效果表'!D:D,'02效果表'!E:E),0)+Q222*MAX(_xlfn.XLOOKUP(P222,'02效果表'!D:D,'02效果表'!E:E),0)+S222*MAX(_xlfn.XLOOKUP(R222,'02效果表'!D:D,'02效果表'!E:E),0)+U222*MAX(_xlfn.XLOOKUP(T222,'02效果表'!D:D,'02效果表'!E:E),0)+W222*MAX(_xlfn.XLOOKUP(V222,'02效果表'!D:D,'02效果表'!E:E),0)+Y222*MAX(_xlfn.XLOOKUP(X222,'02效果表'!D:D,'02效果表'!E:E),0)+AA222*MAX(_xlfn.XLOOKUP(Z222,'02效果表'!D:D,'02效果表'!E:E),0)+AC222*MAX(_xlfn.XLOOKUP(AB222,'02效果表'!D:D,'02效果表'!E:E),0)+AE222*MAX(_xlfn.XLOOKUP(AD222,'02效果表'!D:D,'02效果表'!E:E),0)),1)</f>
        <v>0</v>
      </c>
      <c r="H222" s="6"/>
      <c r="I222" s="6"/>
      <c r="J222" s="6"/>
      <c r="K222" s="6"/>
      <c r="L222" s="6"/>
      <c r="M222" s="6"/>
      <c r="N222" s="6"/>
      <c r="O222" s="6"/>
      <c r="P222" s="6"/>
      <c r="Q222" s="6"/>
      <c r="R222" s="6"/>
      <c r="S222" s="6"/>
      <c r="T222" s="6"/>
      <c r="U222" s="6"/>
      <c r="V222" s="6"/>
      <c r="W222" s="6"/>
      <c r="X222" s="6"/>
      <c r="Y222" s="6"/>
      <c r="Z222" s="6"/>
      <c r="AA222" s="6"/>
      <c r="AB222" s="6"/>
      <c r="AC222" s="6"/>
      <c r="AD222" s="6"/>
      <c r="AE222" s="6"/>
    </row>
    <row r="223" spans="1:31" x14ac:dyDescent="0.35">
      <c r="A223" s="6">
        <v>223</v>
      </c>
      <c r="B223" s="6" t="s">
        <v>4</v>
      </c>
      <c r="C223" s="10" t="s">
        <v>2</v>
      </c>
      <c r="D223" s="9" t="s">
        <v>1437</v>
      </c>
      <c r="E223" s="7">
        <f t="shared" si="10"/>
        <v>0</v>
      </c>
      <c r="F223" s="7">
        <f>-1*ROUND(1/6*(I223*IF(_xlfn.XLOOKUP(H223,'02效果表'!D:D,'02效果表'!E:E)&lt;0, _xlfn.XLOOKUP(H223,'02效果表'!D:D,'02效果表'!E:E), 0) +
K223*IF(_xlfn.XLOOKUP(J223,'02效果表'!D:D,'02效果表'!E:E)&lt;0, _xlfn.XLOOKUP(J223,'02效果表'!D:D,'02效果表'!E:E), 0) +
M223*IF(_xlfn.XLOOKUP(L223,'02效果表'!D:D,'02效果表'!E:E)&lt;0, _xlfn.XLOOKUP(L223,'02效果表'!D:D,'02效果表'!E:E), 0) +
O223*IF(_xlfn.XLOOKUP(N223,'02效果表'!D:D,'02效果表'!E:E)&lt;0, _xlfn.XLOOKUP(N223,'02效果表'!D:D,'02效果表'!E:E), 0) +
Q223*IF(_xlfn.XLOOKUP(P223,'02效果表'!D:D,'02效果表'!E:E)&lt;0, _xlfn.XLOOKUP(P223,'02效果表'!D:D,'02效果表'!E:E), 0) +
S223*IF(_xlfn.XLOOKUP(R223,'02效果表'!D:D,'02效果表'!E:E)&lt;0, _xlfn.XLOOKUP(R223,'02效果表'!D:D,'02效果表'!E:E), 0) +
U223*IF(_xlfn.XLOOKUP(T223,'02效果表'!D:D,'02效果表'!E:E)&lt;0, _xlfn.XLOOKUP(T223,'02效果表'!D:D,'02效果表'!E:E), 0) +
W223*IF(_xlfn.XLOOKUP(V223,'02效果表'!D:D,'02效果表'!E:E)&lt;0, _xlfn.XLOOKUP(V223,'02效果表'!D:D,'02效果表'!E:E), 0) +
Y223*IF(_xlfn.XLOOKUP(X223,'02效果表'!D:D,'02效果表'!E:E)&lt;0, _xlfn.XLOOKUP(X223,'02效果表'!D:D,'02效果表'!E:E), 0) +
AA223*IF(_xlfn.XLOOKUP(Z223,'02效果表'!D:D,'02效果表'!E:E)&lt;0, _xlfn.XLOOKUP(Z223,'02效果表'!D:D,'02效果表'!E:E), 0) +
AC223*IF(_xlfn.XLOOKUP(AB223,'02效果表'!D:D,'02效果表'!E:E)&lt;0, _xlfn.XLOOKUP(AB223,'02效果表'!D:D,'02效果表'!E:E), 0) +
AE223*IF(_xlfn.XLOOKUP(AD223,'02效果表'!D:D,'02效果表'!E:E)&lt;0, _xlfn.XLOOKUP(AD223,'02效果表'!D:D,'02效果表'!E:E), 0)), 1)</f>
        <v>0</v>
      </c>
      <c r="G223" s="7">
        <f>ROUND(1/6*(I223*MAX(_xlfn.XLOOKUP(H223,'02效果表'!D:D,'02效果表'!E:E),0)+K223*MAX(_xlfn.XLOOKUP(J223,'02效果表'!D:D,'02效果表'!E:E),0)+M223*MAX(_xlfn.XLOOKUP(L223,'02效果表'!D:D,'02效果表'!E:E),0)+O223*MAX(_xlfn.XLOOKUP(N223,'02效果表'!D:D,'02效果表'!E:E),0)+Q223*MAX(_xlfn.XLOOKUP(P223,'02效果表'!D:D,'02效果表'!E:E),0)+S223*MAX(_xlfn.XLOOKUP(R223,'02效果表'!D:D,'02效果表'!E:E),0)+U223*MAX(_xlfn.XLOOKUP(T223,'02效果表'!D:D,'02效果表'!E:E),0)+W223*MAX(_xlfn.XLOOKUP(V223,'02效果表'!D:D,'02效果表'!E:E),0)+Y223*MAX(_xlfn.XLOOKUP(X223,'02效果表'!D:D,'02效果表'!E:E),0)+AA223*MAX(_xlfn.XLOOKUP(Z223,'02效果表'!D:D,'02效果表'!E:E),0)+AC223*MAX(_xlfn.XLOOKUP(AB223,'02效果表'!D:D,'02效果表'!E:E),0)+AE223*MAX(_xlfn.XLOOKUP(AD223,'02效果表'!D:D,'02效果表'!E:E),0)),1)</f>
        <v>0</v>
      </c>
      <c r="H223" s="6"/>
      <c r="I223" s="6"/>
      <c r="J223" s="6"/>
      <c r="K223" s="6"/>
      <c r="L223" s="6"/>
      <c r="M223" s="6"/>
      <c r="N223" s="6"/>
      <c r="O223" s="6"/>
      <c r="P223" s="6"/>
      <c r="Q223" s="6"/>
      <c r="R223" s="6"/>
      <c r="S223" s="6"/>
      <c r="T223" s="6"/>
      <c r="U223" s="6"/>
      <c r="V223" s="6"/>
      <c r="W223" s="6"/>
      <c r="X223" s="6"/>
      <c r="Y223" s="6"/>
      <c r="Z223" s="6"/>
      <c r="AA223" s="6"/>
      <c r="AB223" s="6"/>
      <c r="AC223" s="6"/>
      <c r="AD223" s="6"/>
      <c r="AE223" s="6"/>
    </row>
    <row r="224" spans="1:31" x14ac:dyDescent="0.35">
      <c r="A224" s="6">
        <v>224</v>
      </c>
      <c r="B224" s="6" t="s">
        <v>4</v>
      </c>
      <c r="C224" s="10" t="s">
        <v>2</v>
      </c>
      <c r="D224" s="9" t="s">
        <v>1438</v>
      </c>
      <c r="E224" s="7">
        <f t="shared" si="10"/>
        <v>0</v>
      </c>
      <c r="F224" s="7">
        <f>-1*ROUND(1/6*(I224*IF(_xlfn.XLOOKUP(H224,'02效果表'!D:D,'02效果表'!E:E)&lt;0, _xlfn.XLOOKUP(H224,'02效果表'!D:D,'02效果表'!E:E), 0) +
K224*IF(_xlfn.XLOOKUP(J224,'02效果表'!D:D,'02效果表'!E:E)&lt;0, _xlfn.XLOOKUP(J224,'02效果表'!D:D,'02效果表'!E:E), 0) +
M224*IF(_xlfn.XLOOKUP(L224,'02效果表'!D:D,'02效果表'!E:E)&lt;0, _xlfn.XLOOKUP(L224,'02效果表'!D:D,'02效果表'!E:E), 0) +
O224*IF(_xlfn.XLOOKUP(N224,'02效果表'!D:D,'02效果表'!E:E)&lt;0, _xlfn.XLOOKUP(N224,'02效果表'!D:D,'02效果表'!E:E), 0) +
Q224*IF(_xlfn.XLOOKUP(P224,'02效果表'!D:D,'02效果表'!E:E)&lt;0, _xlfn.XLOOKUP(P224,'02效果表'!D:D,'02效果表'!E:E), 0) +
S224*IF(_xlfn.XLOOKUP(R224,'02效果表'!D:D,'02效果表'!E:E)&lt;0, _xlfn.XLOOKUP(R224,'02效果表'!D:D,'02效果表'!E:E), 0) +
U224*IF(_xlfn.XLOOKUP(T224,'02效果表'!D:D,'02效果表'!E:E)&lt;0, _xlfn.XLOOKUP(T224,'02效果表'!D:D,'02效果表'!E:E), 0) +
W224*IF(_xlfn.XLOOKUP(V224,'02效果表'!D:D,'02效果表'!E:E)&lt;0, _xlfn.XLOOKUP(V224,'02效果表'!D:D,'02效果表'!E:E), 0) +
Y224*IF(_xlfn.XLOOKUP(X224,'02效果表'!D:D,'02效果表'!E:E)&lt;0, _xlfn.XLOOKUP(X224,'02效果表'!D:D,'02效果表'!E:E), 0) +
AA224*IF(_xlfn.XLOOKUP(Z224,'02效果表'!D:D,'02效果表'!E:E)&lt;0, _xlfn.XLOOKUP(Z224,'02效果表'!D:D,'02效果表'!E:E), 0) +
AC224*IF(_xlfn.XLOOKUP(AB224,'02效果表'!D:D,'02效果表'!E:E)&lt;0, _xlfn.XLOOKUP(AB224,'02效果表'!D:D,'02效果表'!E:E), 0) +
AE224*IF(_xlfn.XLOOKUP(AD224,'02效果表'!D:D,'02效果表'!E:E)&lt;0, _xlfn.XLOOKUP(AD224,'02效果表'!D:D,'02效果表'!E:E), 0)), 1)</f>
        <v>0</v>
      </c>
      <c r="G224" s="7">
        <f>ROUND(1/6*(I224*MAX(_xlfn.XLOOKUP(H224,'02效果表'!D:D,'02效果表'!E:E),0)+K224*MAX(_xlfn.XLOOKUP(J224,'02效果表'!D:D,'02效果表'!E:E),0)+M224*MAX(_xlfn.XLOOKUP(L224,'02效果表'!D:D,'02效果表'!E:E),0)+O224*MAX(_xlfn.XLOOKUP(N224,'02效果表'!D:D,'02效果表'!E:E),0)+Q224*MAX(_xlfn.XLOOKUP(P224,'02效果表'!D:D,'02效果表'!E:E),0)+S224*MAX(_xlfn.XLOOKUP(R224,'02效果表'!D:D,'02效果表'!E:E),0)+U224*MAX(_xlfn.XLOOKUP(T224,'02效果表'!D:D,'02效果表'!E:E),0)+W224*MAX(_xlfn.XLOOKUP(V224,'02效果表'!D:D,'02效果表'!E:E),0)+Y224*MAX(_xlfn.XLOOKUP(X224,'02效果表'!D:D,'02效果表'!E:E),0)+AA224*MAX(_xlfn.XLOOKUP(Z224,'02效果表'!D:D,'02效果表'!E:E),0)+AC224*MAX(_xlfn.XLOOKUP(AB224,'02效果表'!D:D,'02效果表'!E:E),0)+AE224*MAX(_xlfn.XLOOKUP(AD224,'02效果表'!D:D,'02效果表'!E:E),0)),1)</f>
        <v>0</v>
      </c>
      <c r="H224" s="6"/>
      <c r="I224" s="6"/>
      <c r="J224" s="6"/>
      <c r="K224" s="6"/>
      <c r="L224" s="6"/>
      <c r="M224" s="6"/>
      <c r="N224" s="6"/>
      <c r="O224" s="6"/>
      <c r="P224" s="6"/>
      <c r="Q224" s="6"/>
      <c r="R224" s="6"/>
      <c r="S224" s="6"/>
      <c r="T224" s="6"/>
      <c r="U224" s="6"/>
      <c r="V224" s="6"/>
      <c r="W224" s="6"/>
      <c r="X224" s="6"/>
      <c r="Y224" s="6"/>
      <c r="Z224" s="6"/>
      <c r="AA224" s="6"/>
      <c r="AB224" s="6"/>
      <c r="AC224" s="6"/>
      <c r="AD224" s="6"/>
      <c r="AE224" s="6"/>
    </row>
    <row r="225" spans="1:31" x14ac:dyDescent="0.35">
      <c r="A225" s="6">
        <v>225</v>
      </c>
      <c r="B225" s="6" t="s">
        <v>4</v>
      </c>
      <c r="C225" s="10" t="s">
        <v>2</v>
      </c>
      <c r="D225" s="9" t="s">
        <v>1439</v>
      </c>
      <c r="E225" s="7">
        <f t="shared" si="10"/>
        <v>0</v>
      </c>
      <c r="F225" s="7">
        <f>-1*ROUND(1/6*(I225*IF(_xlfn.XLOOKUP(H225,'02效果表'!D:D,'02效果表'!E:E)&lt;0, _xlfn.XLOOKUP(H225,'02效果表'!D:D,'02效果表'!E:E), 0) +
K225*IF(_xlfn.XLOOKUP(J225,'02效果表'!D:D,'02效果表'!E:E)&lt;0, _xlfn.XLOOKUP(J225,'02效果表'!D:D,'02效果表'!E:E), 0) +
M225*IF(_xlfn.XLOOKUP(L225,'02效果表'!D:D,'02效果表'!E:E)&lt;0, _xlfn.XLOOKUP(L225,'02效果表'!D:D,'02效果表'!E:E), 0) +
O225*IF(_xlfn.XLOOKUP(N225,'02效果表'!D:D,'02效果表'!E:E)&lt;0, _xlfn.XLOOKUP(N225,'02效果表'!D:D,'02效果表'!E:E), 0) +
Q225*IF(_xlfn.XLOOKUP(P225,'02效果表'!D:D,'02效果表'!E:E)&lt;0, _xlfn.XLOOKUP(P225,'02效果表'!D:D,'02效果表'!E:E), 0) +
S225*IF(_xlfn.XLOOKUP(R225,'02效果表'!D:D,'02效果表'!E:E)&lt;0, _xlfn.XLOOKUP(R225,'02效果表'!D:D,'02效果表'!E:E), 0) +
U225*IF(_xlfn.XLOOKUP(T225,'02效果表'!D:D,'02效果表'!E:E)&lt;0, _xlfn.XLOOKUP(T225,'02效果表'!D:D,'02效果表'!E:E), 0) +
W225*IF(_xlfn.XLOOKUP(V225,'02效果表'!D:D,'02效果表'!E:E)&lt;0, _xlfn.XLOOKUP(V225,'02效果表'!D:D,'02效果表'!E:E), 0) +
Y225*IF(_xlfn.XLOOKUP(X225,'02效果表'!D:D,'02效果表'!E:E)&lt;0, _xlfn.XLOOKUP(X225,'02效果表'!D:D,'02效果表'!E:E), 0) +
AA225*IF(_xlfn.XLOOKUP(Z225,'02效果表'!D:D,'02效果表'!E:E)&lt;0, _xlfn.XLOOKUP(Z225,'02效果表'!D:D,'02效果表'!E:E), 0) +
AC225*IF(_xlfn.XLOOKUP(AB225,'02效果表'!D:D,'02效果表'!E:E)&lt;0, _xlfn.XLOOKUP(AB225,'02效果表'!D:D,'02效果表'!E:E), 0) +
AE225*IF(_xlfn.XLOOKUP(AD225,'02效果表'!D:D,'02效果表'!E:E)&lt;0, _xlfn.XLOOKUP(AD225,'02效果表'!D:D,'02效果表'!E:E), 0)), 1)</f>
        <v>0</v>
      </c>
      <c r="G225" s="7">
        <f>ROUND(1/6*(I225*MAX(_xlfn.XLOOKUP(H225,'02效果表'!D:D,'02效果表'!E:E),0)+K225*MAX(_xlfn.XLOOKUP(J225,'02效果表'!D:D,'02效果表'!E:E),0)+M225*MAX(_xlfn.XLOOKUP(L225,'02效果表'!D:D,'02效果表'!E:E),0)+O225*MAX(_xlfn.XLOOKUP(N225,'02效果表'!D:D,'02效果表'!E:E),0)+Q225*MAX(_xlfn.XLOOKUP(P225,'02效果表'!D:D,'02效果表'!E:E),0)+S225*MAX(_xlfn.XLOOKUP(R225,'02效果表'!D:D,'02效果表'!E:E),0)+U225*MAX(_xlfn.XLOOKUP(T225,'02效果表'!D:D,'02效果表'!E:E),0)+W225*MAX(_xlfn.XLOOKUP(V225,'02效果表'!D:D,'02效果表'!E:E),0)+Y225*MAX(_xlfn.XLOOKUP(X225,'02效果表'!D:D,'02效果表'!E:E),0)+AA225*MAX(_xlfn.XLOOKUP(Z225,'02效果表'!D:D,'02效果表'!E:E),0)+AC225*MAX(_xlfn.XLOOKUP(AB225,'02效果表'!D:D,'02效果表'!E:E),0)+AE225*MAX(_xlfn.XLOOKUP(AD225,'02效果表'!D:D,'02效果表'!E:E),0)),1)</f>
        <v>0</v>
      </c>
      <c r="H225" s="6"/>
      <c r="I225" s="6"/>
      <c r="J225" s="6"/>
      <c r="K225" s="6"/>
      <c r="L225" s="6"/>
      <c r="M225" s="6"/>
      <c r="N225" s="6"/>
      <c r="O225" s="6"/>
      <c r="P225" s="6"/>
      <c r="Q225" s="6"/>
      <c r="R225" s="6"/>
      <c r="S225" s="6"/>
      <c r="T225" s="6"/>
      <c r="U225" s="6"/>
      <c r="V225" s="6"/>
      <c r="W225" s="6"/>
      <c r="X225" s="6"/>
      <c r="Y225" s="6"/>
      <c r="Z225" s="6"/>
      <c r="AA225" s="6"/>
      <c r="AB225" s="6"/>
      <c r="AC225" s="6"/>
      <c r="AD225" s="6"/>
      <c r="AE225" s="6"/>
    </row>
    <row r="226" spans="1:31" x14ac:dyDescent="0.35">
      <c r="A226" s="6">
        <v>226</v>
      </c>
      <c r="B226" s="6" t="s">
        <v>4</v>
      </c>
      <c r="C226" s="10" t="s">
        <v>2</v>
      </c>
      <c r="D226" s="9" t="s">
        <v>1440</v>
      </c>
      <c r="E226" s="7">
        <f t="shared" si="10"/>
        <v>0</v>
      </c>
      <c r="F226" s="7">
        <f>-1*ROUND(1/6*(I226*IF(_xlfn.XLOOKUP(H226,'02效果表'!D:D,'02效果表'!E:E)&lt;0, _xlfn.XLOOKUP(H226,'02效果表'!D:D,'02效果表'!E:E), 0) +
K226*IF(_xlfn.XLOOKUP(J226,'02效果表'!D:D,'02效果表'!E:E)&lt;0, _xlfn.XLOOKUP(J226,'02效果表'!D:D,'02效果表'!E:E), 0) +
M226*IF(_xlfn.XLOOKUP(L226,'02效果表'!D:D,'02效果表'!E:E)&lt;0, _xlfn.XLOOKUP(L226,'02效果表'!D:D,'02效果表'!E:E), 0) +
O226*IF(_xlfn.XLOOKUP(N226,'02效果表'!D:D,'02效果表'!E:E)&lt;0, _xlfn.XLOOKUP(N226,'02效果表'!D:D,'02效果表'!E:E), 0) +
Q226*IF(_xlfn.XLOOKUP(P226,'02效果表'!D:D,'02效果表'!E:E)&lt;0, _xlfn.XLOOKUP(P226,'02效果表'!D:D,'02效果表'!E:E), 0) +
S226*IF(_xlfn.XLOOKUP(R226,'02效果表'!D:D,'02效果表'!E:E)&lt;0, _xlfn.XLOOKUP(R226,'02效果表'!D:D,'02效果表'!E:E), 0) +
U226*IF(_xlfn.XLOOKUP(T226,'02效果表'!D:D,'02效果表'!E:E)&lt;0, _xlfn.XLOOKUP(T226,'02效果表'!D:D,'02效果表'!E:E), 0) +
W226*IF(_xlfn.XLOOKUP(V226,'02效果表'!D:D,'02效果表'!E:E)&lt;0, _xlfn.XLOOKUP(V226,'02效果表'!D:D,'02效果表'!E:E), 0) +
Y226*IF(_xlfn.XLOOKUP(X226,'02效果表'!D:D,'02效果表'!E:E)&lt;0, _xlfn.XLOOKUP(X226,'02效果表'!D:D,'02效果表'!E:E), 0) +
AA226*IF(_xlfn.XLOOKUP(Z226,'02效果表'!D:D,'02效果表'!E:E)&lt;0, _xlfn.XLOOKUP(Z226,'02效果表'!D:D,'02效果表'!E:E), 0) +
AC226*IF(_xlfn.XLOOKUP(AB226,'02效果表'!D:D,'02效果表'!E:E)&lt;0, _xlfn.XLOOKUP(AB226,'02效果表'!D:D,'02效果表'!E:E), 0) +
AE226*IF(_xlfn.XLOOKUP(AD226,'02效果表'!D:D,'02效果表'!E:E)&lt;0, _xlfn.XLOOKUP(AD226,'02效果表'!D:D,'02效果表'!E:E), 0)), 1)</f>
        <v>0</v>
      </c>
      <c r="G226" s="7">
        <f>ROUND(1/6*(I226*MAX(_xlfn.XLOOKUP(H226,'02效果表'!D:D,'02效果表'!E:E),0)+K226*MAX(_xlfn.XLOOKUP(J226,'02效果表'!D:D,'02效果表'!E:E),0)+M226*MAX(_xlfn.XLOOKUP(L226,'02效果表'!D:D,'02效果表'!E:E),0)+O226*MAX(_xlfn.XLOOKUP(N226,'02效果表'!D:D,'02效果表'!E:E),0)+Q226*MAX(_xlfn.XLOOKUP(P226,'02效果表'!D:D,'02效果表'!E:E),0)+S226*MAX(_xlfn.XLOOKUP(R226,'02效果表'!D:D,'02效果表'!E:E),0)+U226*MAX(_xlfn.XLOOKUP(T226,'02效果表'!D:D,'02效果表'!E:E),0)+W226*MAX(_xlfn.XLOOKUP(V226,'02效果表'!D:D,'02效果表'!E:E),0)+Y226*MAX(_xlfn.XLOOKUP(X226,'02效果表'!D:D,'02效果表'!E:E),0)+AA226*MAX(_xlfn.XLOOKUP(Z226,'02效果表'!D:D,'02效果表'!E:E),0)+AC226*MAX(_xlfn.XLOOKUP(AB226,'02效果表'!D:D,'02效果表'!E:E),0)+AE226*MAX(_xlfn.XLOOKUP(AD226,'02效果表'!D:D,'02效果表'!E:E),0)),1)</f>
        <v>0</v>
      </c>
      <c r="H226" s="6"/>
      <c r="I226" s="6"/>
      <c r="J226" s="6"/>
      <c r="K226" s="6"/>
      <c r="L226" s="6"/>
      <c r="M226" s="6"/>
      <c r="N226" s="6"/>
      <c r="O226" s="6"/>
      <c r="P226" s="6"/>
      <c r="Q226" s="6"/>
      <c r="R226" s="6"/>
      <c r="S226" s="6"/>
      <c r="T226" s="6"/>
      <c r="U226" s="6"/>
      <c r="V226" s="6"/>
      <c r="W226" s="6"/>
      <c r="X226" s="6"/>
      <c r="Y226" s="6"/>
      <c r="Z226" s="6"/>
      <c r="AA226" s="6"/>
      <c r="AB226" s="6"/>
      <c r="AC226" s="6"/>
      <c r="AD226" s="6"/>
      <c r="AE226" s="6"/>
    </row>
    <row r="227" spans="1:31" x14ac:dyDescent="0.35">
      <c r="A227" s="6">
        <v>227</v>
      </c>
      <c r="B227" s="6" t="s">
        <v>4</v>
      </c>
      <c r="C227" s="10" t="s">
        <v>2</v>
      </c>
      <c r="D227" s="9" t="s">
        <v>1441</v>
      </c>
      <c r="E227" s="7">
        <f t="shared" si="10"/>
        <v>0</v>
      </c>
      <c r="F227" s="7">
        <f>-1*ROUND(1/6*(I227*IF(_xlfn.XLOOKUP(H227,'02效果表'!D:D,'02效果表'!E:E)&lt;0, _xlfn.XLOOKUP(H227,'02效果表'!D:D,'02效果表'!E:E), 0) +
K227*IF(_xlfn.XLOOKUP(J227,'02效果表'!D:D,'02效果表'!E:E)&lt;0, _xlfn.XLOOKUP(J227,'02效果表'!D:D,'02效果表'!E:E), 0) +
M227*IF(_xlfn.XLOOKUP(L227,'02效果表'!D:D,'02效果表'!E:E)&lt;0, _xlfn.XLOOKUP(L227,'02效果表'!D:D,'02效果表'!E:E), 0) +
O227*IF(_xlfn.XLOOKUP(N227,'02效果表'!D:D,'02效果表'!E:E)&lt;0, _xlfn.XLOOKUP(N227,'02效果表'!D:D,'02效果表'!E:E), 0) +
Q227*IF(_xlfn.XLOOKUP(P227,'02效果表'!D:D,'02效果表'!E:E)&lt;0, _xlfn.XLOOKUP(P227,'02效果表'!D:D,'02效果表'!E:E), 0) +
S227*IF(_xlfn.XLOOKUP(R227,'02效果表'!D:D,'02效果表'!E:E)&lt;0, _xlfn.XLOOKUP(R227,'02效果表'!D:D,'02效果表'!E:E), 0) +
U227*IF(_xlfn.XLOOKUP(T227,'02效果表'!D:D,'02效果表'!E:E)&lt;0, _xlfn.XLOOKUP(T227,'02效果表'!D:D,'02效果表'!E:E), 0) +
W227*IF(_xlfn.XLOOKUP(V227,'02效果表'!D:D,'02效果表'!E:E)&lt;0, _xlfn.XLOOKUP(V227,'02效果表'!D:D,'02效果表'!E:E), 0) +
Y227*IF(_xlfn.XLOOKUP(X227,'02效果表'!D:D,'02效果表'!E:E)&lt;0, _xlfn.XLOOKUP(X227,'02效果表'!D:D,'02效果表'!E:E), 0) +
AA227*IF(_xlfn.XLOOKUP(Z227,'02效果表'!D:D,'02效果表'!E:E)&lt;0, _xlfn.XLOOKUP(Z227,'02效果表'!D:D,'02效果表'!E:E), 0) +
AC227*IF(_xlfn.XLOOKUP(AB227,'02效果表'!D:D,'02效果表'!E:E)&lt;0, _xlfn.XLOOKUP(AB227,'02效果表'!D:D,'02效果表'!E:E), 0) +
AE227*IF(_xlfn.XLOOKUP(AD227,'02效果表'!D:D,'02效果表'!E:E)&lt;0, _xlfn.XLOOKUP(AD227,'02效果表'!D:D,'02效果表'!E:E), 0)), 1)</f>
        <v>0</v>
      </c>
      <c r="G227" s="7">
        <f>ROUND(1/6*(I227*MAX(_xlfn.XLOOKUP(H227,'02效果表'!D:D,'02效果表'!E:E),0)+K227*MAX(_xlfn.XLOOKUP(J227,'02效果表'!D:D,'02效果表'!E:E),0)+M227*MAX(_xlfn.XLOOKUP(L227,'02效果表'!D:D,'02效果表'!E:E),0)+O227*MAX(_xlfn.XLOOKUP(N227,'02效果表'!D:D,'02效果表'!E:E),0)+Q227*MAX(_xlfn.XLOOKUP(P227,'02效果表'!D:D,'02效果表'!E:E),0)+S227*MAX(_xlfn.XLOOKUP(R227,'02效果表'!D:D,'02效果表'!E:E),0)+U227*MAX(_xlfn.XLOOKUP(T227,'02效果表'!D:D,'02效果表'!E:E),0)+W227*MAX(_xlfn.XLOOKUP(V227,'02效果表'!D:D,'02效果表'!E:E),0)+Y227*MAX(_xlfn.XLOOKUP(X227,'02效果表'!D:D,'02效果表'!E:E),0)+AA227*MAX(_xlfn.XLOOKUP(Z227,'02效果表'!D:D,'02效果表'!E:E),0)+AC227*MAX(_xlfn.XLOOKUP(AB227,'02效果表'!D:D,'02效果表'!E:E),0)+AE227*MAX(_xlfn.XLOOKUP(AD227,'02效果表'!D:D,'02效果表'!E:E),0)),1)</f>
        <v>0</v>
      </c>
      <c r="H227" s="6"/>
      <c r="I227" s="6"/>
      <c r="J227" s="6"/>
      <c r="K227" s="6"/>
      <c r="L227" s="6"/>
      <c r="M227" s="6"/>
      <c r="N227" s="6"/>
      <c r="O227" s="6"/>
      <c r="P227" s="6"/>
      <c r="Q227" s="6"/>
      <c r="R227" s="6"/>
      <c r="S227" s="6"/>
      <c r="T227" s="6"/>
      <c r="U227" s="6"/>
      <c r="V227" s="6"/>
      <c r="W227" s="6"/>
      <c r="X227" s="6"/>
      <c r="Y227" s="6"/>
      <c r="Z227" s="6"/>
      <c r="AA227" s="6"/>
      <c r="AB227" s="6"/>
      <c r="AC227" s="6"/>
      <c r="AD227" s="6"/>
      <c r="AE227" s="6"/>
    </row>
    <row r="228" spans="1:31" x14ac:dyDescent="0.35">
      <c r="A228" s="6">
        <v>228</v>
      </c>
      <c r="B228" s="6" t="s">
        <v>4</v>
      </c>
      <c r="C228" s="10" t="s">
        <v>2</v>
      </c>
      <c r="D228" s="9" t="s">
        <v>1442</v>
      </c>
      <c r="E228" s="7">
        <f t="shared" si="10"/>
        <v>0</v>
      </c>
      <c r="F228" s="7">
        <f>-1*ROUND(1/6*(I228*IF(_xlfn.XLOOKUP(H228,'02效果表'!D:D,'02效果表'!E:E)&lt;0, _xlfn.XLOOKUP(H228,'02效果表'!D:D,'02效果表'!E:E), 0) +
K228*IF(_xlfn.XLOOKUP(J228,'02效果表'!D:D,'02效果表'!E:E)&lt;0, _xlfn.XLOOKUP(J228,'02效果表'!D:D,'02效果表'!E:E), 0) +
M228*IF(_xlfn.XLOOKUP(L228,'02效果表'!D:D,'02效果表'!E:E)&lt;0, _xlfn.XLOOKUP(L228,'02效果表'!D:D,'02效果表'!E:E), 0) +
O228*IF(_xlfn.XLOOKUP(N228,'02效果表'!D:D,'02效果表'!E:E)&lt;0, _xlfn.XLOOKUP(N228,'02效果表'!D:D,'02效果表'!E:E), 0) +
Q228*IF(_xlfn.XLOOKUP(P228,'02效果表'!D:D,'02效果表'!E:E)&lt;0, _xlfn.XLOOKUP(P228,'02效果表'!D:D,'02效果表'!E:E), 0) +
S228*IF(_xlfn.XLOOKUP(R228,'02效果表'!D:D,'02效果表'!E:E)&lt;0, _xlfn.XLOOKUP(R228,'02效果表'!D:D,'02效果表'!E:E), 0) +
U228*IF(_xlfn.XLOOKUP(T228,'02效果表'!D:D,'02效果表'!E:E)&lt;0, _xlfn.XLOOKUP(T228,'02效果表'!D:D,'02效果表'!E:E), 0) +
W228*IF(_xlfn.XLOOKUP(V228,'02效果表'!D:D,'02效果表'!E:E)&lt;0, _xlfn.XLOOKUP(V228,'02效果表'!D:D,'02效果表'!E:E), 0) +
Y228*IF(_xlfn.XLOOKUP(X228,'02效果表'!D:D,'02效果表'!E:E)&lt;0, _xlfn.XLOOKUP(X228,'02效果表'!D:D,'02效果表'!E:E), 0) +
AA228*IF(_xlfn.XLOOKUP(Z228,'02效果表'!D:D,'02效果表'!E:E)&lt;0, _xlfn.XLOOKUP(Z228,'02效果表'!D:D,'02效果表'!E:E), 0) +
AC228*IF(_xlfn.XLOOKUP(AB228,'02效果表'!D:D,'02效果表'!E:E)&lt;0, _xlfn.XLOOKUP(AB228,'02效果表'!D:D,'02效果表'!E:E), 0) +
AE228*IF(_xlfn.XLOOKUP(AD228,'02效果表'!D:D,'02效果表'!E:E)&lt;0, _xlfn.XLOOKUP(AD228,'02效果表'!D:D,'02效果表'!E:E), 0)), 1)</f>
        <v>0</v>
      </c>
      <c r="G228" s="7">
        <f>ROUND(1/6*(I228*MAX(_xlfn.XLOOKUP(H228,'02效果表'!D:D,'02效果表'!E:E),0)+K228*MAX(_xlfn.XLOOKUP(J228,'02效果表'!D:D,'02效果表'!E:E),0)+M228*MAX(_xlfn.XLOOKUP(L228,'02效果表'!D:D,'02效果表'!E:E),0)+O228*MAX(_xlfn.XLOOKUP(N228,'02效果表'!D:D,'02效果表'!E:E),0)+Q228*MAX(_xlfn.XLOOKUP(P228,'02效果表'!D:D,'02效果表'!E:E),0)+S228*MAX(_xlfn.XLOOKUP(R228,'02效果表'!D:D,'02效果表'!E:E),0)+U228*MAX(_xlfn.XLOOKUP(T228,'02效果表'!D:D,'02效果表'!E:E),0)+W228*MAX(_xlfn.XLOOKUP(V228,'02效果表'!D:D,'02效果表'!E:E),0)+Y228*MAX(_xlfn.XLOOKUP(X228,'02效果表'!D:D,'02效果表'!E:E),0)+AA228*MAX(_xlfn.XLOOKUP(Z228,'02效果表'!D:D,'02效果表'!E:E),0)+AC228*MAX(_xlfn.XLOOKUP(AB228,'02效果表'!D:D,'02效果表'!E:E),0)+AE228*MAX(_xlfn.XLOOKUP(AD228,'02效果表'!D:D,'02效果表'!E:E),0)),1)</f>
        <v>0</v>
      </c>
      <c r="H228" s="6"/>
      <c r="I228" s="6"/>
      <c r="J228" s="6"/>
      <c r="K228" s="6"/>
      <c r="L228" s="6"/>
      <c r="M228" s="6"/>
      <c r="N228" s="6"/>
      <c r="O228" s="6"/>
      <c r="P228" s="6"/>
      <c r="Q228" s="6"/>
      <c r="R228" s="6"/>
      <c r="S228" s="6"/>
      <c r="T228" s="6"/>
      <c r="U228" s="6"/>
      <c r="V228" s="6"/>
      <c r="W228" s="6"/>
      <c r="X228" s="6"/>
      <c r="Y228" s="6"/>
      <c r="Z228" s="6"/>
      <c r="AA228" s="6"/>
      <c r="AB228" s="6"/>
      <c r="AC228" s="6"/>
      <c r="AD228" s="6"/>
      <c r="AE228" s="6"/>
    </row>
    <row r="229" spans="1:31" x14ac:dyDescent="0.35">
      <c r="A229" s="6">
        <v>229</v>
      </c>
      <c r="B229" s="6" t="s">
        <v>4</v>
      </c>
      <c r="C229" s="10" t="s">
        <v>2</v>
      </c>
      <c r="D229" s="9" t="s">
        <v>1443</v>
      </c>
      <c r="E229" s="7">
        <f t="shared" si="10"/>
        <v>0</v>
      </c>
      <c r="F229" s="7">
        <f>-1*ROUND(1/6*(I229*IF(_xlfn.XLOOKUP(H229,'02效果表'!D:D,'02效果表'!E:E)&lt;0, _xlfn.XLOOKUP(H229,'02效果表'!D:D,'02效果表'!E:E), 0) +
K229*IF(_xlfn.XLOOKUP(J229,'02效果表'!D:D,'02效果表'!E:E)&lt;0, _xlfn.XLOOKUP(J229,'02效果表'!D:D,'02效果表'!E:E), 0) +
M229*IF(_xlfn.XLOOKUP(L229,'02效果表'!D:D,'02效果表'!E:E)&lt;0, _xlfn.XLOOKUP(L229,'02效果表'!D:D,'02效果表'!E:E), 0) +
O229*IF(_xlfn.XLOOKUP(N229,'02效果表'!D:D,'02效果表'!E:E)&lt;0, _xlfn.XLOOKUP(N229,'02效果表'!D:D,'02效果表'!E:E), 0) +
Q229*IF(_xlfn.XLOOKUP(P229,'02效果表'!D:D,'02效果表'!E:E)&lt;0, _xlfn.XLOOKUP(P229,'02效果表'!D:D,'02效果表'!E:E), 0) +
S229*IF(_xlfn.XLOOKUP(R229,'02效果表'!D:D,'02效果表'!E:E)&lt;0, _xlfn.XLOOKUP(R229,'02效果表'!D:D,'02效果表'!E:E), 0) +
U229*IF(_xlfn.XLOOKUP(T229,'02效果表'!D:D,'02效果表'!E:E)&lt;0, _xlfn.XLOOKUP(T229,'02效果表'!D:D,'02效果表'!E:E), 0) +
W229*IF(_xlfn.XLOOKUP(V229,'02效果表'!D:D,'02效果表'!E:E)&lt;0, _xlfn.XLOOKUP(V229,'02效果表'!D:D,'02效果表'!E:E), 0) +
Y229*IF(_xlfn.XLOOKUP(X229,'02效果表'!D:D,'02效果表'!E:E)&lt;0, _xlfn.XLOOKUP(X229,'02效果表'!D:D,'02效果表'!E:E), 0) +
AA229*IF(_xlfn.XLOOKUP(Z229,'02效果表'!D:D,'02效果表'!E:E)&lt;0, _xlfn.XLOOKUP(Z229,'02效果表'!D:D,'02效果表'!E:E), 0) +
AC229*IF(_xlfn.XLOOKUP(AB229,'02效果表'!D:D,'02效果表'!E:E)&lt;0, _xlfn.XLOOKUP(AB229,'02效果表'!D:D,'02效果表'!E:E), 0) +
AE229*IF(_xlfn.XLOOKUP(AD229,'02效果表'!D:D,'02效果表'!E:E)&lt;0, _xlfn.XLOOKUP(AD229,'02效果表'!D:D,'02效果表'!E:E), 0)), 1)</f>
        <v>0</v>
      </c>
      <c r="G229" s="7">
        <f>ROUND(1/6*(I229*MAX(_xlfn.XLOOKUP(H229,'02效果表'!D:D,'02效果表'!E:E),0)+K229*MAX(_xlfn.XLOOKUP(J229,'02效果表'!D:D,'02效果表'!E:E),0)+M229*MAX(_xlfn.XLOOKUP(L229,'02效果表'!D:D,'02效果表'!E:E),0)+O229*MAX(_xlfn.XLOOKUP(N229,'02效果表'!D:D,'02效果表'!E:E),0)+Q229*MAX(_xlfn.XLOOKUP(P229,'02效果表'!D:D,'02效果表'!E:E),0)+S229*MAX(_xlfn.XLOOKUP(R229,'02效果表'!D:D,'02效果表'!E:E),0)+U229*MAX(_xlfn.XLOOKUP(T229,'02效果表'!D:D,'02效果表'!E:E),0)+W229*MAX(_xlfn.XLOOKUP(V229,'02效果表'!D:D,'02效果表'!E:E),0)+Y229*MAX(_xlfn.XLOOKUP(X229,'02效果表'!D:D,'02效果表'!E:E),0)+AA229*MAX(_xlfn.XLOOKUP(Z229,'02效果表'!D:D,'02效果表'!E:E),0)+AC229*MAX(_xlfn.XLOOKUP(AB229,'02效果表'!D:D,'02效果表'!E:E),0)+AE229*MAX(_xlfn.XLOOKUP(AD229,'02效果表'!D:D,'02效果表'!E:E),0)),1)</f>
        <v>0</v>
      </c>
      <c r="H229" s="6"/>
      <c r="I229" s="6"/>
      <c r="J229" s="6"/>
      <c r="K229" s="6"/>
      <c r="L229" s="6"/>
      <c r="M229" s="6"/>
      <c r="N229" s="6"/>
      <c r="O229" s="6"/>
      <c r="P229" s="6"/>
      <c r="Q229" s="6"/>
      <c r="R229" s="6"/>
      <c r="S229" s="6"/>
      <c r="T229" s="6"/>
      <c r="U229" s="6"/>
      <c r="V229" s="6"/>
      <c r="W229" s="6"/>
      <c r="X229" s="6"/>
      <c r="Y229" s="6"/>
      <c r="Z229" s="6"/>
      <c r="AA229" s="6"/>
      <c r="AB229" s="6"/>
      <c r="AC229" s="6"/>
      <c r="AD229" s="6"/>
      <c r="AE229" s="6"/>
    </row>
    <row r="230" spans="1:31" x14ac:dyDescent="0.35">
      <c r="A230" s="6">
        <v>230</v>
      </c>
      <c r="B230" s="6" t="s">
        <v>4</v>
      </c>
      <c r="C230" s="10" t="s">
        <v>2</v>
      </c>
      <c r="D230" s="9" t="s">
        <v>1444</v>
      </c>
      <c r="E230" s="7">
        <f t="shared" si="10"/>
        <v>0</v>
      </c>
      <c r="F230" s="7">
        <f>-1*ROUND(1/6*(I230*IF(_xlfn.XLOOKUP(H230,'02效果表'!D:D,'02效果表'!E:E)&lt;0, _xlfn.XLOOKUP(H230,'02效果表'!D:D,'02效果表'!E:E), 0) +
K230*IF(_xlfn.XLOOKUP(J230,'02效果表'!D:D,'02效果表'!E:E)&lt;0, _xlfn.XLOOKUP(J230,'02效果表'!D:D,'02效果表'!E:E), 0) +
M230*IF(_xlfn.XLOOKUP(L230,'02效果表'!D:D,'02效果表'!E:E)&lt;0, _xlfn.XLOOKUP(L230,'02效果表'!D:D,'02效果表'!E:E), 0) +
O230*IF(_xlfn.XLOOKUP(N230,'02效果表'!D:D,'02效果表'!E:E)&lt;0, _xlfn.XLOOKUP(N230,'02效果表'!D:D,'02效果表'!E:E), 0) +
Q230*IF(_xlfn.XLOOKUP(P230,'02效果表'!D:D,'02效果表'!E:E)&lt;0, _xlfn.XLOOKUP(P230,'02效果表'!D:D,'02效果表'!E:E), 0) +
S230*IF(_xlfn.XLOOKUP(R230,'02效果表'!D:D,'02效果表'!E:E)&lt;0, _xlfn.XLOOKUP(R230,'02效果表'!D:D,'02效果表'!E:E), 0) +
U230*IF(_xlfn.XLOOKUP(T230,'02效果表'!D:D,'02效果表'!E:E)&lt;0, _xlfn.XLOOKUP(T230,'02效果表'!D:D,'02效果表'!E:E), 0) +
W230*IF(_xlfn.XLOOKUP(V230,'02效果表'!D:D,'02效果表'!E:E)&lt;0, _xlfn.XLOOKUP(V230,'02效果表'!D:D,'02效果表'!E:E), 0) +
Y230*IF(_xlfn.XLOOKUP(X230,'02效果表'!D:D,'02效果表'!E:E)&lt;0, _xlfn.XLOOKUP(X230,'02效果表'!D:D,'02效果表'!E:E), 0) +
AA230*IF(_xlfn.XLOOKUP(Z230,'02效果表'!D:D,'02效果表'!E:E)&lt;0, _xlfn.XLOOKUP(Z230,'02效果表'!D:D,'02效果表'!E:E), 0) +
AC230*IF(_xlfn.XLOOKUP(AB230,'02效果表'!D:D,'02效果表'!E:E)&lt;0, _xlfn.XLOOKUP(AB230,'02效果表'!D:D,'02效果表'!E:E), 0) +
AE230*IF(_xlfn.XLOOKUP(AD230,'02效果表'!D:D,'02效果表'!E:E)&lt;0, _xlfn.XLOOKUP(AD230,'02效果表'!D:D,'02效果表'!E:E), 0)), 1)</f>
        <v>0</v>
      </c>
      <c r="G230" s="7">
        <f>ROUND(1/6*(I230*MAX(_xlfn.XLOOKUP(H230,'02效果表'!D:D,'02效果表'!E:E),0)+K230*MAX(_xlfn.XLOOKUP(J230,'02效果表'!D:D,'02效果表'!E:E),0)+M230*MAX(_xlfn.XLOOKUP(L230,'02效果表'!D:D,'02效果表'!E:E),0)+O230*MAX(_xlfn.XLOOKUP(N230,'02效果表'!D:D,'02效果表'!E:E),0)+Q230*MAX(_xlfn.XLOOKUP(P230,'02效果表'!D:D,'02效果表'!E:E),0)+S230*MAX(_xlfn.XLOOKUP(R230,'02效果表'!D:D,'02效果表'!E:E),0)+U230*MAX(_xlfn.XLOOKUP(T230,'02效果表'!D:D,'02效果表'!E:E),0)+W230*MAX(_xlfn.XLOOKUP(V230,'02效果表'!D:D,'02效果表'!E:E),0)+Y230*MAX(_xlfn.XLOOKUP(X230,'02效果表'!D:D,'02效果表'!E:E),0)+AA230*MAX(_xlfn.XLOOKUP(Z230,'02效果表'!D:D,'02效果表'!E:E),0)+AC230*MAX(_xlfn.XLOOKUP(AB230,'02效果表'!D:D,'02效果表'!E:E),0)+AE230*MAX(_xlfn.XLOOKUP(AD230,'02效果表'!D:D,'02效果表'!E:E),0)),1)</f>
        <v>0</v>
      </c>
      <c r="H230" s="6"/>
      <c r="I230" s="6"/>
      <c r="J230" s="6"/>
      <c r="K230" s="6"/>
      <c r="L230" s="6"/>
      <c r="M230" s="6"/>
      <c r="N230" s="6"/>
      <c r="O230" s="6"/>
      <c r="P230" s="6"/>
      <c r="Q230" s="6"/>
      <c r="R230" s="6"/>
      <c r="S230" s="6"/>
      <c r="T230" s="6"/>
      <c r="U230" s="6"/>
      <c r="V230" s="6"/>
      <c r="W230" s="6"/>
      <c r="X230" s="6"/>
      <c r="Y230" s="6"/>
      <c r="Z230" s="6"/>
      <c r="AA230" s="6"/>
      <c r="AB230" s="6"/>
      <c r="AC230" s="6"/>
      <c r="AD230" s="6"/>
      <c r="AE230" s="6"/>
    </row>
    <row r="231" spans="1:31" x14ac:dyDescent="0.35">
      <c r="A231" s="6">
        <v>231</v>
      </c>
      <c r="B231" s="6" t="s">
        <v>4</v>
      </c>
      <c r="C231" s="10" t="s">
        <v>2</v>
      </c>
      <c r="D231" s="9" t="s">
        <v>1445</v>
      </c>
      <c r="E231" s="7">
        <f t="shared" si="10"/>
        <v>0</v>
      </c>
      <c r="F231" s="7">
        <f>-1*ROUND(1/6*(I231*IF(_xlfn.XLOOKUP(H231,'02效果表'!D:D,'02效果表'!E:E)&lt;0, _xlfn.XLOOKUP(H231,'02效果表'!D:D,'02效果表'!E:E), 0) +
K231*IF(_xlfn.XLOOKUP(J231,'02效果表'!D:D,'02效果表'!E:E)&lt;0, _xlfn.XLOOKUP(J231,'02效果表'!D:D,'02效果表'!E:E), 0) +
M231*IF(_xlfn.XLOOKUP(L231,'02效果表'!D:D,'02效果表'!E:E)&lt;0, _xlfn.XLOOKUP(L231,'02效果表'!D:D,'02效果表'!E:E), 0) +
O231*IF(_xlfn.XLOOKUP(N231,'02效果表'!D:D,'02效果表'!E:E)&lt;0, _xlfn.XLOOKUP(N231,'02效果表'!D:D,'02效果表'!E:E), 0) +
Q231*IF(_xlfn.XLOOKUP(P231,'02效果表'!D:D,'02效果表'!E:E)&lt;0, _xlfn.XLOOKUP(P231,'02效果表'!D:D,'02效果表'!E:E), 0) +
S231*IF(_xlfn.XLOOKUP(R231,'02效果表'!D:D,'02效果表'!E:E)&lt;0, _xlfn.XLOOKUP(R231,'02效果表'!D:D,'02效果表'!E:E), 0) +
U231*IF(_xlfn.XLOOKUP(T231,'02效果表'!D:D,'02效果表'!E:E)&lt;0, _xlfn.XLOOKUP(T231,'02效果表'!D:D,'02效果表'!E:E), 0) +
W231*IF(_xlfn.XLOOKUP(V231,'02效果表'!D:D,'02效果表'!E:E)&lt;0, _xlfn.XLOOKUP(V231,'02效果表'!D:D,'02效果表'!E:E), 0) +
Y231*IF(_xlfn.XLOOKUP(X231,'02效果表'!D:D,'02效果表'!E:E)&lt;0, _xlfn.XLOOKUP(X231,'02效果表'!D:D,'02效果表'!E:E), 0) +
AA231*IF(_xlfn.XLOOKUP(Z231,'02效果表'!D:D,'02效果表'!E:E)&lt;0, _xlfn.XLOOKUP(Z231,'02效果表'!D:D,'02效果表'!E:E), 0) +
AC231*IF(_xlfn.XLOOKUP(AB231,'02效果表'!D:D,'02效果表'!E:E)&lt;0, _xlfn.XLOOKUP(AB231,'02效果表'!D:D,'02效果表'!E:E), 0) +
AE231*IF(_xlfn.XLOOKUP(AD231,'02效果表'!D:D,'02效果表'!E:E)&lt;0, _xlfn.XLOOKUP(AD231,'02效果表'!D:D,'02效果表'!E:E), 0)), 1)</f>
        <v>0</v>
      </c>
      <c r="G231" s="7">
        <f>ROUND(1/6*(I231*MAX(_xlfn.XLOOKUP(H231,'02效果表'!D:D,'02效果表'!E:E),0)+K231*MAX(_xlfn.XLOOKUP(J231,'02效果表'!D:D,'02效果表'!E:E),0)+M231*MAX(_xlfn.XLOOKUP(L231,'02效果表'!D:D,'02效果表'!E:E),0)+O231*MAX(_xlfn.XLOOKUP(N231,'02效果表'!D:D,'02效果表'!E:E),0)+Q231*MAX(_xlfn.XLOOKUP(P231,'02效果表'!D:D,'02效果表'!E:E),0)+S231*MAX(_xlfn.XLOOKUP(R231,'02效果表'!D:D,'02效果表'!E:E),0)+U231*MAX(_xlfn.XLOOKUP(T231,'02效果表'!D:D,'02效果表'!E:E),0)+W231*MAX(_xlfn.XLOOKUP(V231,'02效果表'!D:D,'02效果表'!E:E),0)+Y231*MAX(_xlfn.XLOOKUP(X231,'02效果表'!D:D,'02效果表'!E:E),0)+AA231*MAX(_xlfn.XLOOKUP(Z231,'02效果表'!D:D,'02效果表'!E:E),0)+AC231*MAX(_xlfn.XLOOKUP(AB231,'02效果表'!D:D,'02效果表'!E:E),0)+AE231*MAX(_xlfn.XLOOKUP(AD231,'02效果表'!D:D,'02效果表'!E:E),0)),1)</f>
        <v>0</v>
      </c>
      <c r="H231" s="6"/>
      <c r="I231" s="6"/>
      <c r="J231" s="6"/>
      <c r="K231" s="6"/>
      <c r="L231" s="6"/>
      <c r="M231" s="6"/>
      <c r="N231" s="6"/>
      <c r="O231" s="6"/>
      <c r="P231" s="6"/>
      <c r="Q231" s="6"/>
      <c r="R231" s="6"/>
      <c r="S231" s="6"/>
      <c r="T231" s="6"/>
      <c r="U231" s="6"/>
      <c r="V231" s="6"/>
      <c r="W231" s="6"/>
      <c r="X231" s="6"/>
      <c r="Y231" s="6"/>
      <c r="Z231" s="6"/>
      <c r="AA231" s="6"/>
      <c r="AB231" s="6"/>
      <c r="AC231" s="6"/>
      <c r="AD231" s="6"/>
      <c r="AE231" s="6"/>
    </row>
    <row r="232" spans="1:31" x14ac:dyDescent="0.35">
      <c r="A232" s="6">
        <v>232</v>
      </c>
      <c r="B232" s="6" t="s">
        <v>4</v>
      </c>
      <c r="C232" s="10" t="s">
        <v>2</v>
      </c>
      <c r="D232" s="9"/>
      <c r="E232" s="7">
        <f t="shared" si="10"/>
        <v>0</v>
      </c>
      <c r="F232" s="7">
        <f>-1*ROUND(1/6*(I232*IF(_xlfn.XLOOKUP(H232,'02效果表'!D:D,'02效果表'!E:E)&lt;0, _xlfn.XLOOKUP(H232,'02效果表'!D:D,'02效果表'!E:E), 0) +
K232*IF(_xlfn.XLOOKUP(J232,'02效果表'!D:D,'02效果表'!E:E)&lt;0, _xlfn.XLOOKUP(J232,'02效果表'!D:D,'02效果表'!E:E), 0) +
M232*IF(_xlfn.XLOOKUP(L232,'02效果表'!D:D,'02效果表'!E:E)&lt;0, _xlfn.XLOOKUP(L232,'02效果表'!D:D,'02效果表'!E:E), 0) +
O232*IF(_xlfn.XLOOKUP(N232,'02效果表'!D:D,'02效果表'!E:E)&lt;0, _xlfn.XLOOKUP(N232,'02效果表'!D:D,'02效果表'!E:E), 0) +
Q232*IF(_xlfn.XLOOKUP(P232,'02效果表'!D:D,'02效果表'!E:E)&lt;0, _xlfn.XLOOKUP(P232,'02效果表'!D:D,'02效果表'!E:E), 0) +
S232*IF(_xlfn.XLOOKUP(R232,'02效果表'!D:D,'02效果表'!E:E)&lt;0, _xlfn.XLOOKUP(R232,'02效果表'!D:D,'02效果表'!E:E), 0) +
U232*IF(_xlfn.XLOOKUP(T232,'02效果表'!D:D,'02效果表'!E:E)&lt;0, _xlfn.XLOOKUP(T232,'02效果表'!D:D,'02效果表'!E:E), 0) +
W232*IF(_xlfn.XLOOKUP(V232,'02效果表'!D:D,'02效果表'!E:E)&lt;0, _xlfn.XLOOKUP(V232,'02效果表'!D:D,'02效果表'!E:E), 0) +
Y232*IF(_xlfn.XLOOKUP(X232,'02效果表'!D:D,'02效果表'!E:E)&lt;0, _xlfn.XLOOKUP(X232,'02效果表'!D:D,'02效果表'!E:E), 0) +
AA232*IF(_xlfn.XLOOKUP(Z232,'02效果表'!D:D,'02效果表'!E:E)&lt;0, _xlfn.XLOOKUP(Z232,'02效果表'!D:D,'02效果表'!E:E), 0) +
AC232*IF(_xlfn.XLOOKUP(AB232,'02效果表'!D:D,'02效果表'!E:E)&lt;0, _xlfn.XLOOKUP(AB232,'02效果表'!D:D,'02效果表'!E:E), 0) +
AE232*IF(_xlfn.XLOOKUP(AD232,'02效果表'!D:D,'02效果表'!E:E)&lt;0, _xlfn.XLOOKUP(AD232,'02效果表'!D:D,'02效果表'!E:E), 0)), 1)</f>
        <v>0</v>
      </c>
      <c r="G232" s="7">
        <f>ROUND(1/6*(I232*MAX(_xlfn.XLOOKUP(H232,'02效果表'!D:D,'02效果表'!E:E),0)+K232*MAX(_xlfn.XLOOKUP(J232,'02效果表'!D:D,'02效果表'!E:E),0)+M232*MAX(_xlfn.XLOOKUP(L232,'02效果表'!D:D,'02效果表'!E:E),0)+O232*MAX(_xlfn.XLOOKUP(N232,'02效果表'!D:D,'02效果表'!E:E),0)+Q232*MAX(_xlfn.XLOOKUP(P232,'02效果表'!D:D,'02效果表'!E:E),0)+S232*MAX(_xlfn.XLOOKUP(R232,'02效果表'!D:D,'02效果表'!E:E),0)+U232*MAX(_xlfn.XLOOKUP(T232,'02效果表'!D:D,'02效果表'!E:E),0)+W232*MAX(_xlfn.XLOOKUP(V232,'02效果表'!D:D,'02效果表'!E:E),0)+Y232*MAX(_xlfn.XLOOKUP(X232,'02效果表'!D:D,'02效果表'!E:E),0)+AA232*MAX(_xlfn.XLOOKUP(Z232,'02效果表'!D:D,'02效果表'!E:E),0)+AC232*MAX(_xlfn.XLOOKUP(AB232,'02效果表'!D:D,'02效果表'!E:E),0)+AE232*MAX(_xlfn.XLOOKUP(AD232,'02效果表'!D:D,'02效果表'!E:E),0)),1)</f>
        <v>0</v>
      </c>
      <c r="H232" s="6"/>
      <c r="I232" s="6"/>
      <c r="J232" s="6"/>
      <c r="K232" s="6"/>
      <c r="L232" s="6"/>
      <c r="M232" s="6"/>
      <c r="N232" s="6"/>
      <c r="O232" s="6"/>
      <c r="P232" s="6"/>
      <c r="Q232" s="6"/>
      <c r="R232" s="6"/>
      <c r="S232" s="6"/>
      <c r="T232" s="6"/>
      <c r="U232" s="6"/>
      <c r="V232" s="6"/>
      <c r="W232" s="6"/>
      <c r="X232" s="6"/>
      <c r="Y232" s="6"/>
      <c r="Z232" s="6"/>
      <c r="AA232" s="6"/>
      <c r="AB232" s="6"/>
      <c r="AC232" s="6"/>
      <c r="AD232" s="6"/>
      <c r="AE232" s="6"/>
    </row>
    <row r="233" spans="1:31" x14ac:dyDescent="0.35">
      <c r="A233" s="6">
        <v>233</v>
      </c>
      <c r="B233" s="6" t="s">
        <v>4</v>
      </c>
      <c r="C233" s="10" t="s">
        <v>2</v>
      </c>
      <c r="D233" s="9"/>
      <c r="E233" s="7">
        <f t="shared" si="10"/>
        <v>0</v>
      </c>
      <c r="F233" s="7">
        <f>-1*ROUND(1/6*(I233*IF(_xlfn.XLOOKUP(H233,'02效果表'!D:D,'02效果表'!E:E)&lt;0, _xlfn.XLOOKUP(H233,'02效果表'!D:D,'02效果表'!E:E), 0) +
K233*IF(_xlfn.XLOOKUP(J233,'02效果表'!D:D,'02效果表'!E:E)&lt;0, _xlfn.XLOOKUP(J233,'02效果表'!D:D,'02效果表'!E:E), 0) +
M233*IF(_xlfn.XLOOKUP(L233,'02效果表'!D:D,'02效果表'!E:E)&lt;0, _xlfn.XLOOKUP(L233,'02效果表'!D:D,'02效果表'!E:E), 0) +
O233*IF(_xlfn.XLOOKUP(N233,'02效果表'!D:D,'02效果表'!E:E)&lt;0, _xlfn.XLOOKUP(N233,'02效果表'!D:D,'02效果表'!E:E), 0) +
Q233*IF(_xlfn.XLOOKUP(P233,'02效果表'!D:D,'02效果表'!E:E)&lt;0, _xlfn.XLOOKUP(P233,'02效果表'!D:D,'02效果表'!E:E), 0) +
S233*IF(_xlfn.XLOOKUP(R233,'02效果表'!D:D,'02效果表'!E:E)&lt;0, _xlfn.XLOOKUP(R233,'02效果表'!D:D,'02效果表'!E:E), 0) +
U233*IF(_xlfn.XLOOKUP(T233,'02效果表'!D:D,'02效果表'!E:E)&lt;0, _xlfn.XLOOKUP(T233,'02效果表'!D:D,'02效果表'!E:E), 0) +
W233*IF(_xlfn.XLOOKUP(V233,'02效果表'!D:D,'02效果表'!E:E)&lt;0, _xlfn.XLOOKUP(V233,'02效果表'!D:D,'02效果表'!E:E), 0) +
Y233*IF(_xlfn.XLOOKUP(X233,'02效果表'!D:D,'02效果表'!E:E)&lt;0, _xlfn.XLOOKUP(X233,'02效果表'!D:D,'02效果表'!E:E), 0) +
AA233*IF(_xlfn.XLOOKUP(Z233,'02效果表'!D:D,'02效果表'!E:E)&lt;0, _xlfn.XLOOKUP(Z233,'02效果表'!D:D,'02效果表'!E:E), 0) +
AC233*IF(_xlfn.XLOOKUP(AB233,'02效果表'!D:D,'02效果表'!E:E)&lt;0, _xlfn.XLOOKUP(AB233,'02效果表'!D:D,'02效果表'!E:E), 0) +
AE233*IF(_xlfn.XLOOKUP(AD233,'02效果表'!D:D,'02效果表'!E:E)&lt;0, _xlfn.XLOOKUP(AD233,'02效果表'!D:D,'02效果表'!E:E), 0)), 1)</f>
        <v>0</v>
      </c>
      <c r="G233" s="7">
        <f>ROUND(1/6*(I233*MAX(_xlfn.XLOOKUP(H233,'02效果表'!D:D,'02效果表'!E:E),0)+K233*MAX(_xlfn.XLOOKUP(J233,'02效果表'!D:D,'02效果表'!E:E),0)+M233*MAX(_xlfn.XLOOKUP(L233,'02效果表'!D:D,'02效果表'!E:E),0)+O233*MAX(_xlfn.XLOOKUP(N233,'02效果表'!D:D,'02效果表'!E:E),0)+Q233*MAX(_xlfn.XLOOKUP(P233,'02效果表'!D:D,'02效果表'!E:E),0)+S233*MAX(_xlfn.XLOOKUP(R233,'02效果表'!D:D,'02效果表'!E:E),0)+U233*MAX(_xlfn.XLOOKUP(T233,'02效果表'!D:D,'02效果表'!E:E),0)+W233*MAX(_xlfn.XLOOKUP(V233,'02效果表'!D:D,'02效果表'!E:E),0)+Y233*MAX(_xlfn.XLOOKUP(X233,'02效果表'!D:D,'02效果表'!E:E),0)+AA233*MAX(_xlfn.XLOOKUP(Z233,'02效果表'!D:D,'02效果表'!E:E),0)+AC233*MAX(_xlfn.XLOOKUP(AB233,'02效果表'!D:D,'02效果表'!E:E),0)+AE233*MAX(_xlfn.XLOOKUP(AD233,'02效果表'!D:D,'02效果表'!E:E),0)),1)</f>
        <v>0</v>
      </c>
      <c r="H233" s="6"/>
      <c r="I233" s="6"/>
      <c r="J233" s="6"/>
      <c r="K233" s="6"/>
      <c r="L233" s="6"/>
      <c r="M233" s="6"/>
      <c r="N233" s="6"/>
      <c r="O233" s="6"/>
      <c r="P233" s="6"/>
      <c r="Q233" s="6"/>
      <c r="R233" s="6"/>
      <c r="S233" s="6"/>
      <c r="T233" s="6"/>
      <c r="U233" s="6"/>
      <c r="V233" s="6"/>
      <c r="W233" s="6"/>
      <c r="X233" s="6"/>
      <c r="Y233" s="6"/>
      <c r="Z233" s="6"/>
      <c r="AA233" s="6"/>
      <c r="AB233" s="6"/>
      <c r="AC233" s="6"/>
      <c r="AD233" s="6"/>
      <c r="AE233" s="6"/>
    </row>
    <row r="234" spans="1:31" x14ac:dyDescent="0.35">
      <c r="A234" s="6">
        <v>234</v>
      </c>
      <c r="B234" s="6" t="s">
        <v>4</v>
      </c>
      <c r="C234" s="10" t="s">
        <v>2</v>
      </c>
      <c r="D234" s="9"/>
      <c r="E234" s="7">
        <f t="shared" si="10"/>
        <v>0</v>
      </c>
      <c r="F234" s="7">
        <f>-1*ROUND(1/6*(I234*IF(_xlfn.XLOOKUP(H234,'02效果表'!D:D,'02效果表'!E:E)&lt;0, _xlfn.XLOOKUP(H234,'02效果表'!D:D,'02效果表'!E:E), 0) +
K234*IF(_xlfn.XLOOKUP(J234,'02效果表'!D:D,'02效果表'!E:E)&lt;0, _xlfn.XLOOKUP(J234,'02效果表'!D:D,'02效果表'!E:E), 0) +
M234*IF(_xlfn.XLOOKUP(L234,'02效果表'!D:D,'02效果表'!E:E)&lt;0, _xlfn.XLOOKUP(L234,'02效果表'!D:D,'02效果表'!E:E), 0) +
O234*IF(_xlfn.XLOOKUP(N234,'02效果表'!D:D,'02效果表'!E:E)&lt;0, _xlfn.XLOOKUP(N234,'02效果表'!D:D,'02效果表'!E:E), 0) +
Q234*IF(_xlfn.XLOOKUP(P234,'02效果表'!D:D,'02效果表'!E:E)&lt;0, _xlfn.XLOOKUP(P234,'02效果表'!D:D,'02效果表'!E:E), 0) +
S234*IF(_xlfn.XLOOKUP(R234,'02效果表'!D:D,'02效果表'!E:E)&lt;0, _xlfn.XLOOKUP(R234,'02效果表'!D:D,'02效果表'!E:E), 0) +
U234*IF(_xlfn.XLOOKUP(T234,'02效果表'!D:D,'02效果表'!E:E)&lt;0, _xlfn.XLOOKUP(T234,'02效果表'!D:D,'02效果表'!E:E), 0) +
W234*IF(_xlfn.XLOOKUP(V234,'02效果表'!D:D,'02效果表'!E:E)&lt;0, _xlfn.XLOOKUP(V234,'02效果表'!D:D,'02效果表'!E:E), 0) +
Y234*IF(_xlfn.XLOOKUP(X234,'02效果表'!D:D,'02效果表'!E:E)&lt;0, _xlfn.XLOOKUP(X234,'02效果表'!D:D,'02效果表'!E:E), 0) +
AA234*IF(_xlfn.XLOOKUP(Z234,'02效果表'!D:D,'02效果表'!E:E)&lt;0, _xlfn.XLOOKUP(Z234,'02效果表'!D:D,'02效果表'!E:E), 0) +
AC234*IF(_xlfn.XLOOKUP(AB234,'02效果表'!D:D,'02效果表'!E:E)&lt;0, _xlfn.XLOOKUP(AB234,'02效果表'!D:D,'02效果表'!E:E), 0) +
AE234*IF(_xlfn.XLOOKUP(AD234,'02效果表'!D:D,'02效果表'!E:E)&lt;0, _xlfn.XLOOKUP(AD234,'02效果表'!D:D,'02效果表'!E:E), 0)), 1)</f>
        <v>0</v>
      </c>
      <c r="G234" s="7">
        <f>ROUND(1/6*(I234*MAX(_xlfn.XLOOKUP(H234,'02效果表'!D:D,'02效果表'!E:E),0)+K234*MAX(_xlfn.XLOOKUP(J234,'02效果表'!D:D,'02效果表'!E:E),0)+M234*MAX(_xlfn.XLOOKUP(L234,'02效果表'!D:D,'02效果表'!E:E),0)+O234*MAX(_xlfn.XLOOKUP(N234,'02效果表'!D:D,'02效果表'!E:E),0)+Q234*MAX(_xlfn.XLOOKUP(P234,'02效果表'!D:D,'02效果表'!E:E),0)+S234*MAX(_xlfn.XLOOKUP(R234,'02效果表'!D:D,'02效果表'!E:E),0)+U234*MAX(_xlfn.XLOOKUP(T234,'02效果表'!D:D,'02效果表'!E:E),0)+W234*MAX(_xlfn.XLOOKUP(V234,'02效果表'!D:D,'02效果表'!E:E),0)+Y234*MAX(_xlfn.XLOOKUP(X234,'02效果表'!D:D,'02效果表'!E:E),0)+AA234*MAX(_xlfn.XLOOKUP(Z234,'02效果表'!D:D,'02效果表'!E:E),0)+AC234*MAX(_xlfn.XLOOKUP(AB234,'02效果表'!D:D,'02效果表'!E:E),0)+AE234*MAX(_xlfn.XLOOKUP(AD234,'02效果表'!D:D,'02效果表'!E:E),0)),1)</f>
        <v>0</v>
      </c>
      <c r="H234" s="6"/>
      <c r="I234" s="6"/>
      <c r="J234" s="6"/>
      <c r="K234" s="6"/>
      <c r="L234" s="6"/>
      <c r="M234" s="6"/>
      <c r="N234" s="6"/>
      <c r="O234" s="6"/>
      <c r="P234" s="6"/>
      <c r="Q234" s="6"/>
      <c r="R234" s="6"/>
      <c r="S234" s="6"/>
      <c r="T234" s="6"/>
      <c r="U234" s="6"/>
      <c r="V234" s="6"/>
      <c r="W234" s="6"/>
      <c r="X234" s="6"/>
      <c r="Y234" s="6"/>
      <c r="Z234" s="6"/>
      <c r="AA234" s="6"/>
      <c r="AB234" s="6"/>
      <c r="AC234" s="6"/>
      <c r="AD234" s="6"/>
      <c r="AE234" s="6"/>
    </row>
    <row r="235" spans="1:31" x14ac:dyDescent="0.35">
      <c r="A235" s="6">
        <v>235</v>
      </c>
      <c r="B235" s="6" t="s">
        <v>4</v>
      </c>
      <c r="C235" s="10" t="s">
        <v>2</v>
      </c>
      <c r="D235" s="9"/>
      <c r="E235" s="7">
        <f t="shared" si="10"/>
        <v>0</v>
      </c>
      <c r="F235" s="7">
        <f>-1*ROUND(1/6*(I235*IF(_xlfn.XLOOKUP(H235,'02效果表'!D:D,'02效果表'!E:E)&lt;0, _xlfn.XLOOKUP(H235,'02效果表'!D:D,'02效果表'!E:E), 0) +
K235*IF(_xlfn.XLOOKUP(J235,'02效果表'!D:D,'02效果表'!E:E)&lt;0, _xlfn.XLOOKUP(J235,'02效果表'!D:D,'02效果表'!E:E), 0) +
M235*IF(_xlfn.XLOOKUP(L235,'02效果表'!D:D,'02效果表'!E:E)&lt;0, _xlfn.XLOOKUP(L235,'02效果表'!D:D,'02效果表'!E:E), 0) +
O235*IF(_xlfn.XLOOKUP(N235,'02效果表'!D:D,'02效果表'!E:E)&lt;0, _xlfn.XLOOKUP(N235,'02效果表'!D:D,'02效果表'!E:E), 0) +
Q235*IF(_xlfn.XLOOKUP(P235,'02效果表'!D:D,'02效果表'!E:E)&lt;0, _xlfn.XLOOKUP(P235,'02效果表'!D:D,'02效果表'!E:E), 0) +
S235*IF(_xlfn.XLOOKUP(R235,'02效果表'!D:D,'02效果表'!E:E)&lt;0, _xlfn.XLOOKUP(R235,'02效果表'!D:D,'02效果表'!E:E), 0) +
U235*IF(_xlfn.XLOOKUP(T235,'02效果表'!D:D,'02效果表'!E:E)&lt;0, _xlfn.XLOOKUP(T235,'02效果表'!D:D,'02效果表'!E:E), 0) +
W235*IF(_xlfn.XLOOKUP(V235,'02效果表'!D:D,'02效果表'!E:E)&lt;0, _xlfn.XLOOKUP(V235,'02效果表'!D:D,'02效果表'!E:E), 0) +
Y235*IF(_xlfn.XLOOKUP(X235,'02效果表'!D:D,'02效果表'!E:E)&lt;0, _xlfn.XLOOKUP(X235,'02效果表'!D:D,'02效果表'!E:E), 0) +
AA235*IF(_xlfn.XLOOKUP(Z235,'02效果表'!D:D,'02效果表'!E:E)&lt;0, _xlfn.XLOOKUP(Z235,'02效果表'!D:D,'02效果表'!E:E), 0) +
AC235*IF(_xlfn.XLOOKUP(AB235,'02效果表'!D:D,'02效果表'!E:E)&lt;0, _xlfn.XLOOKUP(AB235,'02效果表'!D:D,'02效果表'!E:E), 0) +
AE235*IF(_xlfn.XLOOKUP(AD235,'02效果表'!D:D,'02效果表'!E:E)&lt;0, _xlfn.XLOOKUP(AD235,'02效果表'!D:D,'02效果表'!E:E), 0)), 1)</f>
        <v>0</v>
      </c>
      <c r="G235" s="7">
        <f>ROUND(1/6*(I235*MAX(_xlfn.XLOOKUP(H235,'02效果表'!D:D,'02效果表'!E:E),0)+K235*MAX(_xlfn.XLOOKUP(J235,'02效果表'!D:D,'02效果表'!E:E),0)+M235*MAX(_xlfn.XLOOKUP(L235,'02效果表'!D:D,'02效果表'!E:E),0)+O235*MAX(_xlfn.XLOOKUP(N235,'02效果表'!D:D,'02效果表'!E:E),0)+Q235*MAX(_xlfn.XLOOKUP(P235,'02效果表'!D:D,'02效果表'!E:E),0)+S235*MAX(_xlfn.XLOOKUP(R235,'02效果表'!D:D,'02效果表'!E:E),0)+U235*MAX(_xlfn.XLOOKUP(T235,'02效果表'!D:D,'02效果表'!E:E),0)+W235*MAX(_xlfn.XLOOKUP(V235,'02效果表'!D:D,'02效果表'!E:E),0)+Y235*MAX(_xlfn.XLOOKUP(X235,'02效果表'!D:D,'02效果表'!E:E),0)+AA235*MAX(_xlfn.XLOOKUP(Z235,'02效果表'!D:D,'02效果表'!E:E),0)+AC235*MAX(_xlfn.XLOOKUP(AB235,'02效果表'!D:D,'02效果表'!E:E),0)+AE235*MAX(_xlfn.XLOOKUP(AD235,'02效果表'!D:D,'02效果表'!E:E),0)),1)</f>
        <v>0</v>
      </c>
      <c r="H235" s="6"/>
      <c r="I235" s="6"/>
      <c r="J235" s="6"/>
      <c r="K235" s="6"/>
      <c r="L235" s="6"/>
      <c r="M235" s="6"/>
      <c r="N235" s="6"/>
      <c r="O235" s="6"/>
      <c r="P235" s="6"/>
      <c r="Q235" s="6"/>
      <c r="R235" s="6"/>
      <c r="S235" s="6"/>
      <c r="T235" s="6"/>
      <c r="U235" s="6"/>
      <c r="V235" s="6"/>
      <c r="W235" s="6"/>
      <c r="X235" s="6"/>
      <c r="Y235" s="6"/>
      <c r="Z235" s="6"/>
      <c r="AA235" s="6"/>
      <c r="AB235" s="6"/>
      <c r="AC235" s="6"/>
      <c r="AD235" s="6"/>
      <c r="AE235" s="6"/>
    </row>
    <row r="236" spans="1:31" x14ac:dyDescent="0.35">
      <c r="A236" s="6">
        <v>236</v>
      </c>
      <c r="B236" s="6" t="s">
        <v>4</v>
      </c>
      <c r="C236" s="10" t="s">
        <v>16</v>
      </c>
      <c r="D236" s="9" t="s">
        <v>1446</v>
      </c>
      <c r="E236" s="7">
        <f t="shared" si="10"/>
        <v>0</v>
      </c>
      <c r="F236" s="7">
        <f>-1*ROUND(1/6*(I236*IF(_xlfn.XLOOKUP(H236,'02效果表'!D:D,'02效果表'!E:E)&lt;0, _xlfn.XLOOKUP(H236,'02效果表'!D:D,'02效果表'!E:E), 0) +
K236*IF(_xlfn.XLOOKUP(J236,'02效果表'!D:D,'02效果表'!E:E)&lt;0, _xlfn.XLOOKUP(J236,'02效果表'!D:D,'02效果表'!E:E), 0) +
M236*IF(_xlfn.XLOOKUP(L236,'02效果表'!D:D,'02效果表'!E:E)&lt;0, _xlfn.XLOOKUP(L236,'02效果表'!D:D,'02效果表'!E:E), 0) +
O236*IF(_xlfn.XLOOKUP(N236,'02效果表'!D:D,'02效果表'!E:E)&lt;0, _xlfn.XLOOKUP(N236,'02效果表'!D:D,'02效果表'!E:E), 0) +
Q236*IF(_xlfn.XLOOKUP(P236,'02效果表'!D:D,'02效果表'!E:E)&lt;0, _xlfn.XLOOKUP(P236,'02效果表'!D:D,'02效果表'!E:E), 0) +
S236*IF(_xlfn.XLOOKUP(R236,'02效果表'!D:D,'02效果表'!E:E)&lt;0, _xlfn.XLOOKUP(R236,'02效果表'!D:D,'02效果表'!E:E), 0) +
U236*IF(_xlfn.XLOOKUP(T236,'02效果表'!D:D,'02效果表'!E:E)&lt;0, _xlfn.XLOOKUP(T236,'02效果表'!D:D,'02效果表'!E:E), 0) +
W236*IF(_xlfn.XLOOKUP(V236,'02效果表'!D:D,'02效果表'!E:E)&lt;0, _xlfn.XLOOKUP(V236,'02效果表'!D:D,'02效果表'!E:E), 0) +
Y236*IF(_xlfn.XLOOKUP(X236,'02效果表'!D:D,'02效果表'!E:E)&lt;0, _xlfn.XLOOKUP(X236,'02效果表'!D:D,'02效果表'!E:E), 0) +
AA236*IF(_xlfn.XLOOKUP(Z236,'02效果表'!D:D,'02效果表'!E:E)&lt;0, _xlfn.XLOOKUP(Z236,'02效果表'!D:D,'02效果表'!E:E), 0) +
AC236*IF(_xlfn.XLOOKUP(AB236,'02效果表'!D:D,'02效果表'!E:E)&lt;0, _xlfn.XLOOKUP(AB236,'02效果表'!D:D,'02效果表'!E:E), 0) +
AE236*IF(_xlfn.XLOOKUP(AD236,'02效果表'!D:D,'02效果表'!E:E)&lt;0, _xlfn.XLOOKUP(AD236,'02效果表'!D:D,'02效果表'!E:E), 0)), 1)</f>
        <v>0</v>
      </c>
      <c r="G236" s="7">
        <f>ROUND(1/6*(I236*MAX(_xlfn.XLOOKUP(H236,'02效果表'!D:D,'02效果表'!E:E),0)+K236*MAX(_xlfn.XLOOKUP(J236,'02效果表'!D:D,'02效果表'!E:E),0)+M236*MAX(_xlfn.XLOOKUP(L236,'02效果表'!D:D,'02效果表'!E:E),0)+O236*MAX(_xlfn.XLOOKUP(N236,'02效果表'!D:D,'02效果表'!E:E),0)+Q236*MAX(_xlfn.XLOOKUP(P236,'02效果表'!D:D,'02效果表'!E:E),0)+S236*MAX(_xlfn.XLOOKUP(R236,'02效果表'!D:D,'02效果表'!E:E),0)+U236*MAX(_xlfn.XLOOKUP(T236,'02效果表'!D:D,'02效果表'!E:E),0)+W236*MAX(_xlfn.XLOOKUP(V236,'02效果表'!D:D,'02效果表'!E:E),0)+Y236*MAX(_xlfn.XLOOKUP(X236,'02效果表'!D:D,'02效果表'!E:E),0)+AA236*MAX(_xlfn.XLOOKUP(Z236,'02效果表'!D:D,'02效果表'!E:E),0)+AC236*MAX(_xlfn.XLOOKUP(AB236,'02效果表'!D:D,'02效果表'!E:E),0)+AE236*MAX(_xlfn.XLOOKUP(AD236,'02效果表'!D:D,'02效果表'!E:E),0)),1)</f>
        <v>0</v>
      </c>
      <c r="H236" s="6"/>
      <c r="I236" s="6"/>
      <c r="J236" s="6"/>
      <c r="K236" s="6"/>
      <c r="L236" s="6"/>
      <c r="M236" s="6"/>
      <c r="N236" s="6"/>
      <c r="O236" s="6"/>
      <c r="P236" s="6"/>
      <c r="Q236" s="6"/>
      <c r="R236" s="6"/>
      <c r="S236" s="6"/>
      <c r="T236" s="6"/>
      <c r="U236" s="6"/>
      <c r="V236" s="6"/>
      <c r="W236" s="6"/>
      <c r="X236" s="6"/>
      <c r="Y236" s="6"/>
      <c r="Z236" s="6"/>
      <c r="AA236" s="6"/>
      <c r="AB236" s="6"/>
      <c r="AC236" s="6"/>
      <c r="AD236" s="6"/>
      <c r="AE236" s="6"/>
    </row>
    <row r="237" spans="1:31" x14ac:dyDescent="0.35">
      <c r="A237" s="6">
        <v>237</v>
      </c>
      <c r="B237" s="6" t="s">
        <v>4</v>
      </c>
      <c r="C237" s="10" t="s">
        <v>16</v>
      </c>
      <c r="D237" s="9" t="s">
        <v>1447</v>
      </c>
      <c r="E237" s="7">
        <f t="shared" si="10"/>
        <v>0</v>
      </c>
      <c r="F237" s="7">
        <f>-1*ROUND(1/6*(I237*IF(_xlfn.XLOOKUP(H237,'02效果表'!D:D,'02效果表'!E:E)&lt;0, _xlfn.XLOOKUP(H237,'02效果表'!D:D,'02效果表'!E:E), 0) +
K237*IF(_xlfn.XLOOKUP(J237,'02效果表'!D:D,'02效果表'!E:E)&lt;0, _xlfn.XLOOKUP(J237,'02效果表'!D:D,'02效果表'!E:E), 0) +
M237*IF(_xlfn.XLOOKUP(L237,'02效果表'!D:D,'02效果表'!E:E)&lt;0, _xlfn.XLOOKUP(L237,'02效果表'!D:D,'02效果表'!E:E), 0) +
O237*IF(_xlfn.XLOOKUP(N237,'02效果表'!D:D,'02效果表'!E:E)&lt;0, _xlfn.XLOOKUP(N237,'02效果表'!D:D,'02效果表'!E:E), 0) +
Q237*IF(_xlfn.XLOOKUP(P237,'02效果表'!D:D,'02效果表'!E:E)&lt;0, _xlfn.XLOOKUP(P237,'02效果表'!D:D,'02效果表'!E:E), 0) +
S237*IF(_xlfn.XLOOKUP(R237,'02效果表'!D:D,'02效果表'!E:E)&lt;0, _xlfn.XLOOKUP(R237,'02效果表'!D:D,'02效果表'!E:E), 0) +
U237*IF(_xlfn.XLOOKUP(T237,'02效果表'!D:D,'02效果表'!E:E)&lt;0, _xlfn.XLOOKUP(T237,'02效果表'!D:D,'02效果表'!E:E), 0) +
W237*IF(_xlfn.XLOOKUP(V237,'02效果表'!D:D,'02效果表'!E:E)&lt;0, _xlfn.XLOOKUP(V237,'02效果表'!D:D,'02效果表'!E:E), 0) +
Y237*IF(_xlfn.XLOOKUP(X237,'02效果表'!D:D,'02效果表'!E:E)&lt;0, _xlfn.XLOOKUP(X237,'02效果表'!D:D,'02效果表'!E:E), 0) +
AA237*IF(_xlfn.XLOOKUP(Z237,'02效果表'!D:D,'02效果表'!E:E)&lt;0, _xlfn.XLOOKUP(Z237,'02效果表'!D:D,'02效果表'!E:E), 0) +
AC237*IF(_xlfn.XLOOKUP(AB237,'02效果表'!D:D,'02效果表'!E:E)&lt;0, _xlfn.XLOOKUP(AB237,'02效果表'!D:D,'02效果表'!E:E), 0) +
AE237*IF(_xlfn.XLOOKUP(AD237,'02效果表'!D:D,'02效果表'!E:E)&lt;0, _xlfn.XLOOKUP(AD237,'02效果表'!D:D,'02效果表'!E:E), 0)), 1)</f>
        <v>0</v>
      </c>
      <c r="G237" s="7">
        <f>ROUND(1/6*(I237*MAX(_xlfn.XLOOKUP(H237,'02效果表'!D:D,'02效果表'!E:E),0)+K237*MAX(_xlfn.XLOOKUP(J237,'02效果表'!D:D,'02效果表'!E:E),0)+M237*MAX(_xlfn.XLOOKUP(L237,'02效果表'!D:D,'02效果表'!E:E),0)+O237*MAX(_xlfn.XLOOKUP(N237,'02效果表'!D:D,'02效果表'!E:E),0)+Q237*MAX(_xlfn.XLOOKUP(P237,'02效果表'!D:D,'02效果表'!E:E),0)+S237*MAX(_xlfn.XLOOKUP(R237,'02效果表'!D:D,'02效果表'!E:E),0)+U237*MAX(_xlfn.XLOOKUP(T237,'02效果表'!D:D,'02效果表'!E:E),0)+W237*MAX(_xlfn.XLOOKUP(V237,'02效果表'!D:D,'02效果表'!E:E),0)+Y237*MAX(_xlfn.XLOOKUP(X237,'02效果表'!D:D,'02效果表'!E:E),0)+AA237*MAX(_xlfn.XLOOKUP(Z237,'02效果表'!D:D,'02效果表'!E:E),0)+AC237*MAX(_xlfn.XLOOKUP(AB237,'02效果表'!D:D,'02效果表'!E:E),0)+AE237*MAX(_xlfn.XLOOKUP(AD237,'02效果表'!D:D,'02效果表'!E:E),0)),1)</f>
        <v>0</v>
      </c>
      <c r="H237" s="6"/>
      <c r="I237" s="6"/>
      <c r="J237" s="6"/>
      <c r="K237" s="6"/>
      <c r="L237" s="6"/>
      <c r="M237" s="6"/>
      <c r="N237" s="6"/>
      <c r="O237" s="6"/>
      <c r="P237" s="6"/>
      <c r="Q237" s="6"/>
      <c r="R237" s="6"/>
      <c r="S237" s="6"/>
      <c r="T237" s="6"/>
      <c r="U237" s="6"/>
      <c r="V237" s="6"/>
      <c r="W237" s="6"/>
      <c r="X237" s="6"/>
      <c r="Y237" s="6"/>
      <c r="Z237" s="6"/>
      <c r="AA237" s="6"/>
      <c r="AB237" s="6"/>
      <c r="AC237" s="6"/>
      <c r="AD237" s="6"/>
      <c r="AE237" s="6"/>
    </row>
    <row r="238" spans="1:31" x14ac:dyDescent="0.35">
      <c r="A238" s="6">
        <v>238</v>
      </c>
      <c r="B238" s="6" t="s">
        <v>4</v>
      </c>
      <c r="C238" s="10" t="s">
        <v>16</v>
      </c>
      <c r="D238" s="9" t="s">
        <v>1448</v>
      </c>
      <c r="E238" s="7">
        <f t="shared" si="10"/>
        <v>0</v>
      </c>
      <c r="F238" s="7">
        <f>-1*ROUND(1/6*(I238*IF(_xlfn.XLOOKUP(H238,'02效果表'!D:D,'02效果表'!E:E)&lt;0, _xlfn.XLOOKUP(H238,'02效果表'!D:D,'02效果表'!E:E), 0) +
K238*IF(_xlfn.XLOOKUP(J238,'02效果表'!D:D,'02效果表'!E:E)&lt;0, _xlfn.XLOOKUP(J238,'02效果表'!D:D,'02效果表'!E:E), 0) +
M238*IF(_xlfn.XLOOKUP(L238,'02效果表'!D:D,'02效果表'!E:E)&lt;0, _xlfn.XLOOKUP(L238,'02效果表'!D:D,'02效果表'!E:E), 0) +
O238*IF(_xlfn.XLOOKUP(N238,'02效果表'!D:D,'02效果表'!E:E)&lt;0, _xlfn.XLOOKUP(N238,'02效果表'!D:D,'02效果表'!E:E), 0) +
Q238*IF(_xlfn.XLOOKUP(P238,'02效果表'!D:D,'02效果表'!E:E)&lt;0, _xlfn.XLOOKUP(P238,'02效果表'!D:D,'02效果表'!E:E), 0) +
S238*IF(_xlfn.XLOOKUP(R238,'02效果表'!D:D,'02效果表'!E:E)&lt;0, _xlfn.XLOOKUP(R238,'02效果表'!D:D,'02效果表'!E:E), 0) +
U238*IF(_xlfn.XLOOKUP(T238,'02效果表'!D:D,'02效果表'!E:E)&lt;0, _xlfn.XLOOKUP(T238,'02效果表'!D:D,'02效果表'!E:E), 0) +
W238*IF(_xlfn.XLOOKUP(V238,'02效果表'!D:D,'02效果表'!E:E)&lt;0, _xlfn.XLOOKUP(V238,'02效果表'!D:D,'02效果表'!E:E), 0) +
Y238*IF(_xlfn.XLOOKUP(X238,'02效果表'!D:D,'02效果表'!E:E)&lt;0, _xlfn.XLOOKUP(X238,'02效果表'!D:D,'02效果表'!E:E), 0) +
AA238*IF(_xlfn.XLOOKUP(Z238,'02效果表'!D:D,'02效果表'!E:E)&lt;0, _xlfn.XLOOKUP(Z238,'02效果表'!D:D,'02效果表'!E:E), 0) +
AC238*IF(_xlfn.XLOOKUP(AB238,'02效果表'!D:D,'02效果表'!E:E)&lt;0, _xlfn.XLOOKUP(AB238,'02效果表'!D:D,'02效果表'!E:E), 0) +
AE238*IF(_xlfn.XLOOKUP(AD238,'02效果表'!D:D,'02效果表'!E:E)&lt;0, _xlfn.XLOOKUP(AD238,'02效果表'!D:D,'02效果表'!E:E), 0)), 1)</f>
        <v>0</v>
      </c>
      <c r="G238" s="7">
        <f>ROUND(1/6*(I238*MAX(_xlfn.XLOOKUP(H238,'02效果表'!D:D,'02效果表'!E:E),0)+K238*MAX(_xlfn.XLOOKUP(J238,'02效果表'!D:D,'02效果表'!E:E),0)+M238*MAX(_xlfn.XLOOKUP(L238,'02效果表'!D:D,'02效果表'!E:E),0)+O238*MAX(_xlfn.XLOOKUP(N238,'02效果表'!D:D,'02效果表'!E:E),0)+Q238*MAX(_xlfn.XLOOKUP(P238,'02效果表'!D:D,'02效果表'!E:E),0)+S238*MAX(_xlfn.XLOOKUP(R238,'02效果表'!D:D,'02效果表'!E:E),0)+U238*MAX(_xlfn.XLOOKUP(T238,'02效果表'!D:D,'02效果表'!E:E),0)+W238*MAX(_xlfn.XLOOKUP(V238,'02效果表'!D:D,'02效果表'!E:E),0)+Y238*MAX(_xlfn.XLOOKUP(X238,'02效果表'!D:D,'02效果表'!E:E),0)+AA238*MAX(_xlfn.XLOOKUP(Z238,'02效果表'!D:D,'02效果表'!E:E),0)+AC238*MAX(_xlfn.XLOOKUP(AB238,'02效果表'!D:D,'02效果表'!E:E),0)+AE238*MAX(_xlfn.XLOOKUP(AD238,'02效果表'!D:D,'02效果表'!E:E),0)),1)</f>
        <v>0</v>
      </c>
      <c r="H238" s="6"/>
      <c r="I238" s="6"/>
      <c r="J238" s="6"/>
      <c r="K238" s="6"/>
      <c r="L238" s="6"/>
      <c r="M238" s="6"/>
      <c r="N238" s="6"/>
      <c r="O238" s="6"/>
      <c r="P238" s="6"/>
      <c r="Q238" s="6"/>
      <c r="R238" s="6"/>
      <c r="S238" s="6"/>
      <c r="T238" s="6"/>
      <c r="U238" s="6"/>
      <c r="V238" s="6"/>
      <c r="W238" s="6"/>
      <c r="X238" s="6"/>
      <c r="Y238" s="6"/>
      <c r="Z238" s="6"/>
      <c r="AA238" s="6"/>
      <c r="AB238" s="6"/>
      <c r="AC238" s="6"/>
      <c r="AD238" s="6"/>
      <c r="AE238" s="6"/>
    </row>
    <row r="239" spans="1:31" x14ac:dyDescent="0.35">
      <c r="A239" s="6">
        <v>239</v>
      </c>
      <c r="B239" s="6" t="s">
        <v>4</v>
      </c>
      <c r="C239" s="10" t="s">
        <v>16</v>
      </c>
      <c r="D239" s="9" t="s">
        <v>1449</v>
      </c>
      <c r="E239" s="7">
        <f t="shared" si="10"/>
        <v>0</v>
      </c>
      <c r="F239" s="7">
        <f>-1*ROUND(1/6*(I239*IF(_xlfn.XLOOKUP(H239,'02效果表'!D:D,'02效果表'!E:E)&lt;0, _xlfn.XLOOKUP(H239,'02效果表'!D:D,'02效果表'!E:E), 0) +
K239*IF(_xlfn.XLOOKUP(J239,'02效果表'!D:D,'02效果表'!E:E)&lt;0, _xlfn.XLOOKUP(J239,'02效果表'!D:D,'02效果表'!E:E), 0) +
M239*IF(_xlfn.XLOOKUP(L239,'02效果表'!D:D,'02效果表'!E:E)&lt;0, _xlfn.XLOOKUP(L239,'02效果表'!D:D,'02效果表'!E:E), 0) +
O239*IF(_xlfn.XLOOKUP(N239,'02效果表'!D:D,'02效果表'!E:E)&lt;0, _xlfn.XLOOKUP(N239,'02效果表'!D:D,'02效果表'!E:E), 0) +
Q239*IF(_xlfn.XLOOKUP(P239,'02效果表'!D:D,'02效果表'!E:E)&lt;0, _xlfn.XLOOKUP(P239,'02效果表'!D:D,'02效果表'!E:E), 0) +
S239*IF(_xlfn.XLOOKUP(R239,'02效果表'!D:D,'02效果表'!E:E)&lt;0, _xlfn.XLOOKUP(R239,'02效果表'!D:D,'02效果表'!E:E), 0) +
U239*IF(_xlfn.XLOOKUP(T239,'02效果表'!D:D,'02效果表'!E:E)&lt;0, _xlfn.XLOOKUP(T239,'02效果表'!D:D,'02效果表'!E:E), 0) +
W239*IF(_xlfn.XLOOKUP(V239,'02效果表'!D:D,'02效果表'!E:E)&lt;0, _xlfn.XLOOKUP(V239,'02效果表'!D:D,'02效果表'!E:E), 0) +
Y239*IF(_xlfn.XLOOKUP(X239,'02效果表'!D:D,'02效果表'!E:E)&lt;0, _xlfn.XLOOKUP(X239,'02效果表'!D:D,'02效果表'!E:E), 0) +
AA239*IF(_xlfn.XLOOKUP(Z239,'02效果表'!D:D,'02效果表'!E:E)&lt;0, _xlfn.XLOOKUP(Z239,'02效果表'!D:D,'02效果表'!E:E), 0) +
AC239*IF(_xlfn.XLOOKUP(AB239,'02效果表'!D:D,'02效果表'!E:E)&lt;0, _xlfn.XLOOKUP(AB239,'02效果表'!D:D,'02效果表'!E:E), 0) +
AE239*IF(_xlfn.XLOOKUP(AD239,'02效果表'!D:D,'02效果表'!E:E)&lt;0, _xlfn.XLOOKUP(AD239,'02效果表'!D:D,'02效果表'!E:E), 0)), 1)</f>
        <v>0</v>
      </c>
      <c r="G239" s="7">
        <f>ROUND(1/6*(I239*MAX(_xlfn.XLOOKUP(H239,'02效果表'!D:D,'02效果表'!E:E),0)+K239*MAX(_xlfn.XLOOKUP(J239,'02效果表'!D:D,'02效果表'!E:E),0)+M239*MAX(_xlfn.XLOOKUP(L239,'02效果表'!D:D,'02效果表'!E:E),0)+O239*MAX(_xlfn.XLOOKUP(N239,'02效果表'!D:D,'02效果表'!E:E),0)+Q239*MAX(_xlfn.XLOOKUP(P239,'02效果表'!D:D,'02效果表'!E:E),0)+S239*MAX(_xlfn.XLOOKUP(R239,'02效果表'!D:D,'02效果表'!E:E),0)+U239*MAX(_xlfn.XLOOKUP(T239,'02效果表'!D:D,'02效果表'!E:E),0)+W239*MAX(_xlfn.XLOOKUP(V239,'02效果表'!D:D,'02效果表'!E:E),0)+Y239*MAX(_xlfn.XLOOKUP(X239,'02效果表'!D:D,'02效果表'!E:E),0)+AA239*MAX(_xlfn.XLOOKUP(Z239,'02效果表'!D:D,'02效果表'!E:E),0)+AC239*MAX(_xlfn.XLOOKUP(AB239,'02效果表'!D:D,'02效果表'!E:E),0)+AE239*MAX(_xlfn.XLOOKUP(AD239,'02效果表'!D:D,'02效果表'!E:E),0)),1)</f>
        <v>0</v>
      </c>
      <c r="H239" s="6"/>
      <c r="I239" s="6"/>
      <c r="J239" s="6"/>
      <c r="K239" s="6"/>
      <c r="L239" s="6"/>
      <c r="M239" s="6"/>
      <c r="N239" s="6"/>
      <c r="O239" s="6"/>
      <c r="P239" s="6"/>
      <c r="Q239" s="6"/>
      <c r="R239" s="6"/>
      <c r="S239" s="6"/>
      <c r="T239" s="6"/>
      <c r="U239" s="6"/>
      <c r="V239" s="6"/>
      <c r="W239" s="6"/>
      <c r="X239" s="6"/>
      <c r="Y239" s="6"/>
      <c r="Z239" s="6"/>
      <c r="AA239" s="6"/>
      <c r="AB239" s="6"/>
      <c r="AC239" s="6"/>
      <c r="AD239" s="6"/>
      <c r="AE239" s="6"/>
    </row>
    <row r="240" spans="1:31" x14ac:dyDescent="0.35">
      <c r="A240" s="6">
        <v>240</v>
      </c>
      <c r="B240" s="6" t="s">
        <v>4</v>
      </c>
      <c r="C240" s="10" t="s">
        <v>16</v>
      </c>
      <c r="D240" s="9" t="s">
        <v>1450</v>
      </c>
      <c r="E240" s="7">
        <f t="shared" si="10"/>
        <v>0</v>
      </c>
      <c r="F240" s="7">
        <f>-1*ROUND(1/6*(I240*IF(_xlfn.XLOOKUP(H240,'02效果表'!D:D,'02效果表'!E:E)&lt;0, _xlfn.XLOOKUP(H240,'02效果表'!D:D,'02效果表'!E:E), 0) +
K240*IF(_xlfn.XLOOKUP(J240,'02效果表'!D:D,'02效果表'!E:E)&lt;0, _xlfn.XLOOKUP(J240,'02效果表'!D:D,'02效果表'!E:E), 0) +
M240*IF(_xlfn.XLOOKUP(L240,'02效果表'!D:D,'02效果表'!E:E)&lt;0, _xlfn.XLOOKUP(L240,'02效果表'!D:D,'02效果表'!E:E), 0) +
O240*IF(_xlfn.XLOOKUP(N240,'02效果表'!D:D,'02效果表'!E:E)&lt;0, _xlfn.XLOOKUP(N240,'02效果表'!D:D,'02效果表'!E:E), 0) +
Q240*IF(_xlfn.XLOOKUP(P240,'02效果表'!D:D,'02效果表'!E:E)&lt;0, _xlfn.XLOOKUP(P240,'02效果表'!D:D,'02效果表'!E:E), 0) +
S240*IF(_xlfn.XLOOKUP(R240,'02效果表'!D:D,'02效果表'!E:E)&lt;0, _xlfn.XLOOKUP(R240,'02效果表'!D:D,'02效果表'!E:E), 0) +
U240*IF(_xlfn.XLOOKUP(T240,'02效果表'!D:D,'02效果表'!E:E)&lt;0, _xlfn.XLOOKUP(T240,'02效果表'!D:D,'02效果表'!E:E), 0) +
W240*IF(_xlfn.XLOOKUP(V240,'02效果表'!D:D,'02效果表'!E:E)&lt;0, _xlfn.XLOOKUP(V240,'02效果表'!D:D,'02效果表'!E:E), 0) +
Y240*IF(_xlfn.XLOOKUP(X240,'02效果表'!D:D,'02效果表'!E:E)&lt;0, _xlfn.XLOOKUP(X240,'02效果表'!D:D,'02效果表'!E:E), 0) +
AA240*IF(_xlfn.XLOOKUP(Z240,'02效果表'!D:D,'02效果表'!E:E)&lt;0, _xlfn.XLOOKUP(Z240,'02效果表'!D:D,'02效果表'!E:E), 0) +
AC240*IF(_xlfn.XLOOKUP(AB240,'02效果表'!D:D,'02效果表'!E:E)&lt;0, _xlfn.XLOOKUP(AB240,'02效果表'!D:D,'02效果表'!E:E), 0) +
AE240*IF(_xlfn.XLOOKUP(AD240,'02效果表'!D:D,'02效果表'!E:E)&lt;0, _xlfn.XLOOKUP(AD240,'02效果表'!D:D,'02效果表'!E:E), 0)), 1)</f>
        <v>0</v>
      </c>
      <c r="G240" s="7">
        <f>ROUND(1/6*(I240*MAX(_xlfn.XLOOKUP(H240,'02效果表'!D:D,'02效果表'!E:E),0)+K240*MAX(_xlfn.XLOOKUP(J240,'02效果表'!D:D,'02效果表'!E:E),0)+M240*MAX(_xlfn.XLOOKUP(L240,'02效果表'!D:D,'02效果表'!E:E),0)+O240*MAX(_xlfn.XLOOKUP(N240,'02效果表'!D:D,'02效果表'!E:E),0)+Q240*MAX(_xlfn.XLOOKUP(P240,'02效果表'!D:D,'02效果表'!E:E),0)+S240*MAX(_xlfn.XLOOKUP(R240,'02效果表'!D:D,'02效果表'!E:E),0)+U240*MAX(_xlfn.XLOOKUP(T240,'02效果表'!D:D,'02效果表'!E:E),0)+W240*MAX(_xlfn.XLOOKUP(V240,'02效果表'!D:D,'02效果表'!E:E),0)+Y240*MAX(_xlfn.XLOOKUP(X240,'02效果表'!D:D,'02效果表'!E:E),0)+AA240*MAX(_xlfn.XLOOKUP(Z240,'02效果表'!D:D,'02效果表'!E:E),0)+AC240*MAX(_xlfn.XLOOKUP(AB240,'02效果表'!D:D,'02效果表'!E:E),0)+AE240*MAX(_xlfn.XLOOKUP(AD240,'02效果表'!D:D,'02效果表'!E:E),0)),1)</f>
        <v>0</v>
      </c>
      <c r="H240" s="6"/>
      <c r="I240" s="6"/>
      <c r="J240" s="6"/>
      <c r="K240" s="6"/>
      <c r="L240" s="6"/>
      <c r="M240" s="6"/>
      <c r="N240" s="6"/>
      <c r="O240" s="6"/>
      <c r="P240" s="6"/>
      <c r="Q240" s="6"/>
      <c r="R240" s="6"/>
      <c r="S240" s="6"/>
      <c r="T240" s="6"/>
      <c r="U240" s="6"/>
      <c r="V240" s="6"/>
      <c r="W240" s="6"/>
      <c r="X240" s="6"/>
      <c r="Y240" s="6"/>
      <c r="Z240" s="6"/>
      <c r="AA240" s="6"/>
      <c r="AB240" s="6"/>
      <c r="AC240" s="6"/>
      <c r="AD240" s="6"/>
      <c r="AE240" s="6"/>
    </row>
    <row r="241" spans="1:31" x14ac:dyDescent="0.35">
      <c r="A241" s="6">
        <v>241</v>
      </c>
      <c r="B241" s="6" t="s">
        <v>4</v>
      </c>
      <c r="C241" s="10" t="s">
        <v>16</v>
      </c>
      <c r="D241" s="9" t="s">
        <v>1451</v>
      </c>
      <c r="E241" s="7">
        <f t="shared" si="10"/>
        <v>0</v>
      </c>
      <c r="F241" s="7">
        <f>-1*ROUND(1/6*(I241*IF(_xlfn.XLOOKUP(H241,'02效果表'!D:D,'02效果表'!E:E)&lt;0, _xlfn.XLOOKUP(H241,'02效果表'!D:D,'02效果表'!E:E), 0) +
K241*IF(_xlfn.XLOOKUP(J241,'02效果表'!D:D,'02效果表'!E:E)&lt;0, _xlfn.XLOOKUP(J241,'02效果表'!D:D,'02效果表'!E:E), 0) +
M241*IF(_xlfn.XLOOKUP(L241,'02效果表'!D:D,'02效果表'!E:E)&lt;0, _xlfn.XLOOKUP(L241,'02效果表'!D:D,'02效果表'!E:E), 0) +
O241*IF(_xlfn.XLOOKUP(N241,'02效果表'!D:D,'02效果表'!E:E)&lt;0, _xlfn.XLOOKUP(N241,'02效果表'!D:D,'02效果表'!E:E), 0) +
Q241*IF(_xlfn.XLOOKUP(P241,'02效果表'!D:D,'02效果表'!E:E)&lt;0, _xlfn.XLOOKUP(P241,'02效果表'!D:D,'02效果表'!E:E), 0) +
S241*IF(_xlfn.XLOOKUP(R241,'02效果表'!D:D,'02效果表'!E:E)&lt;0, _xlfn.XLOOKUP(R241,'02效果表'!D:D,'02效果表'!E:E), 0) +
U241*IF(_xlfn.XLOOKUP(T241,'02效果表'!D:D,'02效果表'!E:E)&lt;0, _xlfn.XLOOKUP(T241,'02效果表'!D:D,'02效果表'!E:E), 0) +
W241*IF(_xlfn.XLOOKUP(V241,'02效果表'!D:D,'02效果表'!E:E)&lt;0, _xlfn.XLOOKUP(V241,'02效果表'!D:D,'02效果表'!E:E), 0) +
Y241*IF(_xlfn.XLOOKUP(X241,'02效果表'!D:D,'02效果表'!E:E)&lt;0, _xlfn.XLOOKUP(X241,'02效果表'!D:D,'02效果表'!E:E), 0) +
AA241*IF(_xlfn.XLOOKUP(Z241,'02效果表'!D:D,'02效果表'!E:E)&lt;0, _xlfn.XLOOKUP(Z241,'02效果表'!D:D,'02效果表'!E:E), 0) +
AC241*IF(_xlfn.XLOOKUP(AB241,'02效果表'!D:D,'02效果表'!E:E)&lt;0, _xlfn.XLOOKUP(AB241,'02效果表'!D:D,'02效果表'!E:E), 0) +
AE241*IF(_xlfn.XLOOKUP(AD241,'02效果表'!D:D,'02效果表'!E:E)&lt;0, _xlfn.XLOOKUP(AD241,'02效果表'!D:D,'02效果表'!E:E), 0)), 1)</f>
        <v>0</v>
      </c>
      <c r="G241" s="7">
        <f>ROUND(1/6*(I241*MAX(_xlfn.XLOOKUP(H241,'02效果表'!D:D,'02效果表'!E:E),0)+K241*MAX(_xlfn.XLOOKUP(J241,'02效果表'!D:D,'02效果表'!E:E),0)+M241*MAX(_xlfn.XLOOKUP(L241,'02效果表'!D:D,'02效果表'!E:E),0)+O241*MAX(_xlfn.XLOOKUP(N241,'02效果表'!D:D,'02效果表'!E:E),0)+Q241*MAX(_xlfn.XLOOKUP(P241,'02效果表'!D:D,'02效果表'!E:E),0)+S241*MAX(_xlfn.XLOOKUP(R241,'02效果表'!D:D,'02效果表'!E:E),0)+U241*MAX(_xlfn.XLOOKUP(T241,'02效果表'!D:D,'02效果表'!E:E),0)+W241*MAX(_xlfn.XLOOKUP(V241,'02效果表'!D:D,'02效果表'!E:E),0)+Y241*MAX(_xlfn.XLOOKUP(X241,'02效果表'!D:D,'02效果表'!E:E),0)+AA241*MAX(_xlfn.XLOOKUP(Z241,'02效果表'!D:D,'02效果表'!E:E),0)+AC241*MAX(_xlfn.XLOOKUP(AB241,'02效果表'!D:D,'02效果表'!E:E),0)+AE241*MAX(_xlfn.XLOOKUP(AD241,'02效果表'!D:D,'02效果表'!E:E),0)),1)</f>
        <v>0</v>
      </c>
      <c r="H241" s="6"/>
      <c r="I241" s="6"/>
      <c r="J241" s="6"/>
      <c r="K241" s="6"/>
      <c r="L241" s="6"/>
      <c r="M241" s="6"/>
      <c r="N241" s="6"/>
      <c r="O241" s="6"/>
      <c r="P241" s="6"/>
      <c r="Q241" s="6"/>
      <c r="R241" s="6"/>
      <c r="S241" s="6"/>
      <c r="T241" s="6"/>
      <c r="U241" s="6"/>
      <c r="V241" s="6"/>
      <c r="W241" s="6"/>
      <c r="X241" s="6"/>
      <c r="Y241" s="6"/>
      <c r="Z241" s="6"/>
      <c r="AA241" s="6"/>
      <c r="AB241" s="6"/>
      <c r="AC241" s="6"/>
      <c r="AD241" s="6"/>
      <c r="AE241" s="6"/>
    </row>
    <row r="242" spans="1:31" x14ac:dyDescent="0.35">
      <c r="A242" s="6">
        <v>242</v>
      </c>
      <c r="B242" s="6" t="s">
        <v>4</v>
      </c>
      <c r="C242" s="10" t="s">
        <v>16</v>
      </c>
      <c r="D242" s="9" t="s">
        <v>1452</v>
      </c>
      <c r="E242" s="7">
        <f t="shared" si="10"/>
        <v>0</v>
      </c>
      <c r="F242" s="7">
        <f>-1*ROUND(1/6*(I242*IF(_xlfn.XLOOKUP(H242,'02效果表'!D:D,'02效果表'!E:E)&lt;0, _xlfn.XLOOKUP(H242,'02效果表'!D:D,'02效果表'!E:E), 0) +
K242*IF(_xlfn.XLOOKUP(J242,'02效果表'!D:D,'02效果表'!E:E)&lt;0, _xlfn.XLOOKUP(J242,'02效果表'!D:D,'02效果表'!E:E), 0) +
M242*IF(_xlfn.XLOOKUP(L242,'02效果表'!D:D,'02效果表'!E:E)&lt;0, _xlfn.XLOOKUP(L242,'02效果表'!D:D,'02效果表'!E:E), 0) +
O242*IF(_xlfn.XLOOKUP(N242,'02效果表'!D:D,'02效果表'!E:E)&lt;0, _xlfn.XLOOKUP(N242,'02效果表'!D:D,'02效果表'!E:E), 0) +
Q242*IF(_xlfn.XLOOKUP(P242,'02效果表'!D:D,'02效果表'!E:E)&lt;0, _xlfn.XLOOKUP(P242,'02效果表'!D:D,'02效果表'!E:E), 0) +
S242*IF(_xlfn.XLOOKUP(R242,'02效果表'!D:D,'02效果表'!E:E)&lt;0, _xlfn.XLOOKUP(R242,'02效果表'!D:D,'02效果表'!E:E), 0) +
U242*IF(_xlfn.XLOOKUP(T242,'02效果表'!D:D,'02效果表'!E:E)&lt;0, _xlfn.XLOOKUP(T242,'02效果表'!D:D,'02效果表'!E:E), 0) +
W242*IF(_xlfn.XLOOKUP(V242,'02效果表'!D:D,'02效果表'!E:E)&lt;0, _xlfn.XLOOKUP(V242,'02效果表'!D:D,'02效果表'!E:E), 0) +
Y242*IF(_xlfn.XLOOKUP(X242,'02效果表'!D:D,'02效果表'!E:E)&lt;0, _xlfn.XLOOKUP(X242,'02效果表'!D:D,'02效果表'!E:E), 0) +
AA242*IF(_xlfn.XLOOKUP(Z242,'02效果表'!D:D,'02效果表'!E:E)&lt;0, _xlfn.XLOOKUP(Z242,'02效果表'!D:D,'02效果表'!E:E), 0) +
AC242*IF(_xlfn.XLOOKUP(AB242,'02效果表'!D:D,'02效果表'!E:E)&lt;0, _xlfn.XLOOKUP(AB242,'02效果表'!D:D,'02效果表'!E:E), 0) +
AE242*IF(_xlfn.XLOOKUP(AD242,'02效果表'!D:D,'02效果表'!E:E)&lt;0, _xlfn.XLOOKUP(AD242,'02效果表'!D:D,'02效果表'!E:E), 0)), 1)</f>
        <v>0</v>
      </c>
      <c r="G242" s="7">
        <f>ROUND(1/6*(I242*MAX(_xlfn.XLOOKUP(H242,'02效果表'!D:D,'02效果表'!E:E),0)+K242*MAX(_xlfn.XLOOKUP(J242,'02效果表'!D:D,'02效果表'!E:E),0)+M242*MAX(_xlfn.XLOOKUP(L242,'02效果表'!D:D,'02效果表'!E:E),0)+O242*MAX(_xlfn.XLOOKUP(N242,'02效果表'!D:D,'02效果表'!E:E),0)+Q242*MAX(_xlfn.XLOOKUP(P242,'02效果表'!D:D,'02效果表'!E:E),0)+S242*MAX(_xlfn.XLOOKUP(R242,'02效果表'!D:D,'02效果表'!E:E),0)+U242*MAX(_xlfn.XLOOKUP(T242,'02效果表'!D:D,'02效果表'!E:E),0)+W242*MAX(_xlfn.XLOOKUP(V242,'02效果表'!D:D,'02效果表'!E:E),0)+Y242*MAX(_xlfn.XLOOKUP(X242,'02效果表'!D:D,'02效果表'!E:E),0)+AA242*MAX(_xlfn.XLOOKUP(Z242,'02效果表'!D:D,'02效果表'!E:E),0)+AC242*MAX(_xlfn.XLOOKUP(AB242,'02效果表'!D:D,'02效果表'!E:E),0)+AE242*MAX(_xlfn.XLOOKUP(AD242,'02效果表'!D:D,'02效果表'!E:E),0)),1)</f>
        <v>0</v>
      </c>
      <c r="H242" s="6"/>
      <c r="I242" s="6"/>
      <c r="J242" s="6"/>
      <c r="K242" s="6"/>
      <c r="L242" s="6"/>
      <c r="M242" s="6"/>
      <c r="N242" s="6"/>
      <c r="O242" s="6"/>
      <c r="P242" s="6"/>
      <c r="Q242" s="6"/>
      <c r="R242" s="6"/>
      <c r="S242" s="6"/>
      <c r="T242" s="6"/>
      <c r="U242" s="6"/>
      <c r="V242" s="6"/>
      <c r="W242" s="6"/>
      <c r="X242" s="6"/>
      <c r="Y242" s="6"/>
      <c r="Z242" s="6"/>
      <c r="AA242" s="6"/>
      <c r="AB242" s="6"/>
      <c r="AC242" s="6"/>
      <c r="AD242" s="6"/>
      <c r="AE242" s="6"/>
    </row>
    <row r="243" spans="1:31" x14ac:dyDescent="0.35">
      <c r="A243" s="6">
        <v>243</v>
      </c>
      <c r="B243" s="6" t="s">
        <v>4</v>
      </c>
      <c r="C243" s="10" t="s">
        <v>16</v>
      </c>
      <c r="D243" s="9" t="s">
        <v>1453</v>
      </c>
      <c r="E243" s="7">
        <f t="shared" si="10"/>
        <v>0</v>
      </c>
      <c r="F243" s="7">
        <f>-1*ROUND(1/6*(I243*IF(_xlfn.XLOOKUP(H243,'02效果表'!D:D,'02效果表'!E:E)&lt;0, _xlfn.XLOOKUP(H243,'02效果表'!D:D,'02效果表'!E:E), 0) +
K243*IF(_xlfn.XLOOKUP(J243,'02效果表'!D:D,'02效果表'!E:E)&lt;0, _xlfn.XLOOKUP(J243,'02效果表'!D:D,'02效果表'!E:E), 0) +
M243*IF(_xlfn.XLOOKUP(L243,'02效果表'!D:D,'02效果表'!E:E)&lt;0, _xlfn.XLOOKUP(L243,'02效果表'!D:D,'02效果表'!E:E), 0) +
O243*IF(_xlfn.XLOOKUP(N243,'02效果表'!D:D,'02效果表'!E:E)&lt;0, _xlfn.XLOOKUP(N243,'02效果表'!D:D,'02效果表'!E:E), 0) +
Q243*IF(_xlfn.XLOOKUP(P243,'02效果表'!D:D,'02效果表'!E:E)&lt;0, _xlfn.XLOOKUP(P243,'02效果表'!D:D,'02效果表'!E:E), 0) +
S243*IF(_xlfn.XLOOKUP(R243,'02效果表'!D:D,'02效果表'!E:E)&lt;0, _xlfn.XLOOKUP(R243,'02效果表'!D:D,'02效果表'!E:E), 0) +
U243*IF(_xlfn.XLOOKUP(T243,'02效果表'!D:D,'02效果表'!E:E)&lt;0, _xlfn.XLOOKUP(T243,'02效果表'!D:D,'02效果表'!E:E), 0) +
W243*IF(_xlfn.XLOOKUP(V243,'02效果表'!D:D,'02效果表'!E:E)&lt;0, _xlfn.XLOOKUP(V243,'02效果表'!D:D,'02效果表'!E:E), 0) +
Y243*IF(_xlfn.XLOOKUP(X243,'02效果表'!D:D,'02效果表'!E:E)&lt;0, _xlfn.XLOOKUP(X243,'02效果表'!D:D,'02效果表'!E:E), 0) +
AA243*IF(_xlfn.XLOOKUP(Z243,'02效果表'!D:D,'02效果表'!E:E)&lt;0, _xlfn.XLOOKUP(Z243,'02效果表'!D:D,'02效果表'!E:E), 0) +
AC243*IF(_xlfn.XLOOKUP(AB243,'02效果表'!D:D,'02效果表'!E:E)&lt;0, _xlfn.XLOOKUP(AB243,'02效果表'!D:D,'02效果表'!E:E), 0) +
AE243*IF(_xlfn.XLOOKUP(AD243,'02效果表'!D:D,'02效果表'!E:E)&lt;0, _xlfn.XLOOKUP(AD243,'02效果表'!D:D,'02效果表'!E:E), 0)), 1)</f>
        <v>0</v>
      </c>
      <c r="G243" s="7">
        <f>ROUND(1/6*(I243*MAX(_xlfn.XLOOKUP(H243,'02效果表'!D:D,'02效果表'!E:E),0)+K243*MAX(_xlfn.XLOOKUP(J243,'02效果表'!D:D,'02效果表'!E:E),0)+M243*MAX(_xlfn.XLOOKUP(L243,'02效果表'!D:D,'02效果表'!E:E),0)+O243*MAX(_xlfn.XLOOKUP(N243,'02效果表'!D:D,'02效果表'!E:E),0)+Q243*MAX(_xlfn.XLOOKUP(P243,'02效果表'!D:D,'02效果表'!E:E),0)+S243*MAX(_xlfn.XLOOKUP(R243,'02效果表'!D:D,'02效果表'!E:E),0)+U243*MAX(_xlfn.XLOOKUP(T243,'02效果表'!D:D,'02效果表'!E:E),0)+W243*MAX(_xlfn.XLOOKUP(V243,'02效果表'!D:D,'02效果表'!E:E),0)+Y243*MAX(_xlfn.XLOOKUP(X243,'02效果表'!D:D,'02效果表'!E:E),0)+AA243*MAX(_xlfn.XLOOKUP(Z243,'02效果表'!D:D,'02效果表'!E:E),0)+AC243*MAX(_xlfn.XLOOKUP(AB243,'02效果表'!D:D,'02效果表'!E:E),0)+AE243*MAX(_xlfn.XLOOKUP(AD243,'02效果表'!D:D,'02效果表'!E:E),0)),1)</f>
        <v>0</v>
      </c>
      <c r="H243" s="6"/>
      <c r="I243" s="6"/>
      <c r="J243" s="6"/>
      <c r="K243" s="6"/>
      <c r="L243" s="6"/>
      <c r="M243" s="6"/>
      <c r="N243" s="6"/>
      <c r="O243" s="6"/>
      <c r="P243" s="6"/>
      <c r="Q243" s="6"/>
      <c r="R243" s="6"/>
      <c r="S243" s="6"/>
      <c r="T243" s="6"/>
      <c r="U243" s="6"/>
      <c r="V243" s="6"/>
      <c r="W243" s="6"/>
      <c r="X243" s="6"/>
      <c r="Y243" s="6"/>
      <c r="Z243" s="6"/>
      <c r="AA243" s="6"/>
      <c r="AB243" s="6"/>
      <c r="AC243" s="6"/>
      <c r="AD243" s="6"/>
      <c r="AE243" s="6"/>
    </row>
    <row r="244" spans="1:31" x14ac:dyDescent="0.35">
      <c r="A244" s="6">
        <v>244</v>
      </c>
      <c r="B244" s="6" t="s">
        <v>4</v>
      </c>
      <c r="C244" s="10" t="s">
        <v>16</v>
      </c>
      <c r="D244" s="9" t="s">
        <v>1454</v>
      </c>
      <c r="E244" s="7">
        <f t="shared" si="10"/>
        <v>0</v>
      </c>
      <c r="F244" s="7">
        <f>-1*ROUND(1/6*(I244*IF(_xlfn.XLOOKUP(H244,'02效果表'!D:D,'02效果表'!E:E)&lt;0, _xlfn.XLOOKUP(H244,'02效果表'!D:D,'02效果表'!E:E), 0) +
K244*IF(_xlfn.XLOOKUP(J244,'02效果表'!D:D,'02效果表'!E:E)&lt;0, _xlfn.XLOOKUP(J244,'02效果表'!D:D,'02效果表'!E:E), 0) +
M244*IF(_xlfn.XLOOKUP(L244,'02效果表'!D:D,'02效果表'!E:E)&lt;0, _xlfn.XLOOKUP(L244,'02效果表'!D:D,'02效果表'!E:E), 0) +
O244*IF(_xlfn.XLOOKUP(N244,'02效果表'!D:D,'02效果表'!E:E)&lt;0, _xlfn.XLOOKUP(N244,'02效果表'!D:D,'02效果表'!E:E), 0) +
Q244*IF(_xlfn.XLOOKUP(P244,'02效果表'!D:D,'02效果表'!E:E)&lt;0, _xlfn.XLOOKUP(P244,'02效果表'!D:D,'02效果表'!E:E), 0) +
S244*IF(_xlfn.XLOOKUP(R244,'02效果表'!D:D,'02效果表'!E:E)&lt;0, _xlfn.XLOOKUP(R244,'02效果表'!D:D,'02效果表'!E:E), 0) +
U244*IF(_xlfn.XLOOKUP(T244,'02效果表'!D:D,'02效果表'!E:E)&lt;0, _xlfn.XLOOKUP(T244,'02效果表'!D:D,'02效果表'!E:E), 0) +
W244*IF(_xlfn.XLOOKUP(V244,'02效果表'!D:D,'02效果表'!E:E)&lt;0, _xlfn.XLOOKUP(V244,'02效果表'!D:D,'02效果表'!E:E), 0) +
Y244*IF(_xlfn.XLOOKUP(X244,'02效果表'!D:D,'02效果表'!E:E)&lt;0, _xlfn.XLOOKUP(X244,'02效果表'!D:D,'02效果表'!E:E), 0) +
AA244*IF(_xlfn.XLOOKUP(Z244,'02效果表'!D:D,'02效果表'!E:E)&lt;0, _xlfn.XLOOKUP(Z244,'02效果表'!D:D,'02效果表'!E:E), 0) +
AC244*IF(_xlfn.XLOOKUP(AB244,'02效果表'!D:D,'02效果表'!E:E)&lt;0, _xlfn.XLOOKUP(AB244,'02效果表'!D:D,'02效果表'!E:E), 0) +
AE244*IF(_xlfn.XLOOKUP(AD244,'02效果表'!D:D,'02效果表'!E:E)&lt;0, _xlfn.XLOOKUP(AD244,'02效果表'!D:D,'02效果表'!E:E), 0)), 1)</f>
        <v>0</v>
      </c>
      <c r="G244" s="7">
        <f>ROUND(1/6*(I244*MAX(_xlfn.XLOOKUP(H244,'02效果表'!D:D,'02效果表'!E:E),0)+K244*MAX(_xlfn.XLOOKUP(J244,'02效果表'!D:D,'02效果表'!E:E),0)+M244*MAX(_xlfn.XLOOKUP(L244,'02效果表'!D:D,'02效果表'!E:E),0)+O244*MAX(_xlfn.XLOOKUP(N244,'02效果表'!D:D,'02效果表'!E:E),0)+Q244*MAX(_xlfn.XLOOKUP(P244,'02效果表'!D:D,'02效果表'!E:E),0)+S244*MAX(_xlfn.XLOOKUP(R244,'02效果表'!D:D,'02效果表'!E:E),0)+U244*MAX(_xlfn.XLOOKUP(T244,'02效果表'!D:D,'02效果表'!E:E),0)+W244*MAX(_xlfn.XLOOKUP(V244,'02效果表'!D:D,'02效果表'!E:E),0)+Y244*MAX(_xlfn.XLOOKUP(X244,'02效果表'!D:D,'02效果表'!E:E),0)+AA244*MAX(_xlfn.XLOOKUP(Z244,'02效果表'!D:D,'02效果表'!E:E),0)+AC244*MAX(_xlfn.XLOOKUP(AB244,'02效果表'!D:D,'02效果表'!E:E),0)+AE244*MAX(_xlfn.XLOOKUP(AD244,'02效果表'!D:D,'02效果表'!E:E),0)),1)</f>
        <v>0</v>
      </c>
      <c r="H244" s="6"/>
      <c r="I244" s="6"/>
      <c r="J244" s="6"/>
      <c r="K244" s="6"/>
      <c r="L244" s="6"/>
      <c r="M244" s="6"/>
      <c r="N244" s="6"/>
      <c r="O244" s="6"/>
      <c r="P244" s="6"/>
      <c r="Q244" s="6"/>
      <c r="R244" s="6"/>
      <c r="S244" s="6"/>
      <c r="T244" s="6"/>
      <c r="U244" s="6"/>
      <c r="V244" s="6"/>
      <c r="W244" s="6"/>
      <c r="X244" s="6"/>
      <c r="Y244" s="6"/>
      <c r="Z244" s="6"/>
      <c r="AA244" s="6"/>
      <c r="AB244" s="6"/>
      <c r="AC244" s="6"/>
      <c r="AD244" s="6"/>
      <c r="AE244" s="6"/>
    </row>
    <row r="245" spans="1:31" x14ac:dyDescent="0.35">
      <c r="A245" s="6">
        <v>245</v>
      </c>
      <c r="B245" s="6" t="s">
        <v>4</v>
      </c>
      <c r="C245" s="10" t="s">
        <v>16</v>
      </c>
      <c r="D245" s="9" t="s">
        <v>1455</v>
      </c>
      <c r="E245" s="7">
        <f t="shared" si="10"/>
        <v>0</v>
      </c>
      <c r="F245" s="7">
        <f>-1*ROUND(1/6*(I245*IF(_xlfn.XLOOKUP(H245,'02效果表'!D:D,'02效果表'!E:E)&lt;0, _xlfn.XLOOKUP(H245,'02效果表'!D:D,'02效果表'!E:E), 0) +
K245*IF(_xlfn.XLOOKUP(J245,'02效果表'!D:D,'02效果表'!E:E)&lt;0, _xlfn.XLOOKUP(J245,'02效果表'!D:D,'02效果表'!E:E), 0) +
M245*IF(_xlfn.XLOOKUP(L245,'02效果表'!D:D,'02效果表'!E:E)&lt;0, _xlfn.XLOOKUP(L245,'02效果表'!D:D,'02效果表'!E:E), 0) +
O245*IF(_xlfn.XLOOKUP(N245,'02效果表'!D:D,'02效果表'!E:E)&lt;0, _xlfn.XLOOKUP(N245,'02效果表'!D:D,'02效果表'!E:E), 0) +
Q245*IF(_xlfn.XLOOKUP(P245,'02效果表'!D:D,'02效果表'!E:E)&lt;0, _xlfn.XLOOKUP(P245,'02效果表'!D:D,'02效果表'!E:E), 0) +
S245*IF(_xlfn.XLOOKUP(R245,'02效果表'!D:D,'02效果表'!E:E)&lt;0, _xlfn.XLOOKUP(R245,'02效果表'!D:D,'02效果表'!E:E), 0) +
U245*IF(_xlfn.XLOOKUP(T245,'02效果表'!D:D,'02效果表'!E:E)&lt;0, _xlfn.XLOOKUP(T245,'02效果表'!D:D,'02效果表'!E:E), 0) +
W245*IF(_xlfn.XLOOKUP(V245,'02效果表'!D:D,'02效果表'!E:E)&lt;0, _xlfn.XLOOKUP(V245,'02效果表'!D:D,'02效果表'!E:E), 0) +
Y245*IF(_xlfn.XLOOKUP(X245,'02效果表'!D:D,'02效果表'!E:E)&lt;0, _xlfn.XLOOKUP(X245,'02效果表'!D:D,'02效果表'!E:E), 0) +
AA245*IF(_xlfn.XLOOKUP(Z245,'02效果表'!D:D,'02效果表'!E:E)&lt;0, _xlfn.XLOOKUP(Z245,'02效果表'!D:D,'02效果表'!E:E), 0) +
AC245*IF(_xlfn.XLOOKUP(AB245,'02效果表'!D:D,'02效果表'!E:E)&lt;0, _xlfn.XLOOKUP(AB245,'02效果表'!D:D,'02效果表'!E:E), 0) +
AE245*IF(_xlfn.XLOOKUP(AD245,'02效果表'!D:D,'02效果表'!E:E)&lt;0, _xlfn.XLOOKUP(AD245,'02效果表'!D:D,'02效果表'!E:E), 0)), 1)</f>
        <v>0</v>
      </c>
      <c r="G245" s="7">
        <f>ROUND(1/6*(I245*MAX(_xlfn.XLOOKUP(H245,'02效果表'!D:D,'02效果表'!E:E),0)+K245*MAX(_xlfn.XLOOKUP(J245,'02效果表'!D:D,'02效果表'!E:E),0)+M245*MAX(_xlfn.XLOOKUP(L245,'02效果表'!D:D,'02效果表'!E:E),0)+O245*MAX(_xlfn.XLOOKUP(N245,'02效果表'!D:D,'02效果表'!E:E),0)+Q245*MAX(_xlfn.XLOOKUP(P245,'02效果表'!D:D,'02效果表'!E:E),0)+S245*MAX(_xlfn.XLOOKUP(R245,'02效果表'!D:D,'02效果表'!E:E),0)+U245*MAX(_xlfn.XLOOKUP(T245,'02效果表'!D:D,'02效果表'!E:E),0)+W245*MAX(_xlfn.XLOOKUP(V245,'02效果表'!D:D,'02效果表'!E:E),0)+Y245*MAX(_xlfn.XLOOKUP(X245,'02效果表'!D:D,'02效果表'!E:E),0)+AA245*MAX(_xlfn.XLOOKUP(Z245,'02效果表'!D:D,'02效果表'!E:E),0)+AC245*MAX(_xlfn.XLOOKUP(AB245,'02效果表'!D:D,'02效果表'!E:E),0)+AE245*MAX(_xlfn.XLOOKUP(AD245,'02效果表'!D:D,'02效果表'!E:E),0)),1)</f>
        <v>0</v>
      </c>
      <c r="H245" s="6"/>
      <c r="I245" s="6"/>
      <c r="J245" s="6"/>
      <c r="K245" s="6"/>
      <c r="L245" s="6"/>
      <c r="M245" s="6"/>
      <c r="N245" s="6"/>
      <c r="O245" s="6"/>
      <c r="P245" s="6"/>
      <c r="Q245" s="6"/>
      <c r="R245" s="6"/>
      <c r="S245" s="6"/>
      <c r="T245" s="6"/>
      <c r="U245" s="6"/>
      <c r="V245" s="6"/>
      <c r="W245" s="6"/>
      <c r="X245" s="6"/>
      <c r="Y245" s="6"/>
      <c r="Z245" s="6"/>
      <c r="AA245" s="6"/>
      <c r="AB245" s="6"/>
      <c r="AC245" s="6"/>
      <c r="AD245" s="6"/>
      <c r="AE245" s="6"/>
    </row>
    <row r="246" spans="1:31" x14ac:dyDescent="0.35">
      <c r="A246" s="6">
        <v>246</v>
      </c>
      <c r="B246" s="6" t="s">
        <v>4</v>
      </c>
      <c r="C246" s="10" t="s">
        <v>16</v>
      </c>
      <c r="D246" s="9" t="s">
        <v>1456</v>
      </c>
      <c r="E246" s="7">
        <f t="shared" si="10"/>
        <v>0</v>
      </c>
      <c r="F246" s="7">
        <f>-1*ROUND(1/6*(I246*IF(_xlfn.XLOOKUP(H246,'02效果表'!D:D,'02效果表'!E:E)&lt;0, _xlfn.XLOOKUP(H246,'02效果表'!D:D,'02效果表'!E:E), 0) +
K246*IF(_xlfn.XLOOKUP(J246,'02效果表'!D:D,'02效果表'!E:E)&lt;0, _xlfn.XLOOKUP(J246,'02效果表'!D:D,'02效果表'!E:E), 0) +
M246*IF(_xlfn.XLOOKUP(L246,'02效果表'!D:D,'02效果表'!E:E)&lt;0, _xlfn.XLOOKUP(L246,'02效果表'!D:D,'02效果表'!E:E), 0) +
O246*IF(_xlfn.XLOOKUP(N246,'02效果表'!D:D,'02效果表'!E:E)&lt;0, _xlfn.XLOOKUP(N246,'02效果表'!D:D,'02效果表'!E:E), 0) +
Q246*IF(_xlfn.XLOOKUP(P246,'02效果表'!D:D,'02效果表'!E:E)&lt;0, _xlfn.XLOOKUP(P246,'02效果表'!D:D,'02效果表'!E:E), 0) +
S246*IF(_xlfn.XLOOKUP(R246,'02效果表'!D:D,'02效果表'!E:E)&lt;0, _xlfn.XLOOKUP(R246,'02效果表'!D:D,'02效果表'!E:E), 0) +
U246*IF(_xlfn.XLOOKUP(T246,'02效果表'!D:D,'02效果表'!E:E)&lt;0, _xlfn.XLOOKUP(T246,'02效果表'!D:D,'02效果表'!E:E), 0) +
W246*IF(_xlfn.XLOOKUP(V246,'02效果表'!D:D,'02效果表'!E:E)&lt;0, _xlfn.XLOOKUP(V246,'02效果表'!D:D,'02效果表'!E:E), 0) +
Y246*IF(_xlfn.XLOOKUP(X246,'02效果表'!D:D,'02效果表'!E:E)&lt;0, _xlfn.XLOOKUP(X246,'02效果表'!D:D,'02效果表'!E:E), 0) +
AA246*IF(_xlfn.XLOOKUP(Z246,'02效果表'!D:D,'02效果表'!E:E)&lt;0, _xlfn.XLOOKUP(Z246,'02效果表'!D:D,'02效果表'!E:E), 0) +
AC246*IF(_xlfn.XLOOKUP(AB246,'02效果表'!D:D,'02效果表'!E:E)&lt;0, _xlfn.XLOOKUP(AB246,'02效果表'!D:D,'02效果表'!E:E), 0) +
AE246*IF(_xlfn.XLOOKUP(AD246,'02效果表'!D:D,'02效果表'!E:E)&lt;0, _xlfn.XLOOKUP(AD246,'02效果表'!D:D,'02效果表'!E:E), 0)), 1)</f>
        <v>0</v>
      </c>
      <c r="G246" s="7">
        <f>ROUND(1/6*(I246*MAX(_xlfn.XLOOKUP(H246,'02效果表'!D:D,'02效果表'!E:E),0)+K246*MAX(_xlfn.XLOOKUP(J246,'02效果表'!D:D,'02效果表'!E:E),0)+M246*MAX(_xlfn.XLOOKUP(L246,'02效果表'!D:D,'02效果表'!E:E),0)+O246*MAX(_xlfn.XLOOKUP(N246,'02效果表'!D:D,'02效果表'!E:E),0)+Q246*MAX(_xlfn.XLOOKUP(P246,'02效果表'!D:D,'02效果表'!E:E),0)+S246*MAX(_xlfn.XLOOKUP(R246,'02效果表'!D:D,'02效果表'!E:E),0)+U246*MAX(_xlfn.XLOOKUP(T246,'02效果表'!D:D,'02效果表'!E:E),0)+W246*MAX(_xlfn.XLOOKUP(V246,'02效果表'!D:D,'02效果表'!E:E),0)+Y246*MAX(_xlfn.XLOOKUP(X246,'02效果表'!D:D,'02效果表'!E:E),0)+AA246*MAX(_xlfn.XLOOKUP(Z246,'02效果表'!D:D,'02效果表'!E:E),0)+AC246*MAX(_xlfn.XLOOKUP(AB246,'02效果表'!D:D,'02效果表'!E:E),0)+AE246*MAX(_xlfn.XLOOKUP(AD246,'02效果表'!D:D,'02效果表'!E:E),0)),1)</f>
        <v>0</v>
      </c>
      <c r="H246" s="6"/>
      <c r="I246" s="6"/>
      <c r="J246" s="6"/>
      <c r="K246" s="6"/>
      <c r="L246" s="6"/>
      <c r="M246" s="6"/>
      <c r="N246" s="6"/>
      <c r="O246" s="6"/>
      <c r="P246" s="6"/>
      <c r="Q246" s="6"/>
      <c r="R246" s="6"/>
      <c r="S246" s="6"/>
      <c r="T246" s="6"/>
      <c r="U246" s="6"/>
      <c r="V246" s="6"/>
      <c r="W246" s="6"/>
      <c r="X246" s="6"/>
      <c r="Y246" s="6"/>
      <c r="Z246" s="6"/>
      <c r="AA246" s="6"/>
      <c r="AB246" s="6"/>
      <c r="AC246" s="6"/>
      <c r="AD246" s="6"/>
      <c r="AE246" s="6"/>
    </row>
    <row r="247" spans="1:31" x14ac:dyDescent="0.35">
      <c r="A247" s="6">
        <v>247</v>
      </c>
      <c r="B247" s="6" t="s">
        <v>4</v>
      </c>
      <c r="C247" s="10" t="s">
        <v>16</v>
      </c>
      <c r="D247" s="9" t="s">
        <v>1457</v>
      </c>
      <c r="E247" s="7">
        <f t="shared" si="10"/>
        <v>0</v>
      </c>
      <c r="F247" s="7">
        <f>-1*ROUND(1/6*(I247*IF(_xlfn.XLOOKUP(H247,'02效果表'!D:D,'02效果表'!E:E)&lt;0, _xlfn.XLOOKUP(H247,'02效果表'!D:D,'02效果表'!E:E), 0) +
K247*IF(_xlfn.XLOOKUP(J247,'02效果表'!D:D,'02效果表'!E:E)&lt;0, _xlfn.XLOOKUP(J247,'02效果表'!D:D,'02效果表'!E:E), 0) +
M247*IF(_xlfn.XLOOKUP(L247,'02效果表'!D:D,'02效果表'!E:E)&lt;0, _xlfn.XLOOKUP(L247,'02效果表'!D:D,'02效果表'!E:E), 0) +
O247*IF(_xlfn.XLOOKUP(N247,'02效果表'!D:D,'02效果表'!E:E)&lt;0, _xlfn.XLOOKUP(N247,'02效果表'!D:D,'02效果表'!E:E), 0) +
Q247*IF(_xlfn.XLOOKUP(P247,'02效果表'!D:D,'02效果表'!E:E)&lt;0, _xlfn.XLOOKUP(P247,'02效果表'!D:D,'02效果表'!E:E), 0) +
S247*IF(_xlfn.XLOOKUP(R247,'02效果表'!D:D,'02效果表'!E:E)&lt;0, _xlfn.XLOOKUP(R247,'02效果表'!D:D,'02效果表'!E:E), 0) +
U247*IF(_xlfn.XLOOKUP(T247,'02效果表'!D:D,'02效果表'!E:E)&lt;0, _xlfn.XLOOKUP(T247,'02效果表'!D:D,'02效果表'!E:E), 0) +
W247*IF(_xlfn.XLOOKUP(V247,'02效果表'!D:D,'02效果表'!E:E)&lt;0, _xlfn.XLOOKUP(V247,'02效果表'!D:D,'02效果表'!E:E), 0) +
Y247*IF(_xlfn.XLOOKUP(X247,'02效果表'!D:D,'02效果表'!E:E)&lt;0, _xlfn.XLOOKUP(X247,'02效果表'!D:D,'02效果表'!E:E), 0) +
AA247*IF(_xlfn.XLOOKUP(Z247,'02效果表'!D:D,'02效果表'!E:E)&lt;0, _xlfn.XLOOKUP(Z247,'02效果表'!D:D,'02效果表'!E:E), 0) +
AC247*IF(_xlfn.XLOOKUP(AB247,'02效果表'!D:D,'02效果表'!E:E)&lt;0, _xlfn.XLOOKUP(AB247,'02效果表'!D:D,'02效果表'!E:E), 0) +
AE247*IF(_xlfn.XLOOKUP(AD247,'02效果表'!D:D,'02效果表'!E:E)&lt;0, _xlfn.XLOOKUP(AD247,'02效果表'!D:D,'02效果表'!E:E), 0)), 1)</f>
        <v>0</v>
      </c>
      <c r="G247" s="7">
        <f>ROUND(1/6*(I247*MAX(_xlfn.XLOOKUP(H247,'02效果表'!D:D,'02效果表'!E:E),0)+K247*MAX(_xlfn.XLOOKUP(J247,'02效果表'!D:D,'02效果表'!E:E),0)+M247*MAX(_xlfn.XLOOKUP(L247,'02效果表'!D:D,'02效果表'!E:E),0)+O247*MAX(_xlfn.XLOOKUP(N247,'02效果表'!D:D,'02效果表'!E:E),0)+Q247*MAX(_xlfn.XLOOKUP(P247,'02效果表'!D:D,'02效果表'!E:E),0)+S247*MAX(_xlfn.XLOOKUP(R247,'02效果表'!D:D,'02效果表'!E:E),0)+U247*MAX(_xlfn.XLOOKUP(T247,'02效果表'!D:D,'02效果表'!E:E),0)+W247*MAX(_xlfn.XLOOKUP(V247,'02效果表'!D:D,'02效果表'!E:E),0)+Y247*MAX(_xlfn.XLOOKUP(X247,'02效果表'!D:D,'02效果表'!E:E),0)+AA247*MAX(_xlfn.XLOOKUP(Z247,'02效果表'!D:D,'02效果表'!E:E),0)+AC247*MAX(_xlfn.XLOOKUP(AB247,'02效果表'!D:D,'02效果表'!E:E),0)+AE247*MAX(_xlfn.XLOOKUP(AD247,'02效果表'!D:D,'02效果表'!E:E),0)),1)</f>
        <v>0</v>
      </c>
      <c r="H247" s="6"/>
      <c r="I247" s="6"/>
      <c r="J247" s="6"/>
      <c r="K247" s="6"/>
      <c r="L247" s="6"/>
      <c r="M247" s="6"/>
      <c r="N247" s="6"/>
      <c r="O247" s="6"/>
      <c r="P247" s="6"/>
      <c r="Q247" s="6"/>
      <c r="R247" s="6"/>
      <c r="S247" s="6"/>
      <c r="T247" s="6"/>
      <c r="U247" s="6"/>
      <c r="V247" s="6"/>
      <c r="W247" s="6"/>
      <c r="X247" s="6"/>
      <c r="Y247" s="6"/>
      <c r="Z247" s="6"/>
      <c r="AA247" s="6"/>
      <c r="AB247" s="6"/>
      <c r="AC247" s="6"/>
      <c r="AD247" s="6"/>
      <c r="AE247" s="6"/>
    </row>
    <row r="248" spans="1:31" x14ac:dyDescent="0.35">
      <c r="A248" s="6">
        <v>248</v>
      </c>
      <c r="B248" s="6" t="s">
        <v>4</v>
      </c>
      <c r="C248" s="10" t="s">
        <v>16</v>
      </c>
      <c r="D248" s="9" t="s">
        <v>1458</v>
      </c>
      <c r="E248" s="7">
        <f t="shared" si="10"/>
        <v>0</v>
      </c>
      <c r="F248" s="7">
        <f>-1*ROUND(1/6*(I248*IF(_xlfn.XLOOKUP(H248,'02效果表'!D:D,'02效果表'!E:E)&lt;0, _xlfn.XLOOKUP(H248,'02效果表'!D:D,'02效果表'!E:E), 0) +
K248*IF(_xlfn.XLOOKUP(J248,'02效果表'!D:D,'02效果表'!E:E)&lt;0, _xlfn.XLOOKUP(J248,'02效果表'!D:D,'02效果表'!E:E), 0) +
M248*IF(_xlfn.XLOOKUP(L248,'02效果表'!D:D,'02效果表'!E:E)&lt;0, _xlfn.XLOOKUP(L248,'02效果表'!D:D,'02效果表'!E:E), 0) +
O248*IF(_xlfn.XLOOKUP(N248,'02效果表'!D:D,'02效果表'!E:E)&lt;0, _xlfn.XLOOKUP(N248,'02效果表'!D:D,'02效果表'!E:E), 0) +
Q248*IF(_xlfn.XLOOKUP(P248,'02效果表'!D:D,'02效果表'!E:E)&lt;0, _xlfn.XLOOKUP(P248,'02效果表'!D:D,'02效果表'!E:E), 0) +
S248*IF(_xlfn.XLOOKUP(R248,'02效果表'!D:D,'02效果表'!E:E)&lt;0, _xlfn.XLOOKUP(R248,'02效果表'!D:D,'02效果表'!E:E), 0) +
U248*IF(_xlfn.XLOOKUP(T248,'02效果表'!D:D,'02效果表'!E:E)&lt;0, _xlfn.XLOOKUP(T248,'02效果表'!D:D,'02效果表'!E:E), 0) +
W248*IF(_xlfn.XLOOKUP(V248,'02效果表'!D:D,'02效果表'!E:E)&lt;0, _xlfn.XLOOKUP(V248,'02效果表'!D:D,'02效果表'!E:E), 0) +
Y248*IF(_xlfn.XLOOKUP(X248,'02效果表'!D:D,'02效果表'!E:E)&lt;0, _xlfn.XLOOKUP(X248,'02效果表'!D:D,'02效果表'!E:E), 0) +
AA248*IF(_xlfn.XLOOKUP(Z248,'02效果表'!D:D,'02效果表'!E:E)&lt;0, _xlfn.XLOOKUP(Z248,'02效果表'!D:D,'02效果表'!E:E), 0) +
AC248*IF(_xlfn.XLOOKUP(AB248,'02效果表'!D:D,'02效果表'!E:E)&lt;0, _xlfn.XLOOKUP(AB248,'02效果表'!D:D,'02效果表'!E:E), 0) +
AE248*IF(_xlfn.XLOOKUP(AD248,'02效果表'!D:D,'02效果表'!E:E)&lt;0, _xlfn.XLOOKUP(AD248,'02效果表'!D:D,'02效果表'!E:E), 0)), 1)</f>
        <v>0</v>
      </c>
      <c r="G248" s="7">
        <f>ROUND(1/6*(I248*MAX(_xlfn.XLOOKUP(H248,'02效果表'!D:D,'02效果表'!E:E),0)+K248*MAX(_xlfn.XLOOKUP(J248,'02效果表'!D:D,'02效果表'!E:E),0)+M248*MAX(_xlfn.XLOOKUP(L248,'02效果表'!D:D,'02效果表'!E:E),0)+O248*MAX(_xlfn.XLOOKUP(N248,'02效果表'!D:D,'02效果表'!E:E),0)+Q248*MAX(_xlfn.XLOOKUP(P248,'02效果表'!D:D,'02效果表'!E:E),0)+S248*MAX(_xlfn.XLOOKUP(R248,'02效果表'!D:D,'02效果表'!E:E),0)+U248*MAX(_xlfn.XLOOKUP(T248,'02效果表'!D:D,'02效果表'!E:E),0)+W248*MAX(_xlfn.XLOOKUP(V248,'02效果表'!D:D,'02效果表'!E:E),0)+Y248*MAX(_xlfn.XLOOKUP(X248,'02效果表'!D:D,'02效果表'!E:E),0)+AA248*MAX(_xlfn.XLOOKUP(Z248,'02效果表'!D:D,'02效果表'!E:E),0)+AC248*MAX(_xlfn.XLOOKUP(AB248,'02效果表'!D:D,'02效果表'!E:E),0)+AE248*MAX(_xlfn.XLOOKUP(AD248,'02效果表'!D:D,'02效果表'!E:E),0)),1)</f>
        <v>0</v>
      </c>
      <c r="H248" s="6"/>
      <c r="I248" s="6"/>
      <c r="J248" s="6"/>
      <c r="K248" s="6"/>
      <c r="L248" s="6"/>
      <c r="M248" s="6"/>
      <c r="N248" s="6"/>
      <c r="O248" s="6"/>
      <c r="P248" s="6"/>
      <c r="Q248" s="6"/>
      <c r="R248" s="6"/>
      <c r="S248" s="6"/>
      <c r="T248" s="6"/>
      <c r="U248" s="6"/>
      <c r="V248" s="6"/>
      <c r="W248" s="6"/>
      <c r="X248" s="6"/>
      <c r="Y248" s="6"/>
      <c r="Z248" s="6"/>
      <c r="AA248" s="6"/>
      <c r="AB248" s="6"/>
      <c r="AC248" s="6"/>
      <c r="AD248" s="6"/>
      <c r="AE248" s="6"/>
    </row>
    <row r="249" spans="1:31" x14ac:dyDescent="0.35">
      <c r="A249" s="6">
        <v>249</v>
      </c>
      <c r="B249" s="6" t="s">
        <v>4</v>
      </c>
      <c r="C249" s="10" t="s">
        <v>16</v>
      </c>
      <c r="D249" s="9" t="s">
        <v>1459</v>
      </c>
      <c r="E249" s="7">
        <f t="shared" si="10"/>
        <v>0</v>
      </c>
      <c r="F249" s="7">
        <f>-1*ROUND(1/6*(I249*IF(_xlfn.XLOOKUP(H249,'02效果表'!D:D,'02效果表'!E:E)&lt;0, _xlfn.XLOOKUP(H249,'02效果表'!D:D,'02效果表'!E:E), 0) +
K249*IF(_xlfn.XLOOKUP(J249,'02效果表'!D:D,'02效果表'!E:E)&lt;0, _xlfn.XLOOKUP(J249,'02效果表'!D:D,'02效果表'!E:E), 0) +
M249*IF(_xlfn.XLOOKUP(L249,'02效果表'!D:D,'02效果表'!E:E)&lt;0, _xlfn.XLOOKUP(L249,'02效果表'!D:D,'02效果表'!E:E), 0) +
O249*IF(_xlfn.XLOOKUP(N249,'02效果表'!D:D,'02效果表'!E:E)&lt;0, _xlfn.XLOOKUP(N249,'02效果表'!D:D,'02效果表'!E:E), 0) +
Q249*IF(_xlfn.XLOOKUP(P249,'02效果表'!D:D,'02效果表'!E:E)&lt;0, _xlfn.XLOOKUP(P249,'02效果表'!D:D,'02效果表'!E:E), 0) +
S249*IF(_xlfn.XLOOKUP(R249,'02效果表'!D:D,'02效果表'!E:E)&lt;0, _xlfn.XLOOKUP(R249,'02效果表'!D:D,'02效果表'!E:E), 0) +
U249*IF(_xlfn.XLOOKUP(T249,'02效果表'!D:D,'02效果表'!E:E)&lt;0, _xlfn.XLOOKUP(T249,'02效果表'!D:D,'02效果表'!E:E), 0) +
W249*IF(_xlfn.XLOOKUP(V249,'02效果表'!D:D,'02效果表'!E:E)&lt;0, _xlfn.XLOOKUP(V249,'02效果表'!D:D,'02效果表'!E:E), 0) +
Y249*IF(_xlfn.XLOOKUP(X249,'02效果表'!D:D,'02效果表'!E:E)&lt;0, _xlfn.XLOOKUP(X249,'02效果表'!D:D,'02效果表'!E:E), 0) +
AA249*IF(_xlfn.XLOOKUP(Z249,'02效果表'!D:D,'02效果表'!E:E)&lt;0, _xlfn.XLOOKUP(Z249,'02效果表'!D:D,'02效果表'!E:E), 0) +
AC249*IF(_xlfn.XLOOKUP(AB249,'02效果表'!D:D,'02效果表'!E:E)&lt;0, _xlfn.XLOOKUP(AB249,'02效果表'!D:D,'02效果表'!E:E), 0) +
AE249*IF(_xlfn.XLOOKUP(AD249,'02效果表'!D:D,'02效果表'!E:E)&lt;0, _xlfn.XLOOKUP(AD249,'02效果表'!D:D,'02效果表'!E:E), 0)), 1)</f>
        <v>0</v>
      </c>
      <c r="G249" s="7">
        <f>ROUND(1/6*(I249*MAX(_xlfn.XLOOKUP(H249,'02效果表'!D:D,'02效果表'!E:E),0)+K249*MAX(_xlfn.XLOOKUP(J249,'02效果表'!D:D,'02效果表'!E:E),0)+M249*MAX(_xlfn.XLOOKUP(L249,'02效果表'!D:D,'02效果表'!E:E),0)+O249*MAX(_xlfn.XLOOKUP(N249,'02效果表'!D:D,'02效果表'!E:E),0)+Q249*MAX(_xlfn.XLOOKUP(P249,'02效果表'!D:D,'02效果表'!E:E),0)+S249*MAX(_xlfn.XLOOKUP(R249,'02效果表'!D:D,'02效果表'!E:E),0)+U249*MAX(_xlfn.XLOOKUP(T249,'02效果表'!D:D,'02效果表'!E:E),0)+W249*MAX(_xlfn.XLOOKUP(V249,'02效果表'!D:D,'02效果表'!E:E),0)+Y249*MAX(_xlfn.XLOOKUP(X249,'02效果表'!D:D,'02效果表'!E:E),0)+AA249*MAX(_xlfn.XLOOKUP(Z249,'02效果表'!D:D,'02效果表'!E:E),0)+AC249*MAX(_xlfn.XLOOKUP(AB249,'02效果表'!D:D,'02效果表'!E:E),0)+AE249*MAX(_xlfn.XLOOKUP(AD249,'02效果表'!D:D,'02效果表'!E:E),0)),1)</f>
        <v>0</v>
      </c>
      <c r="H249" s="6"/>
      <c r="I249" s="6"/>
      <c r="J249" s="6"/>
      <c r="K249" s="6"/>
      <c r="L249" s="6"/>
      <c r="M249" s="6"/>
      <c r="N249" s="6"/>
      <c r="O249" s="6"/>
      <c r="P249" s="6"/>
      <c r="Q249" s="6"/>
      <c r="R249" s="6"/>
      <c r="S249" s="6"/>
      <c r="T249" s="6"/>
      <c r="U249" s="6"/>
      <c r="V249" s="6"/>
      <c r="W249" s="6"/>
      <c r="X249" s="6"/>
      <c r="Y249" s="6"/>
      <c r="Z249" s="6"/>
      <c r="AA249" s="6"/>
      <c r="AB249" s="6"/>
      <c r="AC249" s="6"/>
      <c r="AD249" s="6"/>
      <c r="AE249" s="6"/>
    </row>
    <row r="250" spans="1:31" x14ac:dyDescent="0.35">
      <c r="A250" s="6">
        <v>250</v>
      </c>
      <c r="B250" s="6" t="s">
        <v>4</v>
      </c>
      <c r="C250" s="10" t="s">
        <v>16</v>
      </c>
      <c r="D250" s="9" t="s">
        <v>1460</v>
      </c>
      <c r="E250" s="7">
        <f t="shared" si="10"/>
        <v>0</v>
      </c>
      <c r="F250" s="7">
        <f>-1*ROUND(1/6*(I250*IF(_xlfn.XLOOKUP(H250,'02效果表'!D:D,'02效果表'!E:E)&lt;0, _xlfn.XLOOKUP(H250,'02效果表'!D:D,'02效果表'!E:E), 0) +
K250*IF(_xlfn.XLOOKUP(J250,'02效果表'!D:D,'02效果表'!E:E)&lt;0, _xlfn.XLOOKUP(J250,'02效果表'!D:D,'02效果表'!E:E), 0) +
M250*IF(_xlfn.XLOOKUP(L250,'02效果表'!D:D,'02效果表'!E:E)&lt;0, _xlfn.XLOOKUP(L250,'02效果表'!D:D,'02效果表'!E:E), 0) +
O250*IF(_xlfn.XLOOKUP(N250,'02效果表'!D:D,'02效果表'!E:E)&lt;0, _xlfn.XLOOKUP(N250,'02效果表'!D:D,'02效果表'!E:E), 0) +
Q250*IF(_xlfn.XLOOKUP(P250,'02效果表'!D:D,'02效果表'!E:E)&lt;0, _xlfn.XLOOKUP(P250,'02效果表'!D:D,'02效果表'!E:E), 0) +
S250*IF(_xlfn.XLOOKUP(R250,'02效果表'!D:D,'02效果表'!E:E)&lt;0, _xlfn.XLOOKUP(R250,'02效果表'!D:D,'02效果表'!E:E), 0) +
U250*IF(_xlfn.XLOOKUP(T250,'02效果表'!D:D,'02效果表'!E:E)&lt;0, _xlfn.XLOOKUP(T250,'02效果表'!D:D,'02效果表'!E:E), 0) +
W250*IF(_xlfn.XLOOKUP(V250,'02效果表'!D:D,'02效果表'!E:E)&lt;0, _xlfn.XLOOKUP(V250,'02效果表'!D:D,'02效果表'!E:E), 0) +
Y250*IF(_xlfn.XLOOKUP(X250,'02效果表'!D:D,'02效果表'!E:E)&lt;0, _xlfn.XLOOKUP(X250,'02效果表'!D:D,'02效果表'!E:E), 0) +
AA250*IF(_xlfn.XLOOKUP(Z250,'02效果表'!D:D,'02效果表'!E:E)&lt;0, _xlfn.XLOOKUP(Z250,'02效果表'!D:D,'02效果表'!E:E), 0) +
AC250*IF(_xlfn.XLOOKUP(AB250,'02效果表'!D:D,'02效果表'!E:E)&lt;0, _xlfn.XLOOKUP(AB250,'02效果表'!D:D,'02效果表'!E:E), 0) +
AE250*IF(_xlfn.XLOOKUP(AD250,'02效果表'!D:D,'02效果表'!E:E)&lt;0, _xlfn.XLOOKUP(AD250,'02效果表'!D:D,'02效果表'!E:E), 0)), 1)</f>
        <v>0</v>
      </c>
      <c r="G250" s="7">
        <f>ROUND(1/6*(I250*MAX(_xlfn.XLOOKUP(H250,'02效果表'!D:D,'02效果表'!E:E),0)+K250*MAX(_xlfn.XLOOKUP(J250,'02效果表'!D:D,'02效果表'!E:E),0)+M250*MAX(_xlfn.XLOOKUP(L250,'02效果表'!D:D,'02效果表'!E:E),0)+O250*MAX(_xlfn.XLOOKUP(N250,'02效果表'!D:D,'02效果表'!E:E),0)+Q250*MAX(_xlfn.XLOOKUP(P250,'02效果表'!D:D,'02效果表'!E:E),0)+S250*MAX(_xlfn.XLOOKUP(R250,'02效果表'!D:D,'02效果表'!E:E),0)+U250*MAX(_xlfn.XLOOKUP(T250,'02效果表'!D:D,'02效果表'!E:E),0)+W250*MAX(_xlfn.XLOOKUP(V250,'02效果表'!D:D,'02效果表'!E:E),0)+Y250*MAX(_xlfn.XLOOKUP(X250,'02效果表'!D:D,'02效果表'!E:E),0)+AA250*MAX(_xlfn.XLOOKUP(Z250,'02效果表'!D:D,'02效果表'!E:E),0)+AC250*MAX(_xlfn.XLOOKUP(AB250,'02效果表'!D:D,'02效果表'!E:E),0)+AE250*MAX(_xlfn.XLOOKUP(AD250,'02效果表'!D:D,'02效果表'!E:E),0)),1)</f>
        <v>0</v>
      </c>
      <c r="H250" s="6"/>
      <c r="I250" s="6"/>
      <c r="J250" s="6"/>
      <c r="K250" s="6"/>
      <c r="L250" s="6"/>
      <c r="M250" s="6"/>
      <c r="N250" s="6"/>
      <c r="O250" s="6"/>
      <c r="P250" s="6"/>
      <c r="Q250" s="6"/>
      <c r="R250" s="6"/>
      <c r="S250" s="6"/>
      <c r="T250" s="6"/>
      <c r="U250" s="6"/>
      <c r="V250" s="6"/>
      <c r="W250" s="6"/>
      <c r="X250" s="6"/>
      <c r="Y250" s="6"/>
      <c r="Z250" s="6"/>
      <c r="AA250" s="6"/>
      <c r="AB250" s="6"/>
      <c r="AC250" s="6"/>
      <c r="AD250" s="6"/>
      <c r="AE250" s="6"/>
    </row>
    <row r="251" spans="1:31" x14ac:dyDescent="0.35">
      <c r="A251" s="6">
        <v>251</v>
      </c>
      <c r="B251" s="6" t="s">
        <v>4</v>
      </c>
      <c r="C251" s="10" t="s">
        <v>16</v>
      </c>
      <c r="D251" s="9" t="s">
        <v>1461</v>
      </c>
      <c r="E251" s="7">
        <f t="shared" si="10"/>
        <v>0</v>
      </c>
      <c r="F251" s="7">
        <f>-1*ROUND(1/6*(I251*IF(_xlfn.XLOOKUP(H251,'02效果表'!D:D,'02效果表'!E:E)&lt;0, _xlfn.XLOOKUP(H251,'02效果表'!D:D,'02效果表'!E:E), 0) +
K251*IF(_xlfn.XLOOKUP(J251,'02效果表'!D:D,'02效果表'!E:E)&lt;0, _xlfn.XLOOKUP(J251,'02效果表'!D:D,'02效果表'!E:E), 0) +
M251*IF(_xlfn.XLOOKUP(L251,'02效果表'!D:D,'02效果表'!E:E)&lt;0, _xlfn.XLOOKUP(L251,'02效果表'!D:D,'02效果表'!E:E), 0) +
O251*IF(_xlfn.XLOOKUP(N251,'02效果表'!D:D,'02效果表'!E:E)&lt;0, _xlfn.XLOOKUP(N251,'02效果表'!D:D,'02效果表'!E:E), 0) +
Q251*IF(_xlfn.XLOOKUP(P251,'02效果表'!D:D,'02效果表'!E:E)&lt;0, _xlfn.XLOOKUP(P251,'02效果表'!D:D,'02效果表'!E:E), 0) +
S251*IF(_xlfn.XLOOKUP(R251,'02效果表'!D:D,'02效果表'!E:E)&lt;0, _xlfn.XLOOKUP(R251,'02效果表'!D:D,'02效果表'!E:E), 0) +
U251*IF(_xlfn.XLOOKUP(T251,'02效果表'!D:D,'02效果表'!E:E)&lt;0, _xlfn.XLOOKUP(T251,'02效果表'!D:D,'02效果表'!E:E), 0) +
W251*IF(_xlfn.XLOOKUP(V251,'02效果表'!D:D,'02效果表'!E:E)&lt;0, _xlfn.XLOOKUP(V251,'02效果表'!D:D,'02效果表'!E:E), 0) +
Y251*IF(_xlfn.XLOOKUP(X251,'02效果表'!D:D,'02效果表'!E:E)&lt;0, _xlfn.XLOOKUP(X251,'02效果表'!D:D,'02效果表'!E:E), 0) +
AA251*IF(_xlfn.XLOOKUP(Z251,'02效果表'!D:D,'02效果表'!E:E)&lt;0, _xlfn.XLOOKUP(Z251,'02效果表'!D:D,'02效果表'!E:E), 0) +
AC251*IF(_xlfn.XLOOKUP(AB251,'02效果表'!D:D,'02效果表'!E:E)&lt;0, _xlfn.XLOOKUP(AB251,'02效果表'!D:D,'02效果表'!E:E), 0) +
AE251*IF(_xlfn.XLOOKUP(AD251,'02效果表'!D:D,'02效果表'!E:E)&lt;0, _xlfn.XLOOKUP(AD251,'02效果表'!D:D,'02效果表'!E:E), 0)), 1)</f>
        <v>0</v>
      </c>
      <c r="G251" s="7">
        <f>ROUND(1/6*(I251*MAX(_xlfn.XLOOKUP(H251,'02效果表'!D:D,'02效果表'!E:E),0)+K251*MAX(_xlfn.XLOOKUP(J251,'02效果表'!D:D,'02效果表'!E:E),0)+M251*MAX(_xlfn.XLOOKUP(L251,'02效果表'!D:D,'02效果表'!E:E),0)+O251*MAX(_xlfn.XLOOKUP(N251,'02效果表'!D:D,'02效果表'!E:E),0)+Q251*MAX(_xlfn.XLOOKUP(P251,'02效果表'!D:D,'02效果表'!E:E),0)+S251*MAX(_xlfn.XLOOKUP(R251,'02效果表'!D:D,'02效果表'!E:E),0)+U251*MAX(_xlfn.XLOOKUP(T251,'02效果表'!D:D,'02效果表'!E:E),0)+W251*MAX(_xlfn.XLOOKUP(V251,'02效果表'!D:D,'02效果表'!E:E),0)+Y251*MAX(_xlfn.XLOOKUP(X251,'02效果表'!D:D,'02效果表'!E:E),0)+AA251*MAX(_xlfn.XLOOKUP(Z251,'02效果表'!D:D,'02效果表'!E:E),0)+AC251*MAX(_xlfn.XLOOKUP(AB251,'02效果表'!D:D,'02效果表'!E:E),0)+AE251*MAX(_xlfn.XLOOKUP(AD251,'02效果表'!D:D,'02效果表'!E:E),0)),1)</f>
        <v>0</v>
      </c>
      <c r="H251" s="6"/>
      <c r="I251" s="6"/>
      <c r="J251" s="6"/>
      <c r="K251" s="6"/>
      <c r="L251" s="6"/>
      <c r="M251" s="6"/>
      <c r="N251" s="6"/>
      <c r="O251" s="6"/>
      <c r="P251" s="6"/>
      <c r="Q251" s="6"/>
      <c r="R251" s="6"/>
      <c r="S251" s="6"/>
      <c r="T251" s="6"/>
      <c r="U251" s="6"/>
      <c r="V251" s="6"/>
      <c r="W251" s="6"/>
      <c r="X251" s="6"/>
      <c r="Y251" s="6"/>
      <c r="Z251" s="6"/>
      <c r="AA251" s="6"/>
      <c r="AB251" s="6"/>
      <c r="AC251" s="6"/>
      <c r="AD251" s="6"/>
      <c r="AE251" s="6"/>
    </row>
    <row r="252" spans="1:31" x14ac:dyDescent="0.35">
      <c r="A252" s="6">
        <v>252</v>
      </c>
      <c r="B252" s="6" t="s">
        <v>4</v>
      </c>
      <c r="C252" s="10" t="s">
        <v>16</v>
      </c>
      <c r="D252" s="9" t="s">
        <v>1462</v>
      </c>
      <c r="E252" s="7">
        <f t="shared" si="10"/>
        <v>0</v>
      </c>
      <c r="F252" s="7">
        <f>-1*ROUND(1/6*(I252*IF(_xlfn.XLOOKUP(H252,'02效果表'!D:D,'02效果表'!E:E)&lt;0, _xlfn.XLOOKUP(H252,'02效果表'!D:D,'02效果表'!E:E), 0) +
K252*IF(_xlfn.XLOOKUP(J252,'02效果表'!D:D,'02效果表'!E:E)&lt;0, _xlfn.XLOOKUP(J252,'02效果表'!D:D,'02效果表'!E:E), 0) +
M252*IF(_xlfn.XLOOKUP(L252,'02效果表'!D:D,'02效果表'!E:E)&lt;0, _xlfn.XLOOKUP(L252,'02效果表'!D:D,'02效果表'!E:E), 0) +
O252*IF(_xlfn.XLOOKUP(N252,'02效果表'!D:D,'02效果表'!E:E)&lt;0, _xlfn.XLOOKUP(N252,'02效果表'!D:D,'02效果表'!E:E), 0) +
Q252*IF(_xlfn.XLOOKUP(P252,'02效果表'!D:D,'02效果表'!E:E)&lt;0, _xlfn.XLOOKUP(P252,'02效果表'!D:D,'02效果表'!E:E), 0) +
S252*IF(_xlfn.XLOOKUP(R252,'02效果表'!D:D,'02效果表'!E:E)&lt;0, _xlfn.XLOOKUP(R252,'02效果表'!D:D,'02效果表'!E:E), 0) +
U252*IF(_xlfn.XLOOKUP(T252,'02效果表'!D:D,'02效果表'!E:E)&lt;0, _xlfn.XLOOKUP(T252,'02效果表'!D:D,'02效果表'!E:E), 0) +
W252*IF(_xlfn.XLOOKUP(V252,'02效果表'!D:D,'02效果表'!E:E)&lt;0, _xlfn.XLOOKUP(V252,'02效果表'!D:D,'02效果表'!E:E), 0) +
Y252*IF(_xlfn.XLOOKUP(X252,'02效果表'!D:D,'02效果表'!E:E)&lt;0, _xlfn.XLOOKUP(X252,'02效果表'!D:D,'02效果表'!E:E), 0) +
AA252*IF(_xlfn.XLOOKUP(Z252,'02效果表'!D:D,'02效果表'!E:E)&lt;0, _xlfn.XLOOKUP(Z252,'02效果表'!D:D,'02效果表'!E:E), 0) +
AC252*IF(_xlfn.XLOOKUP(AB252,'02效果表'!D:D,'02效果表'!E:E)&lt;0, _xlfn.XLOOKUP(AB252,'02效果表'!D:D,'02效果表'!E:E), 0) +
AE252*IF(_xlfn.XLOOKUP(AD252,'02效果表'!D:D,'02效果表'!E:E)&lt;0, _xlfn.XLOOKUP(AD252,'02效果表'!D:D,'02效果表'!E:E), 0)), 1)</f>
        <v>0</v>
      </c>
      <c r="G252" s="7">
        <f>ROUND(1/6*(I252*MAX(_xlfn.XLOOKUP(H252,'02效果表'!D:D,'02效果表'!E:E),0)+K252*MAX(_xlfn.XLOOKUP(J252,'02效果表'!D:D,'02效果表'!E:E),0)+M252*MAX(_xlfn.XLOOKUP(L252,'02效果表'!D:D,'02效果表'!E:E),0)+O252*MAX(_xlfn.XLOOKUP(N252,'02效果表'!D:D,'02效果表'!E:E),0)+Q252*MAX(_xlfn.XLOOKUP(P252,'02效果表'!D:D,'02效果表'!E:E),0)+S252*MAX(_xlfn.XLOOKUP(R252,'02效果表'!D:D,'02效果表'!E:E),0)+U252*MAX(_xlfn.XLOOKUP(T252,'02效果表'!D:D,'02效果表'!E:E),0)+W252*MAX(_xlfn.XLOOKUP(V252,'02效果表'!D:D,'02效果表'!E:E),0)+Y252*MAX(_xlfn.XLOOKUP(X252,'02效果表'!D:D,'02效果表'!E:E),0)+AA252*MAX(_xlfn.XLOOKUP(Z252,'02效果表'!D:D,'02效果表'!E:E),0)+AC252*MAX(_xlfn.XLOOKUP(AB252,'02效果表'!D:D,'02效果表'!E:E),0)+AE252*MAX(_xlfn.XLOOKUP(AD252,'02效果表'!D:D,'02效果表'!E:E),0)),1)</f>
        <v>0</v>
      </c>
      <c r="H252" s="6"/>
      <c r="I252" s="6"/>
      <c r="J252" s="6"/>
      <c r="K252" s="6"/>
      <c r="L252" s="6"/>
      <c r="M252" s="6"/>
      <c r="N252" s="6"/>
      <c r="O252" s="6"/>
      <c r="P252" s="6"/>
      <c r="Q252" s="6"/>
      <c r="R252" s="6"/>
      <c r="S252" s="6"/>
      <c r="T252" s="6"/>
      <c r="U252" s="6"/>
      <c r="V252" s="6"/>
      <c r="W252" s="6"/>
      <c r="X252" s="6"/>
      <c r="Y252" s="6"/>
      <c r="Z252" s="6"/>
      <c r="AA252" s="6"/>
      <c r="AB252" s="6"/>
      <c r="AC252" s="6"/>
      <c r="AD252" s="6"/>
      <c r="AE252" s="6"/>
    </row>
    <row r="253" spans="1:31" x14ac:dyDescent="0.35">
      <c r="A253" s="6">
        <v>253</v>
      </c>
      <c r="B253" s="6" t="s">
        <v>4</v>
      </c>
      <c r="C253" s="10" t="s">
        <v>16</v>
      </c>
      <c r="D253" s="9" t="s">
        <v>1463</v>
      </c>
      <c r="E253" s="7">
        <f t="shared" si="10"/>
        <v>0</v>
      </c>
      <c r="F253" s="7">
        <f>-1*ROUND(1/6*(I253*IF(_xlfn.XLOOKUP(H253,'02效果表'!D:D,'02效果表'!E:E)&lt;0, _xlfn.XLOOKUP(H253,'02效果表'!D:D,'02效果表'!E:E), 0) +
K253*IF(_xlfn.XLOOKUP(J253,'02效果表'!D:D,'02效果表'!E:E)&lt;0, _xlfn.XLOOKUP(J253,'02效果表'!D:D,'02效果表'!E:E), 0) +
M253*IF(_xlfn.XLOOKUP(L253,'02效果表'!D:D,'02效果表'!E:E)&lt;0, _xlfn.XLOOKUP(L253,'02效果表'!D:D,'02效果表'!E:E), 0) +
O253*IF(_xlfn.XLOOKUP(N253,'02效果表'!D:D,'02效果表'!E:E)&lt;0, _xlfn.XLOOKUP(N253,'02效果表'!D:D,'02效果表'!E:E), 0) +
Q253*IF(_xlfn.XLOOKUP(P253,'02效果表'!D:D,'02效果表'!E:E)&lt;0, _xlfn.XLOOKUP(P253,'02效果表'!D:D,'02效果表'!E:E), 0) +
S253*IF(_xlfn.XLOOKUP(R253,'02效果表'!D:D,'02效果表'!E:E)&lt;0, _xlfn.XLOOKUP(R253,'02效果表'!D:D,'02效果表'!E:E), 0) +
U253*IF(_xlfn.XLOOKUP(T253,'02效果表'!D:D,'02效果表'!E:E)&lt;0, _xlfn.XLOOKUP(T253,'02效果表'!D:D,'02效果表'!E:E), 0) +
W253*IF(_xlfn.XLOOKUP(V253,'02效果表'!D:D,'02效果表'!E:E)&lt;0, _xlfn.XLOOKUP(V253,'02效果表'!D:D,'02效果表'!E:E), 0) +
Y253*IF(_xlfn.XLOOKUP(X253,'02效果表'!D:D,'02效果表'!E:E)&lt;0, _xlfn.XLOOKUP(X253,'02效果表'!D:D,'02效果表'!E:E), 0) +
AA253*IF(_xlfn.XLOOKUP(Z253,'02效果表'!D:D,'02效果表'!E:E)&lt;0, _xlfn.XLOOKUP(Z253,'02效果表'!D:D,'02效果表'!E:E), 0) +
AC253*IF(_xlfn.XLOOKUP(AB253,'02效果表'!D:D,'02效果表'!E:E)&lt;0, _xlfn.XLOOKUP(AB253,'02效果表'!D:D,'02效果表'!E:E), 0) +
AE253*IF(_xlfn.XLOOKUP(AD253,'02效果表'!D:D,'02效果表'!E:E)&lt;0, _xlfn.XLOOKUP(AD253,'02效果表'!D:D,'02效果表'!E:E), 0)), 1)</f>
        <v>0</v>
      </c>
      <c r="G253" s="7">
        <f>ROUND(1/6*(I253*MAX(_xlfn.XLOOKUP(H253,'02效果表'!D:D,'02效果表'!E:E),0)+K253*MAX(_xlfn.XLOOKUP(J253,'02效果表'!D:D,'02效果表'!E:E),0)+M253*MAX(_xlfn.XLOOKUP(L253,'02效果表'!D:D,'02效果表'!E:E),0)+O253*MAX(_xlfn.XLOOKUP(N253,'02效果表'!D:D,'02效果表'!E:E),0)+Q253*MAX(_xlfn.XLOOKUP(P253,'02效果表'!D:D,'02效果表'!E:E),0)+S253*MAX(_xlfn.XLOOKUP(R253,'02效果表'!D:D,'02效果表'!E:E),0)+U253*MAX(_xlfn.XLOOKUP(T253,'02效果表'!D:D,'02效果表'!E:E),0)+W253*MAX(_xlfn.XLOOKUP(V253,'02效果表'!D:D,'02效果表'!E:E),0)+Y253*MAX(_xlfn.XLOOKUP(X253,'02效果表'!D:D,'02效果表'!E:E),0)+AA253*MAX(_xlfn.XLOOKUP(Z253,'02效果表'!D:D,'02效果表'!E:E),0)+AC253*MAX(_xlfn.XLOOKUP(AB253,'02效果表'!D:D,'02效果表'!E:E),0)+AE253*MAX(_xlfn.XLOOKUP(AD253,'02效果表'!D:D,'02效果表'!E:E),0)),1)</f>
        <v>0</v>
      </c>
      <c r="H253" s="6"/>
      <c r="I253" s="6"/>
      <c r="J253" s="6"/>
      <c r="K253" s="6"/>
      <c r="L253" s="6"/>
      <c r="M253" s="6"/>
      <c r="N253" s="6"/>
      <c r="O253" s="6"/>
      <c r="P253" s="6"/>
      <c r="Q253" s="6"/>
      <c r="R253" s="6"/>
      <c r="S253" s="6"/>
      <c r="T253" s="6"/>
      <c r="U253" s="6"/>
      <c r="V253" s="6"/>
      <c r="W253" s="6"/>
      <c r="X253" s="6"/>
      <c r="Y253" s="6"/>
      <c r="Z253" s="6"/>
      <c r="AA253" s="6"/>
      <c r="AB253" s="6"/>
      <c r="AC253" s="6"/>
      <c r="AD253" s="6"/>
      <c r="AE253" s="6"/>
    </row>
    <row r="254" spans="1:31" x14ac:dyDescent="0.35">
      <c r="A254" s="6">
        <v>254</v>
      </c>
      <c r="B254" s="6" t="s">
        <v>4</v>
      </c>
      <c r="C254" s="10" t="s">
        <v>16</v>
      </c>
      <c r="D254" s="9" t="s">
        <v>1464</v>
      </c>
      <c r="E254" s="7">
        <f t="shared" si="10"/>
        <v>0</v>
      </c>
      <c r="F254" s="7">
        <f>-1*ROUND(1/6*(I254*IF(_xlfn.XLOOKUP(H254,'02效果表'!D:D,'02效果表'!E:E)&lt;0, _xlfn.XLOOKUP(H254,'02效果表'!D:D,'02效果表'!E:E), 0) +
K254*IF(_xlfn.XLOOKUP(J254,'02效果表'!D:D,'02效果表'!E:E)&lt;0, _xlfn.XLOOKUP(J254,'02效果表'!D:D,'02效果表'!E:E), 0) +
M254*IF(_xlfn.XLOOKUP(L254,'02效果表'!D:D,'02效果表'!E:E)&lt;0, _xlfn.XLOOKUP(L254,'02效果表'!D:D,'02效果表'!E:E), 0) +
O254*IF(_xlfn.XLOOKUP(N254,'02效果表'!D:D,'02效果表'!E:E)&lt;0, _xlfn.XLOOKUP(N254,'02效果表'!D:D,'02效果表'!E:E), 0) +
Q254*IF(_xlfn.XLOOKUP(P254,'02效果表'!D:D,'02效果表'!E:E)&lt;0, _xlfn.XLOOKUP(P254,'02效果表'!D:D,'02效果表'!E:E), 0) +
S254*IF(_xlfn.XLOOKUP(R254,'02效果表'!D:D,'02效果表'!E:E)&lt;0, _xlfn.XLOOKUP(R254,'02效果表'!D:D,'02效果表'!E:E), 0) +
U254*IF(_xlfn.XLOOKUP(T254,'02效果表'!D:D,'02效果表'!E:E)&lt;0, _xlfn.XLOOKUP(T254,'02效果表'!D:D,'02效果表'!E:E), 0) +
W254*IF(_xlfn.XLOOKUP(V254,'02效果表'!D:D,'02效果表'!E:E)&lt;0, _xlfn.XLOOKUP(V254,'02效果表'!D:D,'02效果表'!E:E), 0) +
Y254*IF(_xlfn.XLOOKUP(X254,'02效果表'!D:D,'02效果表'!E:E)&lt;0, _xlfn.XLOOKUP(X254,'02效果表'!D:D,'02效果表'!E:E), 0) +
AA254*IF(_xlfn.XLOOKUP(Z254,'02效果表'!D:D,'02效果表'!E:E)&lt;0, _xlfn.XLOOKUP(Z254,'02效果表'!D:D,'02效果表'!E:E), 0) +
AC254*IF(_xlfn.XLOOKUP(AB254,'02效果表'!D:D,'02效果表'!E:E)&lt;0, _xlfn.XLOOKUP(AB254,'02效果表'!D:D,'02效果表'!E:E), 0) +
AE254*IF(_xlfn.XLOOKUP(AD254,'02效果表'!D:D,'02效果表'!E:E)&lt;0, _xlfn.XLOOKUP(AD254,'02效果表'!D:D,'02效果表'!E:E), 0)), 1)</f>
        <v>0</v>
      </c>
      <c r="G254" s="7">
        <f>ROUND(1/6*(I254*MAX(_xlfn.XLOOKUP(H254,'02效果表'!D:D,'02效果表'!E:E),0)+K254*MAX(_xlfn.XLOOKUP(J254,'02效果表'!D:D,'02效果表'!E:E),0)+M254*MAX(_xlfn.XLOOKUP(L254,'02效果表'!D:D,'02效果表'!E:E),0)+O254*MAX(_xlfn.XLOOKUP(N254,'02效果表'!D:D,'02效果表'!E:E),0)+Q254*MAX(_xlfn.XLOOKUP(P254,'02效果表'!D:D,'02效果表'!E:E),0)+S254*MAX(_xlfn.XLOOKUP(R254,'02效果表'!D:D,'02效果表'!E:E),0)+U254*MAX(_xlfn.XLOOKUP(T254,'02效果表'!D:D,'02效果表'!E:E),0)+W254*MAX(_xlfn.XLOOKUP(V254,'02效果表'!D:D,'02效果表'!E:E),0)+Y254*MAX(_xlfn.XLOOKUP(X254,'02效果表'!D:D,'02效果表'!E:E),0)+AA254*MAX(_xlfn.XLOOKUP(Z254,'02效果表'!D:D,'02效果表'!E:E),0)+AC254*MAX(_xlfn.XLOOKUP(AB254,'02效果表'!D:D,'02效果表'!E:E),0)+AE254*MAX(_xlfn.XLOOKUP(AD254,'02效果表'!D:D,'02效果表'!E:E),0)),1)</f>
        <v>0</v>
      </c>
      <c r="H254" s="6"/>
      <c r="I254" s="6"/>
      <c r="J254" s="6"/>
      <c r="K254" s="6"/>
      <c r="L254" s="6"/>
      <c r="M254" s="6"/>
      <c r="N254" s="6"/>
      <c r="O254" s="6"/>
      <c r="P254" s="6"/>
      <c r="Q254" s="6"/>
      <c r="R254" s="6"/>
      <c r="S254" s="6"/>
      <c r="T254" s="6"/>
      <c r="U254" s="6"/>
      <c r="V254" s="6"/>
      <c r="W254" s="6"/>
      <c r="X254" s="6"/>
      <c r="Y254" s="6"/>
      <c r="Z254" s="6"/>
      <c r="AA254" s="6"/>
      <c r="AB254" s="6"/>
      <c r="AC254" s="6"/>
      <c r="AD254" s="6"/>
      <c r="AE254" s="6"/>
    </row>
    <row r="255" spans="1:31" x14ac:dyDescent="0.35">
      <c r="A255" s="6">
        <v>255</v>
      </c>
      <c r="B255" s="6" t="s">
        <v>4</v>
      </c>
      <c r="C255" s="10" t="s">
        <v>16</v>
      </c>
      <c r="D255" s="9" t="s">
        <v>1465</v>
      </c>
      <c r="E255" s="7">
        <f t="shared" si="10"/>
        <v>0</v>
      </c>
      <c r="F255" s="7">
        <f>-1*ROUND(1/6*(I255*IF(_xlfn.XLOOKUP(H255,'02效果表'!D:D,'02效果表'!E:E)&lt;0, _xlfn.XLOOKUP(H255,'02效果表'!D:D,'02效果表'!E:E), 0) +
K255*IF(_xlfn.XLOOKUP(J255,'02效果表'!D:D,'02效果表'!E:E)&lt;0, _xlfn.XLOOKUP(J255,'02效果表'!D:D,'02效果表'!E:E), 0) +
M255*IF(_xlfn.XLOOKUP(L255,'02效果表'!D:D,'02效果表'!E:E)&lt;0, _xlfn.XLOOKUP(L255,'02效果表'!D:D,'02效果表'!E:E), 0) +
O255*IF(_xlfn.XLOOKUP(N255,'02效果表'!D:D,'02效果表'!E:E)&lt;0, _xlfn.XLOOKUP(N255,'02效果表'!D:D,'02效果表'!E:E), 0) +
Q255*IF(_xlfn.XLOOKUP(P255,'02效果表'!D:D,'02效果表'!E:E)&lt;0, _xlfn.XLOOKUP(P255,'02效果表'!D:D,'02效果表'!E:E), 0) +
S255*IF(_xlfn.XLOOKUP(R255,'02效果表'!D:D,'02效果表'!E:E)&lt;0, _xlfn.XLOOKUP(R255,'02效果表'!D:D,'02效果表'!E:E), 0) +
U255*IF(_xlfn.XLOOKUP(T255,'02效果表'!D:D,'02效果表'!E:E)&lt;0, _xlfn.XLOOKUP(T255,'02效果表'!D:D,'02效果表'!E:E), 0) +
W255*IF(_xlfn.XLOOKUP(V255,'02效果表'!D:D,'02效果表'!E:E)&lt;0, _xlfn.XLOOKUP(V255,'02效果表'!D:D,'02效果表'!E:E), 0) +
Y255*IF(_xlfn.XLOOKUP(X255,'02效果表'!D:D,'02效果表'!E:E)&lt;0, _xlfn.XLOOKUP(X255,'02效果表'!D:D,'02效果表'!E:E), 0) +
AA255*IF(_xlfn.XLOOKUP(Z255,'02效果表'!D:D,'02效果表'!E:E)&lt;0, _xlfn.XLOOKUP(Z255,'02效果表'!D:D,'02效果表'!E:E), 0) +
AC255*IF(_xlfn.XLOOKUP(AB255,'02效果表'!D:D,'02效果表'!E:E)&lt;0, _xlfn.XLOOKUP(AB255,'02效果表'!D:D,'02效果表'!E:E), 0) +
AE255*IF(_xlfn.XLOOKUP(AD255,'02效果表'!D:D,'02效果表'!E:E)&lt;0, _xlfn.XLOOKUP(AD255,'02效果表'!D:D,'02效果表'!E:E), 0)), 1)</f>
        <v>0</v>
      </c>
      <c r="G255" s="7">
        <f>ROUND(1/6*(I255*MAX(_xlfn.XLOOKUP(H255,'02效果表'!D:D,'02效果表'!E:E),0)+K255*MAX(_xlfn.XLOOKUP(J255,'02效果表'!D:D,'02效果表'!E:E),0)+M255*MAX(_xlfn.XLOOKUP(L255,'02效果表'!D:D,'02效果表'!E:E),0)+O255*MAX(_xlfn.XLOOKUP(N255,'02效果表'!D:D,'02效果表'!E:E),0)+Q255*MAX(_xlfn.XLOOKUP(P255,'02效果表'!D:D,'02效果表'!E:E),0)+S255*MAX(_xlfn.XLOOKUP(R255,'02效果表'!D:D,'02效果表'!E:E),0)+U255*MAX(_xlfn.XLOOKUP(T255,'02效果表'!D:D,'02效果表'!E:E),0)+W255*MAX(_xlfn.XLOOKUP(V255,'02效果表'!D:D,'02效果表'!E:E),0)+Y255*MAX(_xlfn.XLOOKUP(X255,'02效果表'!D:D,'02效果表'!E:E),0)+AA255*MAX(_xlfn.XLOOKUP(Z255,'02效果表'!D:D,'02效果表'!E:E),0)+AC255*MAX(_xlfn.XLOOKUP(AB255,'02效果表'!D:D,'02效果表'!E:E),0)+AE255*MAX(_xlfn.XLOOKUP(AD255,'02效果表'!D:D,'02效果表'!E:E),0)),1)</f>
        <v>0</v>
      </c>
      <c r="H255" s="6"/>
      <c r="I255" s="6"/>
      <c r="J255" s="6"/>
      <c r="K255" s="6"/>
      <c r="L255" s="6"/>
      <c r="M255" s="6"/>
      <c r="N255" s="6"/>
      <c r="O255" s="6"/>
      <c r="P255" s="6"/>
      <c r="Q255" s="6"/>
      <c r="R255" s="6"/>
      <c r="S255" s="6"/>
      <c r="T255" s="6"/>
      <c r="U255" s="6"/>
      <c r="V255" s="6"/>
      <c r="W255" s="6"/>
      <c r="X255" s="6"/>
      <c r="Y255" s="6"/>
      <c r="Z255" s="6"/>
      <c r="AA255" s="6"/>
      <c r="AB255" s="6"/>
      <c r="AC255" s="6"/>
      <c r="AD255" s="6"/>
      <c r="AE255" s="6"/>
    </row>
    <row r="256" spans="1:31" x14ac:dyDescent="0.35">
      <c r="A256" s="6">
        <v>256</v>
      </c>
      <c r="B256" s="6" t="s">
        <v>4</v>
      </c>
      <c r="C256" s="10" t="s">
        <v>16</v>
      </c>
      <c r="D256" s="9" t="s">
        <v>1466</v>
      </c>
      <c r="E256" s="7">
        <f t="shared" si="10"/>
        <v>0</v>
      </c>
      <c r="F256" s="7">
        <f>-1*ROUND(1/6*(I256*IF(_xlfn.XLOOKUP(H256,'02效果表'!D:D,'02效果表'!E:E)&lt;0, _xlfn.XLOOKUP(H256,'02效果表'!D:D,'02效果表'!E:E), 0) +
K256*IF(_xlfn.XLOOKUP(J256,'02效果表'!D:D,'02效果表'!E:E)&lt;0, _xlfn.XLOOKUP(J256,'02效果表'!D:D,'02效果表'!E:E), 0) +
M256*IF(_xlfn.XLOOKUP(L256,'02效果表'!D:D,'02效果表'!E:E)&lt;0, _xlfn.XLOOKUP(L256,'02效果表'!D:D,'02效果表'!E:E), 0) +
O256*IF(_xlfn.XLOOKUP(N256,'02效果表'!D:D,'02效果表'!E:E)&lt;0, _xlfn.XLOOKUP(N256,'02效果表'!D:D,'02效果表'!E:E), 0) +
Q256*IF(_xlfn.XLOOKUP(P256,'02效果表'!D:D,'02效果表'!E:E)&lt;0, _xlfn.XLOOKUP(P256,'02效果表'!D:D,'02效果表'!E:E), 0) +
S256*IF(_xlfn.XLOOKUP(R256,'02效果表'!D:D,'02效果表'!E:E)&lt;0, _xlfn.XLOOKUP(R256,'02效果表'!D:D,'02效果表'!E:E), 0) +
U256*IF(_xlfn.XLOOKUP(T256,'02效果表'!D:D,'02效果表'!E:E)&lt;0, _xlfn.XLOOKUP(T256,'02效果表'!D:D,'02效果表'!E:E), 0) +
W256*IF(_xlfn.XLOOKUP(V256,'02效果表'!D:D,'02效果表'!E:E)&lt;0, _xlfn.XLOOKUP(V256,'02效果表'!D:D,'02效果表'!E:E), 0) +
Y256*IF(_xlfn.XLOOKUP(X256,'02效果表'!D:D,'02效果表'!E:E)&lt;0, _xlfn.XLOOKUP(X256,'02效果表'!D:D,'02效果表'!E:E), 0) +
AA256*IF(_xlfn.XLOOKUP(Z256,'02效果表'!D:D,'02效果表'!E:E)&lt;0, _xlfn.XLOOKUP(Z256,'02效果表'!D:D,'02效果表'!E:E), 0) +
AC256*IF(_xlfn.XLOOKUP(AB256,'02效果表'!D:D,'02效果表'!E:E)&lt;0, _xlfn.XLOOKUP(AB256,'02效果表'!D:D,'02效果表'!E:E), 0) +
AE256*IF(_xlfn.XLOOKUP(AD256,'02效果表'!D:D,'02效果表'!E:E)&lt;0, _xlfn.XLOOKUP(AD256,'02效果表'!D:D,'02效果表'!E:E), 0)), 1)</f>
        <v>0</v>
      </c>
      <c r="G256" s="7">
        <f>ROUND(1/6*(I256*MAX(_xlfn.XLOOKUP(H256,'02效果表'!D:D,'02效果表'!E:E),0)+K256*MAX(_xlfn.XLOOKUP(J256,'02效果表'!D:D,'02效果表'!E:E),0)+M256*MAX(_xlfn.XLOOKUP(L256,'02效果表'!D:D,'02效果表'!E:E),0)+O256*MAX(_xlfn.XLOOKUP(N256,'02效果表'!D:D,'02效果表'!E:E),0)+Q256*MAX(_xlfn.XLOOKUP(P256,'02效果表'!D:D,'02效果表'!E:E),0)+S256*MAX(_xlfn.XLOOKUP(R256,'02效果表'!D:D,'02效果表'!E:E),0)+U256*MAX(_xlfn.XLOOKUP(T256,'02效果表'!D:D,'02效果表'!E:E),0)+W256*MAX(_xlfn.XLOOKUP(V256,'02效果表'!D:D,'02效果表'!E:E),0)+Y256*MAX(_xlfn.XLOOKUP(X256,'02效果表'!D:D,'02效果表'!E:E),0)+AA256*MAX(_xlfn.XLOOKUP(Z256,'02效果表'!D:D,'02效果表'!E:E),0)+AC256*MAX(_xlfn.XLOOKUP(AB256,'02效果表'!D:D,'02效果表'!E:E),0)+AE256*MAX(_xlfn.XLOOKUP(AD256,'02效果表'!D:D,'02效果表'!E:E),0)),1)</f>
        <v>0</v>
      </c>
      <c r="H256" s="6"/>
      <c r="I256" s="6"/>
      <c r="J256" s="6"/>
      <c r="K256" s="6"/>
      <c r="L256" s="6"/>
      <c r="M256" s="6"/>
      <c r="N256" s="6"/>
      <c r="O256" s="6"/>
      <c r="P256" s="6"/>
      <c r="Q256" s="6"/>
      <c r="R256" s="6"/>
      <c r="S256" s="6"/>
      <c r="T256" s="6"/>
      <c r="U256" s="6"/>
      <c r="V256" s="6"/>
      <c r="W256" s="6"/>
      <c r="X256" s="6"/>
      <c r="Y256" s="6"/>
      <c r="Z256" s="6"/>
      <c r="AA256" s="6"/>
      <c r="AB256" s="6"/>
      <c r="AC256" s="6"/>
      <c r="AD256" s="6"/>
      <c r="AE256" s="6"/>
    </row>
    <row r="257" spans="1:31" x14ac:dyDescent="0.35">
      <c r="A257" s="6">
        <v>257</v>
      </c>
      <c r="B257" s="6" t="s">
        <v>4</v>
      </c>
      <c r="C257" s="10" t="s">
        <v>16</v>
      </c>
      <c r="D257" s="9" t="s">
        <v>1467</v>
      </c>
      <c r="E257" s="7">
        <f t="shared" si="10"/>
        <v>0</v>
      </c>
      <c r="F257" s="7">
        <f>-1*ROUND(1/6*(I257*IF(_xlfn.XLOOKUP(H257,'02效果表'!D:D,'02效果表'!E:E)&lt;0, _xlfn.XLOOKUP(H257,'02效果表'!D:D,'02效果表'!E:E), 0) +
K257*IF(_xlfn.XLOOKUP(J257,'02效果表'!D:D,'02效果表'!E:E)&lt;0, _xlfn.XLOOKUP(J257,'02效果表'!D:D,'02效果表'!E:E), 0) +
M257*IF(_xlfn.XLOOKUP(L257,'02效果表'!D:D,'02效果表'!E:E)&lt;0, _xlfn.XLOOKUP(L257,'02效果表'!D:D,'02效果表'!E:E), 0) +
O257*IF(_xlfn.XLOOKUP(N257,'02效果表'!D:D,'02效果表'!E:E)&lt;0, _xlfn.XLOOKUP(N257,'02效果表'!D:D,'02效果表'!E:E), 0) +
Q257*IF(_xlfn.XLOOKUP(P257,'02效果表'!D:D,'02效果表'!E:E)&lt;0, _xlfn.XLOOKUP(P257,'02效果表'!D:D,'02效果表'!E:E), 0) +
S257*IF(_xlfn.XLOOKUP(R257,'02效果表'!D:D,'02效果表'!E:E)&lt;0, _xlfn.XLOOKUP(R257,'02效果表'!D:D,'02效果表'!E:E), 0) +
U257*IF(_xlfn.XLOOKUP(T257,'02效果表'!D:D,'02效果表'!E:E)&lt;0, _xlfn.XLOOKUP(T257,'02效果表'!D:D,'02效果表'!E:E), 0) +
W257*IF(_xlfn.XLOOKUP(V257,'02效果表'!D:D,'02效果表'!E:E)&lt;0, _xlfn.XLOOKUP(V257,'02效果表'!D:D,'02效果表'!E:E), 0) +
Y257*IF(_xlfn.XLOOKUP(X257,'02效果表'!D:D,'02效果表'!E:E)&lt;0, _xlfn.XLOOKUP(X257,'02效果表'!D:D,'02效果表'!E:E), 0) +
AA257*IF(_xlfn.XLOOKUP(Z257,'02效果表'!D:D,'02效果表'!E:E)&lt;0, _xlfn.XLOOKUP(Z257,'02效果表'!D:D,'02效果表'!E:E), 0) +
AC257*IF(_xlfn.XLOOKUP(AB257,'02效果表'!D:D,'02效果表'!E:E)&lt;0, _xlfn.XLOOKUP(AB257,'02效果表'!D:D,'02效果表'!E:E), 0) +
AE257*IF(_xlfn.XLOOKUP(AD257,'02效果表'!D:D,'02效果表'!E:E)&lt;0, _xlfn.XLOOKUP(AD257,'02效果表'!D:D,'02效果表'!E:E), 0)), 1)</f>
        <v>0</v>
      </c>
      <c r="G257" s="7">
        <f>ROUND(1/6*(I257*MAX(_xlfn.XLOOKUP(H257,'02效果表'!D:D,'02效果表'!E:E),0)+K257*MAX(_xlfn.XLOOKUP(J257,'02效果表'!D:D,'02效果表'!E:E),0)+M257*MAX(_xlfn.XLOOKUP(L257,'02效果表'!D:D,'02效果表'!E:E),0)+O257*MAX(_xlfn.XLOOKUP(N257,'02效果表'!D:D,'02效果表'!E:E),0)+Q257*MAX(_xlfn.XLOOKUP(P257,'02效果表'!D:D,'02效果表'!E:E),0)+S257*MAX(_xlfn.XLOOKUP(R257,'02效果表'!D:D,'02效果表'!E:E),0)+U257*MAX(_xlfn.XLOOKUP(T257,'02效果表'!D:D,'02效果表'!E:E),0)+W257*MAX(_xlfn.XLOOKUP(V257,'02效果表'!D:D,'02效果表'!E:E),0)+Y257*MAX(_xlfn.XLOOKUP(X257,'02效果表'!D:D,'02效果表'!E:E),0)+AA257*MAX(_xlfn.XLOOKUP(Z257,'02效果表'!D:D,'02效果表'!E:E),0)+AC257*MAX(_xlfn.XLOOKUP(AB257,'02效果表'!D:D,'02效果表'!E:E),0)+AE257*MAX(_xlfn.XLOOKUP(AD257,'02效果表'!D:D,'02效果表'!E:E),0)),1)</f>
        <v>0</v>
      </c>
      <c r="H257" s="6"/>
      <c r="I257" s="6"/>
      <c r="J257" s="6"/>
      <c r="K257" s="6"/>
      <c r="L257" s="6"/>
      <c r="M257" s="6"/>
      <c r="N257" s="6"/>
      <c r="O257" s="6"/>
      <c r="P257" s="6"/>
      <c r="Q257" s="6"/>
      <c r="R257" s="6"/>
      <c r="S257" s="6"/>
      <c r="T257" s="6"/>
      <c r="U257" s="6"/>
      <c r="V257" s="6"/>
      <c r="W257" s="6"/>
      <c r="X257" s="6"/>
      <c r="Y257" s="6"/>
      <c r="Z257" s="6"/>
      <c r="AA257" s="6"/>
      <c r="AB257" s="6"/>
      <c r="AC257" s="6"/>
      <c r="AD257" s="6"/>
      <c r="AE257" s="6"/>
    </row>
    <row r="258" spans="1:31" x14ac:dyDescent="0.35">
      <c r="A258" s="6">
        <v>258</v>
      </c>
      <c r="B258" s="6" t="s">
        <v>4</v>
      </c>
      <c r="C258" s="10" t="s">
        <v>16</v>
      </c>
      <c r="D258" s="9" t="s">
        <v>1468</v>
      </c>
      <c r="E258" s="7">
        <f t="shared" ref="E258:E321" si="11">ROUND(G258-F258,0)</f>
        <v>0</v>
      </c>
      <c r="F258" s="7">
        <f>-1*ROUND(1/6*(I258*IF(_xlfn.XLOOKUP(H258,'02效果表'!D:D,'02效果表'!E:E)&lt;0, _xlfn.XLOOKUP(H258,'02效果表'!D:D,'02效果表'!E:E), 0) +
K258*IF(_xlfn.XLOOKUP(J258,'02效果表'!D:D,'02效果表'!E:E)&lt;0, _xlfn.XLOOKUP(J258,'02效果表'!D:D,'02效果表'!E:E), 0) +
M258*IF(_xlfn.XLOOKUP(L258,'02效果表'!D:D,'02效果表'!E:E)&lt;0, _xlfn.XLOOKUP(L258,'02效果表'!D:D,'02效果表'!E:E), 0) +
O258*IF(_xlfn.XLOOKUP(N258,'02效果表'!D:D,'02效果表'!E:E)&lt;0, _xlfn.XLOOKUP(N258,'02效果表'!D:D,'02效果表'!E:E), 0) +
Q258*IF(_xlfn.XLOOKUP(P258,'02效果表'!D:D,'02效果表'!E:E)&lt;0, _xlfn.XLOOKUP(P258,'02效果表'!D:D,'02效果表'!E:E), 0) +
S258*IF(_xlfn.XLOOKUP(R258,'02效果表'!D:D,'02效果表'!E:E)&lt;0, _xlfn.XLOOKUP(R258,'02效果表'!D:D,'02效果表'!E:E), 0) +
U258*IF(_xlfn.XLOOKUP(T258,'02效果表'!D:D,'02效果表'!E:E)&lt;0, _xlfn.XLOOKUP(T258,'02效果表'!D:D,'02效果表'!E:E), 0) +
W258*IF(_xlfn.XLOOKUP(V258,'02效果表'!D:D,'02效果表'!E:E)&lt;0, _xlfn.XLOOKUP(V258,'02效果表'!D:D,'02效果表'!E:E), 0) +
Y258*IF(_xlfn.XLOOKUP(X258,'02效果表'!D:D,'02效果表'!E:E)&lt;0, _xlfn.XLOOKUP(X258,'02效果表'!D:D,'02效果表'!E:E), 0) +
AA258*IF(_xlfn.XLOOKUP(Z258,'02效果表'!D:D,'02效果表'!E:E)&lt;0, _xlfn.XLOOKUP(Z258,'02效果表'!D:D,'02效果表'!E:E), 0) +
AC258*IF(_xlfn.XLOOKUP(AB258,'02效果表'!D:D,'02效果表'!E:E)&lt;0, _xlfn.XLOOKUP(AB258,'02效果表'!D:D,'02效果表'!E:E), 0) +
AE258*IF(_xlfn.XLOOKUP(AD258,'02效果表'!D:D,'02效果表'!E:E)&lt;0, _xlfn.XLOOKUP(AD258,'02效果表'!D:D,'02效果表'!E:E), 0)), 1)</f>
        <v>0</v>
      </c>
      <c r="G258" s="7">
        <f>ROUND(1/6*(I258*MAX(_xlfn.XLOOKUP(H258,'02效果表'!D:D,'02效果表'!E:E),0)+K258*MAX(_xlfn.XLOOKUP(J258,'02效果表'!D:D,'02效果表'!E:E),0)+M258*MAX(_xlfn.XLOOKUP(L258,'02效果表'!D:D,'02效果表'!E:E),0)+O258*MAX(_xlfn.XLOOKUP(N258,'02效果表'!D:D,'02效果表'!E:E),0)+Q258*MAX(_xlfn.XLOOKUP(P258,'02效果表'!D:D,'02效果表'!E:E),0)+S258*MAX(_xlfn.XLOOKUP(R258,'02效果表'!D:D,'02效果表'!E:E),0)+U258*MAX(_xlfn.XLOOKUP(T258,'02效果表'!D:D,'02效果表'!E:E),0)+W258*MAX(_xlfn.XLOOKUP(V258,'02效果表'!D:D,'02效果表'!E:E),0)+Y258*MAX(_xlfn.XLOOKUP(X258,'02效果表'!D:D,'02效果表'!E:E),0)+AA258*MAX(_xlfn.XLOOKUP(Z258,'02效果表'!D:D,'02效果表'!E:E),0)+AC258*MAX(_xlfn.XLOOKUP(AB258,'02效果表'!D:D,'02效果表'!E:E),0)+AE258*MAX(_xlfn.XLOOKUP(AD258,'02效果表'!D:D,'02效果表'!E:E),0)),1)</f>
        <v>0</v>
      </c>
      <c r="H258" s="6"/>
      <c r="I258" s="6"/>
      <c r="J258" s="6"/>
      <c r="K258" s="6"/>
      <c r="L258" s="6"/>
      <c r="M258" s="6"/>
      <c r="N258" s="6"/>
      <c r="O258" s="6"/>
      <c r="P258" s="6"/>
      <c r="Q258" s="6"/>
      <c r="R258" s="6"/>
      <c r="S258" s="6"/>
      <c r="T258" s="6"/>
      <c r="U258" s="6"/>
      <c r="V258" s="6"/>
      <c r="W258" s="6"/>
      <c r="X258" s="6"/>
      <c r="Y258" s="6"/>
      <c r="Z258" s="6"/>
      <c r="AA258" s="6"/>
      <c r="AB258" s="6"/>
      <c r="AC258" s="6"/>
      <c r="AD258" s="6"/>
      <c r="AE258" s="6"/>
    </row>
    <row r="259" spans="1:31" x14ac:dyDescent="0.35">
      <c r="A259" s="6">
        <v>259</v>
      </c>
      <c r="B259" s="6" t="s">
        <v>4</v>
      </c>
      <c r="C259" s="10" t="s">
        <v>16</v>
      </c>
      <c r="D259" s="9" t="s">
        <v>1469</v>
      </c>
      <c r="E259" s="7">
        <f t="shared" si="11"/>
        <v>0</v>
      </c>
      <c r="F259" s="7">
        <f>-1*ROUND(1/6*(I259*IF(_xlfn.XLOOKUP(H259,'02效果表'!D:D,'02效果表'!E:E)&lt;0, _xlfn.XLOOKUP(H259,'02效果表'!D:D,'02效果表'!E:E), 0) +
K259*IF(_xlfn.XLOOKUP(J259,'02效果表'!D:D,'02效果表'!E:E)&lt;0, _xlfn.XLOOKUP(J259,'02效果表'!D:D,'02效果表'!E:E), 0) +
M259*IF(_xlfn.XLOOKUP(L259,'02效果表'!D:D,'02效果表'!E:E)&lt;0, _xlfn.XLOOKUP(L259,'02效果表'!D:D,'02效果表'!E:E), 0) +
O259*IF(_xlfn.XLOOKUP(N259,'02效果表'!D:D,'02效果表'!E:E)&lt;0, _xlfn.XLOOKUP(N259,'02效果表'!D:D,'02效果表'!E:E), 0) +
Q259*IF(_xlfn.XLOOKUP(P259,'02效果表'!D:D,'02效果表'!E:E)&lt;0, _xlfn.XLOOKUP(P259,'02效果表'!D:D,'02效果表'!E:E), 0) +
S259*IF(_xlfn.XLOOKUP(R259,'02效果表'!D:D,'02效果表'!E:E)&lt;0, _xlfn.XLOOKUP(R259,'02效果表'!D:D,'02效果表'!E:E), 0) +
U259*IF(_xlfn.XLOOKUP(T259,'02效果表'!D:D,'02效果表'!E:E)&lt;0, _xlfn.XLOOKUP(T259,'02效果表'!D:D,'02效果表'!E:E), 0) +
W259*IF(_xlfn.XLOOKUP(V259,'02效果表'!D:D,'02效果表'!E:E)&lt;0, _xlfn.XLOOKUP(V259,'02效果表'!D:D,'02效果表'!E:E), 0) +
Y259*IF(_xlfn.XLOOKUP(X259,'02效果表'!D:D,'02效果表'!E:E)&lt;0, _xlfn.XLOOKUP(X259,'02效果表'!D:D,'02效果表'!E:E), 0) +
AA259*IF(_xlfn.XLOOKUP(Z259,'02效果表'!D:D,'02效果表'!E:E)&lt;0, _xlfn.XLOOKUP(Z259,'02效果表'!D:D,'02效果表'!E:E), 0) +
AC259*IF(_xlfn.XLOOKUP(AB259,'02效果表'!D:D,'02效果表'!E:E)&lt;0, _xlfn.XLOOKUP(AB259,'02效果表'!D:D,'02效果表'!E:E), 0) +
AE259*IF(_xlfn.XLOOKUP(AD259,'02效果表'!D:D,'02效果表'!E:E)&lt;0, _xlfn.XLOOKUP(AD259,'02效果表'!D:D,'02效果表'!E:E), 0)), 1)</f>
        <v>0</v>
      </c>
      <c r="G259" s="7">
        <f>ROUND(1/6*(I259*MAX(_xlfn.XLOOKUP(H259,'02效果表'!D:D,'02效果表'!E:E),0)+K259*MAX(_xlfn.XLOOKUP(J259,'02效果表'!D:D,'02效果表'!E:E),0)+M259*MAX(_xlfn.XLOOKUP(L259,'02效果表'!D:D,'02效果表'!E:E),0)+O259*MAX(_xlfn.XLOOKUP(N259,'02效果表'!D:D,'02效果表'!E:E),0)+Q259*MAX(_xlfn.XLOOKUP(P259,'02效果表'!D:D,'02效果表'!E:E),0)+S259*MAX(_xlfn.XLOOKUP(R259,'02效果表'!D:D,'02效果表'!E:E),0)+U259*MAX(_xlfn.XLOOKUP(T259,'02效果表'!D:D,'02效果表'!E:E),0)+W259*MAX(_xlfn.XLOOKUP(V259,'02效果表'!D:D,'02效果表'!E:E),0)+Y259*MAX(_xlfn.XLOOKUP(X259,'02效果表'!D:D,'02效果表'!E:E),0)+AA259*MAX(_xlfn.XLOOKUP(Z259,'02效果表'!D:D,'02效果表'!E:E),0)+AC259*MAX(_xlfn.XLOOKUP(AB259,'02效果表'!D:D,'02效果表'!E:E),0)+AE259*MAX(_xlfn.XLOOKUP(AD259,'02效果表'!D:D,'02效果表'!E:E),0)),1)</f>
        <v>0</v>
      </c>
      <c r="H259" s="6"/>
      <c r="I259" s="6"/>
      <c r="J259" s="6"/>
      <c r="K259" s="6"/>
      <c r="L259" s="6"/>
      <c r="M259" s="6"/>
      <c r="N259" s="6"/>
      <c r="O259" s="6"/>
      <c r="P259" s="6"/>
      <c r="Q259" s="6"/>
      <c r="R259" s="6"/>
      <c r="S259" s="6"/>
      <c r="T259" s="6"/>
      <c r="U259" s="6"/>
      <c r="V259" s="6"/>
      <c r="W259" s="6"/>
      <c r="X259" s="6"/>
      <c r="Y259" s="6"/>
      <c r="Z259" s="6"/>
      <c r="AA259" s="6"/>
      <c r="AB259" s="6"/>
      <c r="AC259" s="6"/>
      <c r="AD259" s="6"/>
      <c r="AE259" s="6"/>
    </row>
    <row r="260" spans="1:31" x14ac:dyDescent="0.35">
      <c r="A260" s="6">
        <v>260</v>
      </c>
      <c r="B260" s="6" t="s">
        <v>4</v>
      </c>
      <c r="C260" s="10" t="s">
        <v>16</v>
      </c>
      <c r="D260" s="9" t="s">
        <v>1470</v>
      </c>
      <c r="E260" s="7">
        <f t="shared" si="11"/>
        <v>0</v>
      </c>
      <c r="F260" s="7">
        <f>-1*ROUND(1/6*(I260*IF(_xlfn.XLOOKUP(H260,'02效果表'!D:D,'02效果表'!E:E)&lt;0, _xlfn.XLOOKUP(H260,'02效果表'!D:D,'02效果表'!E:E), 0) +
K260*IF(_xlfn.XLOOKUP(J260,'02效果表'!D:D,'02效果表'!E:E)&lt;0, _xlfn.XLOOKUP(J260,'02效果表'!D:D,'02效果表'!E:E), 0) +
M260*IF(_xlfn.XLOOKUP(L260,'02效果表'!D:D,'02效果表'!E:E)&lt;0, _xlfn.XLOOKUP(L260,'02效果表'!D:D,'02效果表'!E:E), 0) +
O260*IF(_xlfn.XLOOKUP(N260,'02效果表'!D:D,'02效果表'!E:E)&lt;0, _xlfn.XLOOKUP(N260,'02效果表'!D:D,'02效果表'!E:E), 0) +
Q260*IF(_xlfn.XLOOKUP(P260,'02效果表'!D:D,'02效果表'!E:E)&lt;0, _xlfn.XLOOKUP(P260,'02效果表'!D:D,'02效果表'!E:E), 0) +
S260*IF(_xlfn.XLOOKUP(R260,'02效果表'!D:D,'02效果表'!E:E)&lt;0, _xlfn.XLOOKUP(R260,'02效果表'!D:D,'02效果表'!E:E), 0) +
U260*IF(_xlfn.XLOOKUP(T260,'02效果表'!D:D,'02效果表'!E:E)&lt;0, _xlfn.XLOOKUP(T260,'02效果表'!D:D,'02效果表'!E:E), 0) +
W260*IF(_xlfn.XLOOKUP(V260,'02效果表'!D:D,'02效果表'!E:E)&lt;0, _xlfn.XLOOKUP(V260,'02效果表'!D:D,'02效果表'!E:E), 0) +
Y260*IF(_xlfn.XLOOKUP(X260,'02效果表'!D:D,'02效果表'!E:E)&lt;0, _xlfn.XLOOKUP(X260,'02效果表'!D:D,'02效果表'!E:E), 0) +
AA260*IF(_xlfn.XLOOKUP(Z260,'02效果表'!D:D,'02效果表'!E:E)&lt;0, _xlfn.XLOOKUP(Z260,'02效果表'!D:D,'02效果表'!E:E), 0) +
AC260*IF(_xlfn.XLOOKUP(AB260,'02效果表'!D:D,'02效果表'!E:E)&lt;0, _xlfn.XLOOKUP(AB260,'02效果表'!D:D,'02效果表'!E:E), 0) +
AE260*IF(_xlfn.XLOOKUP(AD260,'02效果表'!D:D,'02效果表'!E:E)&lt;0, _xlfn.XLOOKUP(AD260,'02效果表'!D:D,'02效果表'!E:E), 0)), 1)</f>
        <v>0</v>
      </c>
      <c r="G260" s="7">
        <f>ROUND(1/6*(I260*MAX(_xlfn.XLOOKUP(H260,'02效果表'!D:D,'02效果表'!E:E),0)+K260*MAX(_xlfn.XLOOKUP(J260,'02效果表'!D:D,'02效果表'!E:E),0)+M260*MAX(_xlfn.XLOOKUP(L260,'02效果表'!D:D,'02效果表'!E:E),0)+O260*MAX(_xlfn.XLOOKUP(N260,'02效果表'!D:D,'02效果表'!E:E),0)+Q260*MAX(_xlfn.XLOOKUP(P260,'02效果表'!D:D,'02效果表'!E:E),0)+S260*MAX(_xlfn.XLOOKUP(R260,'02效果表'!D:D,'02效果表'!E:E),0)+U260*MAX(_xlfn.XLOOKUP(T260,'02效果表'!D:D,'02效果表'!E:E),0)+W260*MAX(_xlfn.XLOOKUP(V260,'02效果表'!D:D,'02效果表'!E:E),0)+Y260*MAX(_xlfn.XLOOKUP(X260,'02效果表'!D:D,'02效果表'!E:E),0)+AA260*MAX(_xlfn.XLOOKUP(Z260,'02效果表'!D:D,'02效果表'!E:E),0)+AC260*MAX(_xlfn.XLOOKUP(AB260,'02效果表'!D:D,'02效果表'!E:E),0)+AE260*MAX(_xlfn.XLOOKUP(AD260,'02效果表'!D:D,'02效果表'!E:E),0)),1)</f>
        <v>0</v>
      </c>
      <c r="H260" s="6"/>
      <c r="I260" s="6"/>
      <c r="J260" s="6"/>
      <c r="K260" s="6"/>
      <c r="L260" s="6"/>
      <c r="M260" s="6"/>
      <c r="N260" s="6"/>
      <c r="O260" s="6"/>
      <c r="P260" s="6"/>
      <c r="Q260" s="6"/>
      <c r="R260" s="6"/>
      <c r="S260" s="6"/>
      <c r="T260" s="6"/>
      <c r="U260" s="6"/>
      <c r="V260" s="6"/>
      <c r="W260" s="6"/>
      <c r="X260" s="6"/>
      <c r="Y260" s="6"/>
      <c r="Z260" s="6"/>
      <c r="AA260" s="6"/>
      <c r="AB260" s="6"/>
      <c r="AC260" s="6"/>
      <c r="AD260" s="6"/>
      <c r="AE260" s="6"/>
    </row>
    <row r="261" spans="1:31" x14ac:dyDescent="0.35">
      <c r="A261" s="6">
        <v>261</v>
      </c>
      <c r="B261" s="6" t="s">
        <v>4</v>
      </c>
      <c r="C261" s="10" t="s">
        <v>16</v>
      </c>
      <c r="D261" s="9" t="s">
        <v>1471</v>
      </c>
      <c r="E261" s="7">
        <f t="shared" si="11"/>
        <v>0</v>
      </c>
      <c r="F261" s="7">
        <f>-1*ROUND(1/6*(I261*IF(_xlfn.XLOOKUP(H261,'02效果表'!D:D,'02效果表'!E:E)&lt;0, _xlfn.XLOOKUP(H261,'02效果表'!D:D,'02效果表'!E:E), 0) +
K261*IF(_xlfn.XLOOKUP(J261,'02效果表'!D:D,'02效果表'!E:E)&lt;0, _xlfn.XLOOKUP(J261,'02效果表'!D:D,'02效果表'!E:E), 0) +
M261*IF(_xlfn.XLOOKUP(L261,'02效果表'!D:D,'02效果表'!E:E)&lt;0, _xlfn.XLOOKUP(L261,'02效果表'!D:D,'02效果表'!E:E), 0) +
O261*IF(_xlfn.XLOOKUP(N261,'02效果表'!D:D,'02效果表'!E:E)&lt;0, _xlfn.XLOOKUP(N261,'02效果表'!D:D,'02效果表'!E:E), 0) +
Q261*IF(_xlfn.XLOOKUP(P261,'02效果表'!D:D,'02效果表'!E:E)&lt;0, _xlfn.XLOOKUP(P261,'02效果表'!D:D,'02效果表'!E:E), 0) +
S261*IF(_xlfn.XLOOKUP(R261,'02效果表'!D:D,'02效果表'!E:E)&lt;0, _xlfn.XLOOKUP(R261,'02效果表'!D:D,'02效果表'!E:E), 0) +
U261*IF(_xlfn.XLOOKUP(T261,'02效果表'!D:D,'02效果表'!E:E)&lt;0, _xlfn.XLOOKUP(T261,'02效果表'!D:D,'02效果表'!E:E), 0) +
W261*IF(_xlfn.XLOOKUP(V261,'02效果表'!D:D,'02效果表'!E:E)&lt;0, _xlfn.XLOOKUP(V261,'02效果表'!D:D,'02效果表'!E:E), 0) +
Y261*IF(_xlfn.XLOOKUP(X261,'02效果表'!D:D,'02效果表'!E:E)&lt;0, _xlfn.XLOOKUP(X261,'02效果表'!D:D,'02效果表'!E:E), 0) +
AA261*IF(_xlfn.XLOOKUP(Z261,'02效果表'!D:D,'02效果表'!E:E)&lt;0, _xlfn.XLOOKUP(Z261,'02效果表'!D:D,'02效果表'!E:E), 0) +
AC261*IF(_xlfn.XLOOKUP(AB261,'02效果表'!D:D,'02效果表'!E:E)&lt;0, _xlfn.XLOOKUP(AB261,'02效果表'!D:D,'02效果表'!E:E), 0) +
AE261*IF(_xlfn.XLOOKUP(AD261,'02效果表'!D:D,'02效果表'!E:E)&lt;0, _xlfn.XLOOKUP(AD261,'02效果表'!D:D,'02效果表'!E:E), 0)), 1)</f>
        <v>0</v>
      </c>
      <c r="G261" s="7">
        <f>ROUND(1/6*(I261*MAX(_xlfn.XLOOKUP(H261,'02效果表'!D:D,'02效果表'!E:E),0)+K261*MAX(_xlfn.XLOOKUP(J261,'02效果表'!D:D,'02效果表'!E:E),0)+M261*MAX(_xlfn.XLOOKUP(L261,'02效果表'!D:D,'02效果表'!E:E),0)+O261*MAX(_xlfn.XLOOKUP(N261,'02效果表'!D:D,'02效果表'!E:E),0)+Q261*MAX(_xlfn.XLOOKUP(P261,'02效果表'!D:D,'02效果表'!E:E),0)+S261*MAX(_xlfn.XLOOKUP(R261,'02效果表'!D:D,'02效果表'!E:E),0)+U261*MAX(_xlfn.XLOOKUP(T261,'02效果表'!D:D,'02效果表'!E:E),0)+W261*MAX(_xlfn.XLOOKUP(V261,'02效果表'!D:D,'02效果表'!E:E),0)+Y261*MAX(_xlfn.XLOOKUP(X261,'02效果表'!D:D,'02效果表'!E:E),0)+AA261*MAX(_xlfn.XLOOKUP(Z261,'02效果表'!D:D,'02效果表'!E:E),0)+AC261*MAX(_xlfn.XLOOKUP(AB261,'02效果表'!D:D,'02效果表'!E:E),0)+AE261*MAX(_xlfn.XLOOKUP(AD261,'02效果表'!D:D,'02效果表'!E:E),0)),1)</f>
        <v>0</v>
      </c>
      <c r="H261" s="6"/>
      <c r="I261" s="6"/>
      <c r="J261" s="6"/>
      <c r="K261" s="6"/>
      <c r="L261" s="6"/>
      <c r="M261" s="6"/>
      <c r="N261" s="6"/>
      <c r="O261" s="6"/>
      <c r="P261" s="6"/>
      <c r="Q261" s="6"/>
      <c r="R261" s="6"/>
      <c r="S261" s="6"/>
      <c r="T261" s="6"/>
      <c r="U261" s="6"/>
      <c r="V261" s="6"/>
      <c r="W261" s="6"/>
      <c r="X261" s="6"/>
      <c r="Y261" s="6"/>
      <c r="Z261" s="6"/>
      <c r="AA261" s="6"/>
      <c r="AB261" s="6"/>
      <c r="AC261" s="6"/>
      <c r="AD261" s="6"/>
      <c r="AE261" s="6"/>
    </row>
    <row r="262" spans="1:31" x14ac:dyDescent="0.35">
      <c r="A262" s="6">
        <v>262</v>
      </c>
      <c r="B262" s="6" t="s">
        <v>4</v>
      </c>
      <c r="C262" s="10" t="s">
        <v>16</v>
      </c>
      <c r="D262" s="9" t="s">
        <v>1472</v>
      </c>
      <c r="E262" s="7">
        <f t="shared" si="11"/>
        <v>0</v>
      </c>
      <c r="F262" s="7">
        <f>-1*ROUND(1/6*(I262*IF(_xlfn.XLOOKUP(H262,'02效果表'!D:D,'02效果表'!E:E)&lt;0, _xlfn.XLOOKUP(H262,'02效果表'!D:D,'02效果表'!E:E), 0) +
K262*IF(_xlfn.XLOOKUP(J262,'02效果表'!D:D,'02效果表'!E:E)&lt;0, _xlfn.XLOOKUP(J262,'02效果表'!D:D,'02效果表'!E:E), 0) +
M262*IF(_xlfn.XLOOKUP(L262,'02效果表'!D:D,'02效果表'!E:E)&lt;0, _xlfn.XLOOKUP(L262,'02效果表'!D:D,'02效果表'!E:E), 0) +
O262*IF(_xlfn.XLOOKUP(N262,'02效果表'!D:D,'02效果表'!E:E)&lt;0, _xlfn.XLOOKUP(N262,'02效果表'!D:D,'02效果表'!E:E), 0) +
Q262*IF(_xlfn.XLOOKUP(P262,'02效果表'!D:D,'02效果表'!E:E)&lt;0, _xlfn.XLOOKUP(P262,'02效果表'!D:D,'02效果表'!E:E), 0) +
S262*IF(_xlfn.XLOOKUP(R262,'02效果表'!D:D,'02效果表'!E:E)&lt;0, _xlfn.XLOOKUP(R262,'02效果表'!D:D,'02效果表'!E:E), 0) +
U262*IF(_xlfn.XLOOKUP(T262,'02效果表'!D:D,'02效果表'!E:E)&lt;0, _xlfn.XLOOKUP(T262,'02效果表'!D:D,'02效果表'!E:E), 0) +
W262*IF(_xlfn.XLOOKUP(V262,'02效果表'!D:D,'02效果表'!E:E)&lt;0, _xlfn.XLOOKUP(V262,'02效果表'!D:D,'02效果表'!E:E), 0) +
Y262*IF(_xlfn.XLOOKUP(X262,'02效果表'!D:D,'02效果表'!E:E)&lt;0, _xlfn.XLOOKUP(X262,'02效果表'!D:D,'02效果表'!E:E), 0) +
AA262*IF(_xlfn.XLOOKUP(Z262,'02效果表'!D:D,'02效果表'!E:E)&lt;0, _xlfn.XLOOKUP(Z262,'02效果表'!D:D,'02效果表'!E:E), 0) +
AC262*IF(_xlfn.XLOOKUP(AB262,'02效果表'!D:D,'02效果表'!E:E)&lt;0, _xlfn.XLOOKUP(AB262,'02效果表'!D:D,'02效果表'!E:E), 0) +
AE262*IF(_xlfn.XLOOKUP(AD262,'02效果表'!D:D,'02效果表'!E:E)&lt;0, _xlfn.XLOOKUP(AD262,'02效果表'!D:D,'02效果表'!E:E), 0)), 1)</f>
        <v>0</v>
      </c>
      <c r="G262" s="7">
        <f>ROUND(1/6*(I262*MAX(_xlfn.XLOOKUP(H262,'02效果表'!D:D,'02效果表'!E:E),0)+K262*MAX(_xlfn.XLOOKUP(J262,'02效果表'!D:D,'02效果表'!E:E),0)+M262*MAX(_xlfn.XLOOKUP(L262,'02效果表'!D:D,'02效果表'!E:E),0)+O262*MAX(_xlfn.XLOOKUP(N262,'02效果表'!D:D,'02效果表'!E:E),0)+Q262*MAX(_xlfn.XLOOKUP(P262,'02效果表'!D:D,'02效果表'!E:E),0)+S262*MAX(_xlfn.XLOOKUP(R262,'02效果表'!D:D,'02效果表'!E:E),0)+U262*MAX(_xlfn.XLOOKUP(T262,'02效果表'!D:D,'02效果表'!E:E),0)+W262*MAX(_xlfn.XLOOKUP(V262,'02效果表'!D:D,'02效果表'!E:E),0)+Y262*MAX(_xlfn.XLOOKUP(X262,'02效果表'!D:D,'02效果表'!E:E),0)+AA262*MAX(_xlfn.XLOOKUP(Z262,'02效果表'!D:D,'02效果表'!E:E),0)+AC262*MAX(_xlfn.XLOOKUP(AB262,'02效果表'!D:D,'02效果表'!E:E),0)+AE262*MAX(_xlfn.XLOOKUP(AD262,'02效果表'!D:D,'02效果表'!E:E),0)),1)</f>
        <v>0</v>
      </c>
      <c r="H262" s="6"/>
      <c r="I262" s="6"/>
      <c r="J262" s="6"/>
      <c r="K262" s="6"/>
      <c r="L262" s="6"/>
      <c r="M262" s="6"/>
      <c r="N262" s="6"/>
      <c r="O262" s="6"/>
      <c r="P262" s="6"/>
      <c r="Q262" s="6"/>
      <c r="R262" s="6"/>
      <c r="S262" s="6"/>
      <c r="T262" s="6"/>
      <c r="U262" s="6"/>
      <c r="V262" s="6"/>
      <c r="W262" s="6"/>
      <c r="X262" s="6"/>
      <c r="Y262" s="6"/>
      <c r="Z262" s="6"/>
      <c r="AA262" s="6"/>
      <c r="AB262" s="6"/>
      <c r="AC262" s="6"/>
      <c r="AD262" s="6"/>
      <c r="AE262" s="6"/>
    </row>
    <row r="263" spans="1:31" x14ac:dyDescent="0.35">
      <c r="A263" s="6">
        <v>263</v>
      </c>
      <c r="B263" s="6" t="s">
        <v>4</v>
      </c>
      <c r="C263" s="10" t="s">
        <v>16</v>
      </c>
      <c r="D263" s="9" t="s">
        <v>1473</v>
      </c>
      <c r="E263" s="7">
        <f t="shared" si="11"/>
        <v>0</v>
      </c>
      <c r="F263" s="7">
        <f>-1*ROUND(1/6*(I263*IF(_xlfn.XLOOKUP(H263,'02效果表'!D:D,'02效果表'!E:E)&lt;0, _xlfn.XLOOKUP(H263,'02效果表'!D:D,'02效果表'!E:E), 0) +
K263*IF(_xlfn.XLOOKUP(J263,'02效果表'!D:D,'02效果表'!E:E)&lt;0, _xlfn.XLOOKUP(J263,'02效果表'!D:D,'02效果表'!E:E), 0) +
M263*IF(_xlfn.XLOOKUP(L263,'02效果表'!D:D,'02效果表'!E:E)&lt;0, _xlfn.XLOOKUP(L263,'02效果表'!D:D,'02效果表'!E:E), 0) +
O263*IF(_xlfn.XLOOKUP(N263,'02效果表'!D:D,'02效果表'!E:E)&lt;0, _xlfn.XLOOKUP(N263,'02效果表'!D:D,'02效果表'!E:E), 0) +
Q263*IF(_xlfn.XLOOKUP(P263,'02效果表'!D:D,'02效果表'!E:E)&lt;0, _xlfn.XLOOKUP(P263,'02效果表'!D:D,'02效果表'!E:E), 0) +
S263*IF(_xlfn.XLOOKUP(R263,'02效果表'!D:D,'02效果表'!E:E)&lt;0, _xlfn.XLOOKUP(R263,'02效果表'!D:D,'02效果表'!E:E), 0) +
U263*IF(_xlfn.XLOOKUP(T263,'02效果表'!D:D,'02效果表'!E:E)&lt;0, _xlfn.XLOOKUP(T263,'02效果表'!D:D,'02效果表'!E:E), 0) +
W263*IF(_xlfn.XLOOKUP(V263,'02效果表'!D:D,'02效果表'!E:E)&lt;0, _xlfn.XLOOKUP(V263,'02效果表'!D:D,'02效果表'!E:E), 0) +
Y263*IF(_xlfn.XLOOKUP(X263,'02效果表'!D:D,'02效果表'!E:E)&lt;0, _xlfn.XLOOKUP(X263,'02效果表'!D:D,'02效果表'!E:E), 0) +
AA263*IF(_xlfn.XLOOKUP(Z263,'02效果表'!D:D,'02效果表'!E:E)&lt;0, _xlfn.XLOOKUP(Z263,'02效果表'!D:D,'02效果表'!E:E), 0) +
AC263*IF(_xlfn.XLOOKUP(AB263,'02效果表'!D:D,'02效果表'!E:E)&lt;0, _xlfn.XLOOKUP(AB263,'02效果表'!D:D,'02效果表'!E:E), 0) +
AE263*IF(_xlfn.XLOOKUP(AD263,'02效果表'!D:D,'02效果表'!E:E)&lt;0, _xlfn.XLOOKUP(AD263,'02效果表'!D:D,'02效果表'!E:E), 0)), 1)</f>
        <v>0</v>
      </c>
      <c r="G263" s="7">
        <f>ROUND(1/6*(I263*MAX(_xlfn.XLOOKUP(H263,'02效果表'!D:D,'02效果表'!E:E),0)+K263*MAX(_xlfn.XLOOKUP(J263,'02效果表'!D:D,'02效果表'!E:E),0)+M263*MAX(_xlfn.XLOOKUP(L263,'02效果表'!D:D,'02效果表'!E:E),0)+O263*MAX(_xlfn.XLOOKUP(N263,'02效果表'!D:D,'02效果表'!E:E),0)+Q263*MAX(_xlfn.XLOOKUP(P263,'02效果表'!D:D,'02效果表'!E:E),0)+S263*MAX(_xlfn.XLOOKUP(R263,'02效果表'!D:D,'02效果表'!E:E),0)+U263*MAX(_xlfn.XLOOKUP(T263,'02效果表'!D:D,'02效果表'!E:E),0)+W263*MAX(_xlfn.XLOOKUP(V263,'02效果表'!D:D,'02效果表'!E:E),0)+Y263*MAX(_xlfn.XLOOKUP(X263,'02效果表'!D:D,'02效果表'!E:E),0)+AA263*MAX(_xlfn.XLOOKUP(Z263,'02效果表'!D:D,'02效果表'!E:E),0)+AC263*MAX(_xlfn.XLOOKUP(AB263,'02效果表'!D:D,'02效果表'!E:E),0)+AE263*MAX(_xlfn.XLOOKUP(AD263,'02效果表'!D:D,'02效果表'!E:E),0)),1)</f>
        <v>0</v>
      </c>
      <c r="H263" s="6"/>
      <c r="I263" s="6"/>
      <c r="J263" s="6"/>
      <c r="K263" s="6"/>
      <c r="L263" s="6"/>
      <c r="M263" s="6"/>
      <c r="N263" s="6"/>
      <c r="O263" s="6"/>
      <c r="P263" s="6"/>
      <c r="Q263" s="6"/>
      <c r="R263" s="6"/>
      <c r="S263" s="6"/>
      <c r="T263" s="6"/>
      <c r="U263" s="6"/>
      <c r="V263" s="6"/>
      <c r="W263" s="6"/>
      <c r="X263" s="6"/>
      <c r="Y263" s="6"/>
      <c r="Z263" s="6"/>
      <c r="AA263" s="6"/>
      <c r="AB263" s="6"/>
      <c r="AC263" s="6"/>
      <c r="AD263" s="6"/>
      <c r="AE263" s="6"/>
    </row>
    <row r="264" spans="1:31" x14ac:dyDescent="0.35">
      <c r="A264" s="6">
        <v>264</v>
      </c>
      <c r="B264" s="6" t="s">
        <v>4</v>
      </c>
      <c r="C264" s="10" t="s">
        <v>16</v>
      </c>
      <c r="D264" s="9" t="s">
        <v>1474</v>
      </c>
      <c r="E264" s="7">
        <f t="shared" si="11"/>
        <v>0</v>
      </c>
      <c r="F264" s="7">
        <f>-1*ROUND(1/6*(I264*IF(_xlfn.XLOOKUP(H264,'02效果表'!D:D,'02效果表'!E:E)&lt;0, _xlfn.XLOOKUP(H264,'02效果表'!D:D,'02效果表'!E:E), 0) +
K264*IF(_xlfn.XLOOKUP(J264,'02效果表'!D:D,'02效果表'!E:E)&lt;0, _xlfn.XLOOKUP(J264,'02效果表'!D:D,'02效果表'!E:E), 0) +
M264*IF(_xlfn.XLOOKUP(L264,'02效果表'!D:D,'02效果表'!E:E)&lt;0, _xlfn.XLOOKUP(L264,'02效果表'!D:D,'02效果表'!E:E), 0) +
O264*IF(_xlfn.XLOOKUP(N264,'02效果表'!D:D,'02效果表'!E:E)&lt;0, _xlfn.XLOOKUP(N264,'02效果表'!D:D,'02效果表'!E:E), 0) +
Q264*IF(_xlfn.XLOOKUP(P264,'02效果表'!D:D,'02效果表'!E:E)&lt;0, _xlfn.XLOOKUP(P264,'02效果表'!D:D,'02效果表'!E:E), 0) +
S264*IF(_xlfn.XLOOKUP(R264,'02效果表'!D:D,'02效果表'!E:E)&lt;0, _xlfn.XLOOKUP(R264,'02效果表'!D:D,'02效果表'!E:E), 0) +
U264*IF(_xlfn.XLOOKUP(T264,'02效果表'!D:D,'02效果表'!E:E)&lt;0, _xlfn.XLOOKUP(T264,'02效果表'!D:D,'02效果表'!E:E), 0) +
W264*IF(_xlfn.XLOOKUP(V264,'02效果表'!D:D,'02效果表'!E:E)&lt;0, _xlfn.XLOOKUP(V264,'02效果表'!D:D,'02效果表'!E:E), 0) +
Y264*IF(_xlfn.XLOOKUP(X264,'02效果表'!D:D,'02效果表'!E:E)&lt;0, _xlfn.XLOOKUP(X264,'02效果表'!D:D,'02效果表'!E:E), 0) +
AA264*IF(_xlfn.XLOOKUP(Z264,'02效果表'!D:D,'02效果表'!E:E)&lt;0, _xlfn.XLOOKUP(Z264,'02效果表'!D:D,'02效果表'!E:E), 0) +
AC264*IF(_xlfn.XLOOKUP(AB264,'02效果表'!D:D,'02效果表'!E:E)&lt;0, _xlfn.XLOOKUP(AB264,'02效果表'!D:D,'02效果表'!E:E), 0) +
AE264*IF(_xlfn.XLOOKUP(AD264,'02效果表'!D:D,'02效果表'!E:E)&lt;0, _xlfn.XLOOKUP(AD264,'02效果表'!D:D,'02效果表'!E:E), 0)), 1)</f>
        <v>0</v>
      </c>
      <c r="G264" s="7">
        <f>ROUND(1/6*(I264*MAX(_xlfn.XLOOKUP(H264,'02效果表'!D:D,'02效果表'!E:E),0)+K264*MAX(_xlfn.XLOOKUP(J264,'02效果表'!D:D,'02效果表'!E:E),0)+M264*MAX(_xlfn.XLOOKUP(L264,'02效果表'!D:D,'02效果表'!E:E),0)+O264*MAX(_xlfn.XLOOKUP(N264,'02效果表'!D:D,'02效果表'!E:E),0)+Q264*MAX(_xlfn.XLOOKUP(P264,'02效果表'!D:D,'02效果表'!E:E),0)+S264*MAX(_xlfn.XLOOKUP(R264,'02效果表'!D:D,'02效果表'!E:E),0)+U264*MAX(_xlfn.XLOOKUP(T264,'02效果表'!D:D,'02效果表'!E:E),0)+W264*MAX(_xlfn.XLOOKUP(V264,'02效果表'!D:D,'02效果表'!E:E),0)+Y264*MAX(_xlfn.XLOOKUP(X264,'02效果表'!D:D,'02效果表'!E:E),0)+AA264*MAX(_xlfn.XLOOKUP(Z264,'02效果表'!D:D,'02效果表'!E:E),0)+AC264*MAX(_xlfn.XLOOKUP(AB264,'02效果表'!D:D,'02效果表'!E:E),0)+AE264*MAX(_xlfn.XLOOKUP(AD264,'02效果表'!D:D,'02效果表'!E:E),0)),1)</f>
        <v>0</v>
      </c>
      <c r="H264" s="6"/>
      <c r="I264" s="6"/>
      <c r="J264" s="6"/>
      <c r="K264" s="6"/>
      <c r="L264" s="6"/>
      <c r="M264" s="6"/>
      <c r="N264" s="6"/>
      <c r="O264" s="6"/>
      <c r="P264" s="6"/>
      <c r="Q264" s="6"/>
      <c r="R264" s="6"/>
      <c r="S264" s="6"/>
      <c r="T264" s="6"/>
      <c r="U264" s="6"/>
      <c r="V264" s="6"/>
      <c r="W264" s="6"/>
      <c r="X264" s="6"/>
      <c r="Y264" s="6"/>
      <c r="Z264" s="6"/>
      <c r="AA264" s="6"/>
      <c r="AB264" s="6"/>
      <c r="AC264" s="6"/>
      <c r="AD264" s="6"/>
      <c r="AE264" s="6"/>
    </row>
    <row r="265" spans="1:31" x14ac:dyDescent="0.35">
      <c r="A265" s="6">
        <v>265</v>
      </c>
      <c r="B265" s="6" t="s">
        <v>4</v>
      </c>
      <c r="C265" s="10" t="s">
        <v>16</v>
      </c>
      <c r="D265" s="9" t="s">
        <v>1475</v>
      </c>
      <c r="E265" s="7">
        <f t="shared" si="11"/>
        <v>0</v>
      </c>
      <c r="F265" s="7">
        <f>-1*ROUND(1/6*(I265*IF(_xlfn.XLOOKUP(H265,'02效果表'!D:D,'02效果表'!E:E)&lt;0, _xlfn.XLOOKUP(H265,'02效果表'!D:D,'02效果表'!E:E), 0) +
K265*IF(_xlfn.XLOOKUP(J265,'02效果表'!D:D,'02效果表'!E:E)&lt;0, _xlfn.XLOOKUP(J265,'02效果表'!D:D,'02效果表'!E:E), 0) +
M265*IF(_xlfn.XLOOKUP(L265,'02效果表'!D:D,'02效果表'!E:E)&lt;0, _xlfn.XLOOKUP(L265,'02效果表'!D:D,'02效果表'!E:E), 0) +
O265*IF(_xlfn.XLOOKUP(N265,'02效果表'!D:D,'02效果表'!E:E)&lt;0, _xlfn.XLOOKUP(N265,'02效果表'!D:D,'02效果表'!E:E), 0) +
Q265*IF(_xlfn.XLOOKUP(P265,'02效果表'!D:D,'02效果表'!E:E)&lt;0, _xlfn.XLOOKUP(P265,'02效果表'!D:D,'02效果表'!E:E), 0) +
S265*IF(_xlfn.XLOOKUP(R265,'02效果表'!D:D,'02效果表'!E:E)&lt;0, _xlfn.XLOOKUP(R265,'02效果表'!D:D,'02效果表'!E:E), 0) +
U265*IF(_xlfn.XLOOKUP(T265,'02效果表'!D:D,'02效果表'!E:E)&lt;0, _xlfn.XLOOKUP(T265,'02效果表'!D:D,'02效果表'!E:E), 0) +
W265*IF(_xlfn.XLOOKUP(V265,'02效果表'!D:D,'02效果表'!E:E)&lt;0, _xlfn.XLOOKUP(V265,'02效果表'!D:D,'02效果表'!E:E), 0) +
Y265*IF(_xlfn.XLOOKUP(X265,'02效果表'!D:D,'02效果表'!E:E)&lt;0, _xlfn.XLOOKUP(X265,'02效果表'!D:D,'02效果表'!E:E), 0) +
AA265*IF(_xlfn.XLOOKUP(Z265,'02效果表'!D:D,'02效果表'!E:E)&lt;0, _xlfn.XLOOKUP(Z265,'02效果表'!D:D,'02效果表'!E:E), 0) +
AC265*IF(_xlfn.XLOOKUP(AB265,'02效果表'!D:D,'02效果表'!E:E)&lt;0, _xlfn.XLOOKUP(AB265,'02效果表'!D:D,'02效果表'!E:E), 0) +
AE265*IF(_xlfn.XLOOKUP(AD265,'02效果表'!D:D,'02效果表'!E:E)&lt;0, _xlfn.XLOOKUP(AD265,'02效果表'!D:D,'02效果表'!E:E), 0)), 1)</f>
        <v>0</v>
      </c>
      <c r="G265" s="7">
        <f>ROUND(1/6*(I265*MAX(_xlfn.XLOOKUP(H265,'02效果表'!D:D,'02效果表'!E:E),0)+K265*MAX(_xlfn.XLOOKUP(J265,'02效果表'!D:D,'02效果表'!E:E),0)+M265*MAX(_xlfn.XLOOKUP(L265,'02效果表'!D:D,'02效果表'!E:E),0)+O265*MAX(_xlfn.XLOOKUP(N265,'02效果表'!D:D,'02效果表'!E:E),0)+Q265*MAX(_xlfn.XLOOKUP(P265,'02效果表'!D:D,'02效果表'!E:E),0)+S265*MAX(_xlfn.XLOOKUP(R265,'02效果表'!D:D,'02效果表'!E:E),0)+U265*MAX(_xlfn.XLOOKUP(T265,'02效果表'!D:D,'02效果表'!E:E),0)+W265*MAX(_xlfn.XLOOKUP(V265,'02效果表'!D:D,'02效果表'!E:E),0)+Y265*MAX(_xlfn.XLOOKUP(X265,'02效果表'!D:D,'02效果表'!E:E),0)+AA265*MAX(_xlfn.XLOOKUP(Z265,'02效果表'!D:D,'02效果表'!E:E),0)+AC265*MAX(_xlfn.XLOOKUP(AB265,'02效果表'!D:D,'02效果表'!E:E),0)+AE265*MAX(_xlfn.XLOOKUP(AD265,'02效果表'!D:D,'02效果表'!E:E),0)),1)</f>
        <v>0</v>
      </c>
      <c r="H265" s="6"/>
      <c r="I265" s="6"/>
      <c r="J265" s="6"/>
      <c r="K265" s="6"/>
      <c r="L265" s="6"/>
      <c r="M265" s="6"/>
      <c r="N265" s="6"/>
      <c r="O265" s="6"/>
      <c r="P265" s="6"/>
      <c r="Q265" s="6"/>
      <c r="R265" s="6"/>
      <c r="S265" s="6"/>
      <c r="T265" s="6"/>
      <c r="U265" s="6"/>
      <c r="V265" s="6"/>
      <c r="W265" s="6"/>
      <c r="X265" s="6"/>
      <c r="Y265" s="6"/>
      <c r="Z265" s="6"/>
      <c r="AA265" s="6"/>
      <c r="AB265" s="6"/>
      <c r="AC265" s="6"/>
      <c r="AD265" s="6"/>
      <c r="AE265" s="6"/>
    </row>
    <row r="266" spans="1:31" x14ac:dyDescent="0.35">
      <c r="A266" s="6">
        <v>266</v>
      </c>
      <c r="B266" s="6" t="s">
        <v>4</v>
      </c>
      <c r="C266" s="10" t="s">
        <v>16</v>
      </c>
      <c r="D266" s="9"/>
      <c r="E266" s="7">
        <f t="shared" si="11"/>
        <v>0</v>
      </c>
      <c r="F266" s="7">
        <f>-1*ROUND(1/6*(I266*IF(_xlfn.XLOOKUP(H266,'02效果表'!D:D,'02效果表'!E:E)&lt;0, _xlfn.XLOOKUP(H266,'02效果表'!D:D,'02效果表'!E:E), 0) +
K266*IF(_xlfn.XLOOKUP(J266,'02效果表'!D:D,'02效果表'!E:E)&lt;0, _xlfn.XLOOKUP(J266,'02效果表'!D:D,'02效果表'!E:E), 0) +
M266*IF(_xlfn.XLOOKUP(L266,'02效果表'!D:D,'02效果表'!E:E)&lt;0, _xlfn.XLOOKUP(L266,'02效果表'!D:D,'02效果表'!E:E), 0) +
O266*IF(_xlfn.XLOOKUP(N266,'02效果表'!D:D,'02效果表'!E:E)&lt;0, _xlfn.XLOOKUP(N266,'02效果表'!D:D,'02效果表'!E:E), 0) +
Q266*IF(_xlfn.XLOOKUP(P266,'02效果表'!D:D,'02效果表'!E:E)&lt;0, _xlfn.XLOOKUP(P266,'02效果表'!D:D,'02效果表'!E:E), 0) +
S266*IF(_xlfn.XLOOKUP(R266,'02效果表'!D:D,'02效果表'!E:E)&lt;0, _xlfn.XLOOKUP(R266,'02效果表'!D:D,'02效果表'!E:E), 0) +
U266*IF(_xlfn.XLOOKUP(T266,'02效果表'!D:D,'02效果表'!E:E)&lt;0, _xlfn.XLOOKUP(T266,'02效果表'!D:D,'02效果表'!E:E), 0) +
W266*IF(_xlfn.XLOOKUP(V266,'02效果表'!D:D,'02效果表'!E:E)&lt;0, _xlfn.XLOOKUP(V266,'02效果表'!D:D,'02效果表'!E:E), 0) +
Y266*IF(_xlfn.XLOOKUP(X266,'02效果表'!D:D,'02效果表'!E:E)&lt;0, _xlfn.XLOOKUP(X266,'02效果表'!D:D,'02效果表'!E:E), 0) +
AA266*IF(_xlfn.XLOOKUP(Z266,'02效果表'!D:D,'02效果表'!E:E)&lt;0, _xlfn.XLOOKUP(Z266,'02效果表'!D:D,'02效果表'!E:E), 0) +
AC266*IF(_xlfn.XLOOKUP(AB266,'02效果表'!D:D,'02效果表'!E:E)&lt;0, _xlfn.XLOOKUP(AB266,'02效果表'!D:D,'02效果表'!E:E), 0) +
AE266*IF(_xlfn.XLOOKUP(AD266,'02效果表'!D:D,'02效果表'!E:E)&lt;0, _xlfn.XLOOKUP(AD266,'02效果表'!D:D,'02效果表'!E:E), 0)), 1)</f>
        <v>0</v>
      </c>
      <c r="G266" s="7">
        <f>ROUND(1/6*(I266*MAX(_xlfn.XLOOKUP(H266,'02效果表'!D:D,'02效果表'!E:E),0)+K266*MAX(_xlfn.XLOOKUP(J266,'02效果表'!D:D,'02效果表'!E:E),0)+M266*MAX(_xlfn.XLOOKUP(L266,'02效果表'!D:D,'02效果表'!E:E),0)+O266*MAX(_xlfn.XLOOKUP(N266,'02效果表'!D:D,'02效果表'!E:E),0)+Q266*MAX(_xlfn.XLOOKUP(P266,'02效果表'!D:D,'02效果表'!E:E),0)+S266*MAX(_xlfn.XLOOKUP(R266,'02效果表'!D:D,'02效果表'!E:E),0)+U266*MAX(_xlfn.XLOOKUP(T266,'02效果表'!D:D,'02效果表'!E:E),0)+W266*MAX(_xlfn.XLOOKUP(V266,'02效果表'!D:D,'02效果表'!E:E),0)+Y266*MAX(_xlfn.XLOOKUP(X266,'02效果表'!D:D,'02效果表'!E:E),0)+AA266*MAX(_xlfn.XLOOKUP(Z266,'02效果表'!D:D,'02效果表'!E:E),0)+AC266*MAX(_xlfn.XLOOKUP(AB266,'02效果表'!D:D,'02效果表'!E:E),0)+AE266*MAX(_xlfn.XLOOKUP(AD266,'02效果表'!D:D,'02效果表'!E:E),0)),1)</f>
        <v>0</v>
      </c>
      <c r="H266" s="6"/>
      <c r="I266" s="6"/>
      <c r="J266" s="6"/>
      <c r="K266" s="6"/>
      <c r="L266" s="6"/>
      <c r="M266" s="6"/>
      <c r="N266" s="6"/>
      <c r="O266" s="6"/>
      <c r="P266" s="6"/>
      <c r="Q266" s="6"/>
      <c r="R266" s="6"/>
      <c r="S266" s="6"/>
      <c r="T266" s="6"/>
      <c r="U266" s="6"/>
      <c r="V266" s="6"/>
      <c r="W266" s="6"/>
      <c r="X266" s="6"/>
      <c r="Y266" s="6"/>
      <c r="Z266" s="6"/>
      <c r="AA266" s="6"/>
      <c r="AB266" s="6"/>
      <c r="AC266" s="6"/>
      <c r="AD266" s="6"/>
      <c r="AE266" s="6"/>
    </row>
    <row r="267" spans="1:31" x14ac:dyDescent="0.35">
      <c r="A267" s="6">
        <v>267</v>
      </c>
      <c r="B267" s="6" t="s">
        <v>4</v>
      </c>
      <c r="C267" s="10" t="s">
        <v>16</v>
      </c>
      <c r="D267" s="9"/>
      <c r="E267" s="7">
        <f t="shared" si="11"/>
        <v>0</v>
      </c>
      <c r="F267" s="7">
        <f>-1*ROUND(1/6*(I267*IF(_xlfn.XLOOKUP(H267,'02效果表'!D:D,'02效果表'!E:E)&lt;0, _xlfn.XLOOKUP(H267,'02效果表'!D:D,'02效果表'!E:E), 0) +
K267*IF(_xlfn.XLOOKUP(J267,'02效果表'!D:D,'02效果表'!E:E)&lt;0, _xlfn.XLOOKUP(J267,'02效果表'!D:D,'02效果表'!E:E), 0) +
M267*IF(_xlfn.XLOOKUP(L267,'02效果表'!D:D,'02效果表'!E:E)&lt;0, _xlfn.XLOOKUP(L267,'02效果表'!D:D,'02效果表'!E:E), 0) +
O267*IF(_xlfn.XLOOKUP(N267,'02效果表'!D:D,'02效果表'!E:E)&lt;0, _xlfn.XLOOKUP(N267,'02效果表'!D:D,'02效果表'!E:E), 0) +
Q267*IF(_xlfn.XLOOKUP(P267,'02效果表'!D:D,'02效果表'!E:E)&lt;0, _xlfn.XLOOKUP(P267,'02效果表'!D:D,'02效果表'!E:E), 0) +
S267*IF(_xlfn.XLOOKUP(R267,'02效果表'!D:D,'02效果表'!E:E)&lt;0, _xlfn.XLOOKUP(R267,'02效果表'!D:D,'02效果表'!E:E), 0) +
U267*IF(_xlfn.XLOOKUP(T267,'02效果表'!D:D,'02效果表'!E:E)&lt;0, _xlfn.XLOOKUP(T267,'02效果表'!D:D,'02效果表'!E:E), 0) +
W267*IF(_xlfn.XLOOKUP(V267,'02效果表'!D:D,'02效果表'!E:E)&lt;0, _xlfn.XLOOKUP(V267,'02效果表'!D:D,'02效果表'!E:E), 0) +
Y267*IF(_xlfn.XLOOKUP(X267,'02效果表'!D:D,'02效果表'!E:E)&lt;0, _xlfn.XLOOKUP(X267,'02效果表'!D:D,'02效果表'!E:E), 0) +
AA267*IF(_xlfn.XLOOKUP(Z267,'02效果表'!D:D,'02效果表'!E:E)&lt;0, _xlfn.XLOOKUP(Z267,'02效果表'!D:D,'02效果表'!E:E), 0) +
AC267*IF(_xlfn.XLOOKUP(AB267,'02效果表'!D:D,'02效果表'!E:E)&lt;0, _xlfn.XLOOKUP(AB267,'02效果表'!D:D,'02效果表'!E:E), 0) +
AE267*IF(_xlfn.XLOOKUP(AD267,'02效果表'!D:D,'02效果表'!E:E)&lt;0, _xlfn.XLOOKUP(AD267,'02效果表'!D:D,'02效果表'!E:E), 0)), 1)</f>
        <v>0</v>
      </c>
      <c r="G267" s="7">
        <f>ROUND(1/6*(I267*MAX(_xlfn.XLOOKUP(H267,'02效果表'!D:D,'02效果表'!E:E),0)+K267*MAX(_xlfn.XLOOKUP(J267,'02效果表'!D:D,'02效果表'!E:E),0)+M267*MAX(_xlfn.XLOOKUP(L267,'02效果表'!D:D,'02效果表'!E:E),0)+O267*MAX(_xlfn.XLOOKUP(N267,'02效果表'!D:D,'02效果表'!E:E),0)+Q267*MAX(_xlfn.XLOOKUP(P267,'02效果表'!D:D,'02效果表'!E:E),0)+S267*MAX(_xlfn.XLOOKUP(R267,'02效果表'!D:D,'02效果表'!E:E),0)+U267*MAX(_xlfn.XLOOKUP(T267,'02效果表'!D:D,'02效果表'!E:E),0)+W267*MAX(_xlfn.XLOOKUP(V267,'02效果表'!D:D,'02效果表'!E:E),0)+Y267*MAX(_xlfn.XLOOKUP(X267,'02效果表'!D:D,'02效果表'!E:E),0)+AA267*MAX(_xlfn.XLOOKUP(Z267,'02效果表'!D:D,'02效果表'!E:E),0)+AC267*MAX(_xlfn.XLOOKUP(AB267,'02效果表'!D:D,'02效果表'!E:E),0)+AE267*MAX(_xlfn.XLOOKUP(AD267,'02效果表'!D:D,'02效果表'!E:E),0)),1)</f>
        <v>0</v>
      </c>
      <c r="H267" s="6"/>
      <c r="I267" s="6"/>
      <c r="J267" s="6"/>
      <c r="K267" s="6"/>
      <c r="L267" s="6"/>
      <c r="M267" s="6"/>
      <c r="N267" s="6"/>
      <c r="O267" s="6"/>
      <c r="P267" s="6"/>
      <c r="Q267" s="6"/>
      <c r="R267" s="6"/>
      <c r="S267" s="6"/>
      <c r="T267" s="6"/>
      <c r="U267" s="6"/>
      <c r="V267" s="6"/>
      <c r="W267" s="6"/>
      <c r="X267" s="6"/>
      <c r="Y267" s="6"/>
      <c r="Z267" s="6"/>
      <c r="AA267" s="6"/>
      <c r="AB267" s="6"/>
      <c r="AC267" s="6"/>
      <c r="AD267" s="6"/>
      <c r="AE267" s="6"/>
    </row>
    <row r="268" spans="1:31" x14ac:dyDescent="0.35">
      <c r="A268" s="6">
        <v>268</v>
      </c>
      <c r="B268" s="6" t="s">
        <v>4</v>
      </c>
      <c r="C268" s="10" t="s">
        <v>16</v>
      </c>
      <c r="D268" s="9"/>
      <c r="E268" s="7">
        <f t="shared" si="11"/>
        <v>0</v>
      </c>
      <c r="F268" s="7">
        <f>-1*ROUND(1/6*(I268*IF(_xlfn.XLOOKUP(H268,'02效果表'!D:D,'02效果表'!E:E)&lt;0, _xlfn.XLOOKUP(H268,'02效果表'!D:D,'02效果表'!E:E), 0) +
K268*IF(_xlfn.XLOOKUP(J268,'02效果表'!D:D,'02效果表'!E:E)&lt;0, _xlfn.XLOOKUP(J268,'02效果表'!D:D,'02效果表'!E:E), 0) +
M268*IF(_xlfn.XLOOKUP(L268,'02效果表'!D:D,'02效果表'!E:E)&lt;0, _xlfn.XLOOKUP(L268,'02效果表'!D:D,'02效果表'!E:E), 0) +
O268*IF(_xlfn.XLOOKUP(N268,'02效果表'!D:D,'02效果表'!E:E)&lt;0, _xlfn.XLOOKUP(N268,'02效果表'!D:D,'02效果表'!E:E), 0) +
Q268*IF(_xlfn.XLOOKUP(P268,'02效果表'!D:D,'02效果表'!E:E)&lt;0, _xlfn.XLOOKUP(P268,'02效果表'!D:D,'02效果表'!E:E), 0) +
S268*IF(_xlfn.XLOOKUP(R268,'02效果表'!D:D,'02效果表'!E:E)&lt;0, _xlfn.XLOOKUP(R268,'02效果表'!D:D,'02效果表'!E:E), 0) +
U268*IF(_xlfn.XLOOKUP(T268,'02效果表'!D:D,'02效果表'!E:E)&lt;0, _xlfn.XLOOKUP(T268,'02效果表'!D:D,'02效果表'!E:E), 0) +
W268*IF(_xlfn.XLOOKUP(V268,'02效果表'!D:D,'02效果表'!E:E)&lt;0, _xlfn.XLOOKUP(V268,'02效果表'!D:D,'02效果表'!E:E), 0) +
Y268*IF(_xlfn.XLOOKUP(X268,'02效果表'!D:D,'02效果表'!E:E)&lt;0, _xlfn.XLOOKUP(X268,'02效果表'!D:D,'02效果表'!E:E), 0) +
AA268*IF(_xlfn.XLOOKUP(Z268,'02效果表'!D:D,'02效果表'!E:E)&lt;0, _xlfn.XLOOKUP(Z268,'02效果表'!D:D,'02效果表'!E:E), 0) +
AC268*IF(_xlfn.XLOOKUP(AB268,'02效果表'!D:D,'02效果表'!E:E)&lt;0, _xlfn.XLOOKUP(AB268,'02效果表'!D:D,'02效果表'!E:E), 0) +
AE268*IF(_xlfn.XLOOKUP(AD268,'02效果表'!D:D,'02效果表'!E:E)&lt;0, _xlfn.XLOOKUP(AD268,'02效果表'!D:D,'02效果表'!E:E), 0)), 1)</f>
        <v>0</v>
      </c>
      <c r="G268" s="7">
        <f>ROUND(1/6*(I268*MAX(_xlfn.XLOOKUP(H268,'02效果表'!D:D,'02效果表'!E:E),0)+K268*MAX(_xlfn.XLOOKUP(J268,'02效果表'!D:D,'02效果表'!E:E),0)+M268*MAX(_xlfn.XLOOKUP(L268,'02效果表'!D:D,'02效果表'!E:E),0)+O268*MAX(_xlfn.XLOOKUP(N268,'02效果表'!D:D,'02效果表'!E:E),0)+Q268*MAX(_xlfn.XLOOKUP(P268,'02效果表'!D:D,'02效果表'!E:E),0)+S268*MAX(_xlfn.XLOOKUP(R268,'02效果表'!D:D,'02效果表'!E:E),0)+U268*MAX(_xlfn.XLOOKUP(T268,'02效果表'!D:D,'02效果表'!E:E),0)+W268*MAX(_xlfn.XLOOKUP(V268,'02效果表'!D:D,'02效果表'!E:E),0)+Y268*MAX(_xlfn.XLOOKUP(X268,'02效果表'!D:D,'02效果表'!E:E),0)+AA268*MAX(_xlfn.XLOOKUP(Z268,'02效果表'!D:D,'02效果表'!E:E),0)+AC268*MAX(_xlfn.XLOOKUP(AB268,'02效果表'!D:D,'02效果表'!E:E),0)+AE268*MAX(_xlfn.XLOOKUP(AD268,'02效果表'!D:D,'02效果表'!E:E),0)),1)</f>
        <v>0</v>
      </c>
      <c r="H268" s="6"/>
      <c r="I268" s="6"/>
      <c r="J268" s="6"/>
      <c r="K268" s="6"/>
      <c r="L268" s="6"/>
      <c r="M268" s="6"/>
      <c r="N268" s="6"/>
      <c r="O268" s="6"/>
      <c r="P268" s="6"/>
      <c r="Q268" s="6"/>
      <c r="R268" s="6"/>
      <c r="S268" s="6"/>
      <c r="T268" s="6"/>
      <c r="U268" s="6"/>
      <c r="V268" s="6"/>
      <c r="W268" s="6"/>
      <c r="X268" s="6"/>
      <c r="Y268" s="6"/>
      <c r="Z268" s="6"/>
      <c r="AA268" s="6"/>
      <c r="AB268" s="6"/>
      <c r="AC268" s="6"/>
      <c r="AD268" s="6"/>
      <c r="AE268" s="6"/>
    </row>
    <row r="269" spans="1:31" x14ac:dyDescent="0.35">
      <c r="A269" s="6">
        <v>269</v>
      </c>
      <c r="B269" s="6" t="s">
        <v>4</v>
      </c>
      <c r="C269" s="10" t="s">
        <v>17</v>
      </c>
      <c r="D269" s="9" t="s">
        <v>1476</v>
      </c>
      <c r="E269" s="7">
        <f t="shared" si="11"/>
        <v>0</v>
      </c>
      <c r="F269" s="7">
        <f>-1*ROUND(1/6*(I269*IF(_xlfn.XLOOKUP(H269,'02效果表'!D:D,'02效果表'!E:E)&lt;0, _xlfn.XLOOKUP(H269,'02效果表'!D:D,'02效果表'!E:E), 0) +
K269*IF(_xlfn.XLOOKUP(J269,'02效果表'!D:D,'02效果表'!E:E)&lt;0, _xlfn.XLOOKUP(J269,'02效果表'!D:D,'02效果表'!E:E), 0) +
M269*IF(_xlfn.XLOOKUP(L269,'02效果表'!D:D,'02效果表'!E:E)&lt;0, _xlfn.XLOOKUP(L269,'02效果表'!D:D,'02效果表'!E:E), 0) +
O269*IF(_xlfn.XLOOKUP(N269,'02效果表'!D:D,'02效果表'!E:E)&lt;0, _xlfn.XLOOKUP(N269,'02效果表'!D:D,'02效果表'!E:E), 0) +
Q269*IF(_xlfn.XLOOKUP(P269,'02效果表'!D:D,'02效果表'!E:E)&lt;0, _xlfn.XLOOKUP(P269,'02效果表'!D:D,'02效果表'!E:E), 0) +
S269*IF(_xlfn.XLOOKUP(R269,'02效果表'!D:D,'02效果表'!E:E)&lt;0, _xlfn.XLOOKUP(R269,'02效果表'!D:D,'02效果表'!E:E), 0) +
U269*IF(_xlfn.XLOOKUP(T269,'02效果表'!D:D,'02效果表'!E:E)&lt;0, _xlfn.XLOOKUP(T269,'02效果表'!D:D,'02效果表'!E:E), 0) +
W269*IF(_xlfn.XLOOKUP(V269,'02效果表'!D:D,'02效果表'!E:E)&lt;0, _xlfn.XLOOKUP(V269,'02效果表'!D:D,'02效果表'!E:E), 0) +
Y269*IF(_xlfn.XLOOKUP(X269,'02效果表'!D:D,'02效果表'!E:E)&lt;0, _xlfn.XLOOKUP(X269,'02效果表'!D:D,'02效果表'!E:E), 0) +
AA269*IF(_xlfn.XLOOKUP(Z269,'02效果表'!D:D,'02效果表'!E:E)&lt;0, _xlfn.XLOOKUP(Z269,'02效果表'!D:D,'02效果表'!E:E), 0) +
AC269*IF(_xlfn.XLOOKUP(AB269,'02效果表'!D:D,'02效果表'!E:E)&lt;0, _xlfn.XLOOKUP(AB269,'02效果表'!D:D,'02效果表'!E:E), 0) +
AE269*IF(_xlfn.XLOOKUP(AD269,'02效果表'!D:D,'02效果表'!E:E)&lt;0, _xlfn.XLOOKUP(AD269,'02效果表'!D:D,'02效果表'!E:E), 0)), 1)</f>
        <v>0</v>
      </c>
      <c r="G269" s="7">
        <f>ROUND(1/6*(I269*MAX(_xlfn.XLOOKUP(H269,'02效果表'!D:D,'02效果表'!E:E),0)+K269*MAX(_xlfn.XLOOKUP(J269,'02效果表'!D:D,'02效果表'!E:E),0)+M269*MAX(_xlfn.XLOOKUP(L269,'02效果表'!D:D,'02效果表'!E:E),0)+O269*MAX(_xlfn.XLOOKUP(N269,'02效果表'!D:D,'02效果表'!E:E),0)+Q269*MAX(_xlfn.XLOOKUP(P269,'02效果表'!D:D,'02效果表'!E:E),0)+S269*MAX(_xlfn.XLOOKUP(R269,'02效果表'!D:D,'02效果表'!E:E),0)+U269*MAX(_xlfn.XLOOKUP(T269,'02效果表'!D:D,'02效果表'!E:E),0)+W269*MAX(_xlfn.XLOOKUP(V269,'02效果表'!D:D,'02效果表'!E:E),0)+Y269*MAX(_xlfn.XLOOKUP(X269,'02效果表'!D:D,'02效果表'!E:E),0)+AA269*MAX(_xlfn.XLOOKUP(Z269,'02效果表'!D:D,'02效果表'!E:E),0)+AC269*MAX(_xlfn.XLOOKUP(AB269,'02效果表'!D:D,'02效果表'!E:E),0)+AE269*MAX(_xlfn.XLOOKUP(AD269,'02效果表'!D:D,'02效果表'!E:E),0)),1)</f>
        <v>0</v>
      </c>
      <c r="H269" s="6"/>
      <c r="I269" s="6"/>
      <c r="J269" s="6"/>
      <c r="K269" s="6"/>
      <c r="L269" s="6"/>
      <c r="M269" s="6"/>
      <c r="N269" s="6"/>
      <c r="O269" s="6"/>
      <c r="P269" s="6"/>
      <c r="Q269" s="6"/>
      <c r="R269" s="6"/>
      <c r="S269" s="6"/>
      <c r="T269" s="6"/>
      <c r="U269" s="6"/>
      <c r="V269" s="6"/>
      <c r="W269" s="6"/>
      <c r="X269" s="6"/>
      <c r="Y269" s="6"/>
      <c r="Z269" s="6"/>
      <c r="AA269" s="6"/>
      <c r="AB269" s="6"/>
      <c r="AC269" s="6"/>
      <c r="AD269" s="6"/>
      <c r="AE269" s="6"/>
    </row>
    <row r="270" spans="1:31" x14ac:dyDescent="0.35">
      <c r="A270" s="6">
        <v>270</v>
      </c>
      <c r="B270" s="6" t="s">
        <v>4</v>
      </c>
      <c r="C270" s="10" t="s">
        <v>17</v>
      </c>
      <c r="D270" s="9" t="s">
        <v>1477</v>
      </c>
      <c r="E270" s="7">
        <f t="shared" si="11"/>
        <v>0</v>
      </c>
      <c r="F270" s="7">
        <f>-1*ROUND(1/6*(I270*IF(_xlfn.XLOOKUP(H270,'02效果表'!D:D,'02效果表'!E:E)&lt;0, _xlfn.XLOOKUP(H270,'02效果表'!D:D,'02效果表'!E:E), 0) +
K270*IF(_xlfn.XLOOKUP(J270,'02效果表'!D:D,'02效果表'!E:E)&lt;0, _xlfn.XLOOKUP(J270,'02效果表'!D:D,'02效果表'!E:E), 0) +
M270*IF(_xlfn.XLOOKUP(L270,'02效果表'!D:D,'02效果表'!E:E)&lt;0, _xlfn.XLOOKUP(L270,'02效果表'!D:D,'02效果表'!E:E), 0) +
O270*IF(_xlfn.XLOOKUP(N270,'02效果表'!D:D,'02效果表'!E:E)&lt;0, _xlfn.XLOOKUP(N270,'02效果表'!D:D,'02效果表'!E:E), 0) +
Q270*IF(_xlfn.XLOOKUP(P270,'02效果表'!D:D,'02效果表'!E:E)&lt;0, _xlfn.XLOOKUP(P270,'02效果表'!D:D,'02效果表'!E:E), 0) +
S270*IF(_xlfn.XLOOKUP(R270,'02效果表'!D:D,'02效果表'!E:E)&lt;0, _xlfn.XLOOKUP(R270,'02效果表'!D:D,'02效果表'!E:E), 0) +
U270*IF(_xlfn.XLOOKUP(T270,'02效果表'!D:D,'02效果表'!E:E)&lt;0, _xlfn.XLOOKUP(T270,'02效果表'!D:D,'02效果表'!E:E), 0) +
W270*IF(_xlfn.XLOOKUP(V270,'02效果表'!D:D,'02效果表'!E:E)&lt;0, _xlfn.XLOOKUP(V270,'02效果表'!D:D,'02效果表'!E:E), 0) +
Y270*IF(_xlfn.XLOOKUP(X270,'02效果表'!D:D,'02效果表'!E:E)&lt;0, _xlfn.XLOOKUP(X270,'02效果表'!D:D,'02效果表'!E:E), 0) +
AA270*IF(_xlfn.XLOOKUP(Z270,'02效果表'!D:D,'02效果表'!E:E)&lt;0, _xlfn.XLOOKUP(Z270,'02效果表'!D:D,'02效果表'!E:E), 0) +
AC270*IF(_xlfn.XLOOKUP(AB270,'02效果表'!D:D,'02效果表'!E:E)&lt;0, _xlfn.XLOOKUP(AB270,'02效果表'!D:D,'02效果表'!E:E), 0) +
AE270*IF(_xlfn.XLOOKUP(AD270,'02效果表'!D:D,'02效果表'!E:E)&lt;0, _xlfn.XLOOKUP(AD270,'02效果表'!D:D,'02效果表'!E:E), 0)), 1)</f>
        <v>0</v>
      </c>
      <c r="G270" s="7">
        <f>ROUND(1/6*(I270*MAX(_xlfn.XLOOKUP(H270,'02效果表'!D:D,'02效果表'!E:E),0)+K270*MAX(_xlfn.XLOOKUP(J270,'02效果表'!D:D,'02效果表'!E:E),0)+M270*MAX(_xlfn.XLOOKUP(L270,'02效果表'!D:D,'02效果表'!E:E),0)+O270*MAX(_xlfn.XLOOKUP(N270,'02效果表'!D:D,'02效果表'!E:E),0)+Q270*MAX(_xlfn.XLOOKUP(P270,'02效果表'!D:D,'02效果表'!E:E),0)+S270*MAX(_xlfn.XLOOKUP(R270,'02效果表'!D:D,'02效果表'!E:E),0)+U270*MAX(_xlfn.XLOOKUP(T270,'02效果表'!D:D,'02效果表'!E:E),0)+W270*MAX(_xlfn.XLOOKUP(V270,'02效果表'!D:D,'02效果表'!E:E),0)+Y270*MAX(_xlfn.XLOOKUP(X270,'02效果表'!D:D,'02效果表'!E:E),0)+AA270*MAX(_xlfn.XLOOKUP(Z270,'02效果表'!D:D,'02效果表'!E:E),0)+AC270*MAX(_xlfn.XLOOKUP(AB270,'02效果表'!D:D,'02效果表'!E:E),0)+AE270*MAX(_xlfn.XLOOKUP(AD270,'02效果表'!D:D,'02效果表'!E:E),0)),1)</f>
        <v>0</v>
      </c>
      <c r="H270" s="6"/>
      <c r="I270" s="6"/>
      <c r="J270" s="6"/>
      <c r="K270" s="6"/>
      <c r="L270" s="6"/>
      <c r="M270" s="6"/>
      <c r="N270" s="6"/>
      <c r="O270" s="6"/>
      <c r="P270" s="6"/>
      <c r="Q270" s="6"/>
      <c r="R270" s="6"/>
      <c r="S270" s="6"/>
      <c r="T270" s="6"/>
      <c r="U270" s="6"/>
      <c r="V270" s="6"/>
      <c r="W270" s="6"/>
      <c r="X270" s="6"/>
      <c r="Y270" s="6"/>
      <c r="Z270" s="6"/>
      <c r="AA270" s="6"/>
      <c r="AB270" s="6"/>
      <c r="AC270" s="6"/>
      <c r="AD270" s="6"/>
      <c r="AE270" s="6"/>
    </row>
    <row r="271" spans="1:31" x14ac:dyDescent="0.35">
      <c r="A271" s="6">
        <v>271</v>
      </c>
      <c r="B271" s="6" t="s">
        <v>4</v>
      </c>
      <c r="C271" s="10" t="s">
        <v>17</v>
      </c>
      <c r="D271" s="9" t="s">
        <v>1478</v>
      </c>
      <c r="E271" s="7">
        <f t="shared" si="11"/>
        <v>0</v>
      </c>
      <c r="F271" s="7">
        <f>-1*ROUND(1/6*(I271*IF(_xlfn.XLOOKUP(H271,'02效果表'!D:D,'02效果表'!E:E)&lt;0, _xlfn.XLOOKUP(H271,'02效果表'!D:D,'02效果表'!E:E), 0) +
K271*IF(_xlfn.XLOOKUP(J271,'02效果表'!D:D,'02效果表'!E:E)&lt;0, _xlfn.XLOOKUP(J271,'02效果表'!D:D,'02效果表'!E:E), 0) +
M271*IF(_xlfn.XLOOKUP(L271,'02效果表'!D:D,'02效果表'!E:E)&lt;0, _xlfn.XLOOKUP(L271,'02效果表'!D:D,'02效果表'!E:E), 0) +
O271*IF(_xlfn.XLOOKUP(N271,'02效果表'!D:D,'02效果表'!E:E)&lt;0, _xlfn.XLOOKUP(N271,'02效果表'!D:D,'02效果表'!E:E), 0) +
Q271*IF(_xlfn.XLOOKUP(P271,'02效果表'!D:D,'02效果表'!E:E)&lt;0, _xlfn.XLOOKUP(P271,'02效果表'!D:D,'02效果表'!E:E), 0) +
S271*IF(_xlfn.XLOOKUP(R271,'02效果表'!D:D,'02效果表'!E:E)&lt;0, _xlfn.XLOOKUP(R271,'02效果表'!D:D,'02效果表'!E:E), 0) +
U271*IF(_xlfn.XLOOKUP(T271,'02效果表'!D:D,'02效果表'!E:E)&lt;0, _xlfn.XLOOKUP(T271,'02效果表'!D:D,'02效果表'!E:E), 0) +
W271*IF(_xlfn.XLOOKUP(V271,'02效果表'!D:D,'02效果表'!E:E)&lt;0, _xlfn.XLOOKUP(V271,'02效果表'!D:D,'02效果表'!E:E), 0) +
Y271*IF(_xlfn.XLOOKUP(X271,'02效果表'!D:D,'02效果表'!E:E)&lt;0, _xlfn.XLOOKUP(X271,'02效果表'!D:D,'02效果表'!E:E), 0) +
AA271*IF(_xlfn.XLOOKUP(Z271,'02效果表'!D:D,'02效果表'!E:E)&lt;0, _xlfn.XLOOKUP(Z271,'02效果表'!D:D,'02效果表'!E:E), 0) +
AC271*IF(_xlfn.XLOOKUP(AB271,'02效果表'!D:D,'02效果表'!E:E)&lt;0, _xlfn.XLOOKUP(AB271,'02效果表'!D:D,'02效果表'!E:E), 0) +
AE271*IF(_xlfn.XLOOKUP(AD271,'02效果表'!D:D,'02效果表'!E:E)&lt;0, _xlfn.XLOOKUP(AD271,'02效果表'!D:D,'02效果表'!E:E), 0)), 1)</f>
        <v>0</v>
      </c>
      <c r="G271" s="7">
        <f>ROUND(1/6*(I271*MAX(_xlfn.XLOOKUP(H271,'02效果表'!D:D,'02效果表'!E:E),0)+K271*MAX(_xlfn.XLOOKUP(J271,'02效果表'!D:D,'02效果表'!E:E),0)+M271*MAX(_xlfn.XLOOKUP(L271,'02效果表'!D:D,'02效果表'!E:E),0)+O271*MAX(_xlfn.XLOOKUP(N271,'02效果表'!D:D,'02效果表'!E:E),0)+Q271*MAX(_xlfn.XLOOKUP(P271,'02效果表'!D:D,'02效果表'!E:E),0)+S271*MAX(_xlfn.XLOOKUP(R271,'02效果表'!D:D,'02效果表'!E:E),0)+U271*MAX(_xlfn.XLOOKUP(T271,'02效果表'!D:D,'02效果表'!E:E),0)+W271*MAX(_xlfn.XLOOKUP(V271,'02效果表'!D:D,'02效果表'!E:E),0)+Y271*MAX(_xlfn.XLOOKUP(X271,'02效果表'!D:D,'02效果表'!E:E),0)+AA271*MAX(_xlfn.XLOOKUP(Z271,'02效果表'!D:D,'02效果表'!E:E),0)+AC271*MAX(_xlfn.XLOOKUP(AB271,'02效果表'!D:D,'02效果表'!E:E),0)+AE271*MAX(_xlfn.XLOOKUP(AD271,'02效果表'!D:D,'02效果表'!E:E),0)),1)</f>
        <v>0</v>
      </c>
      <c r="H271" s="6"/>
      <c r="I271" s="6"/>
      <c r="J271" s="6"/>
      <c r="K271" s="6"/>
      <c r="L271" s="6"/>
      <c r="M271" s="6"/>
      <c r="N271" s="6"/>
      <c r="O271" s="6"/>
      <c r="P271" s="6"/>
      <c r="Q271" s="6"/>
      <c r="R271" s="6"/>
      <c r="S271" s="6"/>
      <c r="T271" s="6"/>
      <c r="U271" s="6"/>
      <c r="V271" s="6"/>
      <c r="W271" s="6"/>
      <c r="X271" s="6"/>
      <c r="Y271" s="6"/>
      <c r="Z271" s="6"/>
      <c r="AA271" s="6"/>
      <c r="AB271" s="6"/>
      <c r="AC271" s="6"/>
      <c r="AD271" s="6"/>
      <c r="AE271" s="6"/>
    </row>
    <row r="272" spans="1:31" x14ac:dyDescent="0.35">
      <c r="A272" s="6">
        <v>272</v>
      </c>
      <c r="B272" s="6" t="s">
        <v>4</v>
      </c>
      <c r="C272" s="10" t="s">
        <v>17</v>
      </c>
      <c r="D272" s="9" t="s">
        <v>1479</v>
      </c>
      <c r="E272" s="7">
        <f t="shared" si="11"/>
        <v>0</v>
      </c>
      <c r="F272" s="7">
        <f>-1*ROUND(1/6*(I272*IF(_xlfn.XLOOKUP(H272,'02效果表'!D:D,'02效果表'!E:E)&lt;0, _xlfn.XLOOKUP(H272,'02效果表'!D:D,'02效果表'!E:E), 0) +
K272*IF(_xlfn.XLOOKUP(J272,'02效果表'!D:D,'02效果表'!E:E)&lt;0, _xlfn.XLOOKUP(J272,'02效果表'!D:D,'02效果表'!E:E), 0) +
M272*IF(_xlfn.XLOOKUP(L272,'02效果表'!D:D,'02效果表'!E:E)&lt;0, _xlfn.XLOOKUP(L272,'02效果表'!D:D,'02效果表'!E:E), 0) +
O272*IF(_xlfn.XLOOKUP(N272,'02效果表'!D:D,'02效果表'!E:E)&lt;0, _xlfn.XLOOKUP(N272,'02效果表'!D:D,'02效果表'!E:E), 0) +
Q272*IF(_xlfn.XLOOKUP(P272,'02效果表'!D:D,'02效果表'!E:E)&lt;0, _xlfn.XLOOKUP(P272,'02效果表'!D:D,'02效果表'!E:E), 0) +
S272*IF(_xlfn.XLOOKUP(R272,'02效果表'!D:D,'02效果表'!E:E)&lt;0, _xlfn.XLOOKUP(R272,'02效果表'!D:D,'02效果表'!E:E), 0) +
U272*IF(_xlfn.XLOOKUP(T272,'02效果表'!D:D,'02效果表'!E:E)&lt;0, _xlfn.XLOOKUP(T272,'02效果表'!D:D,'02效果表'!E:E), 0) +
W272*IF(_xlfn.XLOOKUP(V272,'02效果表'!D:D,'02效果表'!E:E)&lt;0, _xlfn.XLOOKUP(V272,'02效果表'!D:D,'02效果表'!E:E), 0) +
Y272*IF(_xlfn.XLOOKUP(X272,'02效果表'!D:D,'02效果表'!E:E)&lt;0, _xlfn.XLOOKUP(X272,'02效果表'!D:D,'02效果表'!E:E), 0) +
AA272*IF(_xlfn.XLOOKUP(Z272,'02效果表'!D:D,'02效果表'!E:E)&lt;0, _xlfn.XLOOKUP(Z272,'02效果表'!D:D,'02效果表'!E:E), 0) +
AC272*IF(_xlfn.XLOOKUP(AB272,'02效果表'!D:D,'02效果表'!E:E)&lt;0, _xlfn.XLOOKUP(AB272,'02效果表'!D:D,'02效果表'!E:E), 0) +
AE272*IF(_xlfn.XLOOKUP(AD272,'02效果表'!D:D,'02效果表'!E:E)&lt;0, _xlfn.XLOOKUP(AD272,'02效果表'!D:D,'02效果表'!E:E), 0)), 1)</f>
        <v>0</v>
      </c>
      <c r="G272" s="7">
        <f>ROUND(1/6*(I272*MAX(_xlfn.XLOOKUP(H272,'02效果表'!D:D,'02效果表'!E:E),0)+K272*MAX(_xlfn.XLOOKUP(J272,'02效果表'!D:D,'02效果表'!E:E),0)+M272*MAX(_xlfn.XLOOKUP(L272,'02效果表'!D:D,'02效果表'!E:E),0)+O272*MAX(_xlfn.XLOOKUP(N272,'02效果表'!D:D,'02效果表'!E:E),0)+Q272*MAX(_xlfn.XLOOKUP(P272,'02效果表'!D:D,'02效果表'!E:E),0)+S272*MAX(_xlfn.XLOOKUP(R272,'02效果表'!D:D,'02效果表'!E:E),0)+U272*MAX(_xlfn.XLOOKUP(T272,'02效果表'!D:D,'02效果表'!E:E),0)+W272*MAX(_xlfn.XLOOKUP(V272,'02效果表'!D:D,'02效果表'!E:E),0)+Y272*MAX(_xlfn.XLOOKUP(X272,'02效果表'!D:D,'02效果表'!E:E),0)+AA272*MAX(_xlfn.XLOOKUP(Z272,'02效果表'!D:D,'02效果表'!E:E),0)+AC272*MAX(_xlfn.XLOOKUP(AB272,'02效果表'!D:D,'02效果表'!E:E),0)+AE272*MAX(_xlfn.XLOOKUP(AD272,'02效果表'!D:D,'02效果表'!E:E),0)),1)</f>
        <v>0</v>
      </c>
      <c r="H272" s="6"/>
      <c r="I272" s="6"/>
      <c r="J272" s="6"/>
      <c r="K272" s="6"/>
      <c r="L272" s="6"/>
      <c r="M272" s="6"/>
      <c r="N272" s="6"/>
      <c r="O272" s="6"/>
      <c r="P272" s="6"/>
      <c r="Q272" s="6"/>
      <c r="R272" s="6"/>
      <c r="S272" s="6"/>
      <c r="T272" s="6"/>
      <c r="U272" s="6"/>
      <c r="V272" s="6"/>
      <c r="W272" s="6"/>
      <c r="X272" s="6"/>
      <c r="Y272" s="6"/>
      <c r="Z272" s="6"/>
      <c r="AA272" s="6"/>
      <c r="AB272" s="6"/>
      <c r="AC272" s="6"/>
      <c r="AD272" s="6"/>
      <c r="AE272" s="6"/>
    </row>
    <row r="273" spans="1:31" x14ac:dyDescent="0.35">
      <c r="A273" s="6">
        <v>273</v>
      </c>
      <c r="B273" s="6" t="s">
        <v>4</v>
      </c>
      <c r="C273" s="10" t="s">
        <v>17</v>
      </c>
      <c r="D273" s="9" t="s">
        <v>1480</v>
      </c>
      <c r="E273" s="7">
        <f t="shared" si="11"/>
        <v>0</v>
      </c>
      <c r="F273" s="7">
        <f>-1*ROUND(1/6*(I273*IF(_xlfn.XLOOKUP(H273,'02效果表'!D:D,'02效果表'!E:E)&lt;0, _xlfn.XLOOKUP(H273,'02效果表'!D:D,'02效果表'!E:E), 0) +
K273*IF(_xlfn.XLOOKUP(J273,'02效果表'!D:D,'02效果表'!E:E)&lt;0, _xlfn.XLOOKUP(J273,'02效果表'!D:D,'02效果表'!E:E), 0) +
M273*IF(_xlfn.XLOOKUP(L273,'02效果表'!D:D,'02效果表'!E:E)&lt;0, _xlfn.XLOOKUP(L273,'02效果表'!D:D,'02效果表'!E:E), 0) +
O273*IF(_xlfn.XLOOKUP(N273,'02效果表'!D:D,'02效果表'!E:E)&lt;0, _xlfn.XLOOKUP(N273,'02效果表'!D:D,'02效果表'!E:E), 0) +
Q273*IF(_xlfn.XLOOKUP(P273,'02效果表'!D:D,'02效果表'!E:E)&lt;0, _xlfn.XLOOKUP(P273,'02效果表'!D:D,'02效果表'!E:E), 0) +
S273*IF(_xlfn.XLOOKUP(R273,'02效果表'!D:D,'02效果表'!E:E)&lt;0, _xlfn.XLOOKUP(R273,'02效果表'!D:D,'02效果表'!E:E), 0) +
U273*IF(_xlfn.XLOOKUP(T273,'02效果表'!D:D,'02效果表'!E:E)&lt;0, _xlfn.XLOOKUP(T273,'02效果表'!D:D,'02效果表'!E:E), 0) +
W273*IF(_xlfn.XLOOKUP(V273,'02效果表'!D:D,'02效果表'!E:E)&lt;0, _xlfn.XLOOKUP(V273,'02效果表'!D:D,'02效果表'!E:E), 0) +
Y273*IF(_xlfn.XLOOKUP(X273,'02效果表'!D:D,'02效果表'!E:E)&lt;0, _xlfn.XLOOKUP(X273,'02效果表'!D:D,'02效果表'!E:E), 0) +
AA273*IF(_xlfn.XLOOKUP(Z273,'02效果表'!D:D,'02效果表'!E:E)&lt;0, _xlfn.XLOOKUP(Z273,'02效果表'!D:D,'02效果表'!E:E), 0) +
AC273*IF(_xlfn.XLOOKUP(AB273,'02效果表'!D:D,'02效果表'!E:E)&lt;0, _xlfn.XLOOKUP(AB273,'02效果表'!D:D,'02效果表'!E:E), 0) +
AE273*IF(_xlfn.XLOOKUP(AD273,'02效果表'!D:D,'02效果表'!E:E)&lt;0, _xlfn.XLOOKUP(AD273,'02效果表'!D:D,'02效果表'!E:E), 0)), 1)</f>
        <v>0</v>
      </c>
      <c r="G273" s="7">
        <f>ROUND(1/6*(I273*MAX(_xlfn.XLOOKUP(H273,'02效果表'!D:D,'02效果表'!E:E),0)+K273*MAX(_xlfn.XLOOKUP(J273,'02效果表'!D:D,'02效果表'!E:E),0)+M273*MAX(_xlfn.XLOOKUP(L273,'02效果表'!D:D,'02效果表'!E:E),0)+O273*MAX(_xlfn.XLOOKUP(N273,'02效果表'!D:D,'02效果表'!E:E),0)+Q273*MAX(_xlfn.XLOOKUP(P273,'02效果表'!D:D,'02效果表'!E:E),0)+S273*MAX(_xlfn.XLOOKUP(R273,'02效果表'!D:D,'02效果表'!E:E),0)+U273*MAX(_xlfn.XLOOKUP(T273,'02效果表'!D:D,'02效果表'!E:E),0)+W273*MAX(_xlfn.XLOOKUP(V273,'02效果表'!D:D,'02效果表'!E:E),0)+Y273*MAX(_xlfn.XLOOKUP(X273,'02效果表'!D:D,'02效果表'!E:E),0)+AA273*MAX(_xlfn.XLOOKUP(Z273,'02效果表'!D:D,'02效果表'!E:E),0)+AC273*MAX(_xlfn.XLOOKUP(AB273,'02效果表'!D:D,'02效果表'!E:E),0)+AE273*MAX(_xlfn.XLOOKUP(AD273,'02效果表'!D:D,'02效果表'!E:E),0)),1)</f>
        <v>0</v>
      </c>
      <c r="H273" s="6"/>
      <c r="I273" s="6"/>
      <c r="J273" s="6"/>
      <c r="K273" s="6"/>
      <c r="L273" s="6"/>
      <c r="M273" s="6"/>
      <c r="N273" s="6"/>
      <c r="O273" s="6"/>
      <c r="P273" s="6"/>
      <c r="Q273" s="6"/>
      <c r="R273" s="6"/>
      <c r="S273" s="6"/>
      <c r="T273" s="6"/>
      <c r="U273" s="6"/>
      <c r="V273" s="6"/>
      <c r="W273" s="6"/>
      <c r="X273" s="6"/>
      <c r="Y273" s="6"/>
      <c r="Z273" s="6"/>
      <c r="AA273" s="6"/>
      <c r="AB273" s="6"/>
      <c r="AC273" s="6"/>
      <c r="AD273" s="6"/>
      <c r="AE273" s="6"/>
    </row>
    <row r="274" spans="1:31" x14ac:dyDescent="0.35">
      <c r="A274" s="6">
        <v>274</v>
      </c>
      <c r="B274" s="6" t="s">
        <v>4</v>
      </c>
      <c r="C274" s="10" t="s">
        <v>17</v>
      </c>
      <c r="D274" s="9" t="s">
        <v>1481</v>
      </c>
      <c r="E274" s="7">
        <f t="shared" si="11"/>
        <v>0</v>
      </c>
      <c r="F274" s="7">
        <f>-1*ROUND(1/6*(I274*IF(_xlfn.XLOOKUP(H274,'02效果表'!D:D,'02效果表'!E:E)&lt;0, _xlfn.XLOOKUP(H274,'02效果表'!D:D,'02效果表'!E:E), 0) +
K274*IF(_xlfn.XLOOKUP(J274,'02效果表'!D:D,'02效果表'!E:E)&lt;0, _xlfn.XLOOKUP(J274,'02效果表'!D:D,'02效果表'!E:E), 0) +
M274*IF(_xlfn.XLOOKUP(L274,'02效果表'!D:D,'02效果表'!E:E)&lt;0, _xlfn.XLOOKUP(L274,'02效果表'!D:D,'02效果表'!E:E), 0) +
O274*IF(_xlfn.XLOOKUP(N274,'02效果表'!D:D,'02效果表'!E:E)&lt;0, _xlfn.XLOOKUP(N274,'02效果表'!D:D,'02效果表'!E:E), 0) +
Q274*IF(_xlfn.XLOOKUP(P274,'02效果表'!D:D,'02效果表'!E:E)&lt;0, _xlfn.XLOOKUP(P274,'02效果表'!D:D,'02效果表'!E:E), 0) +
S274*IF(_xlfn.XLOOKUP(R274,'02效果表'!D:D,'02效果表'!E:E)&lt;0, _xlfn.XLOOKUP(R274,'02效果表'!D:D,'02效果表'!E:E), 0) +
U274*IF(_xlfn.XLOOKUP(T274,'02效果表'!D:D,'02效果表'!E:E)&lt;0, _xlfn.XLOOKUP(T274,'02效果表'!D:D,'02效果表'!E:E), 0) +
W274*IF(_xlfn.XLOOKUP(V274,'02效果表'!D:D,'02效果表'!E:E)&lt;0, _xlfn.XLOOKUP(V274,'02效果表'!D:D,'02效果表'!E:E), 0) +
Y274*IF(_xlfn.XLOOKUP(X274,'02效果表'!D:D,'02效果表'!E:E)&lt;0, _xlfn.XLOOKUP(X274,'02效果表'!D:D,'02效果表'!E:E), 0) +
AA274*IF(_xlfn.XLOOKUP(Z274,'02效果表'!D:D,'02效果表'!E:E)&lt;0, _xlfn.XLOOKUP(Z274,'02效果表'!D:D,'02效果表'!E:E), 0) +
AC274*IF(_xlfn.XLOOKUP(AB274,'02效果表'!D:D,'02效果表'!E:E)&lt;0, _xlfn.XLOOKUP(AB274,'02效果表'!D:D,'02效果表'!E:E), 0) +
AE274*IF(_xlfn.XLOOKUP(AD274,'02效果表'!D:D,'02效果表'!E:E)&lt;0, _xlfn.XLOOKUP(AD274,'02效果表'!D:D,'02效果表'!E:E), 0)), 1)</f>
        <v>0</v>
      </c>
      <c r="G274" s="7">
        <f>ROUND(1/6*(I274*MAX(_xlfn.XLOOKUP(H274,'02效果表'!D:D,'02效果表'!E:E),0)+K274*MAX(_xlfn.XLOOKUP(J274,'02效果表'!D:D,'02效果表'!E:E),0)+M274*MAX(_xlfn.XLOOKUP(L274,'02效果表'!D:D,'02效果表'!E:E),0)+O274*MAX(_xlfn.XLOOKUP(N274,'02效果表'!D:D,'02效果表'!E:E),0)+Q274*MAX(_xlfn.XLOOKUP(P274,'02效果表'!D:D,'02效果表'!E:E),0)+S274*MAX(_xlfn.XLOOKUP(R274,'02效果表'!D:D,'02效果表'!E:E),0)+U274*MAX(_xlfn.XLOOKUP(T274,'02效果表'!D:D,'02效果表'!E:E),0)+W274*MAX(_xlfn.XLOOKUP(V274,'02效果表'!D:D,'02效果表'!E:E),0)+Y274*MAX(_xlfn.XLOOKUP(X274,'02效果表'!D:D,'02效果表'!E:E),0)+AA274*MAX(_xlfn.XLOOKUP(Z274,'02效果表'!D:D,'02效果表'!E:E),0)+AC274*MAX(_xlfn.XLOOKUP(AB274,'02效果表'!D:D,'02效果表'!E:E),0)+AE274*MAX(_xlfn.XLOOKUP(AD274,'02效果表'!D:D,'02效果表'!E:E),0)),1)</f>
        <v>0</v>
      </c>
      <c r="H274" s="6"/>
      <c r="I274" s="6"/>
      <c r="J274" s="6"/>
      <c r="K274" s="6"/>
      <c r="L274" s="6"/>
      <c r="M274" s="6"/>
      <c r="N274" s="6"/>
      <c r="O274" s="6"/>
      <c r="P274" s="6"/>
      <c r="Q274" s="6"/>
      <c r="R274" s="6"/>
      <c r="S274" s="6"/>
      <c r="T274" s="6"/>
      <c r="U274" s="6"/>
      <c r="V274" s="6"/>
      <c r="W274" s="6"/>
      <c r="X274" s="6"/>
      <c r="Y274" s="6"/>
      <c r="Z274" s="6"/>
      <c r="AA274" s="6"/>
      <c r="AB274" s="6"/>
      <c r="AC274" s="6"/>
      <c r="AD274" s="6"/>
      <c r="AE274" s="6"/>
    </row>
    <row r="275" spans="1:31" x14ac:dyDescent="0.35">
      <c r="A275" s="6">
        <v>275</v>
      </c>
      <c r="B275" s="6" t="s">
        <v>4</v>
      </c>
      <c r="C275" s="10" t="s">
        <v>17</v>
      </c>
      <c r="D275" s="9" t="s">
        <v>1482</v>
      </c>
      <c r="E275" s="7">
        <f t="shared" si="11"/>
        <v>0</v>
      </c>
      <c r="F275" s="7">
        <f>-1*ROUND(1/6*(I275*IF(_xlfn.XLOOKUP(H275,'02效果表'!D:D,'02效果表'!E:E)&lt;0, _xlfn.XLOOKUP(H275,'02效果表'!D:D,'02效果表'!E:E), 0) +
K275*IF(_xlfn.XLOOKUP(J275,'02效果表'!D:D,'02效果表'!E:E)&lt;0, _xlfn.XLOOKUP(J275,'02效果表'!D:D,'02效果表'!E:E), 0) +
M275*IF(_xlfn.XLOOKUP(L275,'02效果表'!D:D,'02效果表'!E:E)&lt;0, _xlfn.XLOOKUP(L275,'02效果表'!D:D,'02效果表'!E:E), 0) +
O275*IF(_xlfn.XLOOKUP(N275,'02效果表'!D:D,'02效果表'!E:E)&lt;0, _xlfn.XLOOKUP(N275,'02效果表'!D:D,'02效果表'!E:E), 0) +
Q275*IF(_xlfn.XLOOKUP(P275,'02效果表'!D:D,'02效果表'!E:E)&lt;0, _xlfn.XLOOKUP(P275,'02效果表'!D:D,'02效果表'!E:E), 0) +
S275*IF(_xlfn.XLOOKUP(R275,'02效果表'!D:D,'02效果表'!E:E)&lt;0, _xlfn.XLOOKUP(R275,'02效果表'!D:D,'02效果表'!E:E), 0) +
U275*IF(_xlfn.XLOOKUP(T275,'02效果表'!D:D,'02效果表'!E:E)&lt;0, _xlfn.XLOOKUP(T275,'02效果表'!D:D,'02效果表'!E:E), 0) +
W275*IF(_xlfn.XLOOKUP(V275,'02效果表'!D:D,'02效果表'!E:E)&lt;0, _xlfn.XLOOKUP(V275,'02效果表'!D:D,'02效果表'!E:E), 0) +
Y275*IF(_xlfn.XLOOKUP(X275,'02效果表'!D:D,'02效果表'!E:E)&lt;0, _xlfn.XLOOKUP(X275,'02效果表'!D:D,'02效果表'!E:E), 0) +
AA275*IF(_xlfn.XLOOKUP(Z275,'02效果表'!D:D,'02效果表'!E:E)&lt;0, _xlfn.XLOOKUP(Z275,'02效果表'!D:D,'02效果表'!E:E), 0) +
AC275*IF(_xlfn.XLOOKUP(AB275,'02效果表'!D:D,'02效果表'!E:E)&lt;0, _xlfn.XLOOKUP(AB275,'02效果表'!D:D,'02效果表'!E:E), 0) +
AE275*IF(_xlfn.XLOOKUP(AD275,'02效果表'!D:D,'02效果表'!E:E)&lt;0, _xlfn.XLOOKUP(AD275,'02效果表'!D:D,'02效果表'!E:E), 0)), 1)</f>
        <v>0</v>
      </c>
      <c r="G275" s="7">
        <f>ROUND(1/6*(I275*MAX(_xlfn.XLOOKUP(H275,'02效果表'!D:D,'02效果表'!E:E),0)+K275*MAX(_xlfn.XLOOKUP(J275,'02效果表'!D:D,'02效果表'!E:E),0)+M275*MAX(_xlfn.XLOOKUP(L275,'02效果表'!D:D,'02效果表'!E:E),0)+O275*MAX(_xlfn.XLOOKUP(N275,'02效果表'!D:D,'02效果表'!E:E),0)+Q275*MAX(_xlfn.XLOOKUP(P275,'02效果表'!D:D,'02效果表'!E:E),0)+S275*MAX(_xlfn.XLOOKUP(R275,'02效果表'!D:D,'02效果表'!E:E),0)+U275*MAX(_xlfn.XLOOKUP(T275,'02效果表'!D:D,'02效果表'!E:E),0)+W275*MAX(_xlfn.XLOOKUP(V275,'02效果表'!D:D,'02效果表'!E:E),0)+Y275*MAX(_xlfn.XLOOKUP(X275,'02效果表'!D:D,'02效果表'!E:E),0)+AA275*MAX(_xlfn.XLOOKUP(Z275,'02效果表'!D:D,'02效果表'!E:E),0)+AC275*MAX(_xlfn.XLOOKUP(AB275,'02效果表'!D:D,'02效果表'!E:E),0)+AE275*MAX(_xlfn.XLOOKUP(AD275,'02效果表'!D:D,'02效果表'!E:E),0)),1)</f>
        <v>0</v>
      </c>
      <c r="H275" s="6"/>
      <c r="I275" s="6"/>
      <c r="J275" s="6"/>
      <c r="K275" s="6"/>
      <c r="L275" s="6"/>
      <c r="M275" s="6"/>
      <c r="N275" s="6"/>
      <c r="O275" s="6"/>
      <c r="P275" s="6"/>
      <c r="Q275" s="6"/>
      <c r="R275" s="6"/>
      <c r="S275" s="6"/>
      <c r="T275" s="6"/>
      <c r="U275" s="6"/>
      <c r="V275" s="6"/>
      <c r="W275" s="6"/>
      <c r="X275" s="6"/>
      <c r="Y275" s="6"/>
      <c r="Z275" s="6"/>
      <c r="AA275" s="6"/>
      <c r="AB275" s="6"/>
      <c r="AC275" s="6"/>
      <c r="AD275" s="6"/>
      <c r="AE275" s="6"/>
    </row>
    <row r="276" spans="1:31" x14ac:dyDescent="0.35">
      <c r="A276" s="6">
        <v>276</v>
      </c>
      <c r="B276" s="6" t="s">
        <v>4</v>
      </c>
      <c r="C276" s="10" t="s">
        <v>17</v>
      </c>
      <c r="D276" s="9" t="s">
        <v>1483</v>
      </c>
      <c r="E276" s="7">
        <f t="shared" si="11"/>
        <v>0</v>
      </c>
      <c r="F276" s="7">
        <f>-1*ROUND(1/6*(I276*IF(_xlfn.XLOOKUP(H276,'02效果表'!D:D,'02效果表'!E:E)&lt;0, _xlfn.XLOOKUP(H276,'02效果表'!D:D,'02效果表'!E:E), 0) +
K276*IF(_xlfn.XLOOKUP(J276,'02效果表'!D:D,'02效果表'!E:E)&lt;0, _xlfn.XLOOKUP(J276,'02效果表'!D:D,'02效果表'!E:E), 0) +
M276*IF(_xlfn.XLOOKUP(L276,'02效果表'!D:D,'02效果表'!E:E)&lt;0, _xlfn.XLOOKUP(L276,'02效果表'!D:D,'02效果表'!E:E), 0) +
O276*IF(_xlfn.XLOOKUP(N276,'02效果表'!D:D,'02效果表'!E:E)&lt;0, _xlfn.XLOOKUP(N276,'02效果表'!D:D,'02效果表'!E:E), 0) +
Q276*IF(_xlfn.XLOOKUP(P276,'02效果表'!D:D,'02效果表'!E:E)&lt;0, _xlfn.XLOOKUP(P276,'02效果表'!D:D,'02效果表'!E:E), 0) +
S276*IF(_xlfn.XLOOKUP(R276,'02效果表'!D:D,'02效果表'!E:E)&lt;0, _xlfn.XLOOKUP(R276,'02效果表'!D:D,'02效果表'!E:E), 0) +
U276*IF(_xlfn.XLOOKUP(T276,'02效果表'!D:D,'02效果表'!E:E)&lt;0, _xlfn.XLOOKUP(T276,'02效果表'!D:D,'02效果表'!E:E), 0) +
W276*IF(_xlfn.XLOOKUP(V276,'02效果表'!D:D,'02效果表'!E:E)&lt;0, _xlfn.XLOOKUP(V276,'02效果表'!D:D,'02效果表'!E:E), 0) +
Y276*IF(_xlfn.XLOOKUP(X276,'02效果表'!D:D,'02效果表'!E:E)&lt;0, _xlfn.XLOOKUP(X276,'02效果表'!D:D,'02效果表'!E:E), 0) +
AA276*IF(_xlfn.XLOOKUP(Z276,'02效果表'!D:D,'02效果表'!E:E)&lt;0, _xlfn.XLOOKUP(Z276,'02效果表'!D:D,'02效果表'!E:E), 0) +
AC276*IF(_xlfn.XLOOKUP(AB276,'02效果表'!D:D,'02效果表'!E:E)&lt;0, _xlfn.XLOOKUP(AB276,'02效果表'!D:D,'02效果表'!E:E), 0) +
AE276*IF(_xlfn.XLOOKUP(AD276,'02效果表'!D:D,'02效果表'!E:E)&lt;0, _xlfn.XLOOKUP(AD276,'02效果表'!D:D,'02效果表'!E:E), 0)), 1)</f>
        <v>0</v>
      </c>
      <c r="G276" s="7">
        <f>ROUND(1/6*(I276*MAX(_xlfn.XLOOKUP(H276,'02效果表'!D:D,'02效果表'!E:E),0)+K276*MAX(_xlfn.XLOOKUP(J276,'02效果表'!D:D,'02效果表'!E:E),0)+M276*MAX(_xlfn.XLOOKUP(L276,'02效果表'!D:D,'02效果表'!E:E),0)+O276*MAX(_xlfn.XLOOKUP(N276,'02效果表'!D:D,'02效果表'!E:E),0)+Q276*MAX(_xlfn.XLOOKUP(P276,'02效果表'!D:D,'02效果表'!E:E),0)+S276*MAX(_xlfn.XLOOKUP(R276,'02效果表'!D:D,'02效果表'!E:E),0)+U276*MAX(_xlfn.XLOOKUP(T276,'02效果表'!D:D,'02效果表'!E:E),0)+W276*MAX(_xlfn.XLOOKUP(V276,'02效果表'!D:D,'02效果表'!E:E),0)+Y276*MAX(_xlfn.XLOOKUP(X276,'02效果表'!D:D,'02效果表'!E:E),0)+AA276*MAX(_xlfn.XLOOKUP(Z276,'02效果表'!D:D,'02效果表'!E:E),0)+AC276*MAX(_xlfn.XLOOKUP(AB276,'02效果表'!D:D,'02效果表'!E:E),0)+AE276*MAX(_xlfn.XLOOKUP(AD276,'02效果表'!D:D,'02效果表'!E:E),0)),1)</f>
        <v>0</v>
      </c>
      <c r="H276" s="6"/>
      <c r="I276" s="6"/>
      <c r="J276" s="6"/>
      <c r="K276" s="6"/>
      <c r="L276" s="6"/>
      <c r="M276" s="6"/>
      <c r="N276" s="6"/>
      <c r="O276" s="6"/>
      <c r="P276" s="6"/>
      <c r="Q276" s="6"/>
      <c r="R276" s="6"/>
      <c r="S276" s="6"/>
      <c r="T276" s="6"/>
      <c r="U276" s="6"/>
      <c r="V276" s="6"/>
      <c r="W276" s="6"/>
      <c r="X276" s="6"/>
      <c r="Y276" s="6"/>
      <c r="Z276" s="6"/>
      <c r="AA276" s="6"/>
      <c r="AB276" s="6"/>
      <c r="AC276" s="6"/>
      <c r="AD276" s="6"/>
      <c r="AE276" s="6"/>
    </row>
    <row r="277" spans="1:31" x14ac:dyDescent="0.35">
      <c r="A277" s="6">
        <v>277</v>
      </c>
      <c r="B277" s="6" t="s">
        <v>4</v>
      </c>
      <c r="C277" s="10" t="s">
        <v>17</v>
      </c>
      <c r="D277" s="9" t="s">
        <v>1484</v>
      </c>
      <c r="E277" s="7">
        <f t="shared" si="11"/>
        <v>0</v>
      </c>
      <c r="F277" s="7">
        <f>-1*ROUND(1/6*(I277*IF(_xlfn.XLOOKUP(H277,'02效果表'!D:D,'02效果表'!E:E)&lt;0, _xlfn.XLOOKUP(H277,'02效果表'!D:D,'02效果表'!E:E), 0) +
K277*IF(_xlfn.XLOOKUP(J277,'02效果表'!D:D,'02效果表'!E:E)&lt;0, _xlfn.XLOOKUP(J277,'02效果表'!D:D,'02效果表'!E:E), 0) +
M277*IF(_xlfn.XLOOKUP(L277,'02效果表'!D:D,'02效果表'!E:E)&lt;0, _xlfn.XLOOKUP(L277,'02效果表'!D:D,'02效果表'!E:E), 0) +
O277*IF(_xlfn.XLOOKUP(N277,'02效果表'!D:D,'02效果表'!E:E)&lt;0, _xlfn.XLOOKUP(N277,'02效果表'!D:D,'02效果表'!E:E), 0) +
Q277*IF(_xlfn.XLOOKUP(P277,'02效果表'!D:D,'02效果表'!E:E)&lt;0, _xlfn.XLOOKUP(P277,'02效果表'!D:D,'02效果表'!E:E), 0) +
S277*IF(_xlfn.XLOOKUP(R277,'02效果表'!D:D,'02效果表'!E:E)&lt;0, _xlfn.XLOOKUP(R277,'02效果表'!D:D,'02效果表'!E:E), 0) +
U277*IF(_xlfn.XLOOKUP(T277,'02效果表'!D:D,'02效果表'!E:E)&lt;0, _xlfn.XLOOKUP(T277,'02效果表'!D:D,'02效果表'!E:E), 0) +
W277*IF(_xlfn.XLOOKUP(V277,'02效果表'!D:D,'02效果表'!E:E)&lt;0, _xlfn.XLOOKUP(V277,'02效果表'!D:D,'02效果表'!E:E), 0) +
Y277*IF(_xlfn.XLOOKUP(X277,'02效果表'!D:D,'02效果表'!E:E)&lt;0, _xlfn.XLOOKUP(X277,'02效果表'!D:D,'02效果表'!E:E), 0) +
AA277*IF(_xlfn.XLOOKUP(Z277,'02效果表'!D:D,'02效果表'!E:E)&lt;0, _xlfn.XLOOKUP(Z277,'02效果表'!D:D,'02效果表'!E:E), 0) +
AC277*IF(_xlfn.XLOOKUP(AB277,'02效果表'!D:D,'02效果表'!E:E)&lt;0, _xlfn.XLOOKUP(AB277,'02效果表'!D:D,'02效果表'!E:E), 0) +
AE277*IF(_xlfn.XLOOKUP(AD277,'02效果表'!D:D,'02效果表'!E:E)&lt;0, _xlfn.XLOOKUP(AD277,'02效果表'!D:D,'02效果表'!E:E), 0)), 1)</f>
        <v>0</v>
      </c>
      <c r="G277" s="7">
        <f>ROUND(1/6*(I277*MAX(_xlfn.XLOOKUP(H277,'02效果表'!D:D,'02效果表'!E:E),0)+K277*MAX(_xlfn.XLOOKUP(J277,'02效果表'!D:D,'02效果表'!E:E),0)+M277*MAX(_xlfn.XLOOKUP(L277,'02效果表'!D:D,'02效果表'!E:E),0)+O277*MAX(_xlfn.XLOOKUP(N277,'02效果表'!D:D,'02效果表'!E:E),0)+Q277*MAX(_xlfn.XLOOKUP(P277,'02效果表'!D:D,'02效果表'!E:E),0)+S277*MAX(_xlfn.XLOOKUP(R277,'02效果表'!D:D,'02效果表'!E:E),0)+U277*MAX(_xlfn.XLOOKUP(T277,'02效果表'!D:D,'02效果表'!E:E),0)+W277*MAX(_xlfn.XLOOKUP(V277,'02效果表'!D:D,'02效果表'!E:E),0)+Y277*MAX(_xlfn.XLOOKUP(X277,'02效果表'!D:D,'02效果表'!E:E),0)+AA277*MAX(_xlfn.XLOOKUP(Z277,'02效果表'!D:D,'02效果表'!E:E),0)+AC277*MAX(_xlfn.XLOOKUP(AB277,'02效果表'!D:D,'02效果表'!E:E),0)+AE277*MAX(_xlfn.XLOOKUP(AD277,'02效果表'!D:D,'02效果表'!E:E),0)),1)</f>
        <v>0</v>
      </c>
      <c r="H277" s="6"/>
      <c r="I277" s="6"/>
      <c r="J277" s="6"/>
      <c r="K277" s="6"/>
      <c r="L277" s="6"/>
      <c r="M277" s="6"/>
      <c r="N277" s="6"/>
      <c r="O277" s="6"/>
      <c r="P277" s="6"/>
      <c r="Q277" s="6"/>
      <c r="R277" s="6"/>
      <c r="S277" s="6"/>
      <c r="T277" s="6"/>
      <c r="U277" s="6"/>
      <c r="V277" s="6"/>
      <c r="W277" s="6"/>
      <c r="X277" s="6"/>
      <c r="Y277" s="6"/>
      <c r="Z277" s="6"/>
      <c r="AA277" s="6"/>
      <c r="AB277" s="6"/>
      <c r="AC277" s="6"/>
      <c r="AD277" s="6"/>
      <c r="AE277" s="6"/>
    </row>
    <row r="278" spans="1:31" x14ac:dyDescent="0.35">
      <c r="A278" s="6">
        <v>278</v>
      </c>
      <c r="B278" s="6" t="s">
        <v>4</v>
      </c>
      <c r="C278" s="10" t="s">
        <v>17</v>
      </c>
      <c r="D278" s="9" t="s">
        <v>1485</v>
      </c>
      <c r="E278" s="7">
        <f t="shared" si="11"/>
        <v>0</v>
      </c>
      <c r="F278" s="7">
        <f>-1*ROUND(1/6*(I278*IF(_xlfn.XLOOKUP(H278,'02效果表'!D:D,'02效果表'!E:E)&lt;0, _xlfn.XLOOKUP(H278,'02效果表'!D:D,'02效果表'!E:E), 0) +
K278*IF(_xlfn.XLOOKUP(J278,'02效果表'!D:D,'02效果表'!E:E)&lt;0, _xlfn.XLOOKUP(J278,'02效果表'!D:D,'02效果表'!E:E), 0) +
M278*IF(_xlfn.XLOOKUP(L278,'02效果表'!D:D,'02效果表'!E:E)&lt;0, _xlfn.XLOOKUP(L278,'02效果表'!D:D,'02效果表'!E:E), 0) +
O278*IF(_xlfn.XLOOKUP(N278,'02效果表'!D:D,'02效果表'!E:E)&lt;0, _xlfn.XLOOKUP(N278,'02效果表'!D:D,'02效果表'!E:E), 0) +
Q278*IF(_xlfn.XLOOKUP(P278,'02效果表'!D:D,'02效果表'!E:E)&lt;0, _xlfn.XLOOKUP(P278,'02效果表'!D:D,'02效果表'!E:E), 0) +
S278*IF(_xlfn.XLOOKUP(R278,'02效果表'!D:D,'02效果表'!E:E)&lt;0, _xlfn.XLOOKUP(R278,'02效果表'!D:D,'02效果表'!E:E), 0) +
U278*IF(_xlfn.XLOOKUP(T278,'02效果表'!D:D,'02效果表'!E:E)&lt;0, _xlfn.XLOOKUP(T278,'02效果表'!D:D,'02效果表'!E:E), 0) +
W278*IF(_xlfn.XLOOKUP(V278,'02效果表'!D:D,'02效果表'!E:E)&lt;0, _xlfn.XLOOKUP(V278,'02效果表'!D:D,'02效果表'!E:E), 0) +
Y278*IF(_xlfn.XLOOKUP(X278,'02效果表'!D:D,'02效果表'!E:E)&lt;0, _xlfn.XLOOKUP(X278,'02效果表'!D:D,'02效果表'!E:E), 0) +
AA278*IF(_xlfn.XLOOKUP(Z278,'02效果表'!D:D,'02效果表'!E:E)&lt;0, _xlfn.XLOOKUP(Z278,'02效果表'!D:D,'02效果表'!E:E), 0) +
AC278*IF(_xlfn.XLOOKUP(AB278,'02效果表'!D:D,'02效果表'!E:E)&lt;0, _xlfn.XLOOKUP(AB278,'02效果表'!D:D,'02效果表'!E:E), 0) +
AE278*IF(_xlfn.XLOOKUP(AD278,'02效果表'!D:D,'02效果表'!E:E)&lt;0, _xlfn.XLOOKUP(AD278,'02效果表'!D:D,'02效果表'!E:E), 0)), 1)</f>
        <v>0</v>
      </c>
      <c r="G278" s="7">
        <f>ROUND(1/6*(I278*MAX(_xlfn.XLOOKUP(H278,'02效果表'!D:D,'02效果表'!E:E),0)+K278*MAX(_xlfn.XLOOKUP(J278,'02效果表'!D:D,'02效果表'!E:E),0)+M278*MAX(_xlfn.XLOOKUP(L278,'02效果表'!D:D,'02效果表'!E:E),0)+O278*MAX(_xlfn.XLOOKUP(N278,'02效果表'!D:D,'02效果表'!E:E),0)+Q278*MAX(_xlfn.XLOOKUP(P278,'02效果表'!D:D,'02效果表'!E:E),0)+S278*MAX(_xlfn.XLOOKUP(R278,'02效果表'!D:D,'02效果表'!E:E),0)+U278*MAX(_xlfn.XLOOKUP(T278,'02效果表'!D:D,'02效果表'!E:E),0)+W278*MAX(_xlfn.XLOOKUP(V278,'02效果表'!D:D,'02效果表'!E:E),0)+Y278*MAX(_xlfn.XLOOKUP(X278,'02效果表'!D:D,'02效果表'!E:E),0)+AA278*MAX(_xlfn.XLOOKUP(Z278,'02效果表'!D:D,'02效果表'!E:E),0)+AC278*MAX(_xlfn.XLOOKUP(AB278,'02效果表'!D:D,'02效果表'!E:E),0)+AE278*MAX(_xlfn.XLOOKUP(AD278,'02效果表'!D:D,'02效果表'!E:E),0)),1)</f>
        <v>0</v>
      </c>
      <c r="H278" s="6"/>
      <c r="I278" s="6"/>
      <c r="J278" s="6"/>
      <c r="K278" s="6"/>
      <c r="L278" s="6"/>
      <c r="M278" s="6"/>
      <c r="N278" s="6"/>
      <c r="O278" s="6"/>
      <c r="P278" s="6"/>
      <c r="Q278" s="6"/>
      <c r="R278" s="6"/>
      <c r="S278" s="6"/>
      <c r="T278" s="6"/>
      <c r="U278" s="6"/>
      <c r="V278" s="6"/>
      <c r="W278" s="6"/>
      <c r="X278" s="6"/>
      <c r="Y278" s="6"/>
      <c r="Z278" s="6"/>
      <c r="AA278" s="6"/>
      <c r="AB278" s="6"/>
      <c r="AC278" s="6"/>
      <c r="AD278" s="6"/>
      <c r="AE278" s="6"/>
    </row>
    <row r="279" spans="1:31" x14ac:dyDescent="0.35">
      <c r="A279" s="6">
        <v>279</v>
      </c>
      <c r="B279" s="6" t="s">
        <v>4</v>
      </c>
      <c r="C279" s="10" t="s">
        <v>17</v>
      </c>
      <c r="D279" s="9" t="s">
        <v>1486</v>
      </c>
      <c r="E279" s="7">
        <f t="shared" si="11"/>
        <v>0</v>
      </c>
      <c r="F279" s="7">
        <f>-1*ROUND(1/6*(I279*IF(_xlfn.XLOOKUP(H279,'02效果表'!D:D,'02效果表'!E:E)&lt;0, _xlfn.XLOOKUP(H279,'02效果表'!D:D,'02效果表'!E:E), 0) +
K279*IF(_xlfn.XLOOKUP(J279,'02效果表'!D:D,'02效果表'!E:E)&lt;0, _xlfn.XLOOKUP(J279,'02效果表'!D:D,'02效果表'!E:E), 0) +
M279*IF(_xlfn.XLOOKUP(L279,'02效果表'!D:D,'02效果表'!E:E)&lt;0, _xlfn.XLOOKUP(L279,'02效果表'!D:D,'02效果表'!E:E), 0) +
O279*IF(_xlfn.XLOOKUP(N279,'02效果表'!D:D,'02效果表'!E:E)&lt;0, _xlfn.XLOOKUP(N279,'02效果表'!D:D,'02效果表'!E:E), 0) +
Q279*IF(_xlfn.XLOOKUP(P279,'02效果表'!D:D,'02效果表'!E:E)&lt;0, _xlfn.XLOOKUP(P279,'02效果表'!D:D,'02效果表'!E:E), 0) +
S279*IF(_xlfn.XLOOKUP(R279,'02效果表'!D:D,'02效果表'!E:E)&lt;0, _xlfn.XLOOKUP(R279,'02效果表'!D:D,'02效果表'!E:E), 0) +
U279*IF(_xlfn.XLOOKUP(T279,'02效果表'!D:D,'02效果表'!E:E)&lt;0, _xlfn.XLOOKUP(T279,'02效果表'!D:D,'02效果表'!E:E), 0) +
W279*IF(_xlfn.XLOOKUP(V279,'02效果表'!D:D,'02效果表'!E:E)&lt;0, _xlfn.XLOOKUP(V279,'02效果表'!D:D,'02效果表'!E:E), 0) +
Y279*IF(_xlfn.XLOOKUP(X279,'02效果表'!D:D,'02效果表'!E:E)&lt;0, _xlfn.XLOOKUP(X279,'02效果表'!D:D,'02效果表'!E:E), 0) +
AA279*IF(_xlfn.XLOOKUP(Z279,'02效果表'!D:D,'02效果表'!E:E)&lt;0, _xlfn.XLOOKUP(Z279,'02效果表'!D:D,'02效果表'!E:E), 0) +
AC279*IF(_xlfn.XLOOKUP(AB279,'02效果表'!D:D,'02效果表'!E:E)&lt;0, _xlfn.XLOOKUP(AB279,'02效果表'!D:D,'02效果表'!E:E), 0) +
AE279*IF(_xlfn.XLOOKUP(AD279,'02效果表'!D:D,'02效果表'!E:E)&lt;0, _xlfn.XLOOKUP(AD279,'02效果表'!D:D,'02效果表'!E:E), 0)), 1)</f>
        <v>0</v>
      </c>
      <c r="G279" s="7">
        <f>ROUND(1/6*(I279*MAX(_xlfn.XLOOKUP(H279,'02效果表'!D:D,'02效果表'!E:E),0)+K279*MAX(_xlfn.XLOOKUP(J279,'02效果表'!D:D,'02效果表'!E:E),0)+M279*MAX(_xlfn.XLOOKUP(L279,'02效果表'!D:D,'02效果表'!E:E),0)+O279*MAX(_xlfn.XLOOKUP(N279,'02效果表'!D:D,'02效果表'!E:E),0)+Q279*MAX(_xlfn.XLOOKUP(P279,'02效果表'!D:D,'02效果表'!E:E),0)+S279*MAX(_xlfn.XLOOKUP(R279,'02效果表'!D:D,'02效果表'!E:E),0)+U279*MAX(_xlfn.XLOOKUP(T279,'02效果表'!D:D,'02效果表'!E:E),0)+W279*MAX(_xlfn.XLOOKUP(V279,'02效果表'!D:D,'02效果表'!E:E),0)+Y279*MAX(_xlfn.XLOOKUP(X279,'02效果表'!D:D,'02效果表'!E:E),0)+AA279*MAX(_xlfn.XLOOKUP(Z279,'02效果表'!D:D,'02效果表'!E:E),0)+AC279*MAX(_xlfn.XLOOKUP(AB279,'02效果表'!D:D,'02效果表'!E:E),0)+AE279*MAX(_xlfn.XLOOKUP(AD279,'02效果表'!D:D,'02效果表'!E:E),0)),1)</f>
        <v>0</v>
      </c>
      <c r="H279" s="6"/>
      <c r="I279" s="6"/>
      <c r="J279" s="6"/>
      <c r="K279" s="6"/>
      <c r="L279" s="6"/>
      <c r="M279" s="6"/>
      <c r="N279" s="6"/>
      <c r="O279" s="6"/>
      <c r="P279" s="6"/>
      <c r="Q279" s="6"/>
      <c r="R279" s="6"/>
      <c r="S279" s="6"/>
      <c r="T279" s="6"/>
      <c r="U279" s="6"/>
      <c r="V279" s="6"/>
      <c r="W279" s="6"/>
      <c r="X279" s="6"/>
      <c r="Y279" s="6"/>
      <c r="Z279" s="6"/>
      <c r="AA279" s="6"/>
      <c r="AB279" s="6"/>
      <c r="AC279" s="6"/>
      <c r="AD279" s="6"/>
      <c r="AE279" s="6"/>
    </row>
    <row r="280" spans="1:31" x14ac:dyDescent="0.35">
      <c r="A280" s="6">
        <v>280</v>
      </c>
      <c r="B280" s="6" t="s">
        <v>4</v>
      </c>
      <c r="C280" s="10" t="s">
        <v>17</v>
      </c>
      <c r="D280" s="9" t="s">
        <v>1487</v>
      </c>
      <c r="E280" s="7">
        <f t="shared" si="11"/>
        <v>0</v>
      </c>
      <c r="F280" s="7">
        <f>-1*ROUND(1/6*(I280*IF(_xlfn.XLOOKUP(H280,'02效果表'!D:D,'02效果表'!E:E)&lt;0, _xlfn.XLOOKUP(H280,'02效果表'!D:D,'02效果表'!E:E), 0) +
K280*IF(_xlfn.XLOOKUP(J280,'02效果表'!D:D,'02效果表'!E:E)&lt;0, _xlfn.XLOOKUP(J280,'02效果表'!D:D,'02效果表'!E:E), 0) +
M280*IF(_xlfn.XLOOKUP(L280,'02效果表'!D:D,'02效果表'!E:E)&lt;0, _xlfn.XLOOKUP(L280,'02效果表'!D:D,'02效果表'!E:E), 0) +
O280*IF(_xlfn.XLOOKUP(N280,'02效果表'!D:D,'02效果表'!E:E)&lt;0, _xlfn.XLOOKUP(N280,'02效果表'!D:D,'02效果表'!E:E), 0) +
Q280*IF(_xlfn.XLOOKUP(P280,'02效果表'!D:D,'02效果表'!E:E)&lt;0, _xlfn.XLOOKUP(P280,'02效果表'!D:D,'02效果表'!E:E), 0) +
S280*IF(_xlfn.XLOOKUP(R280,'02效果表'!D:D,'02效果表'!E:E)&lt;0, _xlfn.XLOOKUP(R280,'02效果表'!D:D,'02效果表'!E:E), 0) +
U280*IF(_xlfn.XLOOKUP(T280,'02效果表'!D:D,'02效果表'!E:E)&lt;0, _xlfn.XLOOKUP(T280,'02效果表'!D:D,'02效果表'!E:E), 0) +
W280*IF(_xlfn.XLOOKUP(V280,'02效果表'!D:D,'02效果表'!E:E)&lt;0, _xlfn.XLOOKUP(V280,'02效果表'!D:D,'02效果表'!E:E), 0) +
Y280*IF(_xlfn.XLOOKUP(X280,'02效果表'!D:D,'02效果表'!E:E)&lt;0, _xlfn.XLOOKUP(X280,'02效果表'!D:D,'02效果表'!E:E), 0) +
AA280*IF(_xlfn.XLOOKUP(Z280,'02效果表'!D:D,'02效果表'!E:E)&lt;0, _xlfn.XLOOKUP(Z280,'02效果表'!D:D,'02效果表'!E:E), 0) +
AC280*IF(_xlfn.XLOOKUP(AB280,'02效果表'!D:D,'02效果表'!E:E)&lt;0, _xlfn.XLOOKUP(AB280,'02效果表'!D:D,'02效果表'!E:E), 0) +
AE280*IF(_xlfn.XLOOKUP(AD280,'02效果表'!D:D,'02效果表'!E:E)&lt;0, _xlfn.XLOOKUP(AD280,'02效果表'!D:D,'02效果表'!E:E), 0)), 1)</f>
        <v>0</v>
      </c>
      <c r="G280" s="7">
        <f>ROUND(1/6*(I280*MAX(_xlfn.XLOOKUP(H280,'02效果表'!D:D,'02效果表'!E:E),0)+K280*MAX(_xlfn.XLOOKUP(J280,'02效果表'!D:D,'02效果表'!E:E),0)+M280*MAX(_xlfn.XLOOKUP(L280,'02效果表'!D:D,'02效果表'!E:E),0)+O280*MAX(_xlfn.XLOOKUP(N280,'02效果表'!D:D,'02效果表'!E:E),0)+Q280*MAX(_xlfn.XLOOKUP(P280,'02效果表'!D:D,'02效果表'!E:E),0)+S280*MAX(_xlfn.XLOOKUP(R280,'02效果表'!D:D,'02效果表'!E:E),0)+U280*MAX(_xlfn.XLOOKUP(T280,'02效果表'!D:D,'02效果表'!E:E),0)+W280*MAX(_xlfn.XLOOKUP(V280,'02效果表'!D:D,'02效果表'!E:E),0)+Y280*MAX(_xlfn.XLOOKUP(X280,'02效果表'!D:D,'02效果表'!E:E),0)+AA280*MAX(_xlfn.XLOOKUP(Z280,'02效果表'!D:D,'02效果表'!E:E),0)+AC280*MAX(_xlfn.XLOOKUP(AB280,'02效果表'!D:D,'02效果表'!E:E),0)+AE280*MAX(_xlfn.XLOOKUP(AD280,'02效果表'!D:D,'02效果表'!E:E),0)),1)</f>
        <v>0</v>
      </c>
      <c r="H280" s="6"/>
      <c r="I280" s="6"/>
      <c r="J280" s="6"/>
      <c r="K280" s="6"/>
      <c r="L280" s="6"/>
      <c r="M280" s="6"/>
      <c r="N280" s="6"/>
      <c r="O280" s="6"/>
      <c r="P280" s="6"/>
      <c r="Q280" s="6"/>
      <c r="R280" s="6"/>
      <c r="S280" s="6"/>
      <c r="T280" s="6"/>
      <c r="U280" s="6"/>
      <c r="V280" s="6"/>
      <c r="W280" s="6"/>
      <c r="X280" s="6"/>
      <c r="Y280" s="6"/>
      <c r="Z280" s="6"/>
      <c r="AA280" s="6"/>
      <c r="AB280" s="6"/>
      <c r="AC280" s="6"/>
      <c r="AD280" s="6"/>
      <c r="AE280" s="6"/>
    </row>
    <row r="281" spans="1:31" x14ac:dyDescent="0.35">
      <c r="A281" s="6">
        <v>281</v>
      </c>
      <c r="B281" s="6" t="s">
        <v>4</v>
      </c>
      <c r="C281" s="10" t="s">
        <v>17</v>
      </c>
      <c r="D281" s="9" t="s">
        <v>1488</v>
      </c>
      <c r="E281" s="7">
        <f t="shared" si="11"/>
        <v>0</v>
      </c>
      <c r="F281" s="7">
        <f>-1*ROUND(1/6*(I281*IF(_xlfn.XLOOKUP(H281,'02效果表'!D:D,'02效果表'!E:E)&lt;0, _xlfn.XLOOKUP(H281,'02效果表'!D:D,'02效果表'!E:E), 0) +
K281*IF(_xlfn.XLOOKUP(J281,'02效果表'!D:D,'02效果表'!E:E)&lt;0, _xlfn.XLOOKUP(J281,'02效果表'!D:D,'02效果表'!E:E), 0) +
M281*IF(_xlfn.XLOOKUP(L281,'02效果表'!D:D,'02效果表'!E:E)&lt;0, _xlfn.XLOOKUP(L281,'02效果表'!D:D,'02效果表'!E:E), 0) +
O281*IF(_xlfn.XLOOKUP(N281,'02效果表'!D:D,'02效果表'!E:E)&lt;0, _xlfn.XLOOKUP(N281,'02效果表'!D:D,'02效果表'!E:E), 0) +
Q281*IF(_xlfn.XLOOKUP(P281,'02效果表'!D:D,'02效果表'!E:E)&lt;0, _xlfn.XLOOKUP(P281,'02效果表'!D:D,'02效果表'!E:E), 0) +
S281*IF(_xlfn.XLOOKUP(R281,'02效果表'!D:D,'02效果表'!E:E)&lt;0, _xlfn.XLOOKUP(R281,'02效果表'!D:D,'02效果表'!E:E), 0) +
U281*IF(_xlfn.XLOOKUP(T281,'02效果表'!D:D,'02效果表'!E:E)&lt;0, _xlfn.XLOOKUP(T281,'02效果表'!D:D,'02效果表'!E:E), 0) +
W281*IF(_xlfn.XLOOKUP(V281,'02效果表'!D:D,'02效果表'!E:E)&lt;0, _xlfn.XLOOKUP(V281,'02效果表'!D:D,'02效果表'!E:E), 0) +
Y281*IF(_xlfn.XLOOKUP(X281,'02效果表'!D:D,'02效果表'!E:E)&lt;0, _xlfn.XLOOKUP(X281,'02效果表'!D:D,'02效果表'!E:E), 0) +
AA281*IF(_xlfn.XLOOKUP(Z281,'02效果表'!D:D,'02效果表'!E:E)&lt;0, _xlfn.XLOOKUP(Z281,'02效果表'!D:D,'02效果表'!E:E), 0) +
AC281*IF(_xlfn.XLOOKUP(AB281,'02效果表'!D:D,'02效果表'!E:E)&lt;0, _xlfn.XLOOKUP(AB281,'02效果表'!D:D,'02效果表'!E:E), 0) +
AE281*IF(_xlfn.XLOOKUP(AD281,'02效果表'!D:D,'02效果表'!E:E)&lt;0, _xlfn.XLOOKUP(AD281,'02效果表'!D:D,'02效果表'!E:E), 0)), 1)</f>
        <v>0</v>
      </c>
      <c r="G281" s="7">
        <f>ROUND(1/6*(I281*MAX(_xlfn.XLOOKUP(H281,'02效果表'!D:D,'02效果表'!E:E),0)+K281*MAX(_xlfn.XLOOKUP(J281,'02效果表'!D:D,'02效果表'!E:E),0)+M281*MAX(_xlfn.XLOOKUP(L281,'02效果表'!D:D,'02效果表'!E:E),0)+O281*MAX(_xlfn.XLOOKUP(N281,'02效果表'!D:D,'02效果表'!E:E),0)+Q281*MAX(_xlfn.XLOOKUP(P281,'02效果表'!D:D,'02效果表'!E:E),0)+S281*MAX(_xlfn.XLOOKUP(R281,'02效果表'!D:D,'02效果表'!E:E),0)+U281*MAX(_xlfn.XLOOKUP(T281,'02效果表'!D:D,'02效果表'!E:E),0)+W281*MAX(_xlfn.XLOOKUP(V281,'02效果表'!D:D,'02效果表'!E:E),0)+Y281*MAX(_xlfn.XLOOKUP(X281,'02效果表'!D:D,'02效果表'!E:E),0)+AA281*MAX(_xlfn.XLOOKUP(Z281,'02效果表'!D:D,'02效果表'!E:E),0)+AC281*MAX(_xlfn.XLOOKUP(AB281,'02效果表'!D:D,'02效果表'!E:E),0)+AE281*MAX(_xlfn.XLOOKUP(AD281,'02效果表'!D:D,'02效果表'!E:E),0)),1)</f>
        <v>0</v>
      </c>
      <c r="H281" s="6"/>
      <c r="I281" s="6"/>
      <c r="J281" s="6"/>
      <c r="K281" s="6"/>
      <c r="L281" s="6"/>
      <c r="M281" s="6"/>
      <c r="N281" s="6"/>
      <c r="O281" s="6"/>
      <c r="P281" s="6"/>
      <c r="Q281" s="6"/>
      <c r="R281" s="6"/>
      <c r="S281" s="6"/>
      <c r="T281" s="6"/>
      <c r="U281" s="6"/>
      <c r="V281" s="6"/>
      <c r="W281" s="6"/>
      <c r="X281" s="6"/>
      <c r="Y281" s="6"/>
      <c r="Z281" s="6"/>
      <c r="AA281" s="6"/>
      <c r="AB281" s="6"/>
      <c r="AC281" s="6"/>
      <c r="AD281" s="6"/>
      <c r="AE281" s="6"/>
    </row>
    <row r="282" spans="1:31" x14ac:dyDescent="0.35">
      <c r="A282" s="6">
        <v>282</v>
      </c>
      <c r="B282" s="6" t="s">
        <v>4</v>
      </c>
      <c r="C282" s="10" t="s">
        <v>17</v>
      </c>
      <c r="D282" s="9" t="s">
        <v>1489</v>
      </c>
      <c r="E282" s="7">
        <f t="shared" si="11"/>
        <v>0</v>
      </c>
      <c r="F282" s="7">
        <f>-1*ROUND(1/6*(I282*IF(_xlfn.XLOOKUP(H282,'02效果表'!D:D,'02效果表'!E:E)&lt;0, _xlfn.XLOOKUP(H282,'02效果表'!D:D,'02效果表'!E:E), 0) +
K282*IF(_xlfn.XLOOKUP(J282,'02效果表'!D:D,'02效果表'!E:E)&lt;0, _xlfn.XLOOKUP(J282,'02效果表'!D:D,'02效果表'!E:E), 0) +
M282*IF(_xlfn.XLOOKUP(L282,'02效果表'!D:D,'02效果表'!E:E)&lt;0, _xlfn.XLOOKUP(L282,'02效果表'!D:D,'02效果表'!E:E), 0) +
O282*IF(_xlfn.XLOOKUP(N282,'02效果表'!D:D,'02效果表'!E:E)&lt;0, _xlfn.XLOOKUP(N282,'02效果表'!D:D,'02效果表'!E:E), 0) +
Q282*IF(_xlfn.XLOOKUP(P282,'02效果表'!D:D,'02效果表'!E:E)&lt;0, _xlfn.XLOOKUP(P282,'02效果表'!D:D,'02效果表'!E:E), 0) +
S282*IF(_xlfn.XLOOKUP(R282,'02效果表'!D:D,'02效果表'!E:E)&lt;0, _xlfn.XLOOKUP(R282,'02效果表'!D:D,'02效果表'!E:E), 0) +
U282*IF(_xlfn.XLOOKUP(T282,'02效果表'!D:D,'02效果表'!E:E)&lt;0, _xlfn.XLOOKUP(T282,'02效果表'!D:D,'02效果表'!E:E), 0) +
W282*IF(_xlfn.XLOOKUP(V282,'02效果表'!D:D,'02效果表'!E:E)&lt;0, _xlfn.XLOOKUP(V282,'02效果表'!D:D,'02效果表'!E:E), 0) +
Y282*IF(_xlfn.XLOOKUP(X282,'02效果表'!D:D,'02效果表'!E:E)&lt;0, _xlfn.XLOOKUP(X282,'02效果表'!D:D,'02效果表'!E:E), 0) +
AA282*IF(_xlfn.XLOOKUP(Z282,'02效果表'!D:D,'02效果表'!E:E)&lt;0, _xlfn.XLOOKUP(Z282,'02效果表'!D:D,'02效果表'!E:E), 0) +
AC282*IF(_xlfn.XLOOKUP(AB282,'02效果表'!D:D,'02效果表'!E:E)&lt;0, _xlfn.XLOOKUP(AB282,'02效果表'!D:D,'02效果表'!E:E), 0) +
AE282*IF(_xlfn.XLOOKUP(AD282,'02效果表'!D:D,'02效果表'!E:E)&lt;0, _xlfn.XLOOKUP(AD282,'02效果表'!D:D,'02效果表'!E:E), 0)), 1)</f>
        <v>0</v>
      </c>
      <c r="G282" s="7">
        <f>ROUND(1/6*(I282*MAX(_xlfn.XLOOKUP(H282,'02效果表'!D:D,'02效果表'!E:E),0)+K282*MAX(_xlfn.XLOOKUP(J282,'02效果表'!D:D,'02效果表'!E:E),0)+M282*MAX(_xlfn.XLOOKUP(L282,'02效果表'!D:D,'02效果表'!E:E),0)+O282*MAX(_xlfn.XLOOKUP(N282,'02效果表'!D:D,'02效果表'!E:E),0)+Q282*MAX(_xlfn.XLOOKUP(P282,'02效果表'!D:D,'02效果表'!E:E),0)+S282*MAX(_xlfn.XLOOKUP(R282,'02效果表'!D:D,'02效果表'!E:E),0)+U282*MAX(_xlfn.XLOOKUP(T282,'02效果表'!D:D,'02效果表'!E:E),0)+W282*MAX(_xlfn.XLOOKUP(V282,'02效果表'!D:D,'02效果表'!E:E),0)+Y282*MAX(_xlfn.XLOOKUP(X282,'02效果表'!D:D,'02效果表'!E:E),0)+AA282*MAX(_xlfn.XLOOKUP(Z282,'02效果表'!D:D,'02效果表'!E:E),0)+AC282*MAX(_xlfn.XLOOKUP(AB282,'02效果表'!D:D,'02效果表'!E:E),0)+AE282*MAX(_xlfn.XLOOKUP(AD282,'02效果表'!D:D,'02效果表'!E:E),0)),1)</f>
        <v>0</v>
      </c>
      <c r="H282" s="6"/>
      <c r="I282" s="6"/>
      <c r="J282" s="6"/>
      <c r="K282" s="6"/>
      <c r="L282" s="6"/>
      <c r="M282" s="6"/>
      <c r="N282" s="6"/>
      <c r="O282" s="6"/>
      <c r="P282" s="6"/>
      <c r="Q282" s="6"/>
      <c r="R282" s="6"/>
      <c r="S282" s="6"/>
      <c r="T282" s="6"/>
      <c r="U282" s="6"/>
      <c r="V282" s="6"/>
      <c r="W282" s="6"/>
      <c r="X282" s="6"/>
      <c r="Y282" s="6"/>
      <c r="Z282" s="6"/>
      <c r="AA282" s="6"/>
      <c r="AB282" s="6"/>
      <c r="AC282" s="6"/>
      <c r="AD282" s="6"/>
      <c r="AE282" s="6"/>
    </row>
    <row r="283" spans="1:31" x14ac:dyDescent="0.35">
      <c r="A283" s="6">
        <v>283</v>
      </c>
      <c r="B283" s="6" t="s">
        <v>4</v>
      </c>
      <c r="C283" s="10" t="s">
        <v>17</v>
      </c>
      <c r="D283" s="9" t="s">
        <v>1490</v>
      </c>
      <c r="E283" s="7">
        <f t="shared" si="11"/>
        <v>0</v>
      </c>
      <c r="F283" s="7">
        <f>-1*ROUND(1/6*(I283*IF(_xlfn.XLOOKUP(H283,'02效果表'!D:D,'02效果表'!E:E)&lt;0, _xlfn.XLOOKUP(H283,'02效果表'!D:D,'02效果表'!E:E), 0) +
K283*IF(_xlfn.XLOOKUP(J283,'02效果表'!D:D,'02效果表'!E:E)&lt;0, _xlfn.XLOOKUP(J283,'02效果表'!D:D,'02效果表'!E:E), 0) +
M283*IF(_xlfn.XLOOKUP(L283,'02效果表'!D:D,'02效果表'!E:E)&lt;0, _xlfn.XLOOKUP(L283,'02效果表'!D:D,'02效果表'!E:E), 0) +
O283*IF(_xlfn.XLOOKUP(N283,'02效果表'!D:D,'02效果表'!E:E)&lt;0, _xlfn.XLOOKUP(N283,'02效果表'!D:D,'02效果表'!E:E), 0) +
Q283*IF(_xlfn.XLOOKUP(P283,'02效果表'!D:D,'02效果表'!E:E)&lt;0, _xlfn.XLOOKUP(P283,'02效果表'!D:D,'02效果表'!E:E), 0) +
S283*IF(_xlfn.XLOOKUP(R283,'02效果表'!D:D,'02效果表'!E:E)&lt;0, _xlfn.XLOOKUP(R283,'02效果表'!D:D,'02效果表'!E:E), 0) +
U283*IF(_xlfn.XLOOKUP(T283,'02效果表'!D:D,'02效果表'!E:E)&lt;0, _xlfn.XLOOKUP(T283,'02效果表'!D:D,'02效果表'!E:E), 0) +
W283*IF(_xlfn.XLOOKUP(V283,'02效果表'!D:D,'02效果表'!E:E)&lt;0, _xlfn.XLOOKUP(V283,'02效果表'!D:D,'02效果表'!E:E), 0) +
Y283*IF(_xlfn.XLOOKUP(X283,'02效果表'!D:D,'02效果表'!E:E)&lt;0, _xlfn.XLOOKUP(X283,'02效果表'!D:D,'02效果表'!E:E), 0) +
AA283*IF(_xlfn.XLOOKUP(Z283,'02效果表'!D:D,'02效果表'!E:E)&lt;0, _xlfn.XLOOKUP(Z283,'02效果表'!D:D,'02效果表'!E:E), 0) +
AC283*IF(_xlfn.XLOOKUP(AB283,'02效果表'!D:D,'02效果表'!E:E)&lt;0, _xlfn.XLOOKUP(AB283,'02效果表'!D:D,'02效果表'!E:E), 0) +
AE283*IF(_xlfn.XLOOKUP(AD283,'02效果表'!D:D,'02效果表'!E:E)&lt;0, _xlfn.XLOOKUP(AD283,'02效果表'!D:D,'02效果表'!E:E), 0)), 1)</f>
        <v>0</v>
      </c>
      <c r="G283" s="7">
        <f>ROUND(1/6*(I283*MAX(_xlfn.XLOOKUP(H283,'02效果表'!D:D,'02效果表'!E:E),0)+K283*MAX(_xlfn.XLOOKUP(J283,'02效果表'!D:D,'02效果表'!E:E),0)+M283*MAX(_xlfn.XLOOKUP(L283,'02效果表'!D:D,'02效果表'!E:E),0)+O283*MAX(_xlfn.XLOOKUP(N283,'02效果表'!D:D,'02效果表'!E:E),0)+Q283*MAX(_xlfn.XLOOKUP(P283,'02效果表'!D:D,'02效果表'!E:E),0)+S283*MAX(_xlfn.XLOOKUP(R283,'02效果表'!D:D,'02效果表'!E:E),0)+U283*MAX(_xlfn.XLOOKUP(T283,'02效果表'!D:D,'02效果表'!E:E),0)+W283*MAX(_xlfn.XLOOKUP(V283,'02效果表'!D:D,'02效果表'!E:E),0)+Y283*MAX(_xlfn.XLOOKUP(X283,'02效果表'!D:D,'02效果表'!E:E),0)+AA283*MAX(_xlfn.XLOOKUP(Z283,'02效果表'!D:D,'02效果表'!E:E),0)+AC283*MAX(_xlfn.XLOOKUP(AB283,'02效果表'!D:D,'02效果表'!E:E),0)+AE283*MAX(_xlfn.XLOOKUP(AD283,'02效果表'!D:D,'02效果表'!E:E),0)),1)</f>
        <v>0</v>
      </c>
      <c r="H283" s="6"/>
      <c r="I283" s="6"/>
      <c r="J283" s="6"/>
      <c r="K283" s="6"/>
      <c r="L283" s="6"/>
      <c r="M283" s="6"/>
      <c r="N283" s="6"/>
      <c r="O283" s="6"/>
      <c r="P283" s="6"/>
      <c r="Q283" s="6"/>
      <c r="R283" s="6"/>
      <c r="S283" s="6"/>
      <c r="T283" s="6"/>
      <c r="U283" s="6"/>
      <c r="V283" s="6"/>
      <c r="W283" s="6"/>
      <c r="X283" s="6"/>
      <c r="Y283" s="6"/>
      <c r="Z283" s="6"/>
      <c r="AA283" s="6"/>
      <c r="AB283" s="6"/>
      <c r="AC283" s="6"/>
      <c r="AD283" s="6"/>
      <c r="AE283" s="6"/>
    </row>
    <row r="284" spans="1:31" x14ac:dyDescent="0.35">
      <c r="A284" s="6">
        <v>284</v>
      </c>
      <c r="B284" s="6" t="s">
        <v>4</v>
      </c>
      <c r="C284" s="10" t="s">
        <v>17</v>
      </c>
      <c r="D284" s="9" t="s">
        <v>1491</v>
      </c>
      <c r="E284" s="7">
        <f t="shared" si="11"/>
        <v>0</v>
      </c>
      <c r="F284" s="7">
        <f>-1*ROUND(1/6*(I284*IF(_xlfn.XLOOKUP(H284,'02效果表'!D:D,'02效果表'!E:E)&lt;0, _xlfn.XLOOKUP(H284,'02效果表'!D:D,'02效果表'!E:E), 0) +
K284*IF(_xlfn.XLOOKUP(J284,'02效果表'!D:D,'02效果表'!E:E)&lt;0, _xlfn.XLOOKUP(J284,'02效果表'!D:D,'02效果表'!E:E), 0) +
M284*IF(_xlfn.XLOOKUP(L284,'02效果表'!D:D,'02效果表'!E:E)&lt;0, _xlfn.XLOOKUP(L284,'02效果表'!D:D,'02效果表'!E:E), 0) +
O284*IF(_xlfn.XLOOKUP(N284,'02效果表'!D:D,'02效果表'!E:E)&lt;0, _xlfn.XLOOKUP(N284,'02效果表'!D:D,'02效果表'!E:E), 0) +
Q284*IF(_xlfn.XLOOKUP(P284,'02效果表'!D:D,'02效果表'!E:E)&lt;0, _xlfn.XLOOKUP(P284,'02效果表'!D:D,'02效果表'!E:E), 0) +
S284*IF(_xlfn.XLOOKUP(R284,'02效果表'!D:D,'02效果表'!E:E)&lt;0, _xlfn.XLOOKUP(R284,'02效果表'!D:D,'02效果表'!E:E), 0) +
U284*IF(_xlfn.XLOOKUP(T284,'02效果表'!D:D,'02效果表'!E:E)&lt;0, _xlfn.XLOOKUP(T284,'02效果表'!D:D,'02效果表'!E:E), 0) +
W284*IF(_xlfn.XLOOKUP(V284,'02效果表'!D:D,'02效果表'!E:E)&lt;0, _xlfn.XLOOKUP(V284,'02效果表'!D:D,'02效果表'!E:E), 0) +
Y284*IF(_xlfn.XLOOKUP(X284,'02效果表'!D:D,'02效果表'!E:E)&lt;0, _xlfn.XLOOKUP(X284,'02效果表'!D:D,'02效果表'!E:E), 0) +
AA284*IF(_xlfn.XLOOKUP(Z284,'02效果表'!D:D,'02效果表'!E:E)&lt;0, _xlfn.XLOOKUP(Z284,'02效果表'!D:D,'02效果表'!E:E), 0) +
AC284*IF(_xlfn.XLOOKUP(AB284,'02效果表'!D:D,'02效果表'!E:E)&lt;0, _xlfn.XLOOKUP(AB284,'02效果表'!D:D,'02效果表'!E:E), 0) +
AE284*IF(_xlfn.XLOOKUP(AD284,'02效果表'!D:D,'02效果表'!E:E)&lt;0, _xlfn.XLOOKUP(AD284,'02效果表'!D:D,'02效果表'!E:E), 0)), 1)</f>
        <v>0</v>
      </c>
      <c r="G284" s="7">
        <f>ROUND(1/6*(I284*MAX(_xlfn.XLOOKUP(H284,'02效果表'!D:D,'02效果表'!E:E),0)+K284*MAX(_xlfn.XLOOKUP(J284,'02效果表'!D:D,'02效果表'!E:E),0)+M284*MAX(_xlfn.XLOOKUP(L284,'02效果表'!D:D,'02效果表'!E:E),0)+O284*MAX(_xlfn.XLOOKUP(N284,'02效果表'!D:D,'02效果表'!E:E),0)+Q284*MAX(_xlfn.XLOOKUP(P284,'02效果表'!D:D,'02效果表'!E:E),0)+S284*MAX(_xlfn.XLOOKUP(R284,'02效果表'!D:D,'02效果表'!E:E),0)+U284*MAX(_xlfn.XLOOKUP(T284,'02效果表'!D:D,'02效果表'!E:E),0)+W284*MAX(_xlfn.XLOOKUP(V284,'02效果表'!D:D,'02效果表'!E:E),0)+Y284*MAX(_xlfn.XLOOKUP(X284,'02效果表'!D:D,'02效果表'!E:E),0)+AA284*MAX(_xlfn.XLOOKUP(Z284,'02效果表'!D:D,'02效果表'!E:E),0)+AC284*MAX(_xlfn.XLOOKUP(AB284,'02效果表'!D:D,'02效果表'!E:E),0)+AE284*MAX(_xlfn.XLOOKUP(AD284,'02效果表'!D:D,'02效果表'!E:E),0)),1)</f>
        <v>0</v>
      </c>
      <c r="H284" s="6"/>
      <c r="I284" s="6"/>
      <c r="J284" s="6"/>
      <c r="K284" s="6"/>
      <c r="L284" s="6"/>
      <c r="M284" s="6"/>
      <c r="N284" s="6"/>
      <c r="O284" s="6"/>
      <c r="P284" s="6"/>
      <c r="Q284" s="6"/>
      <c r="R284" s="6"/>
      <c r="S284" s="6"/>
      <c r="T284" s="6"/>
      <c r="U284" s="6"/>
      <c r="V284" s="6"/>
      <c r="W284" s="6"/>
      <c r="X284" s="6"/>
      <c r="Y284" s="6"/>
      <c r="Z284" s="6"/>
      <c r="AA284" s="6"/>
      <c r="AB284" s="6"/>
      <c r="AC284" s="6"/>
      <c r="AD284" s="6"/>
      <c r="AE284" s="6"/>
    </row>
    <row r="285" spans="1:31" x14ac:dyDescent="0.35">
      <c r="A285" s="6">
        <v>285</v>
      </c>
      <c r="B285" s="6" t="s">
        <v>4</v>
      </c>
      <c r="C285" s="10" t="s">
        <v>17</v>
      </c>
      <c r="D285" s="9" t="s">
        <v>1492</v>
      </c>
      <c r="E285" s="7">
        <f t="shared" si="11"/>
        <v>0</v>
      </c>
      <c r="F285" s="7">
        <f>-1*ROUND(1/6*(I285*IF(_xlfn.XLOOKUP(H285,'02效果表'!D:D,'02效果表'!E:E)&lt;0, _xlfn.XLOOKUP(H285,'02效果表'!D:D,'02效果表'!E:E), 0) +
K285*IF(_xlfn.XLOOKUP(J285,'02效果表'!D:D,'02效果表'!E:E)&lt;0, _xlfn.XLOOKUP(J285,'02效果表'!D:D,'02效果表'!E:E), 0) +
M285*IF(_xlfn.XLOOKUP(L285,'02效果表'!D:D,'02效果表'!E:E)&lt;0, _xlfn.XLOOKUP(L285,'02效果表'!D:D,'02效果表'!E:E), 0) +
O285*IF(_xlfn.XLOOKUP(N285,'02效果表'!D:D,'02效果表'!E:E)&lt;0, _xlfn.XLOOKUP(N285,'02效果表'!D:D,'02效果表'!E:E), 0) +
Q285*IF(_xlfn.XLOOKUP(P285,'02效果表'!D:D,'02效果表'!E:E)&lt;0, _xlfn.XLOOKUP(P285,'02效果表'!D:D,'02效果表'!E:E), 0) +
S285*IF(_xlfn.XLOOKUP(R285,'02效果表'!D:D,'02效果表'!E:E)&lt;0, _xlfn.XLOOKUP(R285,'02效果表'!D:D,'02效果表'!E:E), 0) +
U285*IF(_xlfn.XLOOKUP(T285,'02效果表'!D:D,'02效果表'!E:E)&lt;0, _xlfn.XLOOKUP(T285,'02效果表'!D:D,'02效果表'!E:E), 0) +
W285*IF(_xlfn.XLOOKUP(V285,'02效果表'!D:D,'02效果表'!E:E)&lt;0, _xlfn.XLOOKUP(V285,'02效果表'!D:D,'02效果表'!E:E), 0) +
Y285*IF(_xlfn.XLOOKUP(X285,'02效果表'!D:D,'02效果表'!E:E)&lt;0, _xlfn.XLOOKUP(X285,'02效果表'!D:D,'02效果表'!E:E), 0) +
AA285*IF(_xlfn.XLOOKUP(Z285,'02效果表'!D:D,'02效果表'!E:E)&lt;0, _xlfn.XLOOKUP(Z285,'02效果表'!D:D,'02效果表'!E:E), 0) +
AC285*IF(_xlfn.XLOOKUP(AB285,'02效果表'!D:D,'02效果表'!E:E)&lt;0, _xlfn.XLOOKUP(AB285,'02效果表'!D:D,'02效果表'!E:E), 0) +
AE285*IF(_xlfn.XLOOKUP(AD285,'02效果表'!D:D,'02效果表'!E:E)&lt;0, _xlfn.XLOOKUP(AD285,'02效果表'!D:D,'02效果表'!E:E), 0)), 1)</f>
        <v>0</v>
      </c>
      <c r="G285" s="7">
        <f>ROUND(1/6*(I285*MAX(_xlfn.XLOOKUP(H285,'02效果表'!D:D,'02效果表'!E:E),0)+K285*MAX(_xlfn.XLOOKUP(J285,'02效果表'!D:D,'02效果表'!E:E),0)+M285*MAX(_xlfn.XLOOKUP(L285,'02效果表'!D:D,'02效果表'!E:E),0)+O285*MAX(_xlfn.XLOOKUP(N285,'02效果表'!D:D,'02效果表'!E:E),0)+Q285*MAX(_xlfn.XLOOKUP(P285,'02效果表'!D:D,'02效果表'!E:E),0)+S285*MAX(_xlfn.XLOOKUP(R285,'02效果表'!D:D,'02效果表'!E:E),0)+U285*MAX(_xlfn.XLOOKUP(T285,'02效果表'!D:D,'02效果表'!E:E),0)+W285*MAX(_xlfn.XLOOKUP(V285,'02效果表'!D:D,'02效果表'!E:E),0)+Y285*MAX(_xlfn.XLOOKUP(X285,'02效果表'!D:D,'02效果表'!E:E),0)+AA285*MAX(_xlfn.XLOOKUP(Z285,'02效果表'!D:D,'02效果表'!E:E),0)+AC285*MAX(_xlfn.XLOOKUP(AB285,'02效果表'!D:D,'02效果表'!E:E),0)+AE285*MAX(_xlfn.XLOOKUP(AD285,'02效果表'!D:D,'02效果表'!E:E),0)),1)</f>
        <v>0</v>
      </c>
      <c r="H285" s="6"/>
      <c r="I285" s="6"/>
      <c r="J285" s="6"/>
      <c r="K285" s="6"/>
      <c r="L285" s="6"/>
      <c r="M285" s="6"/>
      <c r="N285" s="6"/>
      <c r="O285" s="6"/>
      <c r="P285" s="6"/>
      <c r="Q285" s="6"/>
      <c r="R285" s="6"/>
      <c r="S285" s="6"/>
      <c r="T285" s="6"/>
      <c r="U285" s="6"/>
      <c r="V285" s="6"/>
      <c r="W285" s="6"/>
      <c r="X285" s="6"/>
      <c r="Y285" s="6"/>
      <c r="Z285" s="6"/>
      <c r="AA285" s="6"/>
      <c r="AB285" s="6"/>
      <c r="AC285" s="6"/>
      <c r="AD285" s="6"/>
      <c r="AE285" s="6"/>
    </row>
    <row r="286" spans="1:31" x14ac:dyDescent="0.35">
      <c r="A286" s="6">
        <v>286</v>
      </c>
      <c r="B286" s="6" t="s">
        <v>4</v>
      </c>
      <c r="C286" s="10" t="s">
        <v>17</v>
      </c>
      <c r="D286" s="9" t="s">
        <v>1493</v>
      </c>
      <c r="E286" s="7">
        <f t="shared" si="11"/>
        <v>0</v>
      </c>
      <c r="F286" s="7">
        <f>-1*ROUND(1/6*(I286*IF(_xlfn.XLOOKUP(H286,'02效果表'!D:D,'02效果表'!E:E)&lt;0, _xlfn.XLOOKUP(H286,'02效果表'!D:D,'02效果表'!E:E), 0) +
K286*IF(_xlfn.XLOOKUP(J286,'02效果表'!D:D,'02效果表'!E:E)&lt;0, _xlfn.XLOOKUP(J286,'02效果表'!D:D,'02效果表'!E:E), 0) +
M286*IF(_xlfn.XLOOKUP(L286,'02效果表'!D:D,'02效果表'!E:E)&lt;0, _xlfn.XLOOKUP(L286,'02效果表'!D:D,'02效果表'!E:E), 0) +
O286*IF(_xlfn.XLOOKUP(N286,'02效果表'!D:D,'02效果表'!E:E)&lt;0, _xlfn.XLOOKUP(N286,'02效果表'!D:D,'02效果表'!E:E), 0) +
Q286*IF(_xlfn.XLOOKUP(P286,'02效果表'!D:D,'02效果表'!E:E)&lt;0, _xlfn.XLOOKUP(P286,'02效果表'!D:D,'02效果表'!E:E), 0) +
S286*IF(_xlfn.XLOOKUP(R286,'02效果表'!D:D,'02效果表'!E:E)&lt;0, _xlfn.XLOOKUP(R286,'02效果表'!D:D,'02效果表'!E:E), 0) +
U286*IF(_xlfn.XLOOKUP(T286,'02效果表'!D:D,'02效果表'!E:E)&lt;0, _xlfn.XLOOKUP(T286,'02效果表'!D:D,'02效果表'!E:E), 0) +
W286*IF(_xlfn.XLOOKUP(V286,'02效果表'!D:D,'02效果表'!E:E)&lt;0, _xlfn.XLOOKUP(V286,'02效果表'!D:D,'02效果表'!E:E), 0) +
Y286*IF(_xlfn.XLOOKUP(X286,'02效果表'!D:D,'02效果表'!E:E)&lt;0, _xlfn.XLOOKUP(X286,'02效果表'!D:D,'02效果表'!E:E), 0) +
AA286*IF(_xlfn.XLOOKUP(Z286,'02效果表'!D:D,'02效果表'!E:E)&lt;0, _xlfn.XLOOKUP(Z286,'02效果表'!D:D,'02效果表'!E:E), 0) +
AC286*IF(_xlfn.XLOOKUP(AB286,'02效果表'!D:D,'02效果表'!E:E)&lt;0, _xlfn.XLOOKUP(AB286,'02效果表'!D:D,'02效果表'!E:E), 0) +
AE286*IF(_xlfn.XLOOKUP(AD286,'02效果表'!D:D,'02效果表'!E:E)&lt;0, _xlfn.XLOOKUP(AD286,'02效果表'!D:D,'02效果表'!E:E), 0)), 1)</f>
        <v>0</v>
      </c>
      <c r="G286" s="7">
        <f>ROUND(1/6*(I286*MAX(_xlfn.XLOOKUP(H286,'02效果表'!D:D,'02效果表'!E:E),0)+K286*MAX(_xlfn.XLOOKUP(J286,'02效果表'!D:D,'02效果表'!E:E),0)+M286*MAX(_xlfn.XLOOKUP(L286,'02效果表'!D:D,'02效果表'!E:E),0)+O286*MAX(_xlfn.XLOOKUP(N286,'02效果表'!D:D,'02效果表'!E:E),0)+Q286*MAX(_xlfn.XLOOKUP(P286,'02效果表'!D:D,'02效果表'!E:E),0)+S286*MAX(_xlfn.XLOOKUP(R286,'02效果表'!D:D,'02效果表'!E:E),0)+U286*MAX(_xlfn.XLOOKUP(T286,'02效果表'!D:D,'02效果表'!E:E),0)+W286*MAX(_xlfn.XLOOKUP(V286,'02效果表'!D:D,'02效果表'!E:E),0)+Y286*MAX(_xlfn.XLOOKUP(X286,'02效果表'!D:D,'02效果表'!E:E),0)+AA286*MAX(_xlfn.XLOOKUP(Z286,'02效果表'!D:D,'02效果表'!E:E),0)+AC286*MAX(_xlfn.XLOOKUP(AB286,'02效果表'!D:D,'02效果表'!E:E),0)+AE286*MAX(_xlfn.XLOOKUP(AD286,'02效果表'!D:D,'02效果表'!E:E),0)),1)</f>
        <v>0</v>
      </c>
      <c r="H286" s="6"/>
      <c r="I286" s="6"/>
      <c r="J286" s="6"/>
      <c r="K286" s="6"/>
      <c r="L286" s="6"/>
      <c r="M286" s="6"/>
      <c r="N286" s="6"/>
      <c r="O286" s="6"/>
      <c r="P286" s="6"/>
      <c r="Q286" s="6"/>
      <c r="R286" s="6"/>
      <c r="S286" s="6"/>
      <c r="T286" s="6"/>
      <c r="U286" s="6"/>
      <c r="V286" s="6"/>
      <c r="W286" s="6"/>
      <c r="X286" s="6"/>
      <c r="Y286" s="6"/>
      <c r="Z286" s="6"/>
      <c r="AA286" s="6"/>
      <c r="AB286" s="6"/>
      <c r="AC286" s="6"/>
      <c r="AD286" s="6"/>
      <c r="AE286" s="6"/>
    </row>
    <row r="287" spans="1:31" x14ac:dyDescent="0.35">
      <c r="A287" s="6">
        <v>287</v>
      </c>
      <c r="B287" s="6" t="s">
        <v>4</v>
      </c>
      <c r="C287" s="10" t="s">
        <v>17</v>
      </c>
      <c r="D287" s="9"/>
      <c r="E287" s="7">
        <f t="shared" si="11"/>
        <v>0</v>
      </c>
      <c r="F287" s="7">
        <f>-1*ROUND(1/6*(I287*IF(_xlfn.XLOOKUP(H287,'02效果表'!D:D,'02效果表'!E:E)&lt;0, _xlfn.XLOOKUP(H287,'02效果表'!D:D,'02效果表'!E:E), 0) +
K287*IF(_xlfn.XLOOKUP(J287,'02效果表'!D:D,'02效果表'!E:E)&lt;0, _xlfn.XLOOKUP(J287,'02效果表'!D:D,'02效果表'!E:E), 0) +
M287*IF(_xlfn.XLOOKUP(L287,'02效果表'!D:D,'02效果表'!E:E)&lt;0, _xlfn.XLOOKUP(L287,'02效果表'!D:D,'02效果表'!E:E), 0) +
O287*IF(_xlfn.XLOOKUP(N287,'02效果表'!D:D,'02效果表'!E:E)&lt;0, _xlfn.XLOOKUP(N287,'02效果表'!D:D,'02效果表'!E:E), 0) +
Q287*IF(_xlfn.XLOOKUP(P287,'02效果表'!D:D,'02效果表'!E:E)&lt;0, _xlfn.XLOOKUP(P287,'02效果表'!D:D,'02效果表'!E:E), 0) +
S287*IF(_xlfn.XLOOKUP(R287,'02效果表'!D:D,'02效果表'!E:E)&lt;0, _xlfn.XLOOKUP(R287,'02效果表'!D:D,'02效果表'!E:E), 0) +
U287*IF(_xlfn.XLOOKUP(T287,'02效果表'!D:D,'02效果表'!E:E)&lt;0, _xlfn.XLOOKUP(T287,'02效果表'!D:D,'02效果表'!E:E), 0) +
W287*IF(_xlfn.XLOOKUP(V287,'02效果表'!D:D,'02效果表'!E:E)&lt;0, _xlfn.XLOOKUP(V287,'02效果表'!D:D,'02效果表'!E:E), 0) +
Y287*IF(_xlfn.XLOOKUP(X287,'02效果表'!D:D,'02效果表'!E:E)&lt;0, _xlfn.XLOOKUP(X287,'02效果表'!D:D,'02效果表'!E:E), 0) +
AA287*IF(_xlfn.XLOOKUP(Z287,'02效果表'!D:D,'02效果表'!E:E)&lt;0, _xlfn.XLOOKUP(Z287,'02效果表'!D:D,'02效果表'!E:E), 0) +
AC287*IF(_xlfn.XLOOKUP(AB287,'02效果表'!D:D,'02效果表'!E:E)&lt;0, _xlfn.XLOOKUP(AB287,'02效果表'!D:D,'02效果表'!E:E), 0) +
AE287*IF(_xlfn.XLOOKUP(AD287,'02效果表'!D:D,'02效果表'!E:E)&lt;0, _xlfn.XLOOKUP(AD287,'02效果表'!D:D,'02效果表'!E:E), 0)), 1)</f>
        <v>0</v>
      </c>
      <c r="G287" s="7">
        <f>ROUND(1/6*(I287*MAX(_xlfn.XLOOKUP(H287,'02效果表'!D:D,'02效果表'!E:E),0)+K287*MAX(_xlfn.XLOOKUP(J287,'02效果表'!D:D,'02效果表'!E:E),0)+M287*MAX(_xlfn.XLOOKUP(L287,'02效果表'!D:D,'02效果表'!E:E),0)+O287*MAX(_xlfn.XLOOKUP(N287,'02效果表'!D:D,'02效果表'!E:E),0)+Q287*MAX(_xlfn.XLOOKUP(P287,'02效果表'!D:D,'02效果表'!E:E),0)+S287*MAX(_xlfn.XLOOKUP(R287,'02效果表'!D:D,'02效果表'!E:E),0)+U287*MAX(_xlfn.XLOOKUP(T287,'02效果表'!D:D,'02效果表'!E:E),0)+W287*MAX(_xlfn.XLOOKUP(V287,'02效果表'!D:D,'02效果表'!E:E),0)+Y287*MAX(_xlfn.XLOOKUP(X287,'02效果表'!D:D,'02效果表'!E:E),0)+AA287*MAX(_xlfn.XLOOKUP(Z287,'02效果表'!D:D,'02效果表'!E:E),0)+AC287*MAX(_xlfn.XLOOKUP(AB287,'02效果表'!D:D,'02效果表'!E:E),0)+AE287*MAX(_xlfn.XLOOKUP(AD287,'02效果表'!D:D,'02效果表'!E:E),0)),1)</f>
        <v>0</v>
      </c>
      <c r="H287" s="6"/>
      <c r="I287" s="6"/>
      <c r="J287" s="6"/>
      <c r="K287" s="6"/>
      <c r="L287" s="6"/>
      <c r="M287" s="6"/>
      <c r="N287" s="6"/>
      <c r="O287" s="6"/>
      <c r="P287" s="6"/>
      <c r="Q287" s="6"/>
      <c r="R287" s="6"/>
      <c r="S287" s="6"/>
      <c r="T287" s="6"/>
      <c r="U287" s="6"/>
      <c r="V287" s="6"/>
      <c r="W287" s="6"/>
      <c r="X287" s="6"/>
      <c r="Y287" s="6"/>
      <c r="Z287" s="6"/>
      <c r="AA287" s="6"/>
      <c r="AB287" s="6"/>
      <c r="AC287" s="6"/>
      <c r="AD287" s="6"/>
      <c r="AE287" s="6"/>
    </row>
    <row r="288" spans="1:31" x14ac:dyDescent="0.35">
      <c r="A288" s="6">
        <v>288</v>
      </c>
      <c r="B288" s="6" t="s">
        <v>4</v>
      </c>
      <c r="C288" s="10" t="s">
        <v>17</v>
      </c>
      <c r="D288" s="9"/>
      <c r="E288" s="7">
        <f t="shared" si="11"/>
        <v>0</v>
      </c>
      <c r="F288" s="7">
        <f>-1*ROUND(1/6*(I288*IF(_xlfn.XLOOKUP(H288,'02效果表'!D:D,'02效果表'!E:E)&lt;0, _xlfn.XLOOKUP(H288,'02效果表'!D:D,'02效果表'!E:E), 0) +
K288*IF(_xlfn.XLOOKUP(J288,'02效果表'!D:D,'02效果表'!E:E)&lt;0, _xlfn.XLOOKUP(J288,'02效果表'!D:D,'02效果表'!E:E), 0) +
M288*IF(_xlfn.XLOOKUP(L288,'02效果表'!D:D,'02效果表'!E:E)&lt;0, _xlfn.XLOOKUP(L288,'02效果表'!D:D,'02效果表'!E:E), 0) +
O288*IF(_xlfn.XLOOKUP(N288,'02效果表'!D:D,'02效果表'!E:E)&lt;0, _xlfn.XLOOKUP(N288,'02效果表'!D:D,'02效果表'!E:E), 0) +
Q288*IF(_xlfn.XLOOKUP(P288,'02效果表'!D:D,'02效果表'!E:E)&lt;0, _xlfn.XLOOKUP(P288,'02效果表'!D:D,'02效果表'!E:E), 0) +
S288*IF(_xlfn.XLOOKUP(R288,'02效果表'!D:D,'02效果表'!E:E)&lt;0, _xlfn.XLOOKUP(R288,'02效果表'!D:D,'02效果表'!E:E), 0) +
U288*IF(_xlfn.XLOOKUP(T288,'02效果表'!D:D,'02效果表'!E:E)&lt;0, _xlfn.XLOOKUP(T288,'02效果表'!D:D,'02效果表'!E:E), 0) +
W288*IF(_xlfn.XLOOKUP(V288,'02效果表'!D:D,'02效果表'!E:E)&lt;0, _xlfn.XLOOKUP(V288,'02效果表'!D:D,'02效果表'!E:E), 0) +
Y288*IF(_xlfn.XLOOKUP(X288,'02效果表'!D:D,'02效果表'!E:E)&lt;0, _xlfn.XLOOKUP(X288,'02效果表'!D:D,'02效果表'!E:E), 0) +
AA288*IF(_xlfn.XLOOKUP(Z288,'02效果表'!D:D,'02效果表'!E:E)&lt;0, _xlfn.XLOOKUP(Z288,'02效果表'!D:D,'02效果表'!E:E), 0) +
AC288*IF(_xlfn.XLOOKUP(AB288,'02效果表'!D:D,'02效果表'!E:E)&lt;0, _xlfn.XLOOKUP(AB288,'02效果表'!D:D,'02效果表'!E:E), 0) +
AE288*IF(_xlfn.XLOOKUP(AD288,'02效果表'!D:D,'02效果表'!E:E)&lt;0, _xlfn.XLOOKUP(AD288,'02效果表'!D:D,'02效果表'!E:E), 0)), 1)</f>
        <v>0</v>
      </c>
      <c r="G288" s="7">
        <f>ROUND(1/6*(I288*MAX(_xlfn.XLOOKUP(H288,'02效果表'!D:D,'02效果表'!E:E),0)+K288*MAX(_xlfn.XLOOKUP(J288,'02效果表'!D:D,'02效果表'!E:E),0)+M288*MAX(_xlfn.XLOOKUP(L288,'02效果表'!D:D,'02效果表'!E:E),0)+O288*MAX(_xlfn.XLOOKUP(N288,'02效果表'!D:D,'02效果表'!E:E),0)+Q288*MAX(_xlfn.XLOOKUP(P288,'02效果表'!D:D,'02效果表'!E:E),0)+S288*MAX(_xlfn.XLOOKUP(R288,'02效果表'!D:D,'02效果表'!E:E),0)+U288*MAX(_xlfn.XLOOKUP(T288,'02效果表'!D:D,'02效果表'!E:E),0)+W288*MAX(_xlfn.XLOOKUP(V288,'02效果表'!D:D,'02效果表'!E:E),0)+Y288*MAX(_xlfn.XLOOKUP(X288,'02效果表'!D:D,'02效果表'!E:E),0)+AA288*MAX(_xlfn.XLOOKUP(Z288,'02效果表'!D:D,'02效果表'!E:E),0)+AC288*MAX(_xlfn.XLOOKUP(AB288,'02效果表'!D:D,'02效果表'!E:E),0)+AE288*MAX(_xlfn.XLOOKUP(AD288,'02效果表'!D:D,'02效果表'!E:E),0)),1)</f>
        <v>0</v>
      </c>
      <c r="H288" s="6"/>
      <c r="I288" s="6"/>
      <c r="J288" s="6"/>
      <c r="K288" s="6"/>
      <c r="L288" s="6"/>
      <c r="M288" s="6"/>
      <c r="N288" s="6"/>
      <c r="O288" s="6"/>
      <c r="P288" s="6"/>
      <c r="Q288" s="6"/>
      <c r="R288" s="6"/>
      <c r="S288" s="6"/>
      <c r="T288" s="6"/>
      <c r="U288" s="6"/>
      <c r="V288" s="6"/>
      <c r="W288" s="6"/>
      <c r="X288" s="6"/>
      <c r="Y288" s="6"/>
      <c r="Z288" s="6"/>
      <c r="AA288" s="6"/>
      <c r="AB288" s="6"/>
      <c r="AC288" s="6"/>
      <c r="AD288" s="6"/>
      <c r="AE288" s="6"/>
    </row>
    <row r="289" spans="1:31" x14ac:dyDescent="0.35">
      <c r="A289" s="6">
        <v>289</v>
      </c>
      <c r="B289" s="6" t="s">
        <v>4</v>
      </c>
      <c r="C289" s="10" t="s">
        <v>17</v>
      </c>
      <c r="D289" s="9"/>
      <c r="E289" s="7">
        <f t="shared" si="11"/>
        <v>0</v>
      </c>
      <c r="F289" s="7">
        <f>-1*ROUND(1/6*(I289*IF(_xlfn.XLOOKUP(H289,'02效果表'!D:D,'02效果表'!E:E)&lt;0, _xlfn.XLOOKUP(H289,'02效果表'!D:D,'02效果表'!E:E), 0) +
K289*IF(_xlfn.XLOOKUP(J289,'02效果表'!D:D,'02效果表'!E:E)&lt;0, _xlfn.XLOOKUP(J289,'02效果表'!D:D,'02效果表'!E:E), 0) +
M289*IF(_xlfn.XLOOKUP(L289,'02效果表'!D:D,'02效果表'!E:E)&lt;0, _xlfn.XLOOKUP(L289,'02效果表'!D:D,'02效果表'!E:E), 0) +
O289*IF(_xlfn.XLOOKUP(N289,'02效果表'!D:D,'02效果表'!E:E)&lt;0, _xlfn.XLOOKUP(N289,'02效果表'!D:D,'02效果表'!E:E), 0) +
Q289*IF(_xlfn.XLOOKUP(P289,'02效果表'!D:D,'02效果表'!E:E)&lt;0, _xlfn.XLOOKUP(P289,'02效果表'!D:D,'02效果表'!E:E), 0) +
S289*IF(_xlfn.XLOOKUP(R289,'02效果表'!D:D,'02效果表'!E:E)&lt;0, _xlfn.XLOOKUP(R289,'02效果表'!D:D,'02效果表'!E:E), 0) +
U289*IF(_xlfn.XLOOKUP(T289,'02效果表'!D:D,'02效果表'!E:E)&lt;0, _xlfn.XLOOKUP(T289,'02效果表'!D:D,'02效果表'!E:E), 0) +
W289*IF(_xlfn.XLOOKUP(V289,'02效果表'!D:D,'02效果表'!E:E)&lt;0, _xlfn.XLOOKUP(V289,'02效果表'!D:D,'02效果表'!E:E), 0) +
Y289*IF(_xlfn.XLOOKUP(X289,'02效果表'!D:D,'02效果表'!E:E)&lt;0, _xlfn.XLOOKUP(X289,'02效果表'!D:D,'02效果表'!E:E), 0) +
AA289*IF(_xlfn.XLOOKUP(Z289,'02效果表'!D:D,'02效果表'!E:E)&lt;0, _xlfn.XLOOKUP(Z289,'02效果表'!D:D,'02效果表'!E:E), 0) +
AC289*IF(_xlfn.XLOOKUP(AB289,'02效果表'!D:D,'02效果表'!E:E)&lt;0, _xlfn.XLOOKUP(AB289,'02效果表'!D:D,'02效果表'!E:E), 0) +
AE289*IF(_xlfn.XLOOKUP(AD289,'02效果表'!D:D,'02效果表'!E:E)&lt;0, _xlfn.XLOOKUP(AD289,'02效果表'!D:D,'02效果表'!E:E), 0)), 1)</f>
        <v>0</v>
      </c>
      <c r="G289" s="7">
        <f>ROUND(1/6*(I289*MAX(_xlfn.XLOOKUP(H289,'02效果表'!D:D,'02效果表'!E:E),0)+K289*MAX(_xlfn.XLOOKUP(J289,'02效果表'!D:D,'02效果表'!E:E),0)+M289*MAX(_xlfn.XLOOKUP(L289,'02效果表'!D:D,'02效果表'!E:E),0)+O289*MAX(_xlfn.XLOOKUP(N289,'02效果表'!D:D,'02效果表'!E:E),0)+Q289*MAX(_xlfn.XLOOKUP(P289,'02效果表'!D:D,'02效果表'!E:E),0)+S289*MAX(_xlfn.XLOOKUP(R289,'02效果表'!D:D,'02效果表'!E:E),0)+U289*MAX(_xlfn.XLOOKUP(T289,'02效果表'!D:D,'02效果表'!E:E),0)+W289*MAX(_xlfn.XLOOKUP(V289,'02效果表'!D:D,'02效果表'!E:E),0)+Y289*MAX(_xlfn.XLOOKUP(X289,'02效果表'!D:D,'02效果表'!E:E),0)+AA289*MAX(_xlfn.XLOOKUP(Z289,'02效果表'!D:D,'02效果表'!E:E),0)+AC289*MAX(_xlfn.XLOOKUP(AB289,'02效果表'!D:D,'02效果表'!E:E),0)+AE289*MAX(_xlfn.XLOOKUP(AD289,'02效果表'!D:D,'02效果表'!E:E),0)),1)</f>
        <v>0</v>
      </c>
      <c r="H289" s="6"/>
      <c r="I289" s="6"/>
      <c r="J289" s="6"/>
      <c r="K289" s="6"/>
      <c r="L289" s="6"/>
      <c r="M289" s="6"/>
      <c r="N289" s="6"/>
      <c r="O289" s="6"/>
      <c r="P289" s="6"/>
      <c r="Q289" s="6"/>
      <c r="R289" s="6"/>
      <c r="S289" s="6"/>
      <c r="T289" s="6"/>
      <c r="U289" s="6"/>
      <c r="V289" s="6"/>
      <c r="W289" s="6"/>
      <c r="X289" s="6"/>
      <c r="Y289" s="6"/>
      <c r="Z289" s="6"/>
      <c r="AA289" s="6"/>
      <c r="AB289" s="6"/>
      <c r="AC289" s="6"/>
      <c r="AD289" s="6"/>
      <c r="AE289" s="6"/>
    </row>
    <row r="290" spans="1:31" x14ac:dyDescent="0.35">
      <c r="A290" s="6">
        <v>290</v>
      </c>
      <c r="B290" s="6" t="s">
        <v>5</v>
      </c>
      <c r="C290" s="10" t="s">
        <v>18</v>
      </c>
      <c r="D290" s="9" t="s">
        <v>1312</v>
      </c>
      <c r="E290" s="7">
        <f t="shared" si="11"/>
        <v>0</v>
      </c>
      <c r="F290" s="7">
        <f>-1*ROUND(1/6*(I290*IF(_xlfn.XLOOKUP(H290,'02效果表'!D:D,'02效果表'!E:E)&lt;0, _xlfn.XLOOKUP(H290,'02效果表'!D:D,'02效果表'!E:E), 0) +
K290*IF(_xlfn.XLOOKUP(J290,'02效果表'!D:D,'02效果表'!E:E)&lt;0, _xlfn.XLOOKUP(J290,'02效果表'!D:D,'02效果表'!E:E), 0) +
M290*IF(_xlfn.XLOOKUP(L290,'02效果表'!D:D,'02效果表'!E:E)&lt;0, _xlfn.XLOOKUP(L290,'02效果表'!D:D,'02效果表'!E:E), 0) +
O290*IF(_xlfn.XLOOKUP(N290,'02效果表'!D:D,'02效果表'!E:E)&lt;0, _xlfn.XLOOKUP(N290,'02效果表'!D:D,'02效果表'!E:E), 0) +
Q290*IF(_xlfn.XLOOKUP(P290,'02效果表'!D:D,'02效果表'!E:E)&lt;0, _xlfn.XLOOKUP(P290,'02效果表'!D:D,'02效果表'!E:E), 0) +
S290*IF(_xlfn.XLOOKUP(R290,'02效果表'!D:D,'02效果表'!E:E)&lt;0, _xlfn.XLOOKUP(R290,'02效果表'!D:D,'02效果表'!E:E), 0) +
U290*IF(_xlfn.XLOOKUP(T290,'02效果表'!D:D,'02效果表'!E:E)&lt;0, _xlfn.XLOOKUP(T290,'02效果表'!D:D,'02效果表'!E:E), 0) +
W290*IF(_xlfn.XLOOKUP(V290,'02效果表'!D:D,'02效果表'!E:E)&lt;0, _xlfn.XLOOKUP(V290,'02效果表'!D:D,'02效果表'!E:E), 0) +
Y290*IF(_xlfn.XLOOKUP(X290,'02效果表'!D:D,'02效果表'!E:E)&lt;0, _xlfn.XLOOKUP(X290,'02效果表'!D:D,'02效果表'!E:E), 0) +
AA290*IF(_xlfn.XLOOKUP(Z290,'02效果表'!D:D,'02效果表'!E:E)&lt;0, _xlfn.XLOOKUP(Z290,'02效果表'!D:D,'02效果表'!E:E), 0) +
AC290*IF(_xlfn.XLOOKUP(AB290,'02效果表'!D:D,'02效果表'!E:E)&lt;0, _xlfn.XLOOKUP(AB290,'02效果表'!D:D,'02效果表'!E:E), 0) +
AE290*IF(_xlfn.XLOOKUP(AD290,'02效果表'!D:D,'02效果表'!E:E)&lt;0, _xlfn.XLOOKUP(AD290,'02效果表'!D:D,'02效果表'!E:E), 0)), 1)</f>
        <v>0</v>
      </c>
      <c r="G290" s="7">
        <f>ROUND(1/6*(I290*MAX(_xlfn.XLOOKUP(H290,'02效果表'!D:D,'02效果表'!E:E),0)+K290*MAX(_xlfn.XLOOKUP(J290,'02效果表'!D:D,'02效果表'!E:E),0)+M290*MAX(_xlfn.XLOOKUP(L290,'02效果表'!D:D,'02效果表'!E:E),0)+O290*MAX(_xlfn.XLOOKUP(N290,'02效果表'!D:D,'02效果表'!E:E),0)+Q290*MAX(_xlfn.XLOOKUP(P290,'02效果表'!D:D,'02效果表'!E:E),0)+S290*MAX(_xlfn.XLOOKUP(R290,'02效果表'!D:D,'02效果表'!E:E),0)+U290*MAX(_xlfn.XLOOKUP(T290,'02效果表'!D:D,'02效果表'!E:E),0)+W290*MAX(_xlfn.XLOOKUP(V290,'02效果表'!D:D,'02效果表'!E:E),0)+Y290*MAX(_xlfn.XLOOKUP(X290,'02效果表'!D:D,'02效果表'!E:E),0)+AA290*MAX(_xlfn.XLOOKUP(Z290,'02效果表'!D:D,'02效果表'!E:E),0)+AC290*MAX(_xlfn.XLOOKUP(AB290,'02效果表'!D:D,'02效果表'!E:E),0)+AE290*MAX(_xlfn.XLOOKUP(AD290,'02效果表'!D:D,'02效果表'!E:E),0)),1)</f>
        <v>0</v>
      </c>
      <c r="H290" s="6"/>
      <c r="I290" s="6"/>
      <c r="J290" s="6"/>
      <c r="K290" s="6"/>
      <c r="L290" s="6"/>
      <c r="M290" s="6"/>
      <c r="N290" s="6"/>
      <c r="O290" s="6"/>
      <c r="P290" s="6"/>
      <c r="Q290" s="6"/>
      <c r="R290" s="6"/>
      <c r="S290" s="6"/>
      <c r="T290" s="6"/>
      <c r="U290" s="6"/>
      <c r="V290" s="6"/>
      <c r="W290" s="6"/>
      <c r="X290" s="6"/>
      <c r="Y290" s="6"/>
      <c r="Z290" s="6"/>
      <c r="AA290" s="6"/>
      <c r="AB290" s="6"/>
      <c r="AC290" s="6"/>
      <c r="AD290" s="6"/>
      <c r="AE290" s="6"/>
    </row>
    <row r="291" spans="1:31" x14ac:dyDescent="0.35">
      <c r="A291" s="6">
        <v>291</v>
      </c>
      <c r="B291" s="6" t="s">
        <v>5</v>
      </c>
      <c r="C291" s="10" t="s">
        <v>18</v>
      </c>
      <c r="D291" s="9" t="s">
        <v>1314</v>
      </c>
      <c r="E291" s="7">
        <f t="shared" si="11"/>
        <v>0</v>
      </c>
      <c r="F291" s="7">
        <f>-1*ROUND(1/6*(I291*IF(_xlfn.XLOOKUP(H291,'02效果表'!D:D,'02效果表'!E:E)&lt;0, _xlfn.XLOOKUP(H291,'02效果表'!D:D,'02效果表'!E:E), 0) +
K291*IF(_xlfn.XLOOKUP(J291,'02效果表'!D:D,'02效果表'!E:E)&lt;0, _xlfn.XLOOKUP(J291,'02效果表'!D:D,'02效果表'!E:E), 0) +
M291*IF(_xlfn.XLOOKUP(L291,'02效果表'!D:D,'02效果表'!E:E)&lt;0, _xlfn.XLOOKUP(L291,'02效果表'!D:D,'02效果表'!E:E), 0) +
O291*IF(_xlfn.XLOOKUP(N291,'02效果表'!D:D,'02效果表'!E:E)&lt;0, _xlfn.XLOOKUP(N291,'02效果表'!D:D,'02效果表'!E:E), 0) +
Q291*IF(_xlfn.XLOOKUP(P291,'02效果表'!D:D,'02效果表'!E:E)&lt;0, _xlfn.XLOOKUP(P291,'02效果表'!D:D,'02效果表'!E:E), 0) +
S291*IF(_xlfn.XLOOKUP(R291,'02效果表'!D:D,'02效果表'!E:E)&lt;0, _xlfn.XLOOKUP(R291,'02效果表'!D:D,'02效果表'!E:E), 0) +
U291*IF(_xlfn.XLOOKUP(T291,'02效果表'!D:D,'02效果表'!E:E)&lt;0, _xlfn.XLOOKUP(T291,'02效果表'!D:D,'02效果表'!E:E), 0) +
W291*IF(_xlfn.XLOOKUP(V291,'02效果表'!D:D,'02效果表'!E:E)&lt;0, _xlfn.XLOOKUP(V291,'02效果表'!D:D,'02效果表'!E:E), 0) +
Y291*IF(_xlfn.XLOOKUP(X291,'02效果表'!D:D,'02效果表'!E:E)&lt;0, _xlfn.XLOOKUP(X291,'02效果表'!D:D,'02效果表'!E:E), 0) +
AA291*IF(_xlfn.XLOOKUP(Z291,'02效果表'!D:D,'02效果表'!E:E)&lt;0, _xlfn.XLOOKUP(Z291,'02效果表'!D:D,'02效果表'!E:E), 0) +
AC291*IF(_xlfn.XLOOKUP(AB291,'02效果表'!D:D,'02效果表'!E:E)&lt;0, _xlfn.XLOOKUP(AB291,'02效果表'!D:D,'02效果表'!E:E), 0) +
AE291*IF(_xlfn.XLOOKUP(AD291,'02效果表'!D:D,'02效果表'!E:E)&lt;0, _xlfn.XLOOKUP(AD291,'02效果表'!D:D,'02效果表'!E:E), 0)), 1)</f>
        <v>0</v>
      </c>
      <c r="G291" s="7">
        <f>ROUND(1/6*(I291*MAX(_xlfn.XLOOKUP(H291,'02效果表'!D:D,'02效果表'!E:E),0)+K291*MAX(_xlfn.XLOOKUP(J291,'02效果表'!D:D,'02效果表'!E:E),0)+M291*MAX(_xlfn.XLOOKUP(L291,'02效果表'!D:D,'02效果表'!E:E),0)+O291*MAX(_xlfn.XLOOKUP(N291,'02效果表'!D:D,'02效果表'!E:E),0)+Q291*MAX(_xlfn.XLOOKUP(P291,'02效果表'!D:D,'02效果表'!E:E),0)+S291*MAX(_xlfn.XLOOKUP(R291,'02效果表'!D:D,'02效果表'!E:E),0)+U291*MAX(_xlfn.XLOOKUP(T291,'02效果表'!D:D,'02效果表'!E:E),0)+W291*MAX(_xlfn.XLOOKUP(V291,'02效果表'!D:D,'02效果表'!E:E),0)+Y291*MAX(_xlfn.XLOOKUP(X291,'02效果表'!D:D,'02效果表'!E:E),0)+AA291*MAX(_xlfn.XLOOKUP(Z291,'02效果表'!D:D,'02效果表'!E:E),0)+AC291*MAX(_xlfn.XLOOKUP(AB291,'02效果表'!D:D,'02效果表'!E:E),0)+AE291*MAX(_xlfn.XLOOKUP(AD291,'02效果表'!D:D,'02效果表'!E:E),0)),1)</f>
        <v>0</v>
      </c>
      <c r="H291" s="6"/>
      <c r="I291" s="6"/>
      <c r="J291" s="6"/>
      <c r="K291" s="6"/>
      <c r="L291" s="6"/>
      <c r="M291" s="6"/>
      <c r="N291" s="6"/>
      <c r="O291" s="6"/>
      <c r="P291" s="6"/>
      <c r="Q291" s="6"/>
      <c r="R291" s="6"/>
      <c r="S291" s="6"/>
      <c r="T291" s="6"/>
      <c r="U291" s="6"/>
      <c r="V291" s="6"/>
      <c r="W291" s="6"/>
      <c r="X291" s="6"/>
      <c r="Y291" s="6"/>
      <c r="Z291" s="6"/>
      <c r="AA291" s="6"/>
      <c r="AB291" s="6"/>
      <c r="AC291" s="6"/>
      <c r="AD291" s="6"/>
      <c r="AE291" s="6"/>
    </row>
    <row r="292" spans="1:31" x14ac:dyDescent="0.35">
      <c r="A292" s="6">
        <v>292</v>
      </c>
      <c r="B292" s="6" t="s">
        <v>5</v>
      </c>
      <c r="C292" s="10" t="s">
        <v>18</v>
      </c>
      <c r="D292" s="9" t="s">
        <v>1494</v>
      </c>
      <c r="E292" s="7">
        <f t="shared" si="11"/>
        <v>0</v>
      </c>
      <c r="F292" s="7">
        <f>-1*ROUND(1/6*(I292*IF(_xlfn.XLOOKUP(H292,'02效果表'!D:D,'02效果表'!E:E)&lt;0, _xlfn.XLOOKUP(H292,'02效果表'!D:D,'02效果表'!E:E), 0) +
K292*IF(_xlfn.XLOOKUP(J292,'02效果表'!D:D,'02效果表'!E:E)&lt;0, _xlfn.XLOOKUP(J292,'02效果表'!D:D,'02效果表'!E:E), 0) +
M292*IF(_xlfn.XLOOKUP(L292,'02效果表'!D:D,'02效果表'!E:E)&lt;0, _xlfn.XLOOKUP(L292,'02效果表'!D:D,'02效果表'!E:E), 0) +
O292*IF(_xlfn.XLOOKUP(N292,'02效果表'!D:D,'02效果表'!E:E)&lt;0, _xlfn.XLOOKUP(N292,'02效果表'!D:D,'02效果表'!E:E), 0) +
Q292*IF(_xlfn.XLOOKUP(P292,'02效果表'!D:D,'02效果表'!E:E)&lt;0, _xlfn.XLOOKUP(P292,'02效果表'!D:D,'02效果表'!E:E), 0) +
S292*IF(_xlfn.XLOOKUP(R292,'02效果表'!D:D,'02效果表'!E:E)&lt;0, _xlfn.XLOOKUP(R292,'02效果表'!D:D,'02效果表'!E:E), 0) +
U292*IF(_xlfn.XLOOKUP(T292,'02效果表'!D:D,'02效果表'!E:E)&lt;0, _xlfn.XLOOKUP(T292,'02效果表'!D:D,'02效果表'!E:E), 0) +
W292*IF(_xlfn.XLOOKUP(V292,'02效果表'!D:D,'02效果表'!E:E)&lt;0, _xlfn.XLOOKUP(V292,'02效果表'!D:D,'02效果表'!E:E), 0) +
Y292*IF(_xlfn.XLOOKUP(X292,'02效果表'!D:D,'02效果表'!E:E)&lt;0, _xlfn.XLOOKUP(X292,'02效果表'!D:D,'02效果表'!E:E), 0) +
AA292*IF(_xlfn.XLOOKUP(Z292,'02效果表'!D:D,'02效果表'!E:E)&lt;0, _xlfn.XLOOKUP(Z292,'02效果表'!D:D,'02效果表'!E:E), 0) +
AC292*IF(_xlfn.XLOOKUP(AB292,'02效果表'!D:D,'02效果表'!E:E)&lt;0, _xlfn.XLOOKUP(AB292,'02效果表'!D:D,'02效果表'!E:E), 0) +
AE292*IF(_xlfn.XLOOKUP(AD292,'02效果表'!D:D,'02效果表'!E:E)&lt;0, _xlfn.XLOOKUP(AD292,'02效果表'!D:D,'02效果表'!E:E), 0)), 1)</f>
        <v>0</v>
      </c>
      <c r="G292" s="7">
        <f>ROUND(1/6*(I292*MAX(_xlfn.XLOOKUP(H292,'02效果表'!D:D,'02效果表'!E:E),0)+K292*MAX(_xlfn.XLOOKUP(J292,'02效果表'!D:D,'02效果表'!E:E),0)+M292*MAX(_xlfn.XLOOKUP(L292,'02效果表'!D:D,'02效果表'!E:E),0)+O292*MAX(_xlfn.XLOOKUP(N292,'02效果表'!D:D,'02效果表'!E:E),0)+Q292*MAX(_xlfn.XLOOKUP(P292,'02效果表'!D:D,'02效果表'!E:E),0)+S292*MAX(_xlfn.XLOOKUP(R292,'02效果表'!D:D,'02效果表'!E:E),0)+U292*MAX(_xlfn.XLOOKUP(T292,'02效果表'!D:D,'02效果表'!E:E),0)+W292*MAX(_xlfn.XLOOKUP(V292,'02效果表'!D:D,'02效果表'!E:E),0)+Y292*MAX(_xlfn.XLOOKUP(X292,'02效果表'!D:D,'02效果表'!E:E),0)+AA292*MAX(_xlfn.XLOOKUP(Z292,'02效果表'!D:D,'02效果表'!E:E),0)+AC292*MAX(_xlfn.XLOOKUP(AB292,'02效果表'!D:D,'02效果表'!E:E),0)+AE292*MAX(_xlfn.XLOOKUP(AD292,'02效果表'!D:D,'02效果表'!E:E),0)),1)</f>
        <v>0</v>
      </c>
      <c r="H292" s="6"/>
      <c r="I292" s="6"/>
      <c r="J292" s="6"/>
      <c r="K292" s="6"/>
      <c r="L292" s="6"/>
      <c r="M292" s="6"/>
      <c r="N292" s="6"/>
      <c r="O292" s="6"/>
      <c r="P292" s="6"/>
      <c r="Q292" s="6"/>
      <c r="R292" s="6"/>
      <c r="S292" s="6"/>
      <c r="T292" s="6"/>
      <c r="U292" s="6"/>
      <c r="V292" s="6"/>
      <c r="W292" s="6"/>
      <c r="X292" s="6"/>
      <c r="Y292" s="6"/>
      <c r="Z292" s="6"/>
      <c r="AA292" s="6"/>
      <c r="AB292" s="6"/>
      <c r="AC292" s="6"/>
      <c r="AD292" s="6"/>
      <c r="AE292" s="6"/>
    </row>
    <row r="293" spans="1:31" x14ac:dyDescent="0.35">
      <c r="A293" s="6">
        <v>293</v>
      </c>
      <c r="B293" s="6" t="s">
        <v>5</v>
      </c>
      <c r="C293" s="10" t="s">
        <v>1</v>
      </c>
      <c r="D293" s="9" t="s">
        <v>1495</v>
      </c>
      <c r="E293" s="7">
        <f t="shared" si="11"/>
        <v>0</v>
      </c>
      <c r="F293" s="7">
        <f>-1*ROUND(1/6*(I293*IF(_xlfn.XLOOKUP(H293,'02效果表'!D:D,'02效果表'!E:E)&lt;0, _xlfn.XLOOKUP(H293,'02效果表'!D:D,'02效果表'!E:E), 0) +
K293*IF(_xlfn.XLOOKUP(J293,'02效果表'!D:D,'02效果表'!E:E)&lt;0, _xlfn.XLOOKUP(J293,'02效果表'!D:D,'02效果表'!E:E), 0) +
M293*IF(_xlfn.XLOOKUP(L293,'02效果表'!D:D,'02效果表'!E:E)&lt;0, _xlfn.XLOOKUP(L293,'02效果表'!D:D,'02效果表'!E:E), 0) +
O293*IF(_xlfn.XLOOKUP(N293,'02效果表'!D:D,'02效果表'!E:E)&lt;0, _xlfn.XLOOKUP(N293,'02效果表'!D:D,'02效果表'!E:E), 0) +
Q293*IF(_xlfn.XLOOKUP(P293,'02效果表'!D:D,'02效果表'!E:E)&lt;0, _xlfn.XLOOKUP(P293,'02效果表'!D:D,'02效果表'!E:E), 0) +
S293*IF(_xlfn.XLOOKUP(R293,'02效果表'!D:D,'02效果表'!E:E)&lt;0, _xlfn.XLOOKUP(R293,'02效果表'!D:D,'02效果表'!E:E), 0) +
U293*IF(_xlfn.XLOOKUP(T293,'02效果表'!D:D,'02效果表'!E:E)&lt;0, _xlfn.XLOOKUP(T293,'02效果表'!D:D,'02效果表'!E:E), 0) +
W293*IF(_xlfn.XLOOKUP(V293,'02效果表'!D:D,'02效果表'!E:E)&lt;0, _xlfn.XLOOKUP(V293,'02效果表'!D:D,'02效果表'!E:E), 0) +
Y293*IF(_xlfn.XLOOKUP(X293,'02效果表'!D:D,'02效果表'!E:E)&lt;0, _xlfn.XLOOKUP(X293,'02效果表'!D:D,'02效果表'!E:E), 0) +
AA293*IF(_xlfn.XLOOKUP(Z293,'02效果表'!D:D,'02效果表'!E:E)&lt;0, _xlfn.XLOOKUP(Z293,'02效果表'!D:D,'02效果表'!E:E), 0) +
AC293*IF(_xlfn.XLOOKUP(AB293,'02效果表'!D:D,'02效果表'!E:E)&lt;0, _xlfn.XLOOKUP(AB293,'02效果表'!D:D,'02效果表'!E:E), 0) +
AE293*IF(_xlfn.XLOOKUP(AD293,'02效果表'!D:D,'02效果表'!E:E)&lt;0, _xlfn.XLOOKUP(AD293,'02效果表'!D:D,'02效果表'!E:E), 0)), 1)</f>
        <v>0</v>
      </c>
      <c r="G293" s="7">
        <f>ROUND(1/6*(I293*MAX(_xlfn.XLOOKUP(H293,'02效果表'!D:D,'02效果表'!E:E),0)+K293*MAX(_xlfn.XLOOKUP(J293,'02效果表'!D:D,'02效果表'!E:E),0)+M293*MAX(_xlfn.XLOOKUP(L293,'02效果表'!D:D,'02效果表'!E:E),0)+O293*MAX(_xlfn.XLOOKUP(N293,'02效果表'!D:D,'02效果表'!E:E),0)+Q293*MAX(_xlfn.XLOOKUP(P293,'02效果表'!D:D,'02效果表'!E:E),0)+S293*MAX(_xlfn.XLOOKUP(R293,'02效果表'!D:D,'02效果表'!E:E),0)+U293*MAX(_xlfn.XLOOKUP(T293,'02效果表'!D:D,'02效果表'!E:E),0)+W293*MAX(_xlfn.XLOOKUP(V293,'02效果表'!D:D,'02效果表'!E:E),0)+Y293*MAX(_xlfn.XLOOKUP(X293,'02效果表'!D:D,'02效果表'!E:E),0)+AA293*MAX(_xlfn.XLOOKUP(Z293,'02效果表'!D:D,'02效果表'!E:E),0)+AC293*MAX(_xlfn.XLOOKUP(AB293,'02效果表'!D:D,'02效果表'!E:E),0)+AE293*MAX(_xlfn.XLOOKUP(AD293,'02效果表'!D:D,'02效果表'!E:E),0)),1)</f>
        <v>0</v>
      </c>
      <c r="H293" s="6"/>
      <c r="I293" s="6"/>
      <c r="J293" s="6"/>
      <c r="K293" s="6"/>
      <c r="L293" s="6"/>
      <c r="M293" s="6"/>
      <c r="N293" s="6"/>
      <c r="O293" s="6"/>
      <c r="P293" s="6"/>
      <c r="Q293" s="6"/>
      <c r="R293" s="6"/>
      <c r="S293" s="6"/>
      <c r="T293" s="6"/>
      <c r="U293" s="6"/>
      <c r="V293" s="6"/>
      <c r="W293" s="6"/>
      <c r="X293" s="6"/>
      <c r="Y293" s="6"/>
      <c r="Z293" s="6"/>
      <c r="AA293" s="6"/>
      <c r="AB293" s="6"/>
      <c r="AC293" s="6"/>
      <c r="AD293" s="6"/>
      <c r="AE293" s="6"/>
    </row>
    <row r="294" spans="1:31" x14ac:dyDescent="0.35">
      <c r="A294" s="6">
        <v>294</v>
      </c>
      <c r="B294" s="6" t="s">
        <v>5</v>
      </c>
      <c r="C294" s="10" t="s">
        <v>1</v>
      </c>
      <c r="D294" s="9" t="s">
        <v>1496</v>
      </c>
      <c r="E294" s="7">
        <f t="shared" si="11"/>
        <v>0</v>
      </c>
      <c r="F294" s="7">
        <f>-1*ROUND(1/6*(I294*IF(_xlfn.XLOOKUP(H294,'02效果表'!D:D,'02效果表'!E:E)&lt;0, _xlfn.XLOOKUP(H294,'02效果表'!D:D,'02效果表'!E:E), 0) +
K294*IF(_xlfn.XLOOKUP(J294,'02效果表'!D:D,'02效果表'!E:E)&lt;0, _xlfn.XLOOKUP(J294,'02效果表'!D:D,'02效果表'!E:E), 0) +
M294*IF(_xlfn.XLOOKUP(L294,'02效果表'!D:D,'02效果表'!E:E)&lt;0, _xlfn.XLOOKUP(L294,'02效果表'!D:D,'02效果表'!E:E), 0) +
O294*IF(_xlfn.XLOOKUP(N294,'02效果表'!D:D,'02效果表'!E:E)&lt;0, _xlfn.XLOOKUP(N294,'02效果表'!D:D,'02效果表'!E:E), 0) +
Q294*IF(_xlfn.XLOOKUP(P294,'02效果表'!D:D,'02效果表'!E:E)&lt;0, _xlfn.XLOOKUP(P294,'02效果表'!D:D,'02效果表'!E:E), 0) +
S294*IF(_xlfn.XLOOKUP(R294,'02效果表'!D:D,'02效果表'!E:E)&lt;0, _xlfn.XLOOKUP(R294,'02效果表'!D:D,'02效果表'!E:E), 0) +
U294*IF(_xlfn.XLOOKUP(T294,'02效果表'!D:D,'02效果表'!E:E)&lt;0, _xlfn.XLOOKUP(T294,'02效果表'!D:D,'02效果表'!E:E), 0) +
W294*IF(_xlfn.XLOOKUP(V294,'02效果表'!D:D,'02效果表'!E:E)&lt;0, _xlfn.XLOOKUP(V294,'02效果表'!D:D,'02效果表'!E:E), 0) +
Y294*IF(_xlfn.XLOOKUP(X294,'02效果表'!D:D,'02效果表'!E:E)&lt;0, _xlfn.XLOOKUP(X294,'02效果表'!D:D,'02效果表'!E:E), 0) +
AA294*IF(_xlfn.XLOOKUP(Z294,'02效果表'!D:D,'02效果表'!E:E)&lt;0, _xlfn.XLOOKUP(Z294,'02效果表'!D:D,'02效果表'!E:E), 0) +
AC294*IF(_xlfn.XLOOKUP(AB294,'02效果表'!D:D,'02效果表'!E:E)&lt;0, _xlfn.XLOOKUP(AB294,'02效果表'!D:D,'02效果表'!E:E), 0) +
AE294*IF(_xlfn.XLOOKUP(AD294,'02效果表'!D:D,'02效果表'!E:E)&lt;0, _xlfn.XLOOKUP(AD294,'02效果表'!D:D,'02效果表'!E:E), 0)), 1)</f>
        <v>0</v>
      </c>
      <c r="G294" s="7">
        <f>ROUND(1/6*(I294*MAX(_xlfn.XLOOKUP(H294,'02效果表'!D:D,'02效果表'!E:E),0)+K294*MAX(_xlfn.XLOOKUP(J294,'02效果表'!D:D,'02效果表'!E:E),0)+M294*MAX(_xlfn.XLOOKUP(L294,'02效果表'!D:D,'02效果表'!E:E),0)+O294*MAX(_xlfn.XLOOKUP(N294,'02效果表'!D:D,'02效果表'!E:E),0)+Q294*MAX(_xlfn.XLOOKUP(P294,'02效果表'!D:D,'02效果表'!E:E),0)+S294*MAX(_xlfn.XLOOKUP(R294,'02效果表'!D:D,'02效果表'!E:E),0)+U294*MAX(_xlfn.XLOOKUP(T294,'02效果表'!D:D,'02效果表'!E:E),0)+W294*MAX(_xlfn.XLOOKUP(V294,'02效果表'!D:D,'02效果表'!E:E),0)+Y294*MAX(_xlfn.XLOOKUP(X294,'02效果表'!D:D,'02效果表'!E:E),0)+AA294*MAX(_xlfn.XLOOKUP(Z294,'02效果表'!D:D,'02效果表'!E:E),0)+AC294*MAX(_xlfn.XLOOKUP(AB294,'02效果表'!D:D,'02效果表'!E:E),0)+AE294*MAX(_xlfn.XLOOKUP(AD294,'02效果表'!D:D,'02效果表'!E:E),0)),1)</f>
        <v>0</v>
      </c>
      <c r="H294" s="6"/>
      <c r="I294" s="6"/>
      <c r="J294" s="6"/>
      <c r="K294" s="6"/>
      <c r="L294" s="6"/>
      <c r="M294" s="6"/>
      <c r="N294" s="6"/>
      <c r="O294" s="6"/>
      <c r="P294" s="6"/>
      <c r="Q294" s="6"/>
      <c r="R294" s="6"/>
      <c r="S294" s="6"/>
      <c r="T294" s="6"/>
      <c r="U294" s="6"/>
      <c r="V294" s="6"/>
      <c r="W294" s="6"/>
      <c r="X294" s="6"/>
      <c r="Y294" s="6"/>
      <c r="Z294" s="6"/>
      <c r="AA294" s="6"/>
      <c r="AB294" s="6"/>
      <c r="AC294" s="6"/>
      <c r="AD294" s="6"/>
      <c r="AE294" s="6"/>
    </row>
    <row r="295" spans="1:31" x14ac:dyDescent="0.35">
      <c r="A295" s="6">
        <v>295</v>
      </c>
      <c r="B295" s="6" t="s">
        <v>5</v>
      </c>
      <c r="C295" s="10" t="s">
        <v>1</v>
      </c>
      <c r="D295" s="9" t="s">
        <v>1497</v>
      </c>
      <c r="E295" s="7">
        <f t="shared" si="11"/>
        <v>0</v>
      </c>
      <c r="F295" s="7">
        <f>-1*ROUND(1/6*(I295*IF(_xlfn.XLOOKUP(H295,'02效果表'!D:D,'02效果表'!E:E)&lt;0, _xlfn.XLOOKUP(H295,'02效果表'!D:D,'02效果表'!E:E), 0) +
K295*IF(_xlfn.XLOOKUP(J295,'02效果表'!D:D,'02效果表'!E:E)&lt;0, _xlfn.XLOOKUP(J295,'02效果表'!D:D,'02效果表'!E:E), 0) +
M295*IF(_xlfn.XLOOKUP(L295,'02效果表'!D:D,'02效果表'!E:E)&lt;0, _xlfn.XLOOKUP(L295,'02效果表'!D:D,'02效果表'!E:E), 0) +
O295*IF(_xlfn.XLOOKUP(N295,'02效果表'!D:D,'02效果表'!E:E)&lt;0, _xlfn.XLOOKUP(N295,'02效果表'!D:D,'02效果表'!E:E), 0) +
Q295*IF(_xlfn.XLOOKUP(P295,'02效果表'!D:D,'02效果表'!E:E)&lt;0, _xlfn.XLOOKUP(P295,'02效果表'!D:D,'02效果表'!E:E), 0) +
S295*IF(_xlfn.XLOOKUP(R295,'02效果表'!D:D,'02效果表'!E:E)&lt;0, _xlfn.XLOOKUP(R295,'02效果表'!D:D,'02效果表'!E:E), 0) +
U295*IF(_xlfn.XLOOKUP(T295,'02效果表'!D:D,'02效果表'!E:E)&lt;0, _xlfn.XLOOKUP(T295,'02效果表'!D:D,'02效果表'!E:E), 0) +
W295*IF(_xlfn.XLOOKUP(V295,'02效果表'!D:D,'02效果表'!E:E)&lt;0, _xlfn.XLOOKUP(V295,'02效果表'!D:D,'02效果表'!E:E), 0) +
Y295*IF(_xlfn.XLOOKUP(X295,'02效果表'!D:D,'02效果表'!E:E)&lt;0, _xlfn.XLOOKUP(X295,'02效果表'!D:D,'02效果表'!E:E), 0) +
AA295*IF(_xlfn.XLOOKUP(Z295,'02效果表'!D:D,'02效果表'!E:E)&lt;0, _xlfn.XLOOKUP(Z295,'02效果表'!D:D,'02效果表'!E:E), 0) +
AC295*IF(_xlfn.XLOOKUP(AB295,'02效果表'!D:D,'02效果表'!E:E)&lt;0, _xlfn.XLOOKUP(AB295,'02效果表'!D:D,'02效果表'!E:E), 0) +
AE295*IF(_xlfn.XLOOKUP(AD295,'02效果表'!D:D,'02效果表'!E:E)&lt;0, _xlfn.XLOOKUP(AD295,'02效果表'!D:D,'02效果表'!E:E), 0)), 1)</f>
        <v>0</v>
      </c>
      <c r="G295" s="7">
        <f>ROUND(1/6*(I295*MAX(_xlfn.XLOOKUP(H295,'02效果表'!D:D,'02效果表'!E:E),0)+K295*MAX(_xlfn.XLOOKUP(J295,'02效果表'!D:D,'02效果表'!E:E),0)+M295*MAX(_xlfn.XLOOKUP(L295,'02效果表'!D:D,'02效果表'!E:E),0)+O295*MAX(_xlfn.XLOOKUP(N295,'02效果表'!D:D,'02效果表'!E:E),0)+Q295*MAX(_xlfn.XLOOKUP(P295,'02效果表'!D:D,'02效果表'!E:E),0)+S295*MAX(_xlfn.XLOOKUP(R295,'02效果表'!D:D,'02效果表'!E:E),0)+U295*MAX(_xlfn.XLOOKUP(T295,'02效果表'!D:D,'02效果表'!E:E),0)+W295*MAX(_xlfn.XLOOKUP(V295,'02效果表'!D:D,'02效果表'!E:E),0)+Y295*MAX(_xlfn.XLOOKUP(X295,'02效果表'!D:D,'02效果表'!E:E),0)+AA295*MAX(_xlfn.XLOOKUP(Z295,'02效果表'!D:D,'02效果表'!E:E),0)+AC295*MAX(_xlfn.XLOOKUP(AB295,'02效果表'!D:D,'02效果表'!E:E),0)+AE295*MAX(_xlfn.XLOOKUP(AD295,'02效果表'!D:D,'02效果表'!E:E),0)),1)</f>
        <v>0</v>
      </c>
      <c r="H295" s="6"/>
      <c r="I295" s="6"/>
      <c r="J295" s="6"/>
      <c r="K295" s="6"/>
      <c r="L295" s="6"/>
      <c r="M295" s="6"/>
      <c r="N295" s="6"/>
      <c r="O295" s="6"/>
      <c r="P295" s="6"/>
      <c r="Q295" s="6"/>
      <c r="R295" s="6"/>
      <c r="S295" s="6"/>
      <c r="T295" s="6"/>
      <c r="U295" s="6"/>
      <c r="V295" s="6"/>
      <c r="W295" s="6"/>
      <c r="X295" s="6"/>
      <c r="Y295" s="6"/>
      <c r="Z295" s="6"/>
      <c r="AA295" s="6"/>
      <c r="AB295" s="6"/>
      <c r="AC295" s="6"/>
      <c r="AD295" s="6"/>
      <c r="AE295" s="6"/>
    </row>
    <row r="296" spans="1:31" x14ac:dyDescent="0.35">
      <c r="A296" s="6">
        <v>296</v>
      </c>
      <c r="B296" s="6" t="s">
        <v>5</v>
      </c>
      <c r="C296" s="10" t="s">
        <v>1</v>
      </c>
      <c r="D296" s="9" t="s">
        <v>1498</v>
      </c>
      <c r="E296" s="7">
        <f t="shared" si="11"/>
        <v>0</v>
      </c>
      <c r="F296" s="7">
        <f>-1*ROUND(1/6*(I296*IF(_xlfn.XLOOKUP(H296,'02效果表'!D:D,'02效果表'!E:E)&lt;0, _xlfn.XLOOKUP(H296,'02效果表'!D:D,'02效果表'!E:E), 0) +
K296*IF(_xlfn.XLOOKUP(J296,'02效果表'!D:D,'02效果表'!E:E)&lt;0, _xlfn.XLOOKUP(J296,'02效果表'!D:D,'02效果表'!E:E), 0) +
M296*IF(_xlfn.XLOOKUP(L296,'02效果表'!D:D,'02效果表'!E:E)&lt;0, _xlfn.XLOOKUP(L296,'02效果表'!D:D,'02效果表'!E:E), 0) +
O296*IF(_xlfn.XLOOKUP(N296,'02效果表'!D:D,'02效果表'!E:E)&lt;0, _xlfn.XLOOKUP(N296,'02效果表'!D:D,'02效果表'!E:E), 0) +
Q296*IF(_xlfn.XLOOKUP(P296,'02效果表'!D:D,'02效果表'!E:E)&lt;0, _xlfn.XLOOKUP(P296,'02效果表'!D:D,'02效果表'!E:E), 0) +
S296*IF(_xlfn.XLOOKUP(R296,'02效果表'!D:D,'02效果表'!E:E)&lt;0, _xlfn.XLOOKUP(R296,'02效果表'!D:D,'02效果表'!E:E), 0) +
U296*IF(_xlfn.XLOOKUP(T296,'02效果表'!D:D,'02效果表'!E:E)&lt;0, _xlfn.XLOOKUP(T296,'02效果表'!D:D,'02效果表'!E:E), 0) +
W296*IF(_xlfn.XLOOKUP(V296,'02效果表'!D:D,'02效果表'!E:E)&lt;0, _xlfn.XLOOKUP(V296,'02效果表'!D:D,'02效果表'!E:E), 0) +
Y296*IF(_xlfn.XLOOKUP(X296,'02效果表'!D:D,'02效果表'!E:E)&lt;0, _xlfn.XLOOKUP(X296,'02效果表'!D:D,'02效果表'!E:E), 0) +
AA296*IF(_xlfn.XLOOKUP(Z296,'02效果表'!D:D,'02效果表'!E:E)&lt;0, _xlfn.XLOOKUP(Z296,'02效果表'!D:D,'02效果表'!E:E), 0) +
AC296*IF(_xlfn.XLOOKUP(AB296,'02效果表'!D:D,'02效果表'!E:E)&lt;0, _xlfn.XLOOKUP(AB296,'02效果表'!D:D,'02效果表'!E:E), 0) +
AE296*IF(_xlfn.XLOOKUP(AD296,'02效果表'!D:D,'02效果表'!E:E)&lt;0, _xlfn.XLOOKUP(AD296,'02效果表'!D:D,'02效果表'!E:E), 0)), 1)</f>
        <v>0</v>
      </c>
      <c r="G296" s="7">
        <f>ROUND(1/6*(I296*MAX(_xlfn.XLOOKUP(H296,'02效果表'!D:D,'02效果表'!E:E),0)+K296*MAX(_xlfn.XLOOKUP(J296,'02效果表'!D:D,'02效果表'!E:E),0)+M296*MAX(_xlfn.XLOOKUP(L296,'02效果表'!D:D,'02效果表'!E:E),0)+O296*MAX(_xlfn.XLOOKUP(N296,'02效果表'!D:D,'02效果表'!E:E),0)+Q296*MAX(_xlfn.XLOOKUP(P296,'02效果表'!D:D,'02效果表'!E:E),0)+S296*MAX(_xlfn.XLOOKUP(R296,'02效果表'!D:D,'02效果表'!E:E),0)+U296*MAX(_xlfn.XLOOKUP(T296,'02效果表'!D:D,'02效果表'!E:E),0)+W296*MAX(_xlfn.XLOOKUP(V296,'02效果表'!D:D,'02效果表'!E:E),0)+Y296*MAX(_xlfn.XLOOKUP(X296,'02效果表'!D:D,'02效果表'!E:E),0)+AA296*MAX(_xlfn.XLOOKUP(Z296,'02效果表'!D:D,'02效果表'!E:E),0)+AC296*MAX(_xlfn.XLOOKUP(AB296,'02效果表'!D:D,'02效果表'!E:E),0)+AE296*MAX(_xlfn.XLOOKUP(AD296,'02效果表'!D:D,'02效果表'!E:E),0)),1)</f>
        <v>0</v>
      </c>
      <c r="H296" s="6"/>
      <c r="I296" s="6"/>
      <c r="J296" s="6"/>
      <c r="K296" s="6"/>
      <c r="L296" s="6"/>
      <c r="M296" s="6"/>
      <c r="N296" s="6"/>
      <c r="O296" s="6"/>
      <c r="P296" s="6"/>
      <c r="Q296" s="6"/>
      <c r="R296" s="6"/>
      <c r="S296" s="6"/>
      <c r="T296" s="6"/>
      <c r="U296" s="6"/>
      <c r="V296" s="6"/>
      <c r="W296" s="6"/>
      <c r="X296" s="6"/>
      <c r="Y296" s="6"/>
      <c r="Z296" s="6"/>
      <c r="AA296" s="6"/>
      <c r="AB296" s="6"/>
      <c r="AC296" s="6"/>
      <c r="AD296" s="6"/>
      <c r="AE296" s="6"/>
    </row>
    <row r="297" spans="1:31" x14ac:dyDescent="0.35">
      <c r="A297" s="6">
        <v>297</v>
      </c>
      <c r="B297" s="6" t="s">
        <v>5</v>
      </c>
      <c r="C297" s="10" t="s">
        <v>1</v>
      </c>
      <c r="D297" s="9" t="s">
        <v>1499</v>
      </c>
      <c r="E297" s="7">
        <f t="shared" si="11"/>
        <v>0</v>
      </c>
      <c r="F297" s="7">
        <f>-1*ROUND(1/6*(I297*IF(_xlfn.XLOOKUP(H297,'02效果表'!D:D,'02效果表'!E:E)&lt;0, _xlfn.XLOOKUP(H297,'02效果表'!D:D,'02效果表'!E:E), 0) +
K297*IF(_xlfn.XLOOKUP(J297,'02效果表'!D:D,'02效果表'!E:E)&lt;0, _xlfn.XLOOKUP(J297,'02效果表'!D:D,'02效果表'!E:E), 0) +
M297*IF(_xlfn.XLOOKUP(L297,'02效果表'!D:D,'02效果表'!E:E)&lt;0, _xlfn.XLOOKUP(L297,'02效果表'!D:D,'02效果表'!E:E), 0) +
O297*IF(_xlfn.XLOOKUP(N297,'02效果表'!D:D,'02效果表'!E:E)&lt;0, _xlfn.XLOOKUP(N297,'02效果表'!D:D,'02效果表'!E:E), 0) +
Q297*IF(_xlfn.XLOOKUP(P297,'02效果表'!D:D,'02效果表'!E:E)&lt;0, _xlfn.XLOOKUP(P297,'02效果表'!D:D,'02效果表'!E:E), 0) +
S297*IF(_xlfn.XLOOKUP(R297,'02效果表'!D:D,'02效果表'!E:E)&lt;0, _xlfn.XLOOKUP(R297,'02效果表'!D:D,'02效果表'!E:E), 0) +
U297*IF(_xlfn.XLOOKUP(T297,'02效果表'!D:D,'02效果表'!E:E)&lt;0, _xlfn.XLOOKUP(T297,'02效果表'!D:D,'02效果表'!E:E), 0) +
W297*IF(_xlfn.XLOOKUP(V297,'02效果表'!D:D,'02效果表'!E:E)&lt;0, _xlfn.XLOOKUP(V297,'02效果表'!D:D,'02效果表'!E:E), 0) +
Y297*IF(_xlfn.XLOOKUP(X297,'02效果表'!D:D,'02效果表'!E:E)&lt;0, _xlfn.XLOOKUP(X297,'02效果表'!D:D,'02效果表'!E:E), 0) +
AA297*IF(_xlfn.XLOOKUP(Z297,'02效果表'!D:D,'02效果表'!E:E)&lt;0, _xlfn.XLOOKUP(Z297,'02效果表'!D:D,'02效果表'!E:E), 0) +
AC297*IF(_xlfn.XLOOKUP(AB297,'02效果表'!D:D,'02效果表'!E:E)&lt;0, _xlfn.XLOOKUP(AB297,'02效果表'!D:D,'02效果表'!E:E), 0) +
AE297*IF(_xlfn.XLOOKUP(AD297,'02效果表'!D:D,'02效果表'!E:E)&lt;0, _xlfn.XLOOKUP(AD297,'02效果表'!D:D,'02效果表'!E:E), 0)), 1)</f>
        <v>0</v>
      </c>
      <c r="G297" s="7">
        <f>ROUND(1/6*(I297*MAX(_xlfn.XLOOKUP(H297,'02效果表'!D:D,'02效果表'!E:E),0)+K297*MAX(_xlfn.XLOOKUP(J297,'02效果表'!D:D,'02效果表'!E:E),0)+M297*MAX(_xlfn.XLOOKUP(L297,'02效果表'!D:D,'02效果表'!E:E),0)+O297*MAX(_xlfn.XLOOKUP(N297,'02效果表'!D:D,'02效果表'!E:E),0)+Q297*MAX(_xlfn.XLOOKUP(P297,'02效果表'!D:D,'02效果表'!E:E),0)+S297*MAX(_xlfn.XLOOKUP(R297,'02效果表'!D:D,'02效果表'!E:E),0)+U297*MAX(_xlfn.XLOOKUP(T297,'02效果表'!D:D,'02效果表'!E:E),0)+W297*MAX(_xlfn.XLOOKUP(V297,'02效果表'!D:D,'02效果表'!E:E),0)+Y297*MAX(_xlfn.XLOOKUP(X297,'02效果表'!D:D,'02效果表'!E:E),0)+AA297*MAX(_xlfn.XLOOKUP(Z297,'02效果表'!D:D,'02效果表'!E:E),0)+AC297*MAX(_xlfn.XLOOKUP(AB297,'02效果表'!D:D,'02效果表'!E:E),0)+AE297*MAX(_xlfn.XLOOKUP(AD297,'02效果表'!D:D,'02效果表'!E:E),0)),1)</f>
        <v>0</v>
      </c>
      <c r="H297" s="6"/>
      <c r="I297" s="6"/>
      <c r="J297" s="6"/>
      <c r="K297" s="6"/>
      <c r="L297" s="6"/>
      <c r="M297" s="6"/>
      <c r="N297" s="6"/>
      <c r="O297" s="6"/>
      <c r="P297" s="6"/>
      <c r="Q297" s="6"/>
      <c r="R297" s="6"/>
      <c r="S297" s="6"/>
      <c r="T297" s="6"/>
      <c r="U297" s="6"/>
      <c r="V297" s="6"/>
      <c r="W297" s="6"/>
      <c r="X297" s="6"/>
      <c r="Y297" s="6"/>
      <c r="Z297" s="6"/>
      <c r="AA297" s="6"/>
      <c r="AB297" s="6"/>
      <c r="AC297" s="6"/>
      <c r="AD297" s="6"/>
      <c r="AE297" s="6"/>
    </row>
    <row r="298" spans="1:31" x14ac:dyDescent="0.35">
      <c r="A298" s="6">
        <v>298</v>
      </c>
      <c r="B298" s="6" t="s">
        <v>5</v>
      </c>
      <c r="C298" s="10" t="s">
        <v>1</v>
      </c>
      <c r="D298" s="9" t="s">
        <v>1500</v>
      </c>
      <c r="E298" s="7">
        <f t="shared" si="11"/>
        <v>0</v>
      </c>
      <c r="F298" s="7">
        <f>-1*ROUND(1/6*(I298*IF(_xlfn.XLOOKUP(H298,'02效果表'!D:D,'02效果表'!E:E)&lt;0, _xlfn.XLOOKUP(H298,'02效果表'!D:D,'02效果表'!E:E), 0) +
K298*IF(_xlfn.XLOOKUP(J298,'02效果表'!D:D,'02效果表'!E:E)&lt;0, _xlfn.XLOOKUP(J298,'02效果表'!D:D,'02效果表'!E:E), 0) +
M298*IF(_xlfn.XLOOKUP(L298,'02效果表'!D:D,'02效果表'!E:E)&lt;0, _xlfn.XLOOKUP(L298,'02效果表'!D:D,'02效果表'!E:E), 0) +
O298*IF(_xlfn.XLOOKUP(N298,'02效果表'!D:D,'02效果表'!E:E)&lt;0, _xlfn.XLOOKUP(N298,'02效果表'!D:D,'02效果表'!E:E), 0) +
Q298*IF(_xlfn.XLOOKUP(P298,'02效果表'!D:D,'02效果表'!E:E)&lt;0, _xlfn.XLOOKUP(P298,'02效果表'!D:D,'02效果表'!E:E), 0) +
S298*IF(_xlfn.XLOOKUP(R298,'02效果表'!D:D,'02效果表'!E:E)&lt;0, _xlfn.XLOOKUP(R298,'02效果表'!D:D,'02效果表'!E:E), 0) +
U298*IF(_xlfn.XLOOKUP(T298,'02效果表'!D:D,'02效果表'!E:E)&lt;0, _xlfn.XLOOKUP(T298,'02效果表'!D:D,'02效果表'!E:E), 0) +
W298*IF(_xlfn.XLOOKUP(V298,'02效果表'!D:D,'02效果表'!E:E)&lt;0, _xlfn.XLOOKUP(V298,'02效果表'!D:D,'02效果表'!E:E), 0) +
Y298*IF(_xlfn.XLOOKUP(X298,'02效果表'!D:D,'02效果表'!E:E)&lt;0, _xlfn.XLOOKUP(X298,'02效果表'!D:D,'02效果表'!E:E), 0) +
AA298*IF(_xlfn.XLOOKUP(Z298,'02效果表'!D:D,'02效果表'!E:E)&lt;0, _xlfn.XLOOKUP(Z298,'02效果表'!D:D,'02效果表'!E:E), 0) +
AC298*IF(_xlfn.XLOOKUP(AB298,'02效果表'!D:D,'02效果表'!E:E)&lt;0, _xlfn.XLOOKUP(AB298,'02效果表'!D:D,'02效果表'!E:E), 0) +
AE298*IF(_xlfn.XLOOKUP(AD298,'02效果表'!D:D,'02效果表'!E:E)&lt;0, _xlfn.XLOOKUP(AD298,'02效果表'!D:D,'02效果表'!E:E), 0)), 1)</f>
        <v>0</v>
      </c>
      <c r="G298" s="7">
        <f>ROUND(1/6*(I298*MAX(_xlfn.XLOOKUP(H298,'02效果表'!D:D,'02效果表'!E:E),0)+K298*MAX(_xlfn.XLOOKUP(J298,'02效果表'!D:D,'02效果表'!E:E),0)+M298*MAX(_xlfn.XLOOKUP(L298,'02效果表'!D:D,'02效果表'!E:E),0)+O298*MAX(_xlfn.XLOOKUP(N298,'02效果表'!D:D,'02效果表'!E:E),0)+Q298*MAX(_xlfn.XLOOKUP(P298,'02效果表'!D:D,'02效果表'!E:E),0)+S298*MAX(_xlfn.XLOOKUP(R298,'02效果表'!D:D,'02效果表'!E:E),0)+U298*MAX(_xlfn.XLOOKUP(T298,'02效果表'!D:D,'02效果表'!E:E),0)+W298*MAX(_xlfn.XLOOKUP(V298,'02效果表'!D:D,'02效果表'!E:E),0)+Y298*MAX(_xlfn.XLOOKUP(X298,'02效果表'!D:D,'02效果表'!E:E),0)+AA298*MAX(_xlfn.XLOOKUP(Z298,'02效果表'!D:D,'02效果表'!E:E),0)+AC298*MAX(_xlfn.XLOOKUP(AB298,'02效果表'!D:D,'02效果表'!E:E),0)+AE298*MAX(_xlfn.XLOOKUP(AD298,'02效果表'!D:D,'02效果表'!E:E),0)),1)</f>
        <v>0</v>
      </c>
      <c r="H298" s="6"/>
      <c r="I298" s="6"/>
      <c r="J298" s="6"/>
      <c r="K298" s="6"/>
      <c r="L298" s="6"/>
      <c r="M298" s="6"/>
      <c r="N298" s="6"/>
      <c r="O298" s="6"/>
      <c r="P298" s="6"/>
      <c r="Q298" s="6"/>
      <c r="R298" s="6"/>
      <c r="S298" s="6"/>
      <c r="T298" s="6"/>
      <c r="U298" s="6"/>
      <c r="V298" s="6"/>
      <c r="W298" s="6"/>
      <c r="X298" s="6"/>
      <c r="Y298" s="6"/>
      <c r="Z298" s="6"/>
      <c r="AA298" s="6"/>
      <c r="AB298" s="6"/>
      <c r="AC298" s="6"/>
      <c r="AD298" s="6"/>
      <c r="AE298" s="6"/>
    </row>
    <row r="299" spans="1:31" x14ac:dyDescent="0.35">
      <c r="A299" s="6">
        <v>299</v>
      </c>
      <c r="B299" s="6" t="s">
        <v>5</v>
      </c>
      <c r="C299" s="10" t="s">
        <v>1</v>
      </c>
      <c r="D299" s="9" t="s">
        <v>1501</v>
      </c>
      <c r="E299" s="7">
        <f t="shared" si="11"/>
        <v>0</v>
      </c>
      <c r="F299" s="7">
        <f>-1*ROUND(1/6*(I299*IF(_xlfn.XLOOKUP(H299,'02效果表'!D:D,'02效果表'!E:E)&lt;0, _xlfn.XLOOKUP(H299,'02效果表'!D:D,'02效果表'!E:E), 0) +
K299*IF(_xlfn.XLOOKUP(J299,'02效果表'!D:D,'02效果表'!E:E)&lt;0, _xlfn.XLOOKUP(J299,'02效果表'!D:D,'02效果表'!E:E), 0) +
M299*IF(_xlfn.XLOOKUP(L299,'02效果表'!D:D,'02效果表'!E:E)&lt;0, _xlfn.XLOOKUP(L299,'02效果表'!D:D,'02效果表'!E:E), 0) +
O299*IF(_xlfn.XLOOKUP(N299,'02效果表'!D:D,'02效果表'!E:E)&lt;0, _xlfn.XLOOKUP(N299,'02效果表'!D:D,'02效果表'!E:E), 0) +
Q299*IF(_xlfn.XLOOKUP(P299,'02效果表'!D:D,'02效果表'!E:E)&lt;0, _xlfn.XLOOKUP(P299,'02效果表'!D:D,'02效果表'!E:E), 0) +
S299*IF(_xlfn.XLOOKUP(R299,'02效果表'!D:D,'02效果表'!E:E)&lt;0, _xlfn.XLOOKUP(R299,'02效果表'!D:D,'02效果表'!E:E), 0) +
U299*IF(_xlfn.XLOOKUP(T299,'02效果表'!D:D,'02效果表'!E:E)&lt;0, _xlfn.XLOOKUP(T299,'02效果表'!D:D,'02效果表'!E:E), 0) +
W299*IF(_xlfn.XLOOKUP(V299,'02效果表'!D:D,'02效果表'!E:E)&lt;0, _xlfn.XLOOKUP(V299,'02效果表'!D:D,'02效果表'!E:E), 0) +
Y299*IF(_xlfn.XLOOKUP(X299,'02效果表'!D:D,'02效果表'!E:E)&lt;0, _xlfn.XLOOKUP(X299,'02效果表'!D:D,'02效果表'!E:E), 0) +
AA299*IF(_xlfn.XLOOKUP(Z299,'02效果表'!D:D,'02效果表'!E:E)&lt;0, _xlfn.XLOOKUP(Z299,'02效果表'!D:D,'02效果表'!E:E), 0) +
AC299*IF(_xlfn.XLOOKUP(AB299,'02效果表'!D:D,'02效果表'!E:E)&lt;0, _xlfn.XLOOKUP(AB299,'02效果表'!D:D,'02效果表'!E:E), 0) +
AE299*IF(_xlfn.XLOOKUP(AD299,'02效果表'!D:D,'02效果表'!E:E)&lt;0, _xlfn.XLOOKUP(AD299,'02效果表'!D:D,'02效果表'!E:E), 0)), 1)</f>
        <v>0</v>
      </c>
      <c r="G299" s="7">
        <f>ROUND(1/6*(I299*MAX(_xlfn.XLOOKUP(H299,'02效果表'!D:D,'02效果表'!E:E),0)+K299*MAX(_xlfn.XLOOKUP(J299,'02效果表'!D:D,'02效果表'!E:E),0)+M299*MAX(_xlfn.XLOOKUP(L299,'02效果表'!D:D,'02效果表'!E:E),0)+O299*MAX(_xlfn.XLOOKUP(N299,'02效果表'!D:D,'02效果表'!E:E),0)+Q299*MAX(_xlfn.XLOOKUP(P299,'02效果表'!D:D,'02效果表'!E:E),0)+S299*MAX(_xlfn.XLOOKUP(R299,'02效果表'!D:D,'02效果表'!E:E),0)+U299*MAX(_xlfn.XLOOKUP(T299,'02效果表'!D:D,'02效果表'!E:E),0)+W299*MAX(_xlfn.XLOOKUP(V299,'02效果表'!D:D,'02效果表'!E:E),0)+Y299*MAX(_xlfn.XLOOKUP(X299,'02效果表'!D:D,'02效果表'!E:E),0)+AA299*MAX(_xlfn.XLOOKUP(Z299,'02效果表'!D:D,'02效果表'!E:E),0)+AC299*MAX(_xlfn.XLOOKUP(AB299,'02效果表'!D:D,'02效果表'!E:E),0)+AE299*MAX(_xlfn.XLOOKUP(AD299,'02效果表'!D:D,'02效果表'!E:E),0)),1)</f>
        <v>0</v>
      </c>
      <c r="H299" s="6"/>
      <c r="I299" s="6"/>
      <c r="J299" s="6"/>
      <c r="K299" s="6"/>
      <c r="L299" s="6"/>
      <c r="M299" s="6"/>
      <c r="N299" s="6"/>
      <c r="O299" s="6"/>
      <c r="P299" s="6"/>
      <c r="Q299" s="6"/>
      <c r="R299" s="6"/>
      <c r="S299" s="6"/>
      <c r="T299" s="6"/>
      <c r="U299" s="6"/>
      <c r="V299" s="6"/>
      <c r="W299" s="6"/>
      <c r="X299" s="6"/>
      <c r="Y299" s="6"/>
      <c r="Z299" s="6"/>
      <c r="AA299" s="6"/>
      <c r="AB299" s="6"/>
      <c r="AC299" s="6"/>
      <c r="AD299" s="6"/>
      <c r="AE299" s="6"/>
    </row>
    <row r="300" spans="1:31" x14ac:dyDescent="0.35">
      <c r="A300" s="6">
        <v>300</v>
      </c>
      <c r="B300" s="6" t="s">
        <v>5</v>
      </c>
      <c r="C300" s="10" t="s">
        <v>1</v>
      </c>
      <c r="D300" s="9" t="s">
        <v>1502</v>
      </c>
      <c r="E300" s="7">
        <f t="shared" si="11"/>
        <v>0</v>
      </c>
      <c r="F300" s="7">
        <f>-1*ROUND(1/6*(I300*IF(_xlfn.XLOOKUP(H300,'02效果表'!D:D,'02效果表'!E:E)&lt;0, _xlfn.XLOOKUP(H300,'02效果表'!D:D,'02效果表'!E:E), 0) +
K300*IF(_xlfn.XLOOKUP(J300,'02效果表'!D:D,'02效果表'!E:E)&lt;0, _xlfn.XLOOKUP(J300,'02效果表'!D:D,'02效果表'!E:E), 0) +
M300*IF(_xlfn.XLOOKUP(L300,'02效果表'!D:D,'02效果表'!E:E)&lt;0, _xlfn.XLOOKUP(L300,'02效果表'!D:D,'02效果表'!E:E), 0) +
O300*IF(_xlfn.XLOOKUP(N300,'02效果表'!D:D,'02效果表'!E:E)&lt;0, _xlfn.XLOOKUP(N300,'02效果表'!D:D,'02效果表'!E:E), 0) +
Q300*IF(_xlfn.XLOOKUP(P300,'02效果表'!D:D,'02效果表'!E:E)&lt;0, _xlfn.XLOOKUP(P300,'02效果表'!D:D,'02效果表'!E:E), 0) +
S300*IF(_xlfn.XLOOKUP(R300,'02效果表'!D:D,'02效果表'!E:E)&lt;0, _xlfn.XLOOKUP(R300,'02效果表'!D:D,'02效果表'!E:E), 0) +
U300*IF(_xlfn.XLOOKUP(T300,'02效果表'!D:D,'02效果表'!E:E)&lt;0, _xlfn.XLOOKUP(T300,'02效果表'!D:D,'02效果表'!E:E), 0) +
W300*IF(_xlfn.XLOOKUP(V300,'02效果表'!D:D,'02效果表'!E:E)&lt;0, _xlfn.XLOOKUP(V300,'02效果表'!D:D,'02效果表'!E:E), 0) +
Y300*IF(_xlfn.XLOOKUP(X300,'02效果表'!D:D,'02效果表'!E:E)&lt;0, _xlfn.XLOOKUP(X300,'02效果表'!D:D,'02效果表'!E:E), 0) +
AA300*IF(_xlfn.XLOOKUP(Z300,'02效果表'!D:D,'02效果表'!E:E)&lt;0, _xlfn.XLOOKUP(Z300,'02效果表'!D:D,'02效果表'!E:E), 0) +
AC300*IF(_xlfn.XLOOKUP(AB300,'02效果表'!D:D,'02效果表'!E:E)&lt;0, _xlfn.XLOOKUP(AB300,'02效果表'!D:D,'02效果表'!E:E), 0) +
AE300*IF(_xlfn.XLOOKUP(AD300,'02效果表'!D:D,'02效果表'!E:E)&lt;0, _xlfn.XLOOKUP(AD300,'02效果表'!D:D,'02效果表'!E:E), 0)), 1)</f>
        <v>0</v>
      </c>
      <c r="G300" s="7">
        <f>ROUND(1/6*(I300*MAX(_xlfn.XLOOKUP(H300,'02效果表'!D:D,'02效果表'!E:E),0)+K300*MAX(_xlfn.XLOOKUP(J300,'02效果表'!D:D,'02效果表'!E:E),0)+M300*MAX(_xlfn.XLOOKUP(L300,'02效果表'!D:D,'02效果表'!E:E),0)+O300*MAX(_xlfn.XLOOKUP(N300,'02效果表'!D:D,'02效果表'!E:E),0)+Q300*MAX(_xlfn.XLOOKUP(P300,'02效果表'!D:D,'02效果表'!E:E),0)+S300*MAX(_xlfn.XLOOKUP(R300,'02效果表'!D:D,'02效果表'!E:E),0)+U300*MAX(_xlfn.XLOOKUP(T300,'02效果表'!D:D,'02效果表'!E:E),0)+W300*MAX(_xlfn.XLOOKUP(V300,'02效果表'!D:D,'02效果表'!E:E),0)+Y300*MAX(_xlfn.XLOOKUP(X300,'02效果表'!D:D,'02效果表'!E:E),0)+AA300*MAX(_xlfn.XLOOKUP(Z300,'02效果表'!D:D,'02效果表'!E:E),0)+AC300*MAX(_xlfn.XLOOKUP(AB300,'02效果表'!D:D,'02效果表'!E:E),0)+AE300*MAX(_xlfn.XLOOKUP(AD300,'02效果表'!D:D,'02效果表'!E:E),0)),1)</f>
        <v>0</v>
      </c>
      <c r="H300" s="6"/>
      <c r="I300" s="6"/>
      <c r="J300" s="6"/>
      <c r="K300" s="6"/>
      <c r="L300" s="6"/>
      <c r="M300" s="6"/>
      <c r="N300" s="6"/>
      <c r="O300" s="6"/>
      <c r="P300" s="6"/>
      <c r="Q300" s="6"/>
      <c r="R300" s="6"/>
      <c r="S300" s="6"/>
      <c r="T300" s="6"/>
      <c r="U300" s="6"/>
      <c r="V300" s="6"/>
      <c r="W300" s="6"/>
      <c r="X300" s="6"/>
      <c r="Y300" s="6"/>
      <c r="Z300" s="6"/>
      <c r="AA300" s="6"/>
      <c r="AB300" s="6"/>
      <c r="AC300" s="6"/>
      <c r="AD300" s="6"/>
      <c r="AE300" s="6"/>
    </row>
    <row r="301" spans="1:31" x14ac:dyDescent="0.35">
      <c r="A301" s="6">
        <v>301</v>
      </c>
      <c r="B301" s="6" t="s">
        <v>5</v>
      </c>
      <c r="C301" s="10" t="s">
        <v>1</v>
      </c>
      <c r="D301" s="9" t="s">
        <v>1503</v>
      </c>
      <c r="E301" s="7">
        <f t="shared" si="11"/>
        <v>0</v>
      </c>
      <c r="F301" s="7">
        <f>-1*ROUND(1/6*(I301*IF(_xlfn.XLOOKUP(H301,'02效果表'!D:D,'02效果表'!E:E)&lt;0, _xlfn.XLOOKUP(H301,'02效果表'!D:D,'02效果表'!E:E), 0) +
K301*IF(_xlfn.XLOOKUP(J301,'02效果表'!D:D,'02效果表'!E:E)&lt;0, _xlfn.XLOOKUP(J301,'02效果表'!D:D,'02效果表'!E:E), 0) +
M301*IF(_xlfn.XLOOKUP(L301,'02效果表'!D:D,'02效果表'!E:E)&lt;0, _xlfn.XLOOKUP(L301,'02效果表'!D:D,'02效果表'!E:E), 0) +
O301*IF(_xlfn.XLOOKUP(N301,'02效果表'!D:D,'02效果表'!E:E)&lt;0, _xlfn.XLOOKUP(N301,'02效果表'!D:D,'02效果表'!E:E), 0) +
Q301*IF(_xlfn.XLOOKUP(P301,'02效果表'!D:D,'02效果表'!E:E)&lt;0, _xlfn.XLOOKUP(P301,'02效果表'!D:D,'02效果表'!E:E), 0) +
S301*IF(_xlfn.XLOOKUP(R301,'02效果表'!D:D,'02效果表'!E:E)&lt;0, _xlfn.XLOOKUP(R301,'02效果表'!D:D,'02效果表'!E:E), 0) +
U301*IF(_xlfn.XLOOKUP(T301,'02效果表'!D:D,'02效果表'!E:E)&lt;0, _xlfn.XLOOKUP(T301,'02效果表'!D:D,'02效果表'!E:E), 0) +
W301*IF(_xlfn.XLOOKUP(V301,'02效果表'!D:D,'02效果表'!E:E)&lt;0, _xlfn.XLOOKUP(V301,'02效果表'!D:D,'02效果表'!E:E), 0) +
Y301*IF(_xlfn.XLOOKUP(X301,'02效果表'!D:D,'02效果表'!E:E)&lt;0, _xlfn.XLOOKUP(X301,'02效果表'!D:D,'02效果表'!E:E), 0) +
AA301*IF(_xlfn.XLOOKUP(Z301,'02效果表'!D:D,'02效果表'!E:E)&lt;0, _xlfn.XLOOKUP(Z301,'02效果表'!D:D,'02效果表'!E:E), 0) +
AC301*IF(_xlfn.XLOOKUP(AB301,'02效果表'!D:D,'02效果表'!E:E)&lt;0, _xlfn.XLOOKUP(AB301,'02效果表'!D:D,'02效果表'!E:E), 0) +
AE301*IF(_xlfn.XLOOKUP(AD301,'02效果表'!D:D,'02效果表'!E:E)&lt;0, _xlfn.XLOOKUP(AD301,'02效果表'!D:D,'02效果表'!E:E), 0)), 1)</f>
        <v>0</v>
      </c>
      <c r="G301" s="7">
        <f>ROUND(1/6*(I301*MAX(_xlfn.XLOOKUP(H301,'02效果表'!D:D,'02效果表'!E:E),0)+K301*MAX(_xlfn.XLOOKUP(J301,'02效果表'!D:D,'02效果表'!E:E),0)+M301*MAX(_xlfn.XLOOKUP(L301,'02效果表'!D:D,'02效果表'!E:E),0)+O301*MAX(_xlfn.XLOOKUP(N301,'02效果表'!D:D,'02效果表'!E:E),0)+Q301*MAX(_xlfn.XLOOKUP(P301,'02效果表'!D:D,'02效果表'!E:E),0)+S301*MAX(_xlfn.XLOOKUP(R301,'02效果表'!D:D,'02效果表'!E:E),0)+U301*MAX(_xlfn.XLOOKUP(T301,'02效果表'!D:D,'02效果表'!E:E),0)+W301*MAX(_xlfn.XLOOKUP(V301,'02效果表'!D:D,'02效果表'!E:E),0)+Y301*MAX(_xlfn.XLOOKUP(X301,'02效果表'!D:D,'02效果表'!E:E),0)+AA301*MAX(_xlfn.XLOOKUP(Z301,'02效果表'!D:D,'02效果表'!E:E),0)+AC301*MAX(_xlfn.XLOOKUP(AB301,'02效果表'!D:D,'02效果表'!E:E),0)+AE301*MAX(_xlfn.XLOOKUP(AD301,'02效果表'!D:D,'02效果表'!E:E),0)),1)</f>
        <v>0</v>
      </c>
      <c r="H301" s="6"/>
      <c r="I301" s="6"/>
      <c r="J301" s="6"/>
      <c r="K301" s="6"/>
      <c r="L301" s="6"/>
      <c r="M301" s="6"/>
      <c r="N301" s="6"/>
      <c r="O301" s="6"/>
      <c r="P301" s="6"/>
      <c r="Q301" s="6"/>
      <c r="R301" s="6"/>
      <c r="S301" s="6"/>
      <c r="T301" s="6"/>
      <c r="U301" s="6"/>
      <c r="V301" s="6"/>
      <c r="W301" s="6"/>
      <c r="X301" s="6"/>
      <c r="Y301" s="6"/>
      <c r="Z301" s="6"/>
      <c r="AA301" s="6"/>
      <c r="AB301" s="6"/>
      <c r="AC301" s="6"/>
      <c r="AD301" s="6"/>
      <c r="AE301" s="6"/>
    </row>
    <row r="302" spans="1:31" x14ac:dyDescent="0.35">
      <c r="A302" s="6">
        <v>302</v>
      </c>
      <c r="B302" s="6" t="s">
        <v>5</v>
      </c>
      <c r="C302" s="10" t="s">
        <v>1</v>
      </c>
      <c r="D302" s="9" t="s">
        <v>1504</v>
      </c>
      <c r="E302" s="7">
        <f t="shared" si="11"/>
        <v>0</v>
      </c>
      <c r="F302" s="7">
        <f>-1*ROUND(1/6*(I302*IF(_xlfn.XLOOKUP(H302,'02效果表'!D:D,'02效果表'!E:E)&lt;0, _xlfn.XLOOKUP(H302,'02效果表'!D:D,'02效果表'!E:E), 0) +
K302*IF(_xlfn.XLOOKUP(J302,'02效果表'!D:D,'02效果表'!E:E)&lt;0, _xlfn.XLOOKUP(J302,'02效果表'!D:D,'02效果表'!E:E), 0) +
M302*IF(_xlfn.XLOOKUP(L302,'02效果表'!D:D,'02效果表'!E:E)&lt;0, _xlfn.XLOOKUP(L302,'02效果表'!D:D,'02效果表'!E:E), 0) +
O302*IF(_xlfn.XLOOKUP(N302,'02效果表'!D:D,'02效果表'!E:E)&lt;0, _xlfn.XLOOKUP(N302,'02效果表'!D:D,'02效果表'!E:E), 0) +
Q302*IF(_xlfn.XLOOKUP(P302,'02效果表'!D:D,'02效果表'!E:E)&lt;0, _xlfn.XLOOKUP(P302,'02效果表'!D:D,'02效果表'!E:E), 0) +
S302*IF(_xlfn.XLOOKUP(R302,'02效果表'!D:D,'02效果表'!E:E)&lt;0, _xlfn.XLOOKUP(R302,'02效果表'!D:D,'02效果表'!E:E), 0) +
U302*IF(_xlfn.XLOOKUP(T302,'02效果表'!D:D,'02效果表'!E:E)&lt;0, _xlfn.XLOOKUP(T302,'02效果表'!D:D,'02效果表'!E:E), 0) +
W302*IF(_xlfn.XLOOKUP(V302,'02效果表'!D:D,'02效果表'!E:E)&lt;0, _xlfn.XLOOKUP(V302,'02效果表'!D:D,'02效果表'!E:E), 0) +
Y302*IF(_xlfn.XLOOKUP(X302,'02效果表'!D:D,'02效果表'!E:E)&lt;0, _xlfn.XLOOKUP(X302,'02效果表'!D:D,'02效果表'!E:E), 0) +
AA302*IF(_xlfn.XLOOKUP(Z302,'02效果表'!D:D,'02效果表'!E:E)&lt;0, _xlfn.XLOOKUP(Z302,'02效果表'!D:D,'02效果表'!E:E), 0) +
AC302*IF(_xlfn.XLOOKUP(AB302,'02效果表'!D:D,'02效果表'!E:E)&lt;0, _xlfn.XLOOKUP(AB302,'02效果表'!D:D,'02效果表'!E:E), 0) +
AE302*IF(_xlfn.XLOOKUP(AD302,'02效果表'!D:D,'02效果表'!E:E)&lt;0, _xlfn.XLOOKUP(AD302,'02效果表'!D:D,'02效果表'!E:E), 0)), 1)</f>
        <v>0</v>
      </c>
      <c r="G302" s="7">
        <f>ROUND(1/6*(I302*MAX(_xlfn.XLOOKUP(H302,'02效果表'!D:D,'02效果表'!E:E),0)+K302*MAX(_xlfn.XLOOKUP(J302,'02效果表'!D:D,'02效果表'!E:E),0)+M302*MAX(_xlfn.XLOOKUP(L302,'02效果表'!D:D,'02效果表'!E:E),0)+O302*MAX(_xlfn.XLOOKUP(N302,'02效果表'!D:D,'02效果表'!E:E),0)+Q302*MAX(_xlfn.XLOOKUP(P302,'02效果表'!D:D,'02效果表'!E:E),0)+S302*MAX(_xlfn.XLOOKUP(R302,'02效果表'!D:D,'02效果表'!E:E),0)+U302*MAX(_xlfn.XLOOKUP(T302,'02效果表'!D:D,'02效果表'!E:E),0)+W302*MAX(_xlfn.XLOOKUP(V302,'02效果表'!D:D,'02效果表'!E:E),0)+Y302*MAX(_xlfn.XLOOKUP(X302,'02效果表'!D:D,'02效果表'!E:E),0)+AA302*MAX(_xlfn.XLOOKUP(Z302,'02效果表'!D:D,'02效果表'!E:E),0)+AC302*MAX(_xlfn.XLOOKUP(AB302,'02效果表'!D:D,'02效果表'!E:E),0)+AE302*MAX(_xlfn.XLOOKUP(AD302,'02效果表'!D:D,'02效果表'!E:E),0)),1)</f>
        <v>0</v>
      </c>
      <c r="H302" s="6"/>
      <c r="I302" s="6"/>
      <c r="J302" s="6"/>
      <c r="K302" s="6"/>
      <c r="L302" s="6"/>
      <c r="M302" s="6"/>
      <c r="N302" s="6"/>
      <c r="O302" s="6"/>
      <c r="P302" s="6"/>
      <c r="Q302" s="6"/>
      <c r="R302" s="6"/>
      <c r="S302" s="6"/>
      <c r="T302" s="6"/>
      <c r="U302" s="6"/>
      <c r="V302" s="6"/>
      <c r="W302" s="6"/>
      <c r="X302" s="6"/>
      <c r="Y302" s="6"/>
      <c r="Z302" s="6"/>
      <c r="AA302" s="6"/>
      <c r="AB302" s="6"/>
      <c r="AC302" s="6"/>
      <c r="AD302" s="6"/>
      <c r="AE302" s="6"/>
    </row>
    <row r="303" spans="1:31" x14ac:dyDescent="0.35">
      <c r="A303" s="6">
        <v>303</v>
      </c>
      <c r="B303" s="6" t="s">
        <v>5</v>
      </c>
      <c r="C303" s="10" t="s">
        <v>1</v>
      </c>
      <c r="D303" s="9" t="s">
        <v>1505</v>
      </c>
      <c r="E303" s="7">
        <f t="shared" si="11"/>
        <v>0</v>
      </c>
      <c r="F303" s="7">
        <f>-1*ROUND(1/6*(I303*IF(_xlfn.XLOOKUP(H303,'02效果表'!D:D,'02效果表'!E:E)&lt;0, _xlfn.XLOOKUP(H303,'02效果表'!D:D,'02效果表'!E:E), 0) +
K303*IF(_xlfn.XLOOKUP(J303,'02效果表'!D:D,'02效果表'!E:E)&lt;0, _xlfn.XLOOKUP(J303,'02效果表'!D:D,'02效果表'!E:E), 0) +
M303*IF(_xlfn.XLOOKUP(L303,'02效果表'!D:D,'02效果表'!E:E)&lt;0, _xlfn.XLOOKUP(L303,'02效果表'!D:D,'02效果表'!E:E), 0) +
O303*IF(_xlfn.XLOOKUP(N303,'02效果表'!D:D,'02效果表'!E:E)&lt;0, _xlfn.XLOOKUP(N303,'02效果表'!D:D,'02效果表'!E:E), 0) +
Q303*IF(_xlfn.XLOOKUP(P303,'02效果表'!D:D,'02效果表'!E:E)&lt;0, _xlfn.XLOOKUP(P303,'02效果表'!D:D,'02效果表'!E:E), 0) +
S303*IF(_xlfn.XLOOKUP(R303,'02效果表'!D:D,'02效果表'!E:E)&lt;0, _xlfn.XLOOKUP(R303,'02效果表'!D:D,'02效果表'!E:E), 0) +
U303*IF(_xlfn.XLOOKUP(T303,'02效果表'!D:D,'02效果表'!E:E)&lt;0, _xlfn.XLOOKUP(T303,'02效果表'!D:D,'02效果表'!E:E), 0) +
W303*IF(_xlfn.XLOOKUP(V303,'02效果表'!D:D,'02效果表'!E:E)&lt;0, _xlfn.XLOOKUP(V303,'02效果表'!D:D,'02效果表'!E:E), 0) +
Y303*IF(_xlfn.XLOOKUP(X303,'02效果表'!D:D,'02效果表'!E:E)&lt;0, _xlfn.XLOOKUP(X303,'02效果表'!D:D,'02效果表'!E:E), 0) +
AA303*IF(_xlfn.XLOOKUP(Z303,'02效果表'!D:D,'02效果表'!E:E)&lt;0, _xlfn.XLOOKUP(Z303,'02效果表'!D:D,'02效果表'!E:E), 0) +
AC303*IF(_xlfn.XLOOKUP(AB303,'02效果表'!D:D,'02效果表'!E:E)&lt;0, _xlfn.XLOOKUP(AB303,'02效果表'!D:D,'02效果表'!E:E), 0) +
AE303*IF(_xlfn.XLOOKUP(AD303,'02效果表'!D:D,'02效果表'!E:E)&lt;0, _xlfn.XLOOKUP(AD303,'02效果表'!D:D,'02效果表'!E:E), 0)), 1)</f>
        <v>0</v>
      </c>
      <c r="G303" s="7">
        <f>ROUND(1/6*(I303*MAX(_xlfn.XLOOKUP(H303,'02效果表'!D:D,'02效果表'!E:E),0)+K303*MAX(_xlfn.XLOOKUP(J303,'02效果表'!D:D,'02效果表'!E:E),0)+M303*MAX(_xlfn.XLOOKUP(L303,'02效果表'!D:D,'02效果表'!E:E),0)+O303*MAX(_xlfn.XLOOKUP(N303,'02效果表'!D:D,'02效果表'!E:E),0)+Q303*MAX(_xlfn.XLOOKUP(P303,'02效果表'!D:D,'02效果表'!E:E),0)+S303*MAX(_xlfn.XLOOKUP(R303,'02效果表'!D:D,'02效果表'!E:E),0)+U303*MAX(_xlfn.XLOOKUP(T303,'02效果表'!D:D,'02效果表'!E:E),0)+W303*MAX(_xlfn.XLOOKUP(V303,'02效果表'!D:D,'02效果表'!E:E),0)+Y303*MAX(_xlfn.XLOOKUP(X303,'02效果表'!D:D,'02效果表'!E:E),0)+AA303*MAX(_xlfn.XLOOKUP(Z303,'02效果表'!D:D,'02效果表'!E:E),0)+AC303*MAX(_xlfn.XLOOKUP(AB303,'02效果表'!D:D,'02效果表'!E:E),0)+AE303*MAX(_xlfn.XLOOKUP(AD303,'02效果表'!D:D,'02效果表'!E:E),0)),1)</f>
        <v>0</v>
      </c>
      <c r="H303" s="6"/>
      <c r="I303" s="6"/>
      <c r="J303" s="6"/>
      <c r="K303" s="6"/>
      <c r="L303" s="6"/>
      <c r="M303" s="6"/>
      <c r="N303" s="6"/>
      <c r="O303" s="6"/>
      <c r="P303" s="6"/>
      <c r="Q303" s="6"/>
      <c r="R303" s="6"/>
      <c r="S303" s="6"/>
      <c r="T303" s="6"/>
      <c r="U303" s="6"/>
      <c r="V303" s="6"/>
      <c r="W303" s="6"/>
      <c r="X303" s="6"/>
      <c r="Y303" s="6"/>
      <c r="Z303" s="6"/>
      <c r="AA303" s="6"/>
      <c r="AB303" s="6"/>
      <c r="AC303" s="6"/>
      <c r="AD303" s="6"/>
      <c r="AE303" s="6"/>
    </row>
    <row r="304" spans="1:31" x14ac:dyDescent="0.35">
      <c r="A304" s="6">
        <v>304</v>
      </c>
      <c r="B304" s="6" t="s">
        <v>5</v>
      </c>
      <c r="C304" s="10" t="s">
        <v>1</v>
      </c>
      <c r="D304" s="9" t="s">
        <v>1506</v>
      </c>
      <c r="E304" s="7">
        <f t="shared" si="11"/>
        <v>0</v>
      </c>
      <c r="F304" s="7">
        <f>-1*ROUND(1/6*(I304*IF(_xlfn.XLOOKUP(H304,'02效果表'!D:D,'02效果表'!E:E)&lt;0, _xlfn.XLOOKUP(H304,'02效果表'!D:D,'02效果表'!E:E), 0) +
K304*IF(_xlfn.XLOOKUP(J304,'02效果表'!D:D,'02效果表'!E:E)&lt;0, _xlfn.XLOOKUP(J304,'02效果表'!D:D,'02效果表'!E:E), 0) +
M304*IF(_xlfn.XLOOKUP(L304,'02效果表'!D:D,'02效果表'!E:E)&lt;0, _xlfn.XLOOKUP(L304,'02效果表'!D:D,'02效果表'!E:E), 0) +
O304*IF(_xlfn.XLOOKUP(N304,'02效果表'!D:D,'02效果表'!E:E)&lt;0, _xlfn.XLOOKUP(N304,'02效果表'!D:D,'02效果表'!E:E), 0) +
Q304*IF(_xlfn.XLOOKUP(P304,'02效果表'!D:D,'02效果表'!E:E)&lt;0, _xlfn.XLOOKUP(P304,'02效果表'!D:D,'02效果表'!E:E), 0) +
S304*IF(_xlfn.XLOOKUP(R304,'02效果表'!D:D,'02效果表'!E:E)&lt;0, _xlfn.XLOOKUP(R304,'02效果表'!D:D,'02效果表'!E:E), 0) +
U304*IF(_xlfn.XLOOKUP(T304,'02效果表'!D:D,'02效果表'!E:E)&lt;0, _xlfn.XLOOKUP(T304,'02效果表'!D:D,'02效果表'!E:E), 0) +
W304*IF(_xlfn.XLOOKUP(V304,'02效果表'!D:D,'02效果表'!E:E)&lt;0, _xlfn.XLOOKUP(V304,'02效果表'!D:D,'02效果表'!E:E), 0) +
Y304*IF(_xlfn.XLOOKUP(X304,'02效果表'!D:D,'02效果表'!E:E)&lt;0, _xlfn.XLOOKUP(X304,'02效果表'!D:D,'02效果表'!E:E), 0) +
AA304*IF(_xlfn.XLOOKUP(Z304,'02效果表'!D:D,'02效果表'!E:E)&lt;0, _xlfn.XLOOKUP(Z304,'02效果表'!D:D,'02效果表'!E:E), 0) +
AC304*IF(_xlfn.XLOOKUP(AB304,'02效果表'!D:D,'02效果表'!E:E)&lt;0, _xlfn.XLOOKUP(AB304,'02效果表'!D:D,'02效果表'!E:E), 0) +
AE304*IF(_xlfn.XLOOKUP(AD304,'02效果表'!D:D,'02效果表'!E:E)&lt;0, _xlfn.XLOOKUP(AD304,'02效果表'!D:D,'02效果表'!E:E), 0)), 1)</f>
        <v>0</v>
      </c>
      <c r="G304" s="7">
        <f>ROUND(1/6*(I304*MAX(_xlfn.XLOOKUP(H304,'02效果表'!D:D,'02效果表'!E:E),0)+K304*MAX(_xlfn.XLOOKUP(J304,'02效果表'!D:D,'02效果表'!E:E),0)+M304*MAX(_xlfn.XLOOKUP(L304,'02效果表'!D:D,'02效果表'!E:E),0)+O304*MAX(_xlfn.XLOOKUP(N304,'02效果表'!D:D,'02效果表'!E:E),0)+Q304*MAX(_xlfn.XLOOKUP(P304,'02效果表'!D:D,'02效果表'!E:E),0)+S304*MAX(_xlfn.XLOOKUP(R304,'02效果表'!D:D,'02效果表'!E:E),0)+U304*MAX(_xlfn.XLOOKUP(T304,'02效果表'!D:D,'02效果表'!E:E),0)+W304*MAX(_xlfn.XLOOKUP(V304,'02效果表'!D:D,'02效果表'!E:E),0)+Y304*MAX(_xlfn.XLOOKUP(X304,'02效果表'!D:D,'02效果表'!E:E),0)+AA304*MAX(_xlfn.XLOOKUP(Z304,'02效果表'!D:D,'02效果表'!E:E),0)+AC304*MAX(_xlfn.XLOOKUP(AB304,'02效果表'!D:D,'02效果表'!E:E),0)+AE304*MAX(_xlfn.XLOOKUP(AD304,'02效果表'!D:D,'02效果表'!E:E),0)),1)</f>
        <v>0</v>
      </c>
      <c r="H304" s="6"/>
      <c r="I304" s="6"/>
      <c r="J304" s="6"/>
      <c r="K304" s="6"/>
      <c r="L304" s="6"/>
      <c r="M304" s="6"/>
      <c r="N304" s="6"/>
      <c r="O304" s="6"/>
      <c r="P304" s="6"/>
      <c r="Q304" s="6"/>
      <c r="R304" s="6"/>
      <c r="S304" s="6"/>
      <c r="T304" s="6"/>
      <c r="U304" s="6"/>
      <c r="V304" s="6"/>
      <c r="W304" s="6"/>
      <c r="X304" s="6"/>
      <c r="Y304" s="6"/>
      <c r="Z304" s="6"/>
      <c r="AA304" s="6"/>
      <c r="AB304" s="6"/>
      <c r="AC304" s="6"/>
      <c r="AD304" s="6"/>
      <c r="AE304" s="6"/>
    </row>
    <row r="305" spans="1:31" x14ac:dyDescent="0.35">
      <c r="A305" s="6">
        <v>305</v>
      </c>
      <c r="B305" s="6" t="s">
        <v>5</v>
      </c>
      <c r="C305" s="10" t="s">
        <v>1</v>
      </c>
      <c r="D305" s="9" t="s">
        <v>1507</v>
      </c>
      <c r="E305" s="7">
        <f t="shared" si="11"/>
        <v>0</v>
      </c>
      <c r="F305" s="7">
        <f>-1*ROUND(1/6*(I305*IF(_xlfn.XLOOKUP(H305,'02效果表'!D:D,'02效果表'!E:E)&lt;0, _xlfn.XLOOKUP(H305,'02效果表'!D:D,'02效果表'!E:E), 0) +
K305*IF(_xlfn.XLOOKUP(J305,'02效果表'!D:D,'02效果表'!E:E)&lt;0, _xlfn.XLOOKUP(J305,'02效果表'!D:D,'02效果表'!E:E), 0) +
M305*IF(_xlfn.XLOOKUP(L305,'02效果表'!D:D,'02效果表'!E:E)&lt;0, _xlfn.XLOOKUP(L305,'02效果表'!D:D,'02效果表'!E:E), 0) +
O305*IF(_xlfn.XLOOKUP(N305,'02效果表'!D:D,'02效果表'!E:E)&lt;0, _xlfn.XLOOKUP(N305,'02效果表'!D:D,'02效果表'!E:E), 0) +
Q305*IF(_xlfn.XLOOKUP(P305,'02效果表'!D:D,'02效果表'!E:E)&lt;0, _xlfn.XLOOKUP(P305,'02效果表'!D:D,'02效果表'!E:E), 0) +
S305*IF(_xlfn.XLOOKUP(R305,'02效果表'!D:D,'02效果表'!E:E)&lt;0, _xlfn.XLOOKUP(R305,'02效果表'!D:D,'02效果表'!E:E), 0) +
U305*IF(_xlfn.XLOOKUP(T305,'02效果表'!D:D,'02效果表'!E:E)&lt;0, _xlfn.XLOOKUP(T305,'02效果表'!D:D,'02效果表'!E:E), 0) +
W305*IF(_xlfn.XLOOKUP(V305,'02效果表'!D:D,'02效果表'!E:E)&lt;0, _xlfn.XLOOKUP(V305,'02效果表'!D:D,'02效果表'!E:E), 0) +
Y305*IF(_xlfn.XLOOKUP(X305,'02效果表'!D:D,'02效果表'!E:E)&lt;0, _xlfn.XLOOKUP(X305,'02效果表'!D:D,'02效果表'!E:E), 0) +
AA305*IF(_xlfn.XLOOKUP(Z305,'02效果表'!D:D,'02效果表'!E:E)&lt;0, _xlfn.XLOOKUP(Z305,'02效果表'!D:D,'02效果表'!E:E), 0) +
AC305*IF(_xlfn.XLOOKUP(AB305,'02效果表'!D:D,'02效果表'!E:E)&lt;0, _xlfn.XLOOKUP(AB305,'02效果表'!D:D,'02效果表'!E:E), 0) +
AE305*IF(_xlfn.XLOOKUP(AD305,'02效果表'!D:D,'02效果表'!E:E)&lt;0, _xlfn.XLOOKUP(AD305,'02效果表'!D:D,'02效果表'!E:E), 0)), 1)</f>
        <v>0</v>
      </c>
      <c r="G305" s="7">
        <f>ROUND(1/6*(I305*MAX(_xlfn.XLOOKUP(H305,'02效果表'!D:D,'02效果表'!E:E),0)+K305*MAX(_xlfn.XLOOKUP(J305,'02效果表'!D:D,'02效果表'!E:E),0)+M305*MAX(_xlfn.XLOOKUP(L305,'02效果表'!D:D,'02效果表'!E:E),0)+O305*MAX(_xlfn.XLOOKUP(N305,'02效果表'!D:D,'02效果表'!E:E),0)+Q305*MAX(_xlfn.XLOOKUP(P305,'02效果表'!D:D,'02效果表'!E:E),0)+S305*MAX(_xlfn.XLOOKUP(R305,'02效果表'!D:D,'02效果表'!E:E),0)+U305*MAX(_xlfn.XLOOKUP(T305,'02效果表'!D:D,'02效果表'!E:E),0)+W305*MAX(_xlfn.XLOOKUP(V305,'02效果表'!D:D,'02效果表'!E:E),0)+Y305*MAX(_xlfn.XLOOKUP(X305,'02效果表'!D:D,'02效果表'!E:E),0)+AA305*MAX(_xlfn.XLOOKUP(Z305,'02效果表'!D:D,'02效果表'!E:E),0)+AC305*MAX(_xlfn.XLOOKUP(AB305,'02效果表'!D:D,'02效果表'!E:E),0)+AE305*MAX(_xlfn.XLOOKUP(AD305,'02效果表'!D:D,'02效果表'!E:E),0)),1)</f>
        <v>0</v>
      </c>
      <c r="H305" s="6"/>
      <c r="I305" s="6"/>
      <c r="J305" s="6"/>
      <c r="K305" s="6"/>
      <c r="L305" s="6"/>
      <c r="M305" s="6"/>
      <c r="N305" s="6"/>
      <c r="O305" s="6"/>
      <c r="P305" s="6"/>
      <c r="Q305" s="6"/>
      <c r="R305" s="6"/>
      <c r="S305" s="6"/>
      <c r="T305" s="6"/>
      <c r="U305" s="6"/>
      <c r="V305" s="6"/>
      <c r="W305" s="6"/>
      <c r="X305" s="6"/>
      <c r="Y305" s="6"/>
      <c r="Z305" s="6"/>
      <c r="AA305" s="6"/>
      <c r="AB305" s="6"/>
      <c r="AC305" s="6"/>
      <c r="AD305" s="6"/>
      <c r="AE305" s="6"/>
    </row>
    <row r="306" spans="1:31" x14ac:dyDescent="0.35">
      <c r="A306" s="6">
        <v>306</v>
      </c>
      <c r="B306" s="6" t="s">
        <v>5</v>
      </c>
      <c r="C306" s="10" t="s">
        <v>1</v>
      </c>
      <c r="D306" s="9" t="s">
        <v>1508</v>
      </c>
      <c r="E306" s="7">
        <f t="shared" si="11"/>
        <v>0</v>
      </c>
      <c r="F306" s="7">
        <f>-1*ROUND(1/6*(I306*IF(_xlfn.XLOOKUP(H306,'02效果表'!D:D,'02效果表'!E:E)&lt;0, _xlfn.XLOOKUP(H306,'02效果表'!D:D,'02效果表'!E:E), 0) +
K306*IF(_xlfn.XLOOKUP(J306,'02效果表'!D:D,'02效果表'!E:E)&lt;0, _xlfn.XLOOKUP(J306,'02效果表'!D:D,'02效果表'!E:E), 0) +
M306*IF(_xlfn.XLOOKUP(L306,'02效果表'!D:D,'02效果表'!E:E)&lt;0, _xlfn.XLOOKUP(L306,'02效果表'!D:D,'02效果表'!E:E), 0) +
O306*IF(_xlfn.XLOOKUP(N306,'02效果表'!D:D,'02效果表'!E:E)&lt;0, _xlfn.XLOOKUP(N306,'02效果表'!D:D,'02效果表'!E:E), 0) +
Q306*IF(_xlfn.XLOOKUP(P306,'02效果表'!D:D,'02效果表'!E:E)&lt;0, _xlfn.XLOOKUP(P306,'02效果表'!D:D,'02效果表'!E:E), 0) +
S306*IF(_xlfn.XLOOKUP(R306,'02效果表'!D:D,'02效果表'!E:E)&lt;0, _xlfn.XLOOKUP(R306,'02效果表'!D:D,'02效果表'!E:E), 0) +
U306*IF(_xlfn.XLOOKUP(T306,'02效果表'!D:D,'02效果表'!E:E)&lt;0, _xlfn.XLOOKUP(T306,'02效果表'!D:D,'02效果表'!E:E), 0) +
W306*IF(_xlfn.XLOOKUP(V306,'02效果表'!D:D,'02效果表'!E:E)&lt;0, _xlfn.XLOOKUP(V306,'02效果表'!D:D,'02效果表'!E:E), 0) +
Y306*IF(_xlfn.XLOOKUP(X306,'02效果表'!D:D,'02效果表'!E:E)&lt;0, _xlfn.XLOOKUP(X306,'02效果表'!D:D,'02效果表'!E:E), 0) +
AA306*IF(_xlfn.XLOOKUP(Z306,'02效果表'!D:D,'02效果表'!E:E)&lt;0, _xlfn.XLOOKUP(Z306,'02效果表'!D:D,'02效果表'!E:E), 0) +
AC306*IF(_xlfn.XLOOKUP(AB306,'02效果表'!D:D,'02效果表'!E:E)&lt;0, _xlfn.XLOOKUP(AB306,'02效果表'!D:D,'02效果表'!E:E), 0) +
AE306*IF(_xlfn.XLOOKUP(AD306,'02效果表'!D:D,'02效果表'!E:E)&lt;0, _xlfn.XLOOKUP(AD306,'02效果表'!D:D,'02效果表'!E:E), 0)), 1)</f>
        <v>0</v>
      </c>
      <c r="G306" s="7">
        <f>ROUND(1/6*(I306*MAX(_xlfn.XLOOKUP(H306,'02效果表'!D:D,'02效果表'!E:E),0)+K306*MAX(_xlfn.XLOOKUP(J306,'02效果表'!D:D,'02效果表'!E:E),0)+M306*MAX(_xlfn.XLOOKUP(L306,'02效果表'!D:D,'02效果表'!E:E),0)+O306*MAX(_xlfn.XLOOKUP(N306,'02效果表'!D:D,'02效果表'!E:E),0)+Q306*MAX(_xlfn.XLOOKUP(P306,'02效果表'!D:D,'02效果表'!E:E),0)+S306*MAX(_xlfn.XLOOKUP(R306,'02效果表'!D:D,'02效果表'!E:E),0)+U306*MAX(_xlfn.XLOOKUP(T306,'02效果表'!D:D,'02效果表'!E:E),0)+W306*MAX(_xlfn.XLOOKUP(V306,'02效果表'!D:D,'02效果表'!E:E),0)+Y306*MAX(_xlfn.XLOOKUP(X306,'02效果表'!D:D,'02效果表'!E:E),0)+AA306*MAX(_xlfn.XLOOKUP(Z306,'02效果表'!D:D,'02效果表'!E:E),0)+AC306*MAX(_xlfn.XLOOKUP(AB306,'02效果表'!D:D,'02效果表'!E:E),0)+AE306*MAX(_xlfn.XLOOKUP(AD306,'02效果表'!D:D,'02效果表'!E:E),0)),1)</f>
        <v>0</v>
      </c>
      <c r="H306" s="6"/>
      <c r="I306" s="6"/>
      <c r="J306" s="6"/>
      <c r="K306" s="6"/>
      <c r="L306" s="6"/>
      <c r="M306" s="6"/>
      <c r="N306" s="6"/>
      <c r="O306" s="6"/>
      <c r="P306" s="6"/>
      <c r="Q306" s="6"/>
      <c r="R306" s="6"/>
      <c r="S306" s="6"/>
      <c r="T306" s="6"/>
      <c r="U306" s="6"/>
      <c r="V306" s="6"/>
      <c r="W306" s="6"/>
      <c r="X306" s="6"/>
      <c r="Y306" s="6"/>
      <c r="Z306" s="6"/>
      <c r="AA306" s="6"/>
      <c r="AB306" s="6"/>
      <c r="AC306" s="6"/>
      <c r="AD306" s="6"/>
      <c r="AE306" s="6"/>
    </row>
    <row r="307" spans="1:31" x14ac:dyDescent="0.35">
      <c r="A307" s="6">
        <v>307</v>
      </c>
      <c r="B307" s="6" t="s">
        <v>5</v>
      </c>
      <c r="C307" s="10" t="s">
        <v>1</v>
      </c>
      <c r="D307" s="9" t="s">
        <v>1509</v>
      </c>
      <c r="E307" s="7">
        <f t="shared" si="11"/>
        <v>0</v>
      </c>
      <c r="F307" s="7">
        <f>-1*ROUND(1/6*(I307*IF(_xlfn.XLOOKUP(H307,'02效果表'!D:D,'02效果表'!E:E)&lt;0, _xlfn.XLOOKUP(H307,'02效果表'!D:D,'02效果表'!E:E), 0) +
K307*IF(_xlfn.XLOOKUP(J307,'02效果表'!D:D,'02效果表'!E:E)&lt;0, _xlfn.XLOOKUP(J307,'02效果表'!D:D,'02效果表'!E:E), 0) +
M307*IF(_xlfn.XLOOKUP(L307,'02效果表'!D:D,'02效果表'!E:E)&lt;0, _xlfn.XLOOKUP(L307,'02效果表'!D:D,'02效果表'!E:E), 0) +
O307*IF(_xlfn.XLOOKUP(N307,'02效果表'!D:D,'02效果表'!E:E)&lt;0, _xlfn.XLOOKUP(N307,'02效果表'!D:D,'02效果表'!E:E), 0) +
Q307*IF(_xlfn.XLOOKUP(P307,'02效果表'!D:D,'02效果表'!E:E)&lt;0, _xlfn.XLOOKUP(P307,'02效果表'!D:D,'02效果表'!E:E), 0) +
S307*IF(_xlfn.XLOOKUP(R307,'02效果表'!D:D,'02效果表'!E:E)&lt;0, _xlfn.XLOOKUP(R307,'02效果表'!D:D,'02效果表'!E:E), 0) +
U307*IF(_xlfn.XLOOKUP(T307,'02效果表'!D:D,'02效果表'!E:E)&lt;0, _xlfn.XLOOKUP(T307,'02效果表'!D:D,'02效果表'!E:E), 0) +
W307*IF(_xlfn.XLOOKUP(V307,'02效果表'!D:D,'02效果表'!E:E)&lt;0, _xlfn.XLOOKUP(V307,'02效果表'!D:D,'02效果表'!E:E), 0) +
Y307*IF(_xlfn.XLOOKUP(X307,'02效果表'!D:D,'02效果表'!E:E)&lt;0, _xlfn.XLOOKUP(X307,'02效果表'!D:D,'02效果表'!E:E), 0) +
AA307*IF(_xlfn.XLOOKUP(Z307,'02效果表'!D:D,'02效果表'!E:E)&lt;0, _xlfn.XLOOKUP(Z307,'02效果表'!D:D,'02效果表'!E:E), 0) +
AC307*IF(_xlfn.XLOOKUP(AB307,'02效果表'!D:D,'02效果表'!E:E)&lt;0, _xlfn.XLOOKUP(AB307,'02效果表'!D:D,'02效果表'!E:E), 0) +
AE307*IF(_xlfn.XLOOKUP(AD307,'02效果表'!D:D,'02效果表'!E:E)&lt;0, _xlfn.XLOOKUP(AD307,'02效果表'!D:D,'02效果表'!E:E), 0)), 1)</f>
        <v>0</v>
      </c>
      <c r="G307" s="7">
        <f>ROUND(1/6*(I307*MAX(_xlfn.XLOOKUP(H307,'02效果表'!D:D,'02效果表'!E:E),0)+K307*MAX(_xlfn.XLOOKUP(J307,'02效果表'!D:D,'02效果表'!E:E),0)+M307*MAX(_xlfn.XLOOKUP(L307,'02效果表'!D:D,'02效果表'!E:E),0)+O307*MAX(_xlfn.XLOOKUP(N307,'02效果表'!D:D,'02效果表'!E:E),0)+Q307*MAX(_xlfn.XLOOKUP(P307,'02效果表'!D:D,'02效果表'!E:E),0)+S307*MAX(_xlfn.XLOOKUP(R307,'02效果表'!D:D,'02效果表'!E:E),0)+U307*MAX(_xlfn.XLOOKUP(T307,'02效果表'!D:D,'02效果表'!E:E),0)+W307*MAX(_xlfn.XLOOKUP(V307,'02效果表'!D:D,'02效果表'!E:E),0)+Y307*MAX(_xlfn.XLOOKUP(X307,'02效果表'!D:D,'02效果表'!E:E),0)+AA307*MAX(_xlfn.XLOOKUP(Z307,'02效果表'!D:D,'02效果表'!E:E),0)+AC307*MAX(_xlfn.XLOOKUP(AB307,'02效果表'!D:D,'02效果表'!E:E),0)+AE307*MAX(_xlfn.XLOOKUP(AD307,'02效果表'!D:D,'02效果表'!E:E),0)),1)</f>
        <v>0</v>
      </c>
      <c r="H307" s="6"/>
      <c r="I307" s="6"/>
      <c r="J307" s="6"/>
      <c r="K307" s="6"/>
      <c r="L307" s="6"/>
      <c r="M307" s="6"/>
      <c r="N307" s="6"/>
      <c r="O307" s="6"/>
      <c r="P307" s="6"/>
      <c r="Q307" s="6"/>
      <c r="R307" s="6"/>
      <c r="S307" s="6"/>
      <c r="T307" s="6"/>
      <c r="U307" s="6"/>
      <c r="V307" s="6"/>
      <c r="W307" s="6"/>
      <c r="X307" s="6"/>
      <c r="Y307" s="6"/>
      <c r="Z307" s="6"/>
      <c r="AA307" s="6"/>
      <c r="AB307" s="6"/>
      <c r="AC307" s="6"/>
      <c r="AD307" s="6"/>
      <c r="AE307" s="6"/>
    </row>
    <row r="308" spans="1:31" x14ac:dyDescent="0.35">
      <c r="A308" s="6">
        <v>308</v>
      </c>
      <c r="B308" s="6" t="s">
        <v>5</v>
      </c>
      <c r="C308" s="10" t="s">
        <v>1</v>
      </c>
      <c r="D308" s="9" t="s">
        <v>1510</v>
      </c>
      <c r="E308" s="7">
        <f t="shared" si="11"/>
        <v>0</v>
      </c>
      <c r="F308" s="7">
        <f>-1*ROUND(1/6*(I308*IF(_xlfn.XLOOKUP(H308,'02效果表'!D:D,'02效果表'!E:E)&lt;0, _xlfn.XLOOKUP(H308,'02效果表'!D:D,'02效果表'!E:E), 0) +
K308*IF(_xlfn.XLOOKUP(J308,'02效果表'!D:D,'02效果表'!E:E)&lt;0, _xlfn.XLOOKUP(J308,'02效果表'!D:D,'02效果表'!E:E), 0) +
M308*IF(_xlfn.XLOOKUP(L308,'02效果表'!D:D,'02效果表'!E:E)&lt;0, _xlfn.XLOOKUP(L308,'02效果表'!D:D,'02效果表'!E:E), 0) +
O308*IF(_xlfn.XLOOKUP(N308,'02效果表'!D:D,'02效果表'!E:E)&lt;0, _xlfn.XLOOKUP(N308,'02效果表'!D:D,'02效果表'!E:E), 0) +
Q308*IF(_xlfn.XLOOKUP(P308,'02效果表'!D:D,'02效果表'!E:E)&lt;0, _xlfn.XLOOKUP(P308,'02效果表'!D:D,'02效果表'!E:E), 0) +
S308*IF(_xlfn.XLOOKUP(R308,'02效果表'!D:D,'02效果表'!E:E)&lt;0, _xlfn.XLOOKUP(R308,'02效果表'!D:D,'02效果表'!E:E), 0) +
U308*IF(_xlfn.XLOOKUP(T308,'02效果表'!D:D,'02效果表'!E:E)&lt;0, _xlfn.XLOOKUP(T308,'02效果表'!D:D,'02效果表'!E:E), 0) +
W308*IF(_xlfn.XLOOKUP(V308,'02效果表'!D:D,'02效果表'!E:E)&lt;0, _xlfn.XLOOKUP(V308,'02效果表'!D:D,'02效果表'!E:E), 0) +
Y308*IF(_xlfn.XLOOKUP(X308,'02效果表'!D:D,'02效果表'!E:E)&lt;0, _xlfn.XLOOKUP(X308,'02效果表'!D:D,'02效果表'!E:E), 0) +
AA308*IF(_xlfn.XLOOKUP(Z308,'02效果表'!D:D,'02效果表'!E:E)&lt;0, _xlfn.XLOOKUP(Z308,'02效果表'!D:D,'02效果表'!E:E), 0) +
AC308*IF(_xlfn.XLOOKUP(AB308,'02效果表'!D:D,'02效果表'!E:E)&lt;0, _xlfn.XLOOKUP(AB308,'02效果表'!D:D,'02效果表'!E:E), 0) +
AE308*IF(_xlfn.XLOOKUP(AD308,'02效果表'!D:D,'02效果表'!E:E)&lt;0, _xlfn.XLOOKUP(AD308,'02效果表'!D:D,'02效果表'!E:E), 0)), 1)</f>
        <v>0</v>
      </c>
      <c r="G308" s="7">
        <f>ROUND(1/6*(I308*MAX(_xlfn.XLOOKUP(H308,'02效果表'!D:D,'02效果表'!E:E),0)+K308*MAX(_xlfn.XLOOKUP(J308,'02效果表'!D:D,'02效果表'!E:E),0)+M308*MAX(_xlfn.XLOOKUP(L308,'02效果表'!D:D,'02效果表'!E:E),0)+O308*MAX(_xlfn.XLOOKUP(N308,'02效果表'!D:D,'02效果表'!E:E),0)+Q308*MAX(_xlfn.XLOOKUP(P308,'02效果表'!D:D,'02效果表'!E:E),0)+S308*MAX(_xlfn.XLOOKUP(R308,'02效果表'!D:D,'02效果表'!E:E),0)+U308*MAX(_xlfn.XLOOKUP(T308,'02效果表'!D:D,'02效果表'!E:E),0)+W308*MAX(_xlfn.XLOOKUP(V308,'02效果表'!D:D,'02效果表'!E:E),0)+Y308*MAX(_xlfn.XLOOKUP(X308,'02效果表'!D:D,'02效果表'!E:E),0)+AA308*MAX(_xlfn.XLOOKUP(Z308,'02效果表'!D:D,'02效果表'!E:E),0)+AC308*MAX(_xlfn.XLOOKUP(AB308,'02效果表'!D:D,'02效果表'!E:E),0)+AE308*MAX(_xlfn.XLOOKUP(AD308,'02效果表'!D:D,'02效果表'!E:E),0)),1)</f>
        <v>0</v>
      </c>
      <c r="H308" s="6"/>
      <c r="I308" s="6"/>
      <c r="J308" s="6"/>
      <c r="K308" s="6"/>
      <c r="L308" s="6"/>
      <c r="M308" s="6"/>
      <c r="N308" s="6"/>
      <c r="O308" s="6"/>
      <c r="P308" s="6"/>
      <c r="Q308" s="6"/>
      <c r="R308" s="6"/>
      <c r="S308" s="6"/>
      <c r="T308" s="6"/>
      <c r="U308" s="6"/>
      <c r="V308" s="6"/>
      <c r="W308" s="6"/>
      <c r="X308" s="6"/>
      <c r="Y308" s="6"/>
      <c r="Z308" s="6"/>
      <c r="AA308" s="6"/>
      <c r="AB308" s="6"/>
      <c r="AC308" s="6"/>
      <c r="AD308" s="6"/>
      <c r="AE308" s="6"/>
    </row>
    <row r="309" spans="1:31" x14ac:dyDescent="0.35">
      <c r="A309" s="6">
        <v>309</v>
      </c>
      <c r="B309" s="6" t="s">
        <v>5</v>
      </c>
      <c r="C309" s="10" t="s">
        <v>1</v>
      </c>
      <c r="D309" s="9" t="s">
        <v>1511</v>
      </c>
      <c r="E309" s="7">
        <f t="shared" si="11"/>
        <v>0</v>
      </c>
      <c r="F309" s="7">
        <f>-1*ROUND(1/6*(I309*IF(_xlfn.XLOOKUP(H309,'02效果表'!D:D,'02效果表'!E:E)&lt;0, _xlfn.XLOOKUP(H309,'02效果表'!D:D,'02效果表'!E:E), 0) +
K309*IF(_xlfn.XLOOKUP(J309,'02效果表'!D:D,'02效果表'!E:E)&lt;0, _xlfn.XLOOKUP(J309,'02效果表'!D:D,'02效果表'!E:E), 0) +
M309*IF(_xlfn.XLOOKUP(L309,'02效果表'!D:D,'02效果表'!E:E)&lt;0, _xlfn.XLOOKUP(L309,'02效果表'!D:D,'02效果表'!E:E), 0) +
O309*IF(_xlfn.XLOOKUP(N309,'02效果表'!D:D,'02效果表'!E:E)&lt;0, _xlfn.XLOOKUP(N309,'02效果表'!D:D,'02效果表'!E:E), 0) +
Q309*IF(_xlfn.XLOOKUP(P309,'02效果表'!D:D,'02效果表'!E:E)&lt;0, _xlfn.XLOOKUP(P309,'02效果表'!D:D,'02效果表'!E:E), 0) +
S309*IF(_xlfn.XLOOKUP(R309,'02效果表'!D:D,'02效果表'!E:E)&lt;0, _xlfn.XLOOKUP(R309,'02效果表'!D:D,'02效果表'!E:E), 0) +
U309*IF(_xlfn.XLOOKUP(T309,'02效果表'!D:D,'02效果表'!E:E)&lt;0, _xlfn.XLOOKUP(T309,'02效果表'!D:D,'02效果表'!E:E), 0) +
W309*IF(_xlfn.XLOOKUP(V309,'02效果表'!D:D,'02效果表'!E:E)&lt;0, _xlfn.XLOOKUP(V309,'02效果表'!D:D,'02效果表'!E:E), 0) +
Y309*IF(_xlfn.XLOOKUP(X309,'02效果表'!D:D,'02效果表'!E:E)&lt;0, _xlfn.XLOOKUP(X309,'02效果表'!D:D,'02效果表'!E:E), 0) +
AA309*IF(_xlfn.XLOOKUP(Z309,'02效果表'!D:D,'02效果表'!E:E)&lt;0, _xlfn.XLOOKUP(Z309,'02效果表'!D:D,'02效果表'!E:E), 0) +
AC309*IF(_xlfn.XLOOKUP(AB309,'02效果表'!D:D,'02效果表'!E:E)&lt;0, _xlfn.XLOOKUP(AB309,'02效果表'!D:D,'02效果表'!E:E), 0) +
AE309*IF(_xlfn.XLOOKUP(AD309,'02效果表'!D:D,'02效果表'!E:E)&lt;0, _xlfn.XLOOKUP(AD309,'02效果表'!D:D,'02效果表'!E:E), 0)), 1)</f>
        <v>0</v>
      </c>
      <c r="G309" s="7">
        <f>ROUND(1/6*(I309*MAX(_xlfn.XLOOKUP(H309,'02效果表'!D:D,'02效果表'!E:E),0)+K309*MAX(_xlfn.XLOOKUP(J309,'02效果表'!D:D,'02效果表'!E:E),0)+M309*MAX(_xlfn.XLOOKUP(L309,'02效果表'!D:D,'02效果表'!E:E),0)+O309*MAX(_xlfn.XLOOKUP(N309,'02效果表'!D:D,'02效果表'!E:E),0)+Q309*MAX(_xlfn.XLOOKUP(P309,'02效果表'!D:D,'02效果表'!E:E),0)+S309*MAX(_xlfn.XLOOKUP(R309,'02效果表'!D:D,'02效果表'!E:E),0)+U309*MAX(_xlfn.XLOOKUP(T309,'02效果表'!D:D,'02效果表'!E:E),0)+W309*MAX(_xlfn.XLOOKUP(V309,'02效果表'!D:D,'02效果表'!E:E),0)+Y309*MAX(_xlfn.XLOOKUP(X309,'02效果表'!D:D,'02效果表'!E:E),0)+AA309*MAX(_xlfn.XLOOKUP(Z309,'02效果表'!D:D,'02效果表'!E:E),0)+AC309*MAX(_xlfn.XLOOKUP(AB309,'02效果表'!D:D,'02效果表'!E:E),0)+AE309*MAX(_xlfn.XLOOKUP(AD309,'02效果表'!D:D,'02效果表'!E:E),0)),1)</f>
        <v>0</v>
      </c>
      <c r="H309" s="6"/>
      <c r="I309" s="6"/>
      <c r="J309" s="6"/>
      <c r="K309" s="6"/>
      <c r="L309" s="6"/>
      <c r="M309" s="6"/>
      <c r="N309" s="6"/>
      <c r="O309" s="6"/>
      <c r="P309" s="6"/>
      <c r="Q309" s="6"/>
      <c r="R309" s="6"/>
      <c r="S309" s="6"/>
      <c r="T309" s="6"/>
      <c r="U309" s="6"/>
      <c r="V309" s="6"/>
      <c r="W309" s="6"/>
      <c r="X309" s="6"/>
      <c r="Y309" s="6"/>
      <c r="Z309" s="6"/>
      <c r="AA309" s="6"/>
      <c r="AB309" s="6"/>
      <c r="AC309" s="6"/>
      <c r="AD309" s="6"/>
      <c r="AE309" s="6"/>
    </row>
    <row r="310" spans="1:31" x14ac:dyDescent="0.35">
      <c r="A310" s="6">
        <v>310</v>
      </c>
      <c r="B310" s="6" t="s">
        <v>5</v>
      </c>
      <c r="C310" s="10" t="s">
        <v>1</v>
      </c>
      <c r="D310" s="9" t="s">
        <v>1512</v>
      </c>
      <c r="E310" s="7">
        <f t="shared" si="11"/>
        <v>0</v>
      </c>
      <c r="F310" s="7">
        <f>-1*ROUND(1/6*(I310*IF(_xlfn.XLOOKUP(H310,'02效果表'!D:D,'02效果表'!E:E)&lt;0, _xlfn.XLOOKUP(H310,'02效果表'!D:D,'02效果表'!E:E), 0) +
K310*IF(_xlfn.XLOOKUP(J310,'02效果表'!D:D,'02效果表'!E:E)&lt;0, _xlfn.XLOOKUP(J310,'02效果表'!D:D,'02效果表'!E:E), 0) +
M310*IF(_xlfn.XLOOKUP(L310,'02效果表'!D:D,'02效果表'!E:E)&lt;0, _xlfn.XLOOKUP(L310,'02效果表'!D:D,'02效果表'!E:E), 0) +
O310*IF(_xlfn.XLOOKUP(N310,'02效果表'!D:D,'02效果表'!E:E)&lt;0, _xlfn.XLOOKUP(N310,'02效果表'!D:D,'02效果表'!E:E), 0) +
Q310*IF(_xlfn.XLOOKUP(P310,'02效果表'!D:D,'02效果表'!E:E)&lt;0, _xlfn.XLOOKUP(P310,'02效果表'!D:D,'02效果表'!E:E), 0) +
S310*IF(_xlfn.XLOOKUP(R310,'02效果表'!D:D,'02效果表'!E:E)&lt;0, _xlfn.XLOOKUP(R310,'02效果表'!D:D,'02效果表'!E:E), 0) +
U310*IF(_xlfn.XLOOKUP(T310,'02效果表'!D:D,'02效果表'!E:E)&lt;0, _xlfn.XLOOKUP(T310,'02效果表'!D:D,'02效果表'!E:E), 0) +
W310*IF(_xlfn.XLOOKUP(V310,'02效果表'!D:D,'02效果表'!E:E)&lt;0, _xlfn.XLOOKUP(V310,'02效果表'!D:D,'02效果表'!E:E), 0) +
Y310*IF(_xlfn.XLOOKUP(X310,'02效果表'!D:D,'02效果表'!E:E)&lt;0, _xlfn.XLOOKUP(X310,'02效果表'!D:D,'02效果表'!E:E), 0) +
AA310*IF(_xlfn.XLOOKUP(Z310,'02效果表'!D:D,'02效果表'!E:E)&lt;0, _xlfn.XLOOKUP(Z310,'02效果表'!D:D,'02效果表'!E:E), 0) +
AC310*IF(_xlfn.XLOOKUP(AB310,'02效果表'!D:D,'02效果表'!E:E)&lt;0, _xlfn.XLOOKUP(AB310,'02效果表'!D:D,'02效果表'!E:E), 0) +
AE310*IF(_xlfn.XLOOKUP(AD310,'02效果表'!D:D,'02效果表'!E:E)&lt;0, _xlfn.XLOOKUP(AD310,'02效果表'!D:D,'02效果表'!E:E), 0)), 1)</f>
        <v>0</v>
      </c>
      <c r="G310" s="7">
        <f>ROUND(1/6*(I310*MAX(_xlfn.XLOOKUP(H310,'02效果表'!D:D,'02效果表'!E:E),0)+K310*MAX(_xlfn.XLOOKUP(J310,'02效果表'!D:D,'02效果表'!E:E),0)+M310*MAX(_xlfn.XLOOKUP(L310,'02效果表'!D:D,'02效果表'!E:E),0)+O310*MAX(_xlfn.XLOOKUP(N310,'02效果表'!D:D,'02效果表'!E:E),0)+Q310*MAX(_xlfn.XLOOKUP(P310,'02效果表'!D:D,'02效果表'!E:E),0)+S310*MAX(_xlfn.XLOOKUP(R310,'02效果表'!D:D,'02效果表'!E:E),0)+U310*MAX(_xlfn.XLOOKUP(T310,'02效果表'!D:D,'02效果表'!E:E),0)+W310*MAX(_xlfn.XLOOKUP(V310,'02效果表'!D:D,'02效果表'!E:E),0)+Y310*MAX(_xlfn.XLOOKUP(X310,'02效果表'!D:D,'02效果表'!E:E),0)+AA310*MAX(_xlfn.XLOOKUP(Z310,'02效果表'!D:D,'02效果表'!E:E),0)+AC310*MAX(_xlfn.XLOOKUP(AB310,'02效果表'!D:D,'02效果表'!E:E),0)+AE310*MAX(_xlfn.XLOOKUP(AD310,'02效果表'!D:D,'02效果表'!E:E),0)),1)</f>
        <v>0</v>
      </c>
      <c r="H310" s="6"/>
      <c r="I310" s="6"/>
      <c r="J310" s="6"/>
      <c r="K310" s="6"/>
      <c r="L310" s="6"/>
      <c r="M310" s="6"/>
      <c r="N310" s="6"/>
      <c r="O310" s="6"/>
      <c r="P310" s="6"/>
      <c r="Q310" s="6"/>
      <c r="R310" s="6"/>
      <c r="S310" s="6"/>
      <c r="T310" s="6"/>
      <c r="U310" s="6"/>
      <c r="V310" s="6"/>
      <c r="W310" s="6"/>
      <c r="X310" s="6"/>
      <c r="Y310" s="6"/>
      <c r="Z310" s="6"/>
      <c r="AA310" s="6"/>
      <c r="AB310" s="6"/>
      <c r="AC310" s="6"/>
      <c r="AD310" s="6"/>
      <c r="AE310" s="6"/>
    </row>
    <row r="311" spans="1:31" x14ac:dyDescent="0.35">
      <c r="A311" s="6">
        <v>311</v>
      </c>
      <c r="B311" s="6" t="s">
        <v>5</v>
      </c>
      <c r="C311" s="10" t="s">
        <v>1</v>
      </c>
      <c r="D311" s="9"/>
      <c r="E311" s="7">
        <f t="shared" si="11"/>
        <v>0</v>
      </c>
      <c r="F311" s="7">
        <f>-1*ROUND(1/6*(I311*IF(_xlfn.XLOOKUP(H311,'02效果表'!D:D,'02效果表'!E:E)&lt;0, _xlfn.XLOOKUP(H311,'02效果表'!D:D,'02效果表'!E:E), 0) +
K311*IF(_xlfn.XLOOKUP(J311,'02效果表'!D:D,'02效果表'!E:E)&lt;0, _xlfn.XLOOKUP(J311,'02效果表'!D:D,'02效果表'!E:E), 0) +
M311*IF(_xlfn.XLOOKUP(L311,'02效果表'!D:D,'02效果表'!E:E)&lt;0, _xlfn.XLOOKUP(L311,'02效果表'!D:D,'02效果表'!E:E), 0) +
O311*IF(_xlfn.XLOOKUP(N311,'02效果表'!D:D,'02效果表'!E:E)&lt;0, _xlfn.XLOOKUP(N311,'02效果表'!D:D,'02效果表'!E:E), 0) +
Q311*IF(_xlfn.XLOOKUP(P311,'02效果表'!D:D,'02效果表'!E:E)&lt;0, _xlfn.XLOOKUP(P311,'02效果表'!D:D,'02效果表'!E:E), 0) +
S311*IF(_xlfn.XLOOKUP(R311,'02效果表'!D:D,'02效果表'!E:E)&lt;0, _xlfn.XLOOKUP(R311,'02效果表'!D:D,'02效果表'!E:E), 0) +
U311*IF(_xlfn.XLOOKUP(T311,'02效果表'!D:D,'02效果表'!E:E)&lt;0, _xlfn.XLOOKUP(T311,'02效果表'!D:D,'02效果表'!E:E), 0) +
W311*IF(_xlfn.XLOOKUP(V311,'02效果表'!D:D,'02效果表'!E:E)&lt;0, _xlfn.XLOOKUP(V311,'02效果表'!D:D,'02效果表'!E:E), 0) +
Y311*IF(_xlfn.XLOOKUP(X311,'02效果表'!D:D,'02效果表'!E:E)&lt;0, _xlfn.XLOOKUP(X311,'02效果表'!D:D,'02效果表'!E:E), 0) +
AA311*IF(_xlfn.XLOOKUP(Z311,'02效果表'!D:D,'02效果表'!E:E)&lt;0, _xlfn.XLOOKUP(Z311,'02效果表'!D:D,'02效果表'!E:E), 0) +
AC311*IF(_xlfn.XLOOKUP(AB311,'02效果表'!D:D,'02效果表'!E:E)&lt;0, _xlfn.XLOOKUP(AB311,'02效果表'!D:D,'02效果表'!E:E), 0) +
AE311*IF(_xlfn.XLOOKUP(AD311,'02效果表'!D:D,'02效果表'!E:E)&lt;0, _xlfn.XLOOKUP(AD311,'02效果表'!D:D,'02效果表'!E:E), 0)), 1)</f>
        <v>0</v>
      </c>
      <c r="G311" s="7">
        <f>ROUND(1/6*(I311*MAX(_xlfn.XLOOKUP(H311,'02效果表'!D:D,'02效果表'!E:E),0)+K311*MAX(_xlfn.XLOOKUP(J311,'02效果表'!D:D,'02效果表'!E:E),0)+M311*MAX(_xlfn.XLOOKUP(L311,'02效果表'!D:D,'02效果表'!E:E),0)+O311*MAX(_xlfn.XLOOKUP(N311,'02效果表'!D:D,'02效果表'!E:E),0)+Q311*MAX(_xlfn.XLOOKUP(P311,'02效果表'!D:D,'02效果表'!E:E),0)+S311*MAX(_xlfn.XLOOKUP(R311,'02效果表'!D:D,'02效果表'!E:E),0)+U311*MAX(_xlfn.XLOOKUP(T311,'02效果表'!D:D,'02效果表'!E:E),0)+W311*MAX(_xlfn.XLOOKUP(V311,'02效果表'!D:D,'02效果表'!E:E),0)+Y311*MAX(_xlfn.XLOOKUP(X311,'02效果表'!D:D,'02效果表'!E:E),0)+AA311*MAX(_xlfn.XLOOKUP(Z311,'02效果表'!D:D,'02效果表'!E:E),0)+AC311*MAX(_xlfn.XLOOKUP(AB311,'02效果表'!D:D,'02效果表'!E:E),0)+AE311*MAX(_xlfn.XLOOKUP(AD311,'02效果表'!D:D,'02效果表'!E:E),0)),1)</f>
        <v>0</v>
      </c>
      <c r="H311" s="6"/>
      <c r="I311" s="6"/>
      <c r="J311" s="6"/>
      <c r="K311" s="6"/>
      <c r="L311" s="6"/>
      <c r="M311" s="6"/>
      <c r="N311" s="6"/>
      <c r="O311" s="6"/>
      <c r="P311" s="6"/>
      <c r="Q311" s="6"/>
      <c r="R311" s="6"/>
      <c r="S311" s="6"/>
      <c r="T311" s="6"/>
      <c r="U311" s="6"/>
      <c r="V311" s="6"/>
      <c r="W311" s="6"/>
      <c r="X311" s="6"/>
      <c r="Y311" s="6"/>
      <c r="Z311" s="6"/>
      <c r="AA311" s="6"/>
      <c r="AB311" s="6"/>
      <c r="AC311" s="6"/>
      <c r="AD311" s="6"/>
      <c r="AE311" s="6"/>
    </row>
    <row r="312" spans="1:31" x14ac:dyDescent="0.35">
      <c r="A312" s="6">
        <v>312</v>
      </c>
      <c r="B312" s="6" t="s">
        <v>5</v>
      </c>
      <c r="C312" s="10" t="s">
        <v>1</v>
      </c>
      <c r="D312" s="9"/>
      <c r="E312" s="7">
        <f t="shared" si="11"/>
        <v>0</v>
      </c>
      <c r="F312" s="7">
        <f>-1*ROUND(1/6*(I312*IF(_xlfn.XLOOKUP(H312,'02效果表'!D:D,'02效果表'!E:E)&lt;0, _xlfn.XLOOKUP(H312,'02效果表'!D:D,'02效果表'!E:E), 0) +
K312*IF(_xlfn.XLOOKUP(J312,'02效果表'!D:D,'02效果表'!E:E)&lt;0, _xlfn.XLOOKUP(J312,'02效果表'!D:D,'02效果表'!E:E), 0) +
M312*IF(_xlfn.XLOOKUP(L312,'02效果表'!D:D,'02效果表'!E:E)&lt;0, _xlfn.XLOOKUP(L312,'02效果表'!D:D,'02效果表'!E:E), 0) +
O312*IF(_xlfn.XLOOKUP(N312,'02效果表'!D:D,'02效果表'!E:E)&lt;0, _xlfn.XLOOKUP(N312,'02效果表'!D:D,'02效果表'!E:E), 0) +
Q312*IF(_xlfn.XLOOKUP(P312,'02效果表'!D:D,'02效果表'!E:E)&lt;0, _xlfn.XLOOKUP(P312,'02效果表'!D:D,'02效果表'!E:E), 0) +
S312*IF(_xlfn.XLOOKUP(R312,'02效果表'!D:D,'02效果表'!E:E)&lt;0, _xlfn.XLOOKUP(R312,'02效果表'!D:D,'02效果表'!E:E), 0) +
U312*IF(_xlfn.XLOOKUP(T312,'02效果表'!D:D,'02效果表'!E:E)&lt;0, _xlfn.XLOOKUP(T312,'02效果表'!D:D,'02效果表'!E:E), 0) +
W312*IF(_xlfn.XLOOKUP(V312,'02效果表'!D:D,'02效果表'!E:E)&lt;0, _xlfn.XLOOKUP(V312,'02效果表'!D:D,'02效果表'!E:E), 0) +
Y312*IF(_xlfn.XLOOKUP(X312,'02效果表'!D:D,'02效果表'!E:E)&lt;0, _xlfn.XLOOKUP(X312,'02效果表'!D:D,'02效果表'!E:E), 0) +
AA312*IF(_xlfn.XLOOKUP(Z312,'02效果表'!D:D,'02效果表'!E:E)&lt;0, _xlfn.XLOOKUP(Z312,'02效果表'!D:D,'02效果表'!E:E), 0) +
AC312*IF(_xlfn.XLOOKUP(AB312,'02效果表'!D:D,'02效果表'!E:E)&lt;0, _xlfn.XLOOKUP(AB312,'02效果表'!D:D,'02效果表'!E:E), 0) +
AE312*IF(_xlfn.XLOOKUP(AD312,'02效果表'!D:D,'02效果表'!E:E)&lt;0, _xlfn.XLOOKUP(AD312,'02效果表'!D:D,'02效果表'!E:E), 0)), 1)</f>
        <v>0</v>
      </c>
      <c r="G312" s="7">
        <f>ROUND(1/6*(I312*MAX(_xlfn.XLOOKUP(H312,'02效果表'!D:D,'02效果表'!E:E),0)+K312*MAX(_xlfn.XLOOKUP(J312,'02效果表'!D:D,'02效果表'!E:E),0)+M312*MAX(_xlfn.XLOOKUP(L312,'02效果表'!D:D,'02效果表'!E:E),0)+O312*MAX(_xlfn.XLOOKUP(N312,'02效果表'!D:D,'02效果表'!E:E),0)+Q312*MAX(_xlfn.XLOOKUP(P312,'02效果表'!D:D,'02效果表'!E:E),0)+S312*MAX(_xlfn.XLOOKUP(R312,'02效果表'!D:D,'02效果表'!E:E),0)+U312*MAX(_xlfn.XLOOKUP(T312,'02效果表'!D:D,'02效果表'!E:E),0)+W312*MAX(_xlfn.XLOOKUP(V312,'02效果表'!D:D,'02效果表'!E:E),0)+Y312*MAX(_xlfn.XLOOKUP(X312,'02效果表'!D:D,'02效果表'!E:E),0)+AA312*MAX(_xlfn.XLOOKUP(Z312,'02效果表'!D:D,'02效果表'!E:E),0)+AC312*MAX(_xlfn.XLOOKUP(AB312,'02效果表'!D:D,'02效果表'!E:E),0)+AE312*MAX(_xlfn.XLOOKUP(AD312,'02效果表'!D:D,'02效果表'!E:E),0)),1)</f>
        <v>0</v>
      </c>
      <c r="H312" s="6"/>
      <c r="I312" s="6"/>
      <c r="J312" s="6"/>
      <c r="K312" s="6"/>
      <c r="L312" s="6"/>
      <c r="M312" s="6"/>
      <c r="N312" s="6"/>
      <c r="O312" s="6"/>
      <c r="P312" s="6"/>
      <c r="Q312" s="6"/>
      <c r="R312" s="6"/>
      <c r="S312" s="6"/>
      <c r="T312" s="6"/>
      <c r="U312" s="6"/>
      <c r="V312" s="6"/>
      <c r="W312" s="6"/>
      <c r="X312" s="6"/>
      <c r="Y312" s="6"/>
      <c r="Z312" s="6"/>
      <c r="AA312" s="6"/>
      <c r="AB312" s="6"/>
      <c r="AC312" s="6"/>
      <c r="AD312" s="6"/>
      <c r="AE312" s="6"/>
    </row>
    <row r="313" spans="1:31" x14ac:dyDescent="0.35">
      <c r="A313" s="6">
        <v>313</v>
      </c>
      <c r="B313" s="6" t="s">
        <v>5</v>
      </c>
      <c r="C313" s="10" t="s">
        <v>1</v>
      </c>
      <c r="D313" s="9"/>
      <c r="E313" s="7">
        <f t="shared" si="11"/>
        <v>0</v>
      </c>
      <c r="F313" s="7">
        <f>-1*ROUND(1/6*(I313*IF(_xlfn.XLOOKUP(H313,'02效果表'!D:D,'02效果表'!E:E)&lt;0, _xlfn.XLOOKUP(H313,'02效果表'!D:D,'02效果表'!E:E), 0) +
K313*IF(_xlfn.XLOOKUP(J313,'02效果表'!D:D,'02效果表'!E:E)&lt;0, _xlfn.XLOOKUP(J313,'02效果表'!D:D,'02效果表'!E:E), 0) +
M313*IF(_xlfn.XLOOKUP(L313,'02效果表'!D:D,'02效果表'!E:E)&lt;0, _xlfn.XLOOKUP(L313,'02效果表'!D:D,'02效果表'!E:E), 0) +
O313*IF(_xlfn.XLOOKUP(N313,'02效果表'!D:D,'02效果表'!E:E)&lt;0, _xlfn.XLOOKUP(N313,'02效果表'!D:D,'02效果表'!E:E), 0) +
Q313*IF(_xlfn.XLOOKUP(P313,'02效果表'!D:D,'02效果表'!E:E)&lt;0, _xlfn.XLOOKUP(P313,'02效果表'!D:D,'02效果表'!E:E), 0) +
S313*IF(_xlfn.XLOOKUP(R313,'02效果表'!D:D,'02效果表'!E:E)&lt;0, _xlfn.XLOOKUP(R313,'02效果表'!D:D,'02效果表'!E:E), 0) +
U313*IF(_xlfn.XLOOKUP(T313,'02效果表'!D:D,'02效果表'!E:E)&lt;0, _xlfn.XLOOKUP(T313,'02效果表'!D:D,'02效果表'!E:E), 0) +
W313*IF(_xlfn.XLOOKUP(V313,'02效果表'!D:D,'02效果表'!E:E)&lt;0, _xlfn.XLOOKUP(V313,'02效果表'!D:D,'02效果表'!E:E), 0) +
Y313*IF(_xlfn.XLOOKUP(X313,'02效果表'!D:D,'02效果表'!E:E)&lt;0, _xlfn.XLOOKUP(X313,'02效果表'!D:D,'02效果表'!E:E), 0) +
AA313*IF(_xlfn.XLOOKUP(Z313,'02效果表'!D:D,'02效果表'!E:E)&lt;0, _xlfn.XLOOKUP(Z313,'02效果表'!D:D,'02效果表'!E:E), 0) +
AC313*IF(_xlfn.XLOOKUP(AB313,'02效果表'!D:D,'02效果表'!E:E)&lt;0, _xlfn.XLOOKUP(AB313,'02效果表'!D:D,'02效果表'!E:E), 0) +
AE313*IF(_xlfn.XLOOKUP(AD313,'02效果表'!D:D,'02效果表'!E:E)&lt;0, _xlfn.XLOOKUP(AD313,'02效果表'!D:D,'02效果表'!E:E), 0)), 1)</f>
        <v>0</v>
      </c>
      <c r="G313" s="7">
        <f>ROUND(1/6*(I313*MAX(_xlfn.XLOOKUP(H313,'02效果表'!D:D,'02效果表'!E:E),0)+K313*MAX(_xlfn.XLOOKUP(J313,'02效果表'!D:D,'02效果表'!E:E),0)+M313*MAX(_xlfn.XLOOKUP(L313,'02效果表'!D:D,'02效果表'!E:E),0)+O313*MAX(_xlfn.XLOOKUP(N313,'02效果表'!D:D,'02效果表'!E:E),0)+Q313*MAX(_xlfn.XLOOKUP(P313,'02效果表'!D:D,'02效果表'!E:E),0)+S313*MAX(_xlfn.XLOOKUP(R313,'02效果表'!D:D,'02效果表'!E:E),0)+U313*MAX(_xlfn.XLOOKUP(T313,'02效果表'!D:D,'02效果表'!E:E),0)+W313*MAX(_xlfn.XLOOKUP(V313,'02效果表'!D:D,'02效果表'!E:E),0)+Y313*MAX(_xlfn.XLOOKUP(X313,'02效果表'!D:D,'02效果表'!E:E),0)+AA313*MAX(_xlfn.XLOOKUP(Z313,'02效果表'!D:D,'02效果表'!E:E),0)+AC313*MAX(_xlfn.XLOOKUP(AB313,'02效果表'!D:D,'02效果表'!E:E),0)+AE313*MAX(_xlfn.XLOOKUP(AD313,'02效果表'!D:D,'02效果表'!E:E),0)),1)</f>
        <v>0</v>
      </c>
      <c r="H313" s="6"/>
      <c r="I313" s="6"/>
      <c r="J313" s="6"/>
      <c r="K313" s="6"/>
      <c r="L313" s="6"/>
      <c r="M313" s="6"/>
      <c r="N313" s="6"/>
      <c r="O313" s="6"/>
      <c r="P313" s="6"/>
      <c r="Q313" s="6"/>
      <c r="R313" s="6"/>
      <c r="S313" s="6"/>
      <c r="T313" s="6"/>
      <c r="U313" s="6"/>
      <c r="V313" s="6"/>
      <c r="W313" s="6"/>
      <c r="X313" s="6"/>
      <c r="Y313" s="6"/>
      <c r="Z313" s="6"/>
      <c r="AA313" s="6"/>
      <c r="AB313" s="6"/>
      <c r="AC313" s="6"/>
      <c r="AD313" s="6"/>
      <c r="AE313" s="6"/>
    </row>
    <row r="314" spans="1:31" x14ac:dyDescent="0.35">
      <c r="A314" s="6">
        <v>314</v>
      </c>
      <c r="B314" s="6" t="s">
        <v>5</v>
      </c>
      <c r="C314" s="10" t="s">
        <v>2</v>
      </c>
      <c r="D314" s="9" t="s">
        <v>1513</v>
      </c>
      <c r="E314" s="7">
        <f t="shared" si="11"/>
        <v>0</v>
      </c>
      <c r="F314" s="7">
        <f>-1*ROUND(1/6*(I314*IF(_xlfn.XLOOKUP(H314,'02效果表'!D:D,'02效果表'!E:E)&lt;0, _xlfn.XLOOKUP(H314,'02效果表'!D:D,'02效果表'!E:E), 0) +
K314*IF(_xlfn.XLOOKUP(J314,'02效果表'!D:D,'02效果表'!E:E)&lt;0, _xlfn.XLOOKUP(J314,'02效果表'!D:D,'02效果表'!E:E), 0) +
M314*IF(_xlfn.XLOOKUP(L314,'02效果表'!D:D,'02效果表'!E:E)&lt;0, _xlfn.XLOOKUP(L314,'02效果表'!D:D,'02效果表'!E:E), 0) +
O314*IF(_xlfn.XLOOKUP(N314,'02效果表'!D:D,'02效果表'!E:E)&lt;0, _xlfn.XLOOKUP(N314,'02效果表'!D:D,'02效果表'!E:E), 0) +
Q314*IF(_xlfn.XLOOKUP(P314,'02效果表'!D:D,'02效果表'!E:E)&lt;0, _xlfn.XLOOKUP(P314,'02效果表'!D:D,'02效果表'!E:E), 0) +
S314*IF(_xlfn.XLOOKUP(R314,'02效果表'!D:D,'02效果表'!E:E)&lt;0, _xlfn.XLOOKUP(R314,'02效果表'!D:D,'02效果表'!E:E), 0) +
U314*IF(_xlfn.XLOOKUP(T314,'02效果表'!D:D,'02效果表'!E:E)&lt;0, _xlfn.XLOOKUP(T314,'02效果表'!D:D,'02效果表'!E:E), 0) +
W314*IF(_xlfn.XLOOKUP(V314,'02效果表'!D:D,'02效果表'!E:E)&lt;0, _xlfn.XLOOKUP(V314,'02效果表'!D:D,'02效果表'!E:E), 0) +
Y314*IF(_xlfn.XLOOKUP(X314,'02效果表'!D:D,'02效果表'!E:E)&lt;0, _xlfn.XLOOKUP(X314,'02效果表'!D:D,'02效果表'!E:E), 0) +
AA314*IF(_xlfn.XLOOKUP(Z314,'02效果表'!D:D,'02效果表'!E:E)&lt;0, _xlfn.XLOOKUP(Z314,'02效果表'!D:D,'02效果表'!E:E), 0) +
AC314*IF(_xlfn.XLOOKUP(AB314,'02效果表'!D:D,'02效果表'!E:E)&lt;0, _xlfn.XLOOKUP(AB314,'02效果表'!D:D,'02效果表'!E:E), 0) +
AE314*IF(_xlfn.XLOOKUP(AD314,'02效果表'!D:D,'02效果表'!E:E)&lt;0, _xlfn.XLOOKUP(AD314,'02效果表'!D:D,'02效果表'!E:E), 0)), 1)</f>
        <v>0</v>
      </c>
      <c r="G314" s="7">
        <f>ROUND(1/6*(I314*MAX(_xlfn.XLOOKUP(H314,'02效果表'!D:D,'02效果表'!E:E),0)+K314*MAX(_xlfn.XLOOKUP(J314,'02效果表'!D:D,'02效果表'!E:E),0)+M314*MAX(_xlfn.XLOOKUP(L314,'02效果表'!D:D,'02效果表'!E:E),0)+O314*MAX(_xlfn.XLOOKUP(N314,'02效果表'!D:D,'02效果表'!E:E),0)+Q314*MAX(_xlfn.XLOOKUP(P314,'02效果表'!D:D,'02效果表'!E:E),0)+S314*MAX(_xlfn.XLOOKUP(R314,'02效果表'!D:D,'02效果表'!E:E),0)+U314*MAX(_xlfn.XLOOKUP(T314,'02效果表'!D:D,'02效果表'!E:E),0)+W314*MAX(_xlfn.XLOOKUP(V314,'02效果表'!D:D,'02效果表'!E:E),0)+Y314*MAX(_xlfn.XLOOKUP(X314,'02效果表'!D:D,'02效果表'!E:E),0)+AA314*MAX(_xlfn.XLOOKUP(Z314,'02效果表'!D:D,'02效果表'!E:E),0)+AC314*MAX(_xlfn.XLOOKUP(AB314,'02效果表'!D:D,'02效果表'!E:E),0)+AE314*MAX(_xlfn.XLOOKUP(AD314,'02效果表'!D:D,'02效果表'!E:E),0)),1)</f>
        <v>0</v>
      </c>
      <c r="H314" s="6"/>
      <c r="I314" s="6"/>
      <c r="J314" s="6"/>
      <c r="K314" s="6"/>
      <c r="L314" s="6"/>
      <c r="M314" s="6"/>
      <c r="N314" s="6"/>
      <c r="O314" s="6"/>
      <c r="P314" s="6"/>
      <c r="Q314" s="6"/>
      <c r="R314" s="6"/>
      <c r="S314" s="6"/>
      <c r="T314" s="6"/>
      <c r="U314" s="6"/>
      <c r="V314" s="6"/>
      <c r="W314" s="6"/>
      <c r="X314" s="6"/>
      <c r="Y314" s="6"/>
      <c r="Z314" s="6"/>
      <c r="AA314" s="6"/>
      <c r="AB314" s="6"/>
      <c r="AC314" s="6"/>
      <c r="AD314" s="6"/>
      <c r="AE314" s="6"/>
    </row>
    <row r="315" spans="1:31" x14ac:dyDescent="0.35">
      <c r="A315" s="6">
        <v>315</v>
      </c>
      <c r="B315" s="6" t="s">
        <v>5</v>
      </c>
      <c r="C315" s="10" t="s">
        <v>2</v>
      </c>
      <c r="D315" s="9" t="s">
        <v>1514</v>
      </c>
      <c r="E315" s="7">
        <f t="shared" si="11"/>
        <v>0</v>
      </c>
      <c r="F315" s="7">
        <f>-1*ROUND(1/6*(I315*IF(_xlfn.XLOOKUP(H315,'02效果表'!D:D,'02效果表'!E:E)&lt;0, _xlfn.XLOOKUP(H315,'02效果表'!D:D,'02效果表'!E:E), 0) +
K315*IF(_xlfn.XLOOKUP(J315,'02效果表'!D:D,'02效果表'!E:E)&lt;0, _xlfn.XLOOKUP(J315,'02效果表'!D:D,'02效果表'!E:E), 0) +
M315*IF(_xlfn.XLOOKUP(L315,'02效果表'!D:D,'02效果表'!E:E)&lt;0, _xlfn.XLOOKUP(L315,'02效果表'!D:D,'02效果表'!E:E), 0) +
O315*IF(_xlfn.XLOOKUP(N315,'02效果表'!D:D,'02效果表'!E:E)&lt;0, _xlfn.XLOOKUP(N315,'02效果表'!D:D,'02效果表'!E:E), 0) +
Q315*IF(_xlfn.XLOOKUP(P315,'02效果表'!D:D,'02效果表'!E:E)&lt;0, _xlfn.XLOOKUP(P315,'02效果表'!D:D,'02效果表'!E:E), 0) +
S315*IF(_xlfn.XLOOKUP(R315,'02效果表'!D:D,'02效果表'!E:E)&lt;0, _xlfn.XLOOKUP(R315,'02效果表'!D:D,'02效果表'!E:E), 0) +
U315*IF(_xlfn.XLOOKUP(T315,'02效果表'!D:D,'02效果表'!E:E)&lt;0, _xlfn.XLOOKUP(T315,'02效果表'!D:D,'02效果表'!E:E), 0) +
W315*IF(_xlfn.XLOOKUP(V315,'02效果表'!D:D,'02效果表'!E:E)&lt;0, _xlfn.XLOOKUP(V315,'02效果表'!D:D,'02效果表'!E:E), 0) +
Y315*IF(_xlfn.XLOOKUP(X315,'02效果表'!D:D,'02效果表'!E:E)&lt;0, _xlfn.XLOOKUP(X315,'02效果表'!D:D,'02效果表'!E:E), 0) +
AA315*IF(_xlfn.XLOOKUP(Z315,'02效果表'!D:D,'02效果表'!E:E)&lt;0, _xlfn.XLOOKUP(Z315,'02效果表'!D:D,'02效果表'!E:E), 0) +
AC315*IF(_xlfn.XLOOKUP(AB315,'02效果表'!D:D,'02效果表'!E:E)&lt;0, _xlfn.XLOOKUP(AB315,'02效果表'!D:D,'02效果表'!E:E), 0) +
AE315*IF(_xlfn.XLOOKUP(AD315,'02效果表'!D:D,'02效果表'!E:E)&lt;0, _xlfn.XLOOKUP(AD315,'02效果表'!D:D,'02效果表'!E:E), 0)), 1)</f>
        <v>0</v>
      </c>
      <c r="G315" s="7">
        <f>ROUND(1/6*(I315*MAX(_xlfn.XLOOKUP(H315,'02效果表'!D:D,'02效果表'!E:E),0)+K315*MAX(_xlfn.XLOOKUP(J315,'02效果表'!D:D,'02效果表'!E:E),0)+M315*MAX(_xlfn.XLOOKUP(L315,'02效果表'!D:D,'02效果表'!E:E),0)+O315*MAX(_xlfn.XLOOKUP(N315,'02效果表'!D:D,'02效果表'!E:E),0)+Q315*MAX(_xlfn.XLOOKUP(P315,'02效果表'!D:D,'02效果表'!E:E),0)+S315*MAX(_xlfn.XLOOKUP(R315,'02效果表'!D:D,'02效果表'!E:E),0)+U315*MAX(_xlfn.XLOOKUP(T315,'02效果表'!D:D,'02效果表'!E:E),0)+W315*MAX(_xlfn.XLOOKUP(V315,'02效果表'!D:D,'02效果表'!E:E),0)+Y315*MAX(_xlfn.XLOOKUP(X315,'02效果表'!D:D,'02效果表'!E:E),0)+AA315*MAX(_xlfn.XLOOKUP(Z315,'02效果表'!D:D,'02效果表'!E:E),0)+AC315*MAX(_xlfn.XLOOKUP(AB315,'02效果表'!D:D,'02效果表'!E:E),0)+AE315*MAX(_xlfn.XLOOKUP(AD315,'02效果表'!D:D,'02效果表'!E:E),0)),1)</f>
        <v>0</v>
      </c>
      <c r="H315" s="6"/>
      <c r="I315" s="6"/>
      <c r="J315" s="6"/>
      <c r="K315" s="6"/>
      <c r="L315" s="6"/>
      <c r="M315" s="6"/>
      <c r="N315" s="6"/>
      <c r="O315" s="6"/>
      <c r="P315" s="6"/>
      <c r="Q315" s="6"/>
      <c r="R315" s="6"/>
      <c r="S315" s="6"/>
      <c r="T315" s="6"/>
      <c r="U315" s="6"/>
      <c r="V315" s="6"/>
      <c r="W315" s="6"/>
      <c r="X315" s="6"/>
      <c r="Y315" s="6"/>
      <c r="Z315" s="6"/>
      <c r="AA315" s="6"/>
      <c r="AB315" s="6"/>
      <c r="AC315" s="6"/>
      <c r="AD315" s="6"/>
      <c r="AE315" s="6"/>
    </row>
    <row r="316" spans="1:31" x14ac:dyDescent="0.35">
      <c r="A316" s="6">
        <v>316</v>
      </c>
      <c r="B316" s="6" t="s">
        <v>5</v>
      </c>
      <c r="C316" s="10" t="s">
        <v>2</v>
      </c>
      <c r="D316" s="9" t="s">
        <v>1515</v>
      </c>
      <c r="E316" s="7">
        <f t="shared" si="11"/>
        <v>0</v>
      </c>
      <c r="F316" s="7">
        <f>-1*ROUND(1/6*(I316*IF(_xlfn.XLOOKUP(H316,'02效果表'!D:D,'02效果表'!E:E)&lt;0, _xlfn.XLOOKUP(H316,'02效果表'!D:D,'02效果表'!E:E), 0) +
K316*IF(_xlfn.XLOOKUP(J316,'02效果表'!D:D,'02效果表'!E:E)&lt;0, _xlfn.XLOOKUP(J316,'02效果表'!D:D,'02效果表'!E:E), 0) +
M316*IF(_xlfn.XLOOKUP(L316,'02效果表'!D:D,'02效果表'!E:E)&lt;0, _xlfn.XLOOKUP(L316,'02效果表'!D:D,'02效果表'!E:E), 0) +
O316*IF(_xlfn.XLOOKUP(N316,'02效果表'!D:D,'02效果表'!E:E)&lt;0, _xlfn.XLOOKUP(N316,'02效果表'!D:D,'02效果表'!E:E), 0) +
Q316*IF(_xlfn.XLOOKUP(P316,'02效果表'!D:D,'02效果表'!E:E)&lt;0, _xlfn.XLOOKUP(P316,'02效果表'!D:D,'02效果表'!E:E), 0) +
S316*IF(_xlfn.XLOOKUP(R316,'02效果表'!D:D,'02效果表'!E:E)&lt;0, _xlfn.XLOOKUP(R316,'02效果表'!D:D,'02效果表'!E:E), 0) +
U316*IF(_xlfn.XLOOKUP(T316,'02效果表'!D:D,'02效果表'!E:E)&lt;0, _xlfn.XLOOKUP(T316,'02效果表'!D:D,'02效果表'!E:E), 0) +
W316*IF(_xlfn.XLOOKUP(V316,'02效果表'!D:D,'02效果表'!E:E)&lt;0, _xlfn.XLOOKUP(V316,'02效果表'!D:D,'02效果表'!E:E), 0) +
Y316*IF(_xlfn.XLOOKUP(X316,'02效果表'!D:D,'02效果表'!E:E)&lt;0, _xlfn.XLOOKUP(X316,'02效果表'!D:D,'02效果表'!E:E), 0) +
AA316*IF(_xlfn.XLOOKUP(Z316,'02效果表'!D:D,'02效果表'!E:E)&lt;0, _xlfn.XLOOKUP(Z316,'02效果表'!D:D,'02效果表'!E:E), 0) +
AC316*IF(_xlfn.XLOOKUP(AB316,'02效果表'!D:D,'02效果表'!E:E)&lt;0, _xlfn.XLOOKUP(AB316,'02效果表'!D:D,'02效果表'!E:E), 0) +
AE316*IF(_xlfn.XLOOKUP(AD316,'02效果表'!D:D,'02效果表'!E:E)&lt;0, _xlfn.XLOOKUP(AD316,'02效果表'!D:D,'02效果表'!E:E), 0)), 1)</f>
        <v>0</v>
      </c>
      <c r="G316" s="7">
        <f>ROUND(1/6*(I316*MAX(_xlfn.XLOOKUP(H316,'02效果表'!D:D,'02效果表'!E:E),0)+K316*MAX(_xlfn.XLOOKUP(J316,'02效果表'!D:D,'02效果表'!E:E),0)+M316*MAX(_xlfn.XLOOKUP(L316,'02效果表'!D:D,'02效果表'!E:E),0)+O316*MAX(_xlfn.XLOOKUP(N316,'02效果表'!D:D,'02效果表'!E:E),0)+Q316*MAX(_xlfn.XLOOKUP(P316,'02效果表'!D:D,'02效果表'!E:E),0)+S316*MAX(_xlfn.XLOOKUP(R316,'02效果表'!D:D,'02效果表'!E:E),0)+U316*MAX(_xlfn.XLOOKUP(T316,'02效果表'!D:D,'02效果表'!E:E),0)+W316*MAX(_xlfn.XLOOKUP(V316,'02效果表'!D:D,'02效果表'!E:E),0)+Y316*MAX(_xlfn.XLOOKUP(X316,'02效果表'!D:D,'02效果表'!E:E),0)+AA316*MAX(_xlfn.XLOOKUP(Z316,'02效果表'!D:D,'02效果表'!E:E),0)+AC316*MAX(_xlfn.XLOOKUP(AB316,'02效果表'!D:D,'02效果表'!E:E),0)+AE316*MAX(_xlfn.XLOOKUP(AD316,'02效果表'!D:D,'02效果表'!E:E),0)),1)</f>
        <v>0</v>
      </c>
      <c r="H316" s="6"/>
      <c r="I316" s="6"/>
      <c r="J316" s="6"/>
      <c r="K316" s="6"/>
      <c r="L316" s="6"/>
      <c r="M316" s="6"/>
      <c r="N316" s="6"/>
      <c r="O316" s="6"/>
      <c r="P316" s="6"/>
      <c r="Q316" s="6"/>
      <c r="R316" s="6"/>
      <c r="S316" s="6"/>
      <c r="T316" s="6"/>
      <c r="U316" s="6"/>
      <c r="V316" s="6"/>
      <c r="W316" s="6"/>
      <c r="X316" s="6"/>
      <c r="Y316" s="6"/>
      <c r="Z316" s="6"/>
      <c r="AA316" s="6"/>
      <c r="AB316" s="6"/>
      <c r="AC316" s="6"/>
      <c r="AD316" s="6"/>
      <c r="AE316" s="6"/>
    </row>
    <row r="317" spans="1:31" x14ac:dyDescent="0.35">
      <c r="A317" s="6">
        <v>317</v>
      </c>
      <c r="B317" s="6" t="s">
        <v>5</v>
      </c>
      <c r="C317" s="10" t="s">
        <v>2</v>
      </c>
      <c r="D317" s="9" t="s">
        <v>1516</v>
      </c>
      <c r="E317" s="7">
        <f t="shared" si="11"/>
        <v>0</v>
      </c>
      <c r="F317" s="7">
        <f>-1*ROUND(1/6*(I317*IF(_xlfn.XLOOKUP(H317,'02效果表'!D:D,'02效果表'!E:E)&lt;0, _xlfn.XLOOKUP(H317,'02效果表'!D:D,'02效果表'!E:E), 0) +
K317*IF(_xlfn.XLOOKUP(J317,'02效果表'!D:D,'02效果表'!E:E)&lt;0, _xlfn.XLOOKUP(J317,'02效果表'!D:D,'02效果表'!E:E), 0) +
M317*IF(_xlfn.XLOOKUP(L317,'02效果表'!D:D,'02效果表'!E:E)&lt;0, _xlfn.XLOOKUP(L317,'02效果表'!D:D,'02效果表'!E:E), 0) +
O317*IF(_xlfn.XLOOKUP(N317,'02效果表'!D:D,'02效果表'!E:E)&lt;0, _xlfn.XLOOKUP(N317,'02效果表'!D:D,'02效果表'!E:E), 0) +
Q317*IF(_xlfn.XLOOKUP(P317,'02效果表'!D:D,'02效果表'!E:E)&lt;0, _xlfn.XLOOKUP(P317,'02效果表'!D:D,'02效果表'!E:E), 0) +
S317*IF(_xlfn.XLOOKUP(R317,'02效果表'!D:D,'02效果表'!E:E)&lt;0, _xlfn.XLOOKUP(R317,'02效果表'!D:D,'02效果表'!E:E), 0) +
U317*IF(_xlfn.XLOOKUP(T317,'02效果表'!D:D,'02效果表'!E:E)&lt;0, _xlfn.XLOOKUP(T317,'02效果表'!D:D,'02效果表'!E:E), 0) +
W317*IF(_xlfn.XLOOKUP(V317,'02效果表'!D:D,'02效果表'!E:E)&lt;0, _xlfn.XLOOKUP(V317,'02效果表'!D:D,'02效果表'!E:E), 0) +
Y317*IF(_xlfn.XLOOKUP(X317,'02效果表'!D:D,'02效果表'!E:E)&lt;0, _xlfn.XLOOKUP(X317,'02效果表'!D:D,'02效果表'!E:E), 0) +
AA317*IF(_xlfn.XLOOKUP(Z317,'02效果表'!D:D,'02效果表'!E:E)&lt;0, _xlfn.XLOOKUP(Z317,'02效果表'!D:D,'02效果表'!E:E), 0) +
AC317*IF(_xlfn.XLOOKUP(AB317,'02效果表'!D:D,'02效果表'!E:E)&lt;0, _xlfn.XLOOKUP(AB317,'02效果表'!D:D,'02效果表'!E:E), 0) +
AE317*IF(_xlfn.XLOOKUP(AD317,'02效果表'!D:D,'02效果表'!E:E)&lt;0, _xlfn.XLOOKUP(AD317,'02效果表'!D:D,'02效果表'!E:E), 0)), 1)</f>
        <v>0</v>
      </c>
      <c r="G317" s="7">
        <f>ROUND(1/6*(I317*MAX(_xlfn.XLOOKUP(H317,'02效果表'!D:D,'02效果表'!E:E),0)+K317*MAX(_xlfn.XLOOKUP(J317,'02效果表'!D:D,'02效果表'!E:E),0)+M317*MAX(_xlfn.XLOOKUP(L317,'02效果表'!D:D,'02效果表'!E:E),0)+O317*MAX(_xlfn.XLOOKUP(N317,'02效果表'!D:D,'02效果表'!E:E),0)+Q317*MAX(_xlfn.XLOOKUP(P317,'02效果表'!D:D,'02效果表'!E:E),0)+S317*MAX(_xlfn.XLOOKUP(R317,'02效果表'!D:D,'02效果表'!E:E),0)+U317*MAX(_xlfn.XLOOKUP(T317,'02效果表'!D:D,'02效果表'!E:E),0)+W317*MAX(_xlfn.XLOOKUP(V317,'02效果表'!D:D,'02效果表'!E:E),0)+Y317*MAX(_xlfn.XLOOKUP(X317,'02效果表'!D:D,'02效果表'!E:E),0)+AA317*MAX(_xlfn.XLOOKUP(Z317,'02效果表'!D:D,'02效果表'!E:E),0)+AC317*MAX(_xlfn.XLOOKUP(AB317,'02效果表'!D:D,'02效果表'!E:E),0)+AE317*MAX(_xlfn.XLOOKUP(AD317,'02效果表'!D:D,'02效果表'!E:E),0)),1)</f>
        <v>0</v>
      </c>
      <c r="H317" s="6"/>
      <c r="I317" s="6"/>
      <c r="J317" s="6"/>
      <c r="K317" s="6"/>
      <c r="L317" s="6"/>
      <c r="M317" s="6"/>
      <c r="N317" s="6"/>
      <c r="O317" s="6"/>
      <c r="P317" s="6"/>
      <c r="Q317" s="6"/>
      <c r="R317" s="6"/>
      <c r="S317" s="6"/>
      <c r="T317" s="6"/>
      <c r="U317" s="6"/>
      <c r="V317" s="6"/>
      <c r="W317" s="6"/>
      <c r="X317" s="6"/>
      <c r="Y317" s="6"/>
      <c r="Z317" s="6"/>
      <c r="AA317" s="6"/>
      <c r="AB317" s="6"/>
      <c r="AC317" s="6"/>
      <c r="AD317" s="6"/>
      <c r="AE317" s="6"/>
    </row>
    <row r="318" spans="1:31" x14ac:dyDescent="0.35">
      <c r="A318" s="6">
        <v>318</v>
      </c>
      <c r="B318" s="6" t="s">
        <v>5</v>
      </c>
      <c r="C318" s="10" t="s">
        <v>2</v>
      </c>
      <c r="D318" s="9" t="s">
        <v>1517</v>
      </c>
      <c r="E318" s="7">
        <f t="shared" si="11"/>
        <v>0</v>
      </c>
      <c r="F318" s="7">
        <f>-1*ROUND(1/6*(I318*IF(_xlfn.XLOOKUP(H318,'02效果表'!D:D,'02效果表'!E:E)&lt;0, _xlfn.XLOOKUP(H318,'02效果表'!D:D,'02效果表'!E:E), 0) +
K318*IF(_xlfn.XLOOKUP(J318,'02效果表'!D:D,'02效果表'!E:E)&lt;0, _xlfn.XLOOKUP(J318,'02效果表'!D:D,'02效果表'!E:E), 0) +
M318*IF(_xlfn.XLOOKUP(L318,'02效果表'!D:D,'02效果表'!E:E)&lt;0, _xlfn.XLOOKUP(L318,'02效果表'!D:D,'02效果表'!E:E), 0) +
O318*IF(_xlfn.XLOOKUP(N318,'02效果表'!D:D,'02效果表'!E:E)&lt;0, _xlfn.XLOOKUP(N318,'02效果表'!D:D,'02效果表'!E:E), 0) +
Q318*IF(_xlfn.XLOOKUP(P318,'02效果表'!D:D,'02效果表'!E:E)&lt;0, _xlfn.XLOOKUP(P318,'02效果表'!D:D,'02效果表'!E:E), 0) +
S318*IF(_xlfn.XLOOKUP(R318,'02效果表'!D:D,'02效果表'!E:E)&lt;0, _xlfn.XLOOKUP(R318,'02效果表'!D:D,'02效果表'!E:E), 0) +
U318*IF(_xlfn.XLOOKUP(T318,'02效果表'!D:D,'02效果表'!E:E)&lt;0, _xlfn.XLOOKUP(T318,'02效果表'!D:D,'02效果表'!E:E), 0) +
W318*IF(_xlfn.XLOOKUP(V318,'02效果表'!D:D,'02效果表'!E:E)&lt;0, _xlfn.XLOOKUP(V318,'02效果表'!D:D,'02效果表'!E:E), 0) +
Y318*IF(_xlfn.XLOOKUP(X318,'02效果表'!D:D,'02效果表'!E:E)&lt;0, _xlfn.XLOOKUP(X318,'02效果表'!D:D,'02效果表'!E:E), 0) +
AA318*IF(_xlfn.XLOOKUP(Z318,'02效果表'!D:D,'02效果表'!E:E)&lt;0, _xlfn.XLOOKUP(Z318,'02效果表'!D:D,'02效果表'!E:E), 0) +
AC318*IF(_xlfn.XLOOKUP(AB318,'02效果表'!D:D,'02效果表'!E:E)&lt;0, _xlfn.XLOOKUP(AB318,'02效果表'!D:D,'02效果表'!E:E), 0) +
AE318*IF(_xlfn.XLOOKUP(AD318,'02效果表'!D:D,'02效果表'!E:E)&lt;0, _xlfn.XLOOKUP(AD318,'02效果表'!D:D,'02效果表'!E:E), 0)), 1)</f>
        <v>0</v>
      </c>
      <c r="G318" s="7">
        <f>ROUND(1/6*(I318*MAX(_xlfn.XLOOKUP(H318,'02效果表'!D:D,'02效果表'!E:E),0)+K318*MAX(_xlfn.XLOOKUP(J318,'02效果表'!D:D,'02效果表'!E:E),0)+M318*MAX(_xlfn.XLOOKUP(L318,'02效果表'!D:D,'02效果表'!E:E),0)+O318*MAX(_xlfn.XLOOKUP(N318,'02效果表'!D:D,'02效果表'!E:E),0)+Q318*MAX(_xlfn.XLOOKUP(P318,'02效果表'!D:D,'02效果表'!E:E),0)+S318*MAX(_xlfn.XLOOKUP(R318,'02效果表'!D:D,'02效果表'!E:E),0)+U318*MAX(_xlfn.XLOOKUP(T318,'02效果表'!D:D,'02效果表'!E:E),0)+W318*MAX(_xlfn.XLOOKUP(V318,'02效果表'!D:D,'02效果表'!E:E),0)+Y318*MAX(_xlfn.XLOOKUP(X318,'02效果表'!D:D,'02效果表'!E:E),0)+AA318*MAX(_xlfn.XLOOKUP(Z318,'02效果表'!D:D,'02效果表'!E:E),0)+AC318*MAX(_xlfn.XLOOKUP(AB318,'02效果表'!D:D,'02效果表'!E:E),0)+AE318*MAX(_xlfn.XLOOKUP(AD318,'02效果表'!D:D,'02效果表'!E:E),0)),1)</f>
        <v>0</v>
      </c>
      <c r="H318" s="6"/>
      <c r="I318" s="6"/>
      <c r="J318" s="6"/>
      <c r="K318" s="6"/>
      <c r="L318" s="6"/>
      <c r="M318" s="6"/>
      <c r="N318" s="6"/>
      <c r="O318" s="6"/>
      <c r="P318" s="6"/>
      <c r="Q318" s="6"/>
      <c r="R318" s="6"/>
      <c r="S318" s="6"/>
      <c r="T318" s="6"/>
      <c r="U318" s="6"/>
      <c r="V318" s="6"/>
      <c r="W318" s="6"/>
      <c r="X318" s="6"/>
      <c r="Y318" s="6"/>
      <c r="Z318" s="6"/>
      <c r="AA318" s="6"/>
      <c r="AB318" s="6"/>
      <c r="AC318" s="6"/>
      <c r="AD318" s="6"/>
      <c r="AE318" s="6"/>
    </row>
    <row r="319" spans="1:31" x14ac:dyDescent="0.35">
      <c r="A319" s="6">
        <v>319</v>
      </c>
      <c r="B319" s="6" t="s">
        <v>5</v>
      </c>
      <c r="C319" s="10" t="s">
        <v>2</v>
      </c>
      <c r="D319" s="9" t="s">
        <v>1518</v>
      </c>
      <c r="E319" s="7">
        <f t="shared" si="11"/>
        <v>0</v>
      </c>
      <c r="F319" s="7">
        <f>-1*ROUND(1/6*(I319*IF(_xlfn.XLOOKUP(H319,'02效果表'!D:D,'02效果表'!E:E)&lt;0, _xlfn.XLOOKUP(H319,'02效果表'!D:D,'02效果表'!E:E), 0) +
K319*IF(_xlfn.XLOOKUP(J319,'02效果表'!D:D,'02效果表'!E:E)&lt;0, _xlfn.XLOOKUP(J319,'02效果表'!D:D,'02效果表'!E:E), 0) +
M319*IF(_xlfn.XLOOKUP(L319,'02效果表'!D:D,'02效果表'!E:E)&lt;0, _xlfn.XLOOKUP(L319,'02效果表'!D:D,'02效果表'!E:E), 0) +
O319*IF(_xlfn.XLOOKUP(N319,'02效果表'!D:D,'02效果表'!E:E)&lt;0, _xlfn.XLOOKUP(N319,'02效果表'!D:D,'02效果表'!E:E), 0) +
Q319*IF(_xlfn.XLOOKUP(P319,'02效果表'!D:D,'02效果表'!E:E)&lt;0, _xlfn.XLOOKUP(P319,'02效果表'!D:D,'02效果表'!E:E), 0) +
S319*IF(_xlfn.XLOOKUP(R319,'02效果表'!D:D,'02效果表'!E:E)&lt;0, _xlfn.XLOOKUP(R319,'02效果表'!D:D,'02效果表'!E:E), 0) +
U319*IF(_xlfn.XLOOKUP(T319,'02效果表'!D:D,'02效果表'!E:E)&lt;0, _xlfn.XLOOKUP(T319,'02效果表'!D:D,'02效果表'!E:E), 0) +
W319*IF(_xlfn.XLOOKUP(V319,'02效果表'!D:D,'02效果表'!E:E)&lt;0, _xlfn.XLOOKUP(V319,'02效果表'!D:D,'02效果表'!E:E), 0) +
Y319*IF(_xlfn.XLOOKUP(X319,'02效果表'!D:D,'02效果表'!E:E)&lt;0, _xlfn.XLOOKUP(X319,'02效果表'!D:D,'02效果表'!E:E), 0) +
AA319*IF(_xlfn.XLOOKUP(Z319,'02效果表'!D:D,'02效果表'!E:E)&lt;0, _xlfn.XLOOKUP(Z319,'02效果表'!D:D,'02效果表'!E:E), 0) +
AC319*IF(_xlfn.XLOOKUP(AB319,'02效果表'!D:D,'02效果表'!E:E)&lt;0, _xlfn.XLOOKUP(AB319,'02效果表'!D:D,'02效果表'!E:E), 0) +
AE319*IF(_xlfn.XLOOKUP(AD319,'02效果表'!D:D,'02效果表'!E:E)&lt;0, _xlfn.XLOOKUP(AD319,'02效果表'!D:D,'02效果表'!E:E), 0)), 1)</f>
        <v>0</v>
      </c>
      <c r="G319" s="7">
        <f>ROUND(1/6*(I319*MAX(_xlfn.XLOOKUP(H319,'02效果表'!D:D,'02效果表'!E:E),0)+K319*MAX(_xlfn.XLOOKUP(J319,'02效果表'!D:D,'02效果表'!E:E),0)+M319*MAX(_xlfn.XLOOKUP(L319,'02效果表'!D:D,'02效果表'!E:E),0)+O319*MAX(_xlfn.XLOOKUP(N319,'02效果表'!D:D,'02效果表'!E:E),0)+Q319*MAX(_xlfn.XLOOKUP(P319,'02效果表'!D:D,'02效果表'!E:E),0)+S319*MAX(_xlfn.XLOOKUP(R319,'02效果表'!D:D,'02效果表'!E:E),0)+U319*MAX(_xlfn.XLOOKUP(T319,'02效果表'!D:D,'02效果表'!E:E),0)+W319*MAX(_xlfn.XLOOKUP(V319,'02效果表'!D:D,'02效果表'!E:E),0)+Y319*MAX(_xlfn.XLOOKUP(X319,'02效果表'!D:D,'02效果表'!E:E),0)+AA319*MAX(_xlfn.XLOOKUP(Z319,'02效果表'!D:D,'02效果表'!E:E),0)+AC319*MAX(_xlfn.XLOOKUP(AB319,'02效果表'!D:D,'02效果表'!E:E),0)+AE319*MAX(_xlfn.XLOOKUP(AD319,'02效果表'!D:D,'02效果表'!E:E),0)),1)</f>
        <v>0</v>
      </c>
      <c r="H319" s="6"/>
      <c r="I319" s="6"/>
      <c r="J319" s="6"/>
      <c r="K319" s="6"/>
      <c r="L319" s="6"/>
      <c r="M319" s="6"/>
      <c r="N319" s="6"/>
      <c r="O319" s="6"/>
      <c r="P319" s="6"/>
      <c r="Q319" s="6"/>
      <c r="R319" s="6"/>
      <c r="S319" s="6"/>
      <c r="T319" s="6"/>
      <c r="U319" s="6"/>
      <c r="V319" s="6"/>
      <c r="W319" s="6"/>
      <c r="X319" s="6"/>
      <c r="Y319" s="6"/>
      <c r="Z319" s="6"/>
      <c r="AA319" s="6"/>
      <c r="AB319" s="6"/>
      <c r="AC319" s="6"/>
      <c r="AD319" s="6"/>
      <c r="AE319" s="6"/>
    </row>
    <row r="320" spans="1:31" x14ac:dyDescent="0.35">
      <c r="A320" s="6">
        <v>320</v>
      </c>
      <c r="B320" s="6" t="s">
        <v>5</v>
      </c>
      <c r="C320" s="10" t="s">
        <v>2</v>
      </c>
      <c r="D320" s="9" t="s">
        <v>1519</v>
      </c>
      <c r="E320" s="7">
        <f t="shared" si="11"/>
        <v>0</v>
      </c>
      <c r="F320" s="7">
        <f>-1*ROUND(1/6*(I320*IF(_xlfn.XLOOKUP(H320,'02效果表'!D:D,'02效果表'!E:E)&lt;0, _xlfn.XLOOKUP(H320,'02效果表'!D:D,'02效果表'!E:E), 0) +
K320*IF(_xlfn.XLOOKUP(J320,'02效果表'!D:D,'02效果表'!E:E)&lt;0, _xlfn.XLOOKUP(J320,'02效果表'!D:D,'02效果表'!E:E), 0) +
M320*IF(_xlfn.XLOOKUP(L320,'02效果表'!D:D,'02效果表'!E:E)&lt;0, _xlfn.XLOOKUP(L320,'02效果表'!D:D,'02效果表'!E:E), 0) +
O320*IF(_xlfn.XLOOKUP(N320,'02效果表'!D:D,'02效果表'!E:E)&lt;0, _xlfn.XLOOKUP(N320,'02效果表'!D:D,'02效果表'!E:E), 0) +
Q320*IF(_xlfn.XLOOKUP(P320,'02效果表'!D:D,'02效果表'!E:E)&lt;0, _xlfn.XLOOKUP(P320,'02效果表'!D:D,'02效果表'!E:E), 0) +
S320*IF(_xlfn.XLOOKUP(R320,'02效果表'!D:D,'02效果表'!E:E)&lt;0, _xlfn.XLOOKUP(R320,'02效果表'!D:D,'02效果表'!E:E), 0) +
U320*IF(_xlfn.XLOOKUP(T320,'02效果表'!D:D,'02效果表'!E:E)&lt;0, _xlfn.XLOOKUP(T320,'02效果表'!D:D,'02效果表'!E:E), 0) +
W320*IF(_xlfn.XLOOKUP(V320,'02效果表'!D:D,'02效果表'!E:E)&lt;0, _xlfn.XLOOKUP(V320,'02效果表'!D:D,'02效果表'!E:E), 0) +
Y320*IF(_xlfn.XLOOKUP(X320,'02效果表'!D:D,'02效果表'!E:E)&lt;0, _xlfn.XLOOKUP(X320,'02效果表'!D:D,'02效果表'!E:E), 0) +
AA320*IF(_xlfn.XLOOKUP(Z320,'02效果表'!D:D,'02效果表'!E:E)&lt;0, _xlfn.XLOOKUP(Z320,'02效果表'!D:D,'02效果表'!E:E), 0) +
AC320*IF(_xlfn.XLOOKUP(AB320,'02效果表'!D:D,'02效果表'!E:E)&lt;0, _xlfn.XLOOKUP(AB320,'02效果表'!D:D,'02效果表'!E:E), 0) +
AE320*IF(_xlfn.XLOOKUP(AD320,'02效果表'!D:D,'02效果表'!E:E)&lt;0, _xlfn.XLOOKUP(AD320,'02效果表'!D:D,'02效果表'!E:E), 0)), 1)</f>
        <v>0</v>
      </c>
      <c r="G320" s="7">
        <f>ROUND(1/6*(I320*MAX(_xlfn.XLOOKUP(H320,'02效果表'!D:D,'02效果表'!E:E),0)+K320*MAX(_xlfn.XLOOKUP(J320,'02效果表'!D:D,'02效果表'!E:E),0)+M320*MAX(_xlfn.XLOOKUP(L320,'02效果表'!D:D,'02效果表'!E:E),0)+O320*MAX(_xlfn.XLOOKUP(N320,'02效果表'!D:D,'02效果表'!E:E),0)+Q320*MAX(_xlfn.XLOOKUP(P320,'02效果表'!D:D,'02效果表'!E:E),0)+S320*MAX(_xlfn.XLOOKUP(R320,'02效果表'!D:D,'02效果表'!E:E),0)+U320*MAX(_xlfn.XLOOKUP(T320,'02效果表'!D:D,'02效果表'!E:E),0)+W320*MAX(_xlfn.XLOOKUP(V320,'02效果表'!D:D,'02效果表'!E:E),0)+Y320*MAX(_xlfn.XLOOKUP(X320,'02效果表'!D:D,'02效果表'!E:E),0)+AA320*MAX(_xlfn.XLOOKUP(Z320,'02效果表'!D:D,'02效果表'!E:E),0)+AC320*MAX(_xlfn.XLOOKUP(AB320,'02效果表'!D:D,'02效果表'!E:E),0)+AE320*MAX(_xlfn.XLOOKUP(AD320,'02效果表'!D:D,'02效果表'!E:E),0)),1)</f>
        <v>0</v>
      </c>
      <c r="H320" s="6"/>
      <c r="I320" s="6"/>
      <c r="J320" s="6"/>
      <c r="K320" s="6"/>
      <c r="L320" s="6"/>
      <c r="M320" s="6"/>
      <c r="N320" s="6"/>
      <c r="O320" s="6"/>
      <c r="P320" s="6"/>
      <c r="Q320" s="6"/>
      <c r="R320" s="6"/>
      <c r="S320" s="6"/>
      <c r="T320" s="6"/>
      <c r="U320" s="6"/>
      <c r="V320" s="6"/>
      <c r="W320" s="6"/>
      <c r="X320" s="6"/>
      <c r="Y320" s="6"/>
      <c r="Z320" s="6"/>
      <c r="AA320" s="6"/>
      <c r="AB320" s="6"/>
      <c r="AC320" s="6"/>
      <c r="AD320" s="6"/>
      <c r="AE320" s="6"/>
    </row>
    <row r="321" spans="1:31" x14ac:dyDescent="0.35">
      <c r="A321" s="6">
        <v>321</v>
      </c>
      <c r="B321" s="6" t="s">
        <v>5</v>
      </c>
      <c r="C321" s="10" t="s">
        <v>2</v>
      </c>
      <c r="D321" s="9" t="s">
        <v>1521</v>
      </c>
      <c r="E321" s="7">
        <f t="shared" si="11"/>
        <v>0</v>
      </c>
      <c r="F321" s="7">
        <f>-1*ROUND(1/6*(I321*IF(_xlfn.XLOOKUP(H321,'02效果表'!D:D,'02效果表'!E:E)&lt;0, _xlfn.XLOOKUP(H321,'02效果表'!D:D,'02效果表'!E:E), 0) +
K321*IF(_xlfn.XLOOKUP(J321,'02效果表'!D:D,'02效果表'!E:E)&lt;0, _xlfn.XLOOKUP(J321,'02效果表'!D:D,'02效果表'!E:E), 0) +
M321*IF(_xlfn.XLOOKUP(L321,'02效果表'!D:D,'02效果表'!E:E)&lt;0, _xlfn.XLOOKUP(L321,'02效果表'!D:D,'02效果表'!E:E), 0) +
O321*IF(_xlfn.XLOOKUP(N321,'02效果表'!D:D,'02效果表'!E:E)&lt;0, _xlfn.XLOOKUP(N321,'02效果表'!D:D,'02效果表'!E:E), 0) +
Q321*IF(_xlfn.XLOOKUP(P321,'02效果表'!D:D,'02效果表'!E:E)&lt;0, _xlfn.XLOOKUP(P321,'02效果表'!D:D,'02效果表'!E:E), 0) +
S321*IF(_xlfn.XLOOKUP(R321,'02效果表'!D:D,'02效果表'!E:E)&lt;0, _xlfn.XLOOKUP(R321,'02效果表'!D:D,'02效果表'!E:E), 0) +
U321*IF(_xlfn.XLOOKUP(T321,'02效果表'!D:D,'02效果表'!E:E)&lt;0, _xlfn.XLOOKUP(T321,'02效果表'!D:D,'02效果表'!E:E), 0) +
W321*IF(_xlfn.XLOOKUP(V321,'02效果表'!D:D,'02效果表'!E:E)&lt;0, _xlfn.XLOOKUP(V321,'02效果表'!D:D,'02效果表'!E:E), 0) +
Y321*IF(_xlfn.XLOOKUP(X321,'02效果表'!D:D,'02效果表'!E:E)&lt;0, _xlfn.XLOOKUP(X321,'02效果表'!D:D,'02效果表'!E:E), 0) +
AA321*IF(_xlfn.XLOOKUP(Z321,'02效果表'!D:D,'02效果表'!E:E)&lt;0, _xlfn.XLOOKUP(Z321,'02效果表'!D:D,'02效果表'!E:E), 0) +
AC321*IF(_xlfn.XLOOKUP(AB321,'02效果表'!D:D,'02效果表'!E:E)&lt;0, _xlfn.XLOOKUP(AB321,'02效果表'!D:D,'02效果表'!E:E), 0) +
AE321*IF(_xlfn.XLOOKUP(AD321,'02效果表'!D:D,'02效果表'!E:E)&lt;0, _xlfn.XLOOKUP(AD321,'02效果表'!D:D,'02效果表'!E:E), 0)), 1)</f>
        <v>0</v>
      </c>
      <c r="G321" s="7">
        <f>ROUND(1/6*(I321*MAX(_xlfn.XLOOKUP(H321,'02效果表'!D:D,'02效果表'!E:E),0)+K321*MAX(_xlfn.XLOOKUP(J321,'02效果表'!D:D,'02效果表'!E:E),0)+M321*MAX(_xlfn.XLOOKUP(L321,'02效果表'!D:D,'02效果表'!E:E),0)+O321*MAX(_xlfn.XLOOKUP(N321,'02效果表'!D:D,'02效果表'!E:E),0)+Q321*MAX(_xlfn.XLOOKUP(P321,'02效果表'!D:D,'02效果表'!E:E),0)+S321*MAX(_xlfn.XLOOKUP(R321,'02效果表'!D:D,'02效果表'!E:E),0)+U321*MAX(_xlfn.XLOOKUP(T321,'02效果表'!D:D,'02效果表'!E:E),0)+W321*MAX(_xlfn.XLOOKUP(V321,'02效果表'!D:D,'02效果表'!E:E),0)+Y321*MAX(_xlfn.XLOOKUP(X321,'02效果表'!D:D,'02效果表'!E:E),0)+AA321*MAX(_xlfn.XLOOKUP(Z321,'02效果表'!D:D,'02效果表'!E:E),0)+AC321*MAX(_xlfn.XLOOKUP(AB321,'02效果表'!D:D,'02效果表'!E:E),0)+AE321*MAX(_xlfn.XLOOKUP(AD321,'02效果表'!D:D,'02效果表'!E:E),0)),1)</f>
        <v>0</v>
      </c>
      <c r="H321" s="6"/>
      <c r="I321" s="6"/>
      <c r="J321" s="6"/>
      <c r="K321" s="6"/>
      <c r="L321" s="6"/>
      <c r="M321" s="6"/>
      <c r="N321" s="6"/>
      <c r="O321" s="6"/>
      <c r="P321" s="6"/>
      <c r="Q321" s="6"/>
      <c r="R321" s="6"/>
      <c r="S321" s="6"/>
      <c r="T321" s="6"/>
      <c r="U321" s="6"/>
      <c r="V321" s="6"/>
      <c r="W321" s="6"/>
      <c r="X321" s="6"/>
      <c r="Y321" s="6"/>
      <c r="Z321" s="6"/>
      <c r="AA321" s="6"/>
      <c r="AB321" s="6"/>
      <c r="AC321" s="6"/>
      <c r="AD321" s="6"/>
      <c r="AE321" s="6"/>
    </row>
    <row r="322" spans="1:31" x14ac:dyDescent="0.35">
      <c r="A322" s="6">
        <v>322</v>
      </c>
      <c r="B322" s="6" t="s">
        <v>5</v>
      </c>
      <c r="C322" s="10" t="s">
        <v>2</v>
      </c>
      <c r="D322" s="9" t="s">
        <v>1520</v>
      </c>
      <c r="E322" s="7">
        <f t="shared" ref="E322:E385" si="12">ROUND(G322-F322,0)</f>
        <v>0</v>
      </c>
      <c r="F322" s="7">
        <f>-1*ROUND(1/6*(I322*IF(_xlfn.XLOOKUP(H322,'02效果表'!D:D,'02效果表'!E:E)&lt;0, _xlfn.XLOOKUP(H322,'02效果表'!D:D,'02效果表'!E:E), 0) +
K322*IF(_xlfn.XLOOKUP(J322,'02效果表'!D:D,'02效果表'!E:E)&lt;0, _xlfn.XLOOKUP(J322,'02效果表'!D:D,'02效果表'!E:E), 0) +
M322*IF(_xlfn.XLOOKUP(L322,'02效果表'!D:D,'02效果表'!E:E)&lt;0, _xlfn.XLOOKUP(L322,'02效果表'!D:D,'02效果表'!E:E), 0) +
O322*IF(_xlfn.XLOOKUP(N322,'02效果表'!D:D,'02效果表'!E:E)&lt;0, _xlfn.XLOOKUP(N322,'02效果表'!D:D,'02效果表'!E:E), 0) +
Q322*IF(_xlfn.XLOOKUP(P322,'02效果表'!D:D,'02效果表'!E:E)&lt;0, _xlfn.XLOOKUP(P322,'02效果表'!D:D,'02效果表'!E:E), 0) +
S322*IF(_xlfn.XLOOKUP(R322,'02效果表'!D:D,'02效果表'!E:E)&lt;0, _xlfn.XLOOKUP(R322,'02效果表'!D:D,'02效果表'!E:E), 0) +
U322*IF(_xlfn.XLOOKUP(T322,'02效果表'!D:D,'02效果表'!E:E)&lt;0, _xlfn.XLOOKUP(T322,'02效果表'!D:D,'02效果表'!E:E), 0) +
W322*IF(_xlfn.XLOOKUP(V322,'02效果表'!D:D,'02效果表'!E:E)&lt;0, _xlfn.XLOOKUP(V322,'02效果表'!D:D,'02效果表'!E:E), 0) +
Y322*IF(_xlfn.XLOOKUP(X322,'02效果表'!D:D,'02效果表'!E:E)&lt;0, _xlfn.XLOOKUP(X322,'02效果表'!D:D,'02效果表'!E:E), 0) +
AA322*IF(_xlfn.XLOOKUP(Z322,'02效果表'!D:D,'02效果表'!E:E)&lt;0, _xlfn.XLOOKUP(Z322,'02效果表'!D:D,'02效果表'!E:E), 0) +
AC322*IF(_xlfn.XLOOKUP(AB322,'02效果表'!D:D,'02效果表'!E:E)&lt;0, _xlfn.XLOOKUP(AB322,'02效果表'!D:D,'02效果表'!E:E), 0) +
AE322*IF(_xlfn.XLOOKUP(AD322,'02效果表'!D:D,'02效果表'!E:E)&lt;0, _xlfn.XLOOKUP(AD322,'02效果表'!D:D,'02效果表'!E:E), 0)), 1)</f>
        <v>0</v>
      </c>
      <c r="G322" s="7">
        <f>ROUND(1/6*(I322*MAX(_xlfn.XLOOKUP(H322,'02效果表'!D:D,'02效果表'!E:E),0)+K322*MAX(_xlfn.XLOOKUP(J322,'02效果表'!D:D,'02效果表'!E:E),0)+M322*MAX(_xlfn.XLOOKUP(L322,'02效果表'!D:D,'02效果表'!E:E),0)+O322*MAX(_xlfn.XLOOKUP(N322,'02效果表'!D:D,'02效果表'!E:E),0)+Q322*MAX(_xlfn.XLOOKUP(P322,'02效果表'!D:D,'02效果表'!E:E),0)+S322*MAX(_xlfn.XLOOKUP(R322,'02效果表'!D:D,'02效果表'!E:E),0)+U322*MAX(_xlfn.XLOOKUP(T322,'02效果表'!D:D,'02效果表'!E:E),0)+W322*MAX(_xlfn.XLOOKUP(V322,'02效果表'!D:D,'02效果表'!E:E),0)+Y322*MAX(_xlfn.XLOOKUP(X322,'02效果表'!D:D,'02效果表'!E:E),0)+AA322*MAX(_xlfn.XLOOKUP(Z322,'02效果表'!D:D,'02效果表'!E:E),0)+AC322*MAX(_xlfn.XLOOKUP(AB322,'02效果表'!D:D,'02效果表'!E:E),0)+AE322*MAX(_xlfn.XLOOKUP(AD322,'02效果表'!D:D,'02效果表'!E:E),0)),1)</f>
        <v>0</v>
      </c>
      <c r="H322" s="6"/>
      <c r="I322" s="6"/>
      <c r="J322" s="6"/>
      <c r="K322" s="6"/>
      <c r="L322" s="6"/>
      <c r="M322" s="6"/>
      <c r="N322" s="6"/>
      <c r="O322" s="6"/>
      <c r="P322" s="6"/>
      <c r="Q322" s="6"/>
      <c r="R322" s="6"/>
      <c r="S322" s="6"/>
      <c r="T322" s="6"/>
      <c r="U322" s="6"/>
      <c r="V322" s="6"/>
      <c r="W322" s="6"/>
      <c r="X322" s="6"/>
      <c r="Y322" s="6"/>
      <c r="Z322" s="6"/>
      <c r="AA322" s="6"/>
      <c r="AB322" s="6"/>
      <c r="AC322" s="6"/>
      <c r="AD322" s="6"/>
      <c r="AE322" s="6"/>
    </row>
    <row r="323" spans="1:31" x14ac:dyDescent="0.35">
      <c r="A323" s="6">
        <v>323</v>
      </c>
      <c r="B323" s="6" t="s">
        <v>5</v>
      </c>
      <c r="C323" s="10" t="s">
        <v>2</v>
      </c>
      <c r="D323" s="9" t="s">
        <v>1522</v>
      </c>
      <c r="E323" s="7">
        <f t="shared" si="12"/>
        <v>0</v>
      </c>
      <c r="F323" s="7">
        <f>-1*ROUND(1/6*(I323*IF(_xlfn.XLOOKUP(H323,'02效果表'!D:D,'02效果表'!E:E)&lt;0, _xlfn.XLOOKUP(H323,'02效果表'!D:D,'02效果表'!E:E), 0) +
K323*IF(_xlfn.XLOOKUP(J323,'02效果表'!D:D,'02效果表'!E:E)&lt;0, _xlfn.XLOOKUP(J323,'02效果表'!D:D,'02效果表'!E:E), 0) +
M323*IF(_xlfn.XLOOKUP(L323,'02效果表'!D:D,'02效果表'!E:E)&lt;0, _xlfn.XLOOKUP(L323,'02效果表'!D:D,'02效果表'!E:E), 0) +
O323*IF(_xlfn.XLOOKUP(N323,'02效果表'!D:D,'02效果表'!E:E)&lt;0, _xlfn.XLOOKUP(N323,'02效果表'!D:D,'02效果表'!E:E), 0) +
Q323*IF(_xlfn.XLOOKUP(P323,'02效果表'!D:D,'02效果表'!E:E)&lt;0, _xlfn.XLOOKUP(P323,'02效果表'!D:D,'02效果表'!E:E), 0) +
S323*IF(_xlfn.XLOOKUP(R323,'02效果表'!D:D,'02效果表'!E:E)&lt;0, _xlfn.XLOOKUP(R323,'02效果表'!D:D,'02效果表'!E:E), 0) +
U323*IF(_xlfn.XLOOKUP(T323,'02效果表'!D:D,'02效果表'!E:E)&lt;0, _xlfn.XLOOKUP(T323,'02效果表'!D:D,'02效果表'!E:E), 0) +
W323*IF(_xlfn.XLOOKUP(V323,'02效果表'!D:D,'02效果表'!E:E)&lt;0, _xlfn.XLOOKUP(V323,'02效果表'!D:D,'02效果表'!E:E), 0) +
Y323*IF(_xlfn.XLOOKUP(X323,'02效果表'!D:D,'02效果表'!E:E)&lt;0, _xlfn.XLOOKUP(X323,'02效果表'!D:D,'02效果表'!E:E), 0) +
AA323*IF(_xlfn.XLOOKUP(Z323,'02效果表'!D:D,'02效果表'!E:E)&lt;0, _xlfn.XLOOKUP(Z323,'02效果表'!D:D,'02效果表'!E:E), 0) +
AC323*IF(_xlfn.XLOOKUP(AB323,'02效果表'!D:D,'02效果表'!E:E)&lt;0, _xlfn.XLOOKUP(AB323,'02效果表'!D:D,'02效果表'!E:E), 0) +
AE323*IF(_xlfn.XLOOKUP(AD323,'02效果表'!D:D,'02效果表'!E:E)&lt;0, _xlfn.XLOOKUP(AD323,'02效果表'!D:D,'02效果表'!E:E), 0)), 1)</f>
        <v>0</v>
      </c>
      <c r="G323" s="7">
        <f>ROUND(1/6*(I323*MAX(_xlfn.XLOOKUP(H323,'02效果表'!D:D,'02效果表'!E:E),0)+K323*MAX(_xlfn.XLOOKUP(J323,'02效果表'!D:D,'02效果表'!E:E),0)+M323*MAX(_xlfn.XLOOKUP(L323,'02效果表'!D:D,'02效果表'!E:E),0)+O323*MAX(_xlfn.XLOOKUP(N323,'02效果表'!D:D,'02效果表'!E:E),0)+Q323*MAX(_xlfn.XLOOKUP(P323,'02效果表'!D:D,'02效果表'!E:E),0)+S323*MAX(_xlfn.XLOOKUP(R323,'02效果表'!D:D,'02效果表'!E:E),0)+U323*MAX(_xlfn.XLOOKUP(T323,'02效果表'!D:D,'02效果表'!E:E),0)+W323*MAX(_xlfn.XLOOKUP(V323,'02效果表'!D:D,'02效果表'!E:E),0)+Y323*MAX(_xlfn.XLOOKUP(X323,'02效果表'!D:D,'02效果表'!E:E),0)+AA323*MAX(_xlfn.XLOOKUP(Z323,'02效果表'!D:D,'02效果表'!E:E),0)+AC323*MAX(_xlfn.XLOOKUP(AB323,'02效果表'!D:D,'02效果表'!E:E),0)+AE323*MAX(_xlfn.XLOOKUP(AD323,'02效果表'!D:D,'02效果表'!E:E),0)),1)</f>
        <v>0</v>
      </c>
      <c r="H323" s="6"/>
      <c r="I323" s="6"/>
      <c r="J323" s="6"/>
      <c r="K323" s="6"/>
      <c r="L323" s="6"/>
      <c r="M323" s="6"/>
      <c r="N323" s="6"/>
      <c r="O323" s="6"/>
      <c r="P323" s="6"/>
      <c r="Q323" s="6"/>
      <c r="R323" s="6"/>
      <c r="S323" s="6"/>
      <c r="T323" s="6"/>
      <c r="U323" s="6"/>
      <c r="V323" s="6"/>
      <c r="W323" s="6"/>
      <c r="X323" s="6"/>
      <c r="Y323" s="6"/>
      <c r="Z323" s="6"/>
      <c r="AA323" s="6"/>
      <c r="AB323" s="6"/>
      <c r="AC323" s="6"/>
      <c r="AD323" s="6"/>
      <c r="AE323" s="6"/>
    </row>
    <row r="324" spans="1:31" x14ac:dyDescent="0.35">
      <c r="A324" s="6">
        <v>324</v>
      </c>
      <c r="B324" s="6" t="s">
        <v>5</v>
      </c>
      <c r="C324" s="10" t="s">
        <v>2</v>
      </c>
      <c r="D324" s="9" t="s">
        <v>1523</v>
      </c>
      <c r="E324" s="7">
        <f t="shared" si="12"/>
        <v>0</v>
      </c>
      <c r="F324" s="7">
        <f>-1*ROUND(1/6*(I324*IF(_xlfn.XLOOKUP(H324,'02效果表'!D:D,'02效果表'!E:E)&lt;0, _xlfn.XLOOKUP(H324,'02效果表'!D:D,'02效果表'!E:E), 0) +
K324*IF(_xlfn.XLOOKUP(J324,'02效果表'!D:D,'02效果表'!E:E)&lt;0, _xlfn.XLOOKUP(J324,'02效果表'!D:D,'02效果表'!E:E), 0) +
M324*IF(_xlfn.XLOOKUP(L324,'02效果表'!D:D,'02效果表'!E:E)&lt;0, _xlfn.XLOOKUP(L324,'02效果表'!D:D,'02效果表'!E:E), 0) +
O324*IF(_xlfn.XLOOKUP(N324,'02效果表'!D:D,'02效果表'!E:E)&lt;0, _xlfn.XLOOKUP(N324,'02效果表'!D:D,'02效果表'!E:E), 0) +
Q324*IF(_xlfn.XLOOKUP(P324,'02效果表'!D:D,'02效果表'!E:E)&lt;0, _xlfn.XLOOKUP(P324,'02效果表'!D:D,'02效果表'!E:E), 0) +
S324*IF(_xlfn.XLOOKUP(R324,'02效果表'!D:D,'02效果表'!E:E)&lt;0, _xlfn.XLOOKUP(R324,'02效果表'!D:D,'02效果表'!E:E), 0) +
U324*IF(_xlfn.XLOOKUP(T324,'02效果表'!D:D,'02效果表'!E:E)&lt;0, _xlfn.XLOOKUP(T324,'02效果表'!D:D,'02效果表'!E:E), 0) +
W324*IF(_xlfn.XLOOKUP(V324,'02效果表'!D:D,'02效果表'!E:E)&lt;0, _xlfn.XLOOKUP(V324,'02效果表'!D:D,'02效果表'!E:E), 0) +
Y324*IF(_xlfn.XLOOKUP(X324,'02效果表'!D:D,'02效果表'!E:E)&lt;0, _xlfn.XLOOKUP(X324,'02效果表'!D:D,'02效果表'!E:E), 0) +
AA324*IF(_xlfn.XLOOKUP(Z324,'02效果表'!D:D,'02效果表'!E:E)&lt;0, _xlfn.XLOOKUP(Z324,'02效果表'!D:D,'02效果表'!E:E), 0) +
AC324*IF(_xlfn.XLOOKUP(AB324,'02效果表'!D:D,'02效果表'!E:E)&lt;0, _xlfn.XLOOKUP(AB324,'02效果表'!D:D,'02效果表'!E:E), 0) +
AE324*IF(_xlfn.XLOOKUP(AD324,'02效果表'!D:D,'02效果表'!E:E)&lt;0, _xlfn.XLOOKUP(AD324,'02效果表'!D:D,'02效果表'!E:E), 0)), 1)</f>
        <v>0</v>
      </c>
      <c r="G324" s="7">
        <f>ROUND(1/6*(I324*MAX(_xlfn.XLOOKUP(H324,'02效果表'!D:D,'02效果表'!E:E),0)+K324*MAX(_xlfn.XLOOKUP(J324,'02效果表'!D:D,'02效果表'!E:E),0)+M324*MAX(_xlfn.XLOOKUP(L324,'02效果表'!D:D,'02效果表'!E:E),0)+O324*MAX(_xlfn.XLOOKUP(N324,'02效果表'!D:D,'02效果表'!E:E),0)+Q324*MAX(_xlfn.XLOOKUP(P324,'02效果表'!D:D,'02效果表'!E:E),0)+S324*MAX(_xlfn.XLOOKUP(R324,'02效果表'!D:D,'02效果表'!E:E),0)+U324*MAX(_xlfn.XLOOKUP(T324,'02效果表'!D:D,'02效果表'!E:E),0)+W324*MAX(_xlfn.XLOOKUP(V324,'02效果表'!D:D,'02效果表'!E:E),0)+Y324*MAX(_xlfn.XLOOKUP(X324,'02效果表'!D:D,'02效果表'!E:E),0)+AA324*MAX(_xlfn.XLOOKUP(Z324,'02效果表'!D:D,'02效果表'!E:E),0)+AC324*MAX(_xlfn.XLOOKUP(AB324,'02效果表'!D:D,'02效果表'!E:E),0)+AE324*MAX(_xlfn.XLOOKUP(AD324,'02效果表'!D:D,'02效果表'!E:E),0)),1)</f>
        <v>0</v>
      </c>
      <c r="H324" s="6"/>
      <c r="I324" s="6"/>
      <c r="J324" s="6"/>
      <c r="K324" s="6"/>
      <c r="L324" s="6"/>
      <c r="M324" s="6"/>
      <c r="N324" s="6"/>
      <c r="O324" s="6"/>
      <c r="P324" s="6"/>
      <c r="Q324" s="6"/>
      <c r="R324" s="6"/>
      <c r="S324" s="6"/>
      <c r="T324" s="6"/>
      <c r="U324" s="6"/>
      <c r="V324" s="6"/>
      <c r="W324" s="6"/>
      <c r="X324" s="6"/>
      <c r="Y324" s="6"/>
      <c r="Z324" s="6"/>
      <c r="AA324" s="6"/>
      <c r="AB324" s="6"/>
      <c r="AC324" s="6"/>
      <c r="AD324" s="6"/>
      <c r="AE324" s="6"/>
    </row>
    <row r="325" spans="1:31" x14ac:dyDescent="0.35">
      <c r="A325" s="6">
        <v>325</v>
      </c>
      <c r="B325" s="6" t="s">
        <v>5</v>
      </c>
      <c r="C325" s="10" t="s">
        <v>2</v>
      </c>
      <c r="D325" s="9" t="s">
        <v>1524</v>
      </c>
      <c r="E325" s="7">
        <f t="shared" si="12"/>
        <v>0</v>
      </c>
      <c r="F325" s="7">
        <f>-1*ROUND(1/6*(I325*IF(_xlfn.XLOOKUP(H325,'02效果表'!D:D,'02效果表'!E:E)&lt;0, _xlfn.XLOOKUP(H325,'02效果表'!D:D,'02效果表'!E:E), 0) +
K325*IF(_xlfn.XLOOKUP(J325,'02效果表'!D:D,'02效果表'!E:E)&lt;0, _xlfn.XLOOKUP(J325,'02效果表'!D:D,'02效果表'!E:E), 0) +
M325*IF(_xlfn.XLOOKUP(L325,'02效果表'!D:D,'02效果表'!E:E)&lt;0, _xlfn.XLOOKUP(L325,'02效果表'!D:D,'02效果表'!E:E), 0) +
O325*IF(_xlfn.XLOOKUP(N325,'02效果表'!D:D,'02效果表'!E:E)&lt;0, _xlfn.XLOOKUP(N325,'02效果表'!D:D,'02效果表'!E:E), 0) +
Q325*IF(_xlfn.XLOOKUP(P325,'02效果表'!D:D,'02效果表'!E:E)&lt;0, _xlfn.XLOOKUP(P325,'02效果表'!D:D,'02效果表'!E:E), 0) +
S325*IF(_xlfn.XLOOKUP(R325,'02效果表'!D:D,'02效果表'!E:E)&lt;0, _xlfn.XLOOKUP(R325,'02效果表'!D:D,'02效果表'!E:E), 0) +
U325*IF(_xlfn.XLOOKUP(T325,'02效果表'!D:D,'02效果表'!E:E)&lt;0, _xlfn.XLOOKUP(T325,'02效果表'!D:D,'02效果表'!E:E), 0) +
W325*IF(_xlfn.XLOOKUP(V325,'02效果表'!D:D,'02效果表'!E:E)&lt;0, _xlfn.XLOOKUP(V325,'02效果表'!D:D,'02效果表'!E:E), 0) +
Y325*IF(_xlfn.XLOOKUP(X325,'02效果表'!D:D,'02效果表'!E:E)&lt;0, _xlfn.XLOOKUP(X325,'02效果表'!D:D,'02效果表'!E:E), 0) +
AA325*IF(_xlfn.XLOOKUP(Z325,'02效果表'!D:D,'02效果表'!E:E)&lt;0, _xlfn.XLOOKUP(Z325,'02效果表'!D:D,'02效果表'!E:E), 0) +
AC325*IF(_xlfn.XLOOKUP(AB325,'02效果表'!D:D,'02效果表'!E:E)&lt;0, _xlfn.XLOOKUP(AB325,'02效果表'!D:D,'02效果表'!E:E), 0) +
AE325*IF(_xlfn.XLOOKUP(AD325,'02效果表'!D:D,'02效果表'!E:E)&lt;0, _xlfn.XLOOKUP(AD325,'02效果表'!D:D,'02效果表'!E:E), 0)), 1)</f>
        <v>0</v>
      </c>
      <c r="G325" s="7">
        <f>ROUND(1/6*(I325*MAX(_xlfn.XLOOKUP(H325,'02效果表'!D:D,'02效果表'!E:E),0)+K325*MAX(_xlfn.XLOOKUP(J325,'02效果表'!D:D,'02效果表'!E:E),0)+M325*MAX(_xlfn.XLOOKUP(L325,'02效果表'!D:D,'02效果表'!E:E),0)+O325*MAX(_xlfn.XLOOKUP(N325,'02效果表'!D:D,'02效果表'!E:E),0)+Q325*MAX(_xlfn.XLOOKUP(P325,'02效果表'!D:D,'02效果表'!E:E),0)+S325*MAX(_xlfn.XLOOKUP(R325,'02效果表'!D:D,'02效果表'!E:E),0)+U325*MAX(_xlfn.XLOOKUP(T325,'02效果表'!D:D,'02效果表'!E:E),0)+W325*MAX(_xlfn.XLOOKUP(V325,'02效果表'!D:D,'02效果表'!E:E),0)+Y325*MAX(_xlfn.XLOOKUP(X325,'02效果表'!D:D,'02效果表'!E:E),0)+AA325*MAX(_xlfn.XLOOKUP(Z325,'02效果表'!D:D,'02效果表'!E:E),0)+AC325*MAX(_xlfn.XLOOKUP(AB325,'02效果表'!D:D,'02效果表'!E:E),0)+AE325*MAX(_xlfn.XLOOKUP(AD325,'02效果表'!D:D,'02效果表'!E:E),0)),1)</f>
        <v>0</v>
      </c>
      <c r="H325" s="6"/>
      <c r="I325" s="6"/>
      <c r="J325" s="6"/>
      <c r="K325" s="6"/>
      <c r="L325" s="6"/>
      <c r="M325" s="6"/>
      <c r="N325" s="6"/>
      <c r="O325" s="6"/>
      <c r="P325" s="6"/>
      <c r="Q325" s="6"/>
      <c r="R325" s="6"/>
      <c r="S325" s="6"/>
      <c r="T325" s="6"/>
      <c r="U325" s="6"/>
      <c r="V325" s="6"/>
      <c r="W325" s="6"/>
      <c r="X325" s="6"/>
      <c r="Y325" s="6"/>
      <c r="Z325" s="6"/>
      <c r="AA325" s="6"/>
      <c r="AB325" s="6"/>
      <c r="AC325" s="6"/>
      <c r="AD325" s="6"/>
      <c r="AE325" s="6"/>
    </row>
    <row r="326" spans="1:31" x14ac:dyDescent="0.35">
      <c r="A326" s="6">
        <v>326</v>
      </c>
      <c r="B326" s="6" t="s">
        <v>5</v>
      </c>
      <c r="C326" s="10" t="s">
        <v>2</v>
      </c>
      <c r="D326" s="9" t="s">
        <v>1525</v>
      </c>
      <c r="E326" s="7">
        <f t="shared" si="12"/>
        <v>0</v>
      </c>
      <c r="F326" s="7">
        <f>-1*ROUND(1/6*(I326*IF(_xlfn.XLOOKUP(H326,'02效果表'!D:D,'02效果表'!E:E)&lt;0, _xlfn.XLOOKUP(H326,'02效果表'!D:D,'02效果表'!E:E), 0) +
K326*IF(_xlfn.XLOOKUP(J326,'02效果表'!D:D,'02效果表'!E:E)&lt;0, _xlfn.XLOOKUP(J326,'02效果表'!D:D,'02效果表'!E:E), 0) +
M326*IF(_xlfn.XLOOKUP(L326,'02效果表'!D:D,'02效果表'!E:E)&lt;0, _xlfn.XLOOKUP(L326,'02效果表'!D:D,'02效果表'!E:E), 0) +
O326*IF(_xlfn.XLOOKUP(N326,'02效果表'!D:D,'02效果表'!E:E)&lt;0, _xlfn.XLOOKUP(N326,'02效果表'!D:D,'02效果表'!E:E), 0) +
Q326*IF(_xlfn.XLOOKUP(P326,'02效果表'!D:D,'02效果表'!E:E)&lt;0, _xlfn.XLOOKUP(P326,'02效果表'!D:D,'02效果表'!E:E), 0) +
S326*IF(_xlfn.XLOOKUP(R326,'02效果表'!D:D,'02效果表'!E:E)&lt;0, _xlfn.XLOOKUP(R326,'02效果表'!D:D,'02效果表'!E:E), 0) +
U326*IF(_xlfn.XLOOKUP(T326,'02效果表'!D:D,'02效果表'!E:E)&lt;0, _xlfn.XLOOKUP(T326,'02效果表'!D:D,'02效果表'!E:E), 0) +
W326*IF(_xlfn.XLOOKUP(V326,'02效果表'!D:D,'02效果表'!E:E)&lt;0, _xlfn.XLOOKUP(V326,'02效果表'!D:D,'02效果表'!E:E), 0) +
Y326*IF(_xlfn.XLOOKUP(X326,'02效果表'!D:D,'02效果表'!E:E)&lt;0, _xlfn.XLOOKUP(X326,'02效果表'!D:D,'02效果表'!E:E), 0) +
AA326*IF(_xlfn.XLOOKUP(Z326,'02效果表'!D:D,'02效果表'!E:E)&lt;0, _xlfn.XLOOKUP(Z326,'02效果表'!D:D,'02效果表'!E:E), 0) +
AC326*IF(_xlfn.XLOOKUP(AB326,'02效果表'!D:D,'02效果表'!E:E)&lt;0, _xlfn.XLOOKUP(AB326,'02效果表'!D:D,'02效果表'!E:E), 0) +
AE326*IF(_xlfn.XLOOKUP(AD326,'02效果表'!D:D,'02效果表'!E:E)&lt;0, _xlfn.XLOOKUP(AD326,'02效果表'!D:D,'02效果表'!E:E), 0)), 1)</f>
        <v>0</v>
      </c>
      <c r="G326" s="7">
        <f>ROUND(1/6*(I326*MAX(_xlfn.XLOOKUP(H326,'02效果表'!D:D,'02效果表'!E:E),0)+K326*MAX(_xlfn.XLOOKUP(J326,'02效果表'!D:D,'02效果表'!E:E),0)+M326*MAX(_xlfn.XLOOKUP(L326,'02效果表'!D:D,'02效果表'!E:E),0)+O326*MAX(_xlfn.XLOOKUP(N326,'02效果表'!D:D,'02效果表'!E:E),0)+Q326*MAX(_xlfn.XLOOKUP(P326,'02效果表'!D:D,'02效果表'!E:E),0)+S326*MAX(_xlfn.XLOOKUP(R326,'02效果表'!D:D,'02效果表'!E:E),0)+U326*MAX(_xlfn.XLOOKUP(T326,'02效果表'!D:D,'02效果表'!E:E),0)+W326*MAX(_xlfn.XLOOKUP(V326,'02效果表'!D:D,'02效果表'!E:E),0)+Y326*MAX(_xlfn.XLOOKUP(X326,'02效果表'!D:D,'02效果表'!E:E),0)+AA326*MAX(_xlfn.XLOOKUP(Z326,'02效果表'!D:D,'02效果表'!E:E),0)+AC326*MAX(_xlfn.XLOOKUP(AB326,'02效果表'!D:D,'02效果表'!E:E),0)+AE326*MAX(_xlfn.XLOOKUP(AD326,'02效果表'!D:D,'02效果表'!E:E),0)),1)</f>
        <v>0</v>
      </c>
      <c r="H326" s="6"/>
      <c r="I326" s="6"/>
      <c r="J326" s="6"/>
      <c r="K326" s="6"/>
      <c r="L326" s="6"/>
      <c r="M326" s="6"/>
      <c r="N326" s="6"/>
      <c r="O326" s="6"/>
      <c r="P326" s="6"/>
      <c r="Q326" s="6"/>
      <c r="R326" s="6"/>
      <c r="S326" s="6"/>
      <c r="T326" s="6"/>
      <c r="U326" s="6"/>
      <c r="V326" s="6"/>
      <c r="W326" s="6"/>
      <c r="X326" s="6"/>
      <c r="Y326" s="6"/>
      <c r="Z326" s="6"/>
      <c r="AA326" s="6"/>
      <c r="AB326" s="6"/>
      <c r="AC326" s="6"/>
      <c r="AD326" s="6"/>
      <c r="AE326" s="6"/>
    </row>
    <row r="327" spans="1:31" x14ac:dyDescent="0.35">
      <c r="A327" s="6">
        <v>327</v>
      </c>
      <c r="B327" s="6" t="s">
        <v>5</v>
      </c>
      <c r="C327" s="10" t="s">
        <v>2</v>
      </c>
      <c r="D327" s="9" t="s">
        <v>1526</v>
      </c>
      <c r="E327" s="7">
        <f t="shared" si="12"/>
        <v>0</v>
      </c>
      <c r="F327" s="7">
        <f>-1*ROUND(1/6*(I327*IF(_xlfn.XLOOKUP(H327,'02效果表'!D:D,'02效果表'!E:E)&lt;0, _xlfn.XLOOKUP(H327,'02效果表'!D:D,'02效果表'!E:E), 0) +
K327*IF(_xlfn.XLOOKUP(J327,'02效果表'!D:D,'02效果表'!E:E)&lt;0, _xlfn.XLOOKUP(J327,'02效果表'!D:D,'02效果表'!E:E), 0) +
M327*IF(_xlfn.XLOOKUP(L327,'02效果表'!D:D,'02效果表'!E:E)&lt;0, _xlfn.XLOOKUP(L327,'02效果表'!D:D,'02效果表'!E:E), 0) +
O327*IF(_xlfn.XLOOKUP(N327,'02效果表'!D:D,'02效果表'!E:E)&lt;0, _xlfn.XLOOKUP(N327,'02效果表'!D:D,'02效果表'!E:E), 0) +
Q327*IF(_xlfn.XLOOKUP(P327,'02效果表'!D:D,'02效果表'!E:E)&lt;0, _xlfn.XLOOKUP(P327,'02效果表'!D:D,'02效果表'!E:E), 0) +
S327*IF(_xlfn.XLOOKUP(R327,'02效果表'!D:D,'02效果表'!E:E)&lt;0, _xlfn.XLOOKUP(R327,'02效果表'!D:D,'02效果表'!E:E), 0) +
U327*IF(_xlfn.XLOOKUP(T327,'02效果表'!D:D,'02效果表'!E:E)&lt;0, _xlfn.XLOOKUP(T327,'02效果表'!D:D,'02效果表'!E:E), 0) +
W327*IF(_xlfn.XLOOKUP(V327,'02效果表'!D:D,'02效果表'!E:E)&lt;0, _xlfn.XLOOKUP(V327,'02效果表'!D:D,'02效果表'!E:E), 0) +
Y327*IF(_xlfn.XLOOKUP(X327,'02效果表'!D:D,'02效果表'!E:E)&lt;0, _xlfn.XLOOKUP(X327,'02效果表'!D:D,'02效果表'!E:E), 0) +
AA327*IF(_xlfn.XLOOKUP(Z327,'02效果表'!D:D,'02效果表'!E:E)&lt;0, _xlfn.XLOOKUP(Z327,'02效果表'!D:D,'02效果表'!E:E), 0) +
AC327*IF(_xlfn.XLOOKUP(AB327,'02效果表'!D:D,'02效果表'!E:E)&lt;0, _xlfn.XLOOKUP(AB327,'02效果表'!D:D,'02效果表'!E:E), 0) +
AE327*IF(_xlfn.XLOOKUP(AD327,'02效果表'!D:D,'02效果表'!E:E)&lt;0, _xlfn.XLOOKUP(AD327,'02效果表'!D:D,'02效果表'!E:E), 0)), 1)</f>
        <v>0</v>
      </c>
      <c r="G327" s="7">
        <f>ROUND(1/6*(I327*MAX(_xlfn.XLOOKUP(H327,'02效果表'!D:D,'02效果表'!E:E),0)+K327*MAX(_xlfn.XLOOKUP(J327,'02效果表'!D:D,'02效果表'!E:E),0)+M327*MAX(_xlfn.XLOOKUP(L327,'02效果表'!D:D,'02效果表'!E:E),0)+O327*MAX(_xlfn.XLOOKUP(N327,'02效果表'!D:D,'02效果表'!E:E),0)+Q327*MAX(_xlfn.XLOOKUP(P327,'02效果表'!D:D,'02效果表'!E:E),0)+S327*MAX(_xlfn.XLOOKUP(R327,'02效果表'!D:D,'02效果表'!E:E),0)+U327*MAX(_xlfn.XLOOKUP(T327,'02效果表'!D:D,'02效果表'!E:E),0)+W327*MAX(_xlfn.XLOOKUP(V327,'02效果表'!D:D,'02效果表'!E:E),0)+Y327*MAX(_xlfn.XLOOKUP(X327,'02效果表'!D:D,'02效果表'!E:E),0)+AA327*MAX(_xlfn.XLOOKUP(Z327,'02效果表'!D:D,'02效果表'!E:E),0)+AC327*MAX(_xlfn.XLOOKUP(AB327,'02效果表'!D:D,'02效果表'!E:E),0)+AE327*MAX(_xlfn.XLOOKUP(AD327,'02效果表'!D:D,'02效果表'!E:E),0)),1)</f>
        <v>0</v>
      </c>
      <c r="H327" s="6"/>
      <c r="I327" s="6"/>
      <c r="J327" s="6"/>
      <c r="K327" s="6"/>
      <c r="L327" s="6"/>
      <c r="M327" s="6"/>
      <c r="N327" s="6"/>
      <c r="O327" s="6"/>
      <c r="P327" s="6"/>
      <c r="Q327" s="6"/>
      <c r="R327" s="6"/>
      <c r="S327" s="6"/>
      <c r="T327" s="6"/>
      <c r="U327" s="6"/>
      <c r="V327" s="6"/>
      <c r="W327" s="6"/>
      <c r="X327" s="6"/>
      <c r="Y327" s="6"/>
      <c r="Z327" s="6"/>
      <c r="AA327" s="6"/>
      <c r="AB327" s="6"/>
      <c r="AC327" s="6"/>
      <c r="AD327" s="6"/>
      <c r="AE327" s="6"/>
    </row>
    <row r="328" spans="1:31" x14ac:dyDescent="0.35">
      <c r="A328" s="6">
        <v>328</v>
      </c>
      <c r="B328" s="6" t="s">
        <v>5</v>
      </c>
      <c r="C328" s="10" t="s">
        <v>2</v>
      </c>
      <c r="D328" s="9" t="s">
        <v>1527</v>
      </c>
      <c r="E328" s="7">
        <f t="shared" si="12"/>
        <v>0</v>
      </c>
      <c r="F328" s="7">
        <f>-1*ROUND(1/6*(I328*IF(_xlfn.XLOOKUP(H328,'02效果表'!D:D,'02效果表'!E:E)&lt;0, _xlfn.XLOOKUP(H328,'02效果表'!D:D,'02效果表'!E:E), 0) +
K328*IF(_xlfn.XLOOKUP(J328,'02效果表'!D:D,'02效果表'!E:E)&lt;0, _xlfn.XLOOKUP(J328,'02效果表'!D:D,'02效果表'!E:E), 0) +
M328*IF(_xlfn.XLOOKUP(L328,'02效果表'!D:D,'02效果表'!E:E)&lt;0, _xlfn.XLOOKUP(L328,'02效果表'!D:D,'02效果表'!E:E), 0) +
O328*IF(_xlfn.XLOOKUP(N328,'02效果表'!D:D,'02效果表'!E:E)&lt;0, _xlfn.XLOOKUP(N328,'02效果表'!D:D,'02效果表'!E:E), 0) +
Q328*IF(_xlfn.XLOOKUP(P328,'02效果表'!D:D,'02效果表'!E:E)&lt;0, _xlfn.XLOOKUP(P328,'02效果表'!D:D,'02效果表'!E:E), 0) +
S328*IF(_xlfn.XLOOKUP(R328,'02效果表'!D:D,'02效果表'!E:E)&lt;0, _xlfn.XLOOKUP(R328,'02效果表'!D:D,'02效果表'!E:E), 0) +
U328*IF(_xlfn.XLOOKUP(T328,'02效果表'!D:D,'02效果表'!E:E)&lt;0, _xlfn.XLOOKUP(T328,'02效果表'!D:D,'02效果表'!E:E), 0) +
W328*IF(_xlfn.XLOOKUP(V328,'02效果表'!D:D,'02效果表'!E:E)&lt;0, _xlfn.XLOOKUP(V328,'02效果表'!D:D,'02效果表'!E:E), 0) +
Y328*IF(_xlfn.XLOOKUP(X328,'02效果表'!D:D,'02效果表'!E:E)&lt;0, _xlfn.XLOOKUP(X328,'02效果表'!D:D,'02效果表'!E:E), 0) +
AA328*IF(_xlfn.XLOOKUP(Z328,'02效果表'!D:D,'02效果表'!E:E)&lt;0, _xlfn.XLOOKUP(Z328,'02效果表'!D:D,'02效果表'!E:E), 0) +
AC328*IF(_xlfn.XLOOKUP(AB328,'02效果表'!D:D,'02效果表'!E:E)&lt;0, _xlfn.XLOOKUP(AB328,'02效果表'!D:D,'02效果表'!E:E), 0) +
AE328*IF(_xlfn.XLOOKUP(AD328,'02效果表'!D:D,'02效果表'!E:E)&lt;0, _xlfn.XLOOKUP(AD328,'02效果表'!D:D,'02效果表'!E:E), 0)), 1)</f>
        <v>0</v>
      </c>
      <c r="G328" s="7">
        <f>ROUND(1/6*(I328*MAX(_xlfn.XLOOKUP(H328,'02效果表'!D:D,'02效果表'!E:E),0)+K328*MAX(_xlfn.XLOOKUP(J328,'02效果表'!D:D,'02效果表'!E:E),0)+M328*MAX(_xlfn.XLOOKUP(L328,'02效果表'!D:D,'02效果表'!E:E),0)+O328*MAX(_xlfn.XLOOKUP(N328,'02效果表'!D:D,'02效果表'!E:E),0)+Q328*MAX(_xlfn.XLOOKUP(P328,'02效果表'!D:D,'02效果表'!E:E),0)+S328*MAX(_xlfn.XLOOKUP(R328,'02效果表'!D:D,'02效果表'!E:E),0)+U328*MAX(_xlfn.XLOOKUP(T328,'02效果表'!D:D,'02效果表'!E:E),0)+W328*MAX(_xlfn.XLOOKUP(V328,'02效果表'!D:D,'02效果表'!E:E),0)+Y328*MAX(_xlfn.XLOOKUP(X328,'02效果表'!D:D,'02效果表'!E:E),0)+AA328*MAX(_xlfn.XLOOKUP(Z328,'02效果表'!D:D,'02效果表'!E:E),0)+AC328*MAX(_xlfn.XLOOKUP(AB328,'02效果表'!D:D,'02效果表'!E:E),0)+AE328*MAX(_xlfn.XLOOKUP(AD328,'02效果表'!D:D,'02效果表'!E:E),0)),1)</f>
        <v>0</v>
      </c>
      <c r="H328" s="6"/>
      <c r="I328" s="6"/>
      <c r="J328" s="6"/>
      <c r="K328" s="6"/>
      <c r="L328" s="6"/>
      <c r="M328" s="6"/>
      <c r="N328" s="6"/>
      <c r="O328" s="6"/>
      <c r="P328" s="6"/>
      <c r="Q328" s="6"/>
      <c r="R328" s="6"/>
      <c r="S328" s="6"/>
      <c r="T328" s="6"/>
      <c r="U328" s="6"/>
      <c r="V328" s="6"/>
      <c r="W328" s="6"/>
      <c r="X328" s="6"/>
      <c r="Y328" s="6"/>
      <c r="Z328" s="6"/>
      <c r="AA328" s="6"/>
      <c r="AB328" s="6"/>
      <c r="AC328" s="6"/>
      <c r="AD328" s="6"/>
      <c r="AE328" s="6"/>
    </row>
    <row r="329" spans="1:31" x14ac:dyDescent="0.35">
      <c r="A329" s="6">
        <v>329</v>
      </c>
      <c r="B329" s="6" t="s">
        <v>5</v>
      </c>
      <c r="C329" s="10" t="s">
        <v>2</v>
      </c>
      <c r="D329" s="9" t="s">
        <v>1528</v>
      </c>
      <c r="E329" s="7">
        <f t="shared" si="12"/>
        <v>0</v>
      </c>
      <c r="F329" s="7">
        <f>-1*ROUND(1/6*(I329*IF(_xlfn.XLOOKUP(H329,'02效果表'!D:D,'02效果表'!E:E)&lt;0, _xlfn.XLOOKUP(H329,'02效果表'!D:D,'02效果表'!E:E), 0) +
K329*IF(_xlfn.XLOOKUP(J329,'02效果表'!D:D,'02效果表'!E:E)&lt;0, _xlfn.XLOOKUP(J329,'02效果表'!D:D,'02效果表'!E:E), 0) +
M329*IF(_xlfn.XLOOKUP(L329,'02效果表'!D:D,'02效果表'!E:E)&lt;0, _xlfn.XLOOKUP(L329,'02效果表'!D:D,'02效果表'!E:E), 0) +
O329*IF(_xlfn.XLOOKUP(N329,'02效果表'!D:D,'02效果表'!E:E)&lt;0, _xlfn.XLOOKUP(N329,'02效果表'!D:D,'02效果表'!E:E), 0) +
Q329*IF(_xlfn.XLOOKUP(P329,'02效果表'!D:D,'02效果表'!E:E)&lt;0, _xlfn.XLOOKUP(P329,'02效果表'!D:D,'02效果表'!E:E), 0) +
S329*IF(_xlfn.XLOOKUP(R329,'02效果表'!D:D,'02效果表'!E:E)&lt;0, _xlfn.XLOOKUP(R329,'02效果表'!D:D,'02效果表'!E:E), 0) +
U329*IF(_xlfn.XLOOKUP(T329,'02效果表'!D:D,'02效果表'!E:E)&lt;0, _xlfn.XLOOKUP(T329,'02效果表'!D:D,'02效果表'!E:E), 0) +
W329*IF(_xlfn.XLOOKUP(V329,'02效果表'!D:D,'02效果表'!E:E)&lt;0, _xlfn.XLOOKUP(V329,'02效果表'!D:D,'02效果表'!E:E), 0) +
Y329*IF(_xlfn.XLOOKUP(X329,'02效果表'!D:D,'02效果表'!E:E)&lt;0, _xlfn.XLOOKUP(X329,'02效果表'!D:D,'02效果表'!E:E), 0) +
AA329*IF(_xlfn.XLOOKUP(Z329,'02效果表'!D:D,'02效果表'!E:E)&lt;0, _xlfn.XLOOKUP(Z329,'02效果表'!D:D,'02效果表'!E:E), 0) +
AC329*IF(_xlfn.XLOOKUP(AB329,'02效果表'!D:D,'02效果表'!E:E)&lt;0, _xlfn.XLOOKUP(AB329,'02效果表'!D:D,'02效果表'!E:E), 0) +
AE329*IF(_xlfn.XLOOKUP(AD329,'02效果表'!D:D,'02效果表'!E:E)&lt;0, _xlfn.XLOOKUP(AD329,'02效果表'!D:D,'02效果表'!E:E), 0)), 1)</f>
        <v>0</v>
      </c>
      <c r="G329" s="7">
        <f>ROUND(1/6*(I329*MAX(_xlfn.XLOOKUP(H329,'02效果表'!D:D,'02效果表'!E:E),0)+K329*MAX(_xlfn.XLOOKUP(J329,'02效果表'!D:D,'02效果表'!E:E),0)+M329*MAX(_xlfn.XLOOKUP(L329,'02效果表'!D:D,'02效果表'!E:E),0)+O329*MAX(_xlfn.XLOOKUP(N329,'02效果表'!D:D,'02效果表'!E:E),0)+Q329*MAX(_xlfn.XLOOKUP(P329,'02效果表'!D:D,'02效果表'!E:E),0)+S329*MAX(_xlfn.XLOOKUP(R329,'02效果表'!D:D,'02效果表'!E:E),0)+U329*MAX(_xlfn.XLOOKUP(T329,'02效果表'!D:D,'02效果表'!E:E),0)+W329*MAX(_xlfn.XLOOKUP(V329,'02效果表'!D:D,'02效果表'!E:E),0)+Y329*MAX(_xlfn.XLOOKUP(X329,'02效果表'!D:D,'02效果表'!E:E),0)+AA329*MAX(_xlfn.XLOOKUP(Z329,'02效果表'!D:D,'02效果表'!E:E),0)+AC329*MAX(_xlfn.XLOOKUP(AB329,'02效果表'!D:D,'02效果表'!E:E),0)+AE329*MAX(_xlfn.XLOOKUP(AD329,'02效果表'!D:D,'02效果表'!E:E),0)),1)</f>
        <v>0</v>
      </c>
      <c r="H329" s="6"/>
      <c r="I329" s="6"/>
      <c r="J329" s="6"/>
      <c r="K329" s="6"/>
      <c r="L329" s="6"/>
      <c r="M329" s="6"/>
      <c r="N329" s="6"/>
      <c r="O329" s="6"/>
      <c r="P329" s="6"/>
      <c r="Q329" s="6"/>
      <c r="R329" s="6"/>
      <c r="S329" s="6"/>
      <c r="T329" s="6"/>
      <c r="U329" s="6"/>
      <c r="V329" s="6"/>
      <c r="W329" s="6"/>
      <c r="X329" s="6"/>
      <c r="Y329" s="6"/>
      <c r="Z329" s="6"/>
      <c r="AA329" s="6"/>
      <c r="AB329" s="6"/>
      <c r="AC329" s="6"/>
      <c r="AD329" s="6"/>
      <c r="AE329" s="6"/>
    </row>
    <row r="330" spans="1:31" x14ac:dyDescent="0.35">
      <c r="A330" s="6">
        <v>330</v>
      </c>
      <c r="B330" s="6" t="s">
        <v>5</v>
      </c>
      <c r="C330" s="10" t="s">
        <v>2</v>
      </c>
      <c r="D330" s="9" t="s">
        <v>1529</v>
      </c>
      <c r="E330" s="7">
        <f t="shared" si="12"/>
        <v>0</v>
      </c>
      <c r="F330" s="7">
        <f>-1*ROUND(1/6*(I330*IF(_xlfn.XLOOKUP(H330,'02效果表'!D:D,'02效果表'!E:E)&lt;0, _xlfn.XLOOKUP(H330,'02效果表'!D:D,'02效果表'!E:E), 0) +
K330*IF(_xlfn.XLOOKUP(J330,'02效果表'!D:D,'02效果表'!E:E)&lt;0, _xlfn.XLOOKUP(J330,'02效果表'!D:D,'02效果表'!E:E), 0) +
M330*IF(_xlfn.XLOOKUP(L330,'02效果表'!D:D,'02效果表'!E:E)&lt;0, _xlfn.XLOOKUP(L330,'02效果表'!D:D,'02效果表'!E:E), 0) +
O330*IF(_xlfn.XLOOKUP(N330,'02效果表'!D:D,'02效果表'!E:E)&lt;0, _xlfn.XLOOKUP(N330,'02效果表'!D:D,'02效果表'!E:E), 0) +
Q330*IF(_xlfn.XLOOKUP(P330,'02效果表'!D:D,'02效果表'!E:E)&lt;0, _xlfn.XLOOKUP(P330,'02效果表'!D:D,'02效果表'!E:E), 0) +
S330*IF(_xlfn.XLOOKUP(R330,'02效果表'!D:D,'02效果表'!E:E)&lt;0, _xlfn.XLOOKUP(R330,'02效果表'!D:D,'02效果表'!E:E), 0) +
U330*IF(_xlfn.XLOOKUP(T330,'02效果表'!D:D,'02效果表'!E:E)&lt;0, _xlfn.XLOOKUP(T330,'02效果表'!D:D,'02效果表'!E:E), 0) +
W330*IF(_xlfn.XLOOKUP(V330,'02效果表'!D:D,'02效果表'!E:E)&lt;0, _xlfn.XLOOKUP(V330,'02效果表'!D:D,'02效果表'!E:E), 0) +
Y330*IF(_xlfn.XLOOKUP(X330,'02效果表'!D:D,'02效果表'!E:E)&lt;0, _xlfn.XLOOKUP(X330,'02效果表'!D:D,'02效果表'!E:E), 0) +
AA330*IF(_xlfn.XLOOKUP(Z330,'02效果表'!D:D,'02效果表'!E:E)&lt;0, _xlfn.XLOOKUP(Z330,'02效果表'!D:D,'02效果表'!E:E), 0) +
AC330*IF(_xlfn.XLOOKUP(AB330,'02效果表'!D:D,'02效果表'!E:E)&lt;0, _xlfn.XLOOKUP(AB330,'02效果表'!D:D,'02效果表'!E:E), 0) +
AE330*IF(_xlfn.XLOOKUP(AD330,'02效果表'!D:D,'02效果表'!E:E)&lt;0, _xlfn.XLOOKUP(AD330,'02效果表'!D:D,'02效果表'!E:E), 0)), 1)</f>
        <v>0</v>
      </c>
      <c r="G330" s="7">
        <f>ROUND(1/6*(I330*MAX(_xlfn.XLOOKUP(H330,'02效果表'!D:D,'02效果表'!E:E),0)+K330*MAX(_xlfn.XLOOKUP(J330,'02效果表'!D:D,'02效果表'!E:E),0)+M330*MAX(_xlfn.XLOOKUP(L330,'02效果表'!D:D,'02效果表'!E:E),0)+O330*MAX(_xlfn.XLOOKUP(N330,'02效果表'!D:D,'02效果表'!E:E),0)+Q330*MAX(_xlfn.XLOOKUP(P330,'02效果表'!D:D,'02效果表'!E:E),0)+S330*MAX(_xlfn.XLOOKUP(R330,'02效果表'!D:D,'02效果表'!E:E),0)+U330*MAX(_xlfn.XLOOKUP(T330,'02效果表'!D:D,'02效果表'!E:E),0)+W330*MAX(_xlfn.XLOOKUP(V330,'02效果表'!D:D,'02效果表'!E:E),0)+Y330*MAX(_xlfn.XLOOKUP(X330,'02效果表'!D:D,'02效果表'!E:E),0)+AA330*MAX(_xlfn.XLOOKUP(Z330,'02效果表'!D:D,'02效果表'!E:E),0)+AC330*MAX(_xlfn.XLOOKUP(AB330,'02效果表'!D:D,'02效果表'!E:E),0)+AE330*MAX(_xlfn.XLOOKUP(AD330,'02效果表'!D:D,'02效果表'!E:E),0)),1)</f>
        <v>0</v>
      </c>
      <c r="H330" s="6"/>
      <c r="I330" s="6"/>
      <c r="J330" s="6"/>
      <c r="K330" s="6"/>
      <c r="L330" s="6"/>
      <c r="M330" s="6"/>
      <c r="N330" s="6"/>
      <c r="O330" s="6"/>
      <c r="P330" s="6"/>
      <c r="Q330" s="6"/>
      <c r="R330" s="6"/>
      <c r="S330" s="6"/>
      <c r="T330" s="6"/>
      <c r="U330" s="6"/>
      <c r="V330" s="6"/>
      <c r="W330" s="6"/>
      <c r="X330" s="6"/>
      <c r="Y330" s="6"/>
      <c r="Z330" s="6"/>
      <c r="AA330" s="6"/>
      <c r="AB330" s="6"/>
      <c r="AC330" s="6"/>
      <c r="AD330" s="6"/>
      <c r="AE330" s="6"/>
    </row>
    <row r="331" spans="1:31" x14ac:dyDescent="0.35">
      <c r="A331" s="6">
        <v>331</v>
      </c>
      <c r="B331" s="6" t="s">
        <v>5</v>
      </c>
      <c r="C331" s="10" t="s">
        <v>2</v>
      </c>
      <c r="D331" s="9" t="s">
        <v>1530</v>
      </c>
      <c r="E331" s="7">
        <f t="shared" si="12"/>
        <v>0</v>
      </c>
      <c r="F331" s="7">
        <f>-1*ROUND(1/6*(I331*IF(_xlfn.XLOOKUP(H331,'02效果表'!D:D,'02效果表'!E:E)&lt;0, _xlfn.XLOOKUP(H331,'02效果表'!D:D,'02效果表'!E:E), 0) +
K331*IF(_xlfn.XLOOKUP(J331,'02效果表'!D:D,'02效果表'!E:E)&lt;0, _xlfn.XLOOKUP(J331,'02效果表'!D:D,'02效果表'!E:E), 0) +
M331*IF(_xlfn.XLOOKUP(L331,'02效果表'!D:D,'02效果表'!E:E)&lt;0, _xlfn.XLOOKUP(L331,'02效果表'!D:D,'02效果表'!E:E), 0) +
O331*IF(_xlfn.XLOOKUP(N331,'02效果表'!D:D,'02效果表'!E:E)&lt;0, _xlfn.XLOOKUP(N331,'02效果表'!D:D,'02效果表'!E:E), 0) +
Q331*IF(_xlfn.XLOOKUP(P331,'02效果表'!D:D,'02效果表'!E:E)&lt;0, _xlfn.XLOOKUP(P331,'02效果表'!D:D,'02效果表'!E:E), 0) +
S331*IF(_xlfn.XLOOKUP(R331,'02效果表'!D:D,'02效果表'!E:E)&lt;0, _xlfn.XLOOKUP(R331,'02效果表'!D:D,'02效果表'!E:E), 0) +
U331*IF(_xlfn.XLOOKUP(T331,'02效果表'!D:D,'02效果表'!E:E)&lt;0, _xlfn.XLOOKUP(T331,'02效果表'!D:D,'02效果表'!E:E), 0) +
W331*IF(_xlfn.XLOOKUP(V331,'02效果表'!D:D,'02效果表'!E:E)&lt;0, _xlfn.XLOOKUP(V331,'02效果表'!D:D,'02效果表'!E:E), 0) +
Y331*IF(_xlfn.XLOOKUP(X331,'02效果表'!D:D,'02效果表'!E:E)&lt;0, _xlfn.XLOOKUP(X331,'02效果表'!D:D,'02效果表'!E:E), 0) +
AA331*IF(_xlfn.XLOOKUP(Z331,'02效果表'!D:D,'02效果表'!E:E)&lt;0, _xlfn.XLOOKUP(Z331,'02效果表'!D:D,'02效果表'!E:E), 0) +
AC331*IF(_xlfn.XLOOKUP(AB331,'02效果表'!D:D,'02效果表'!E:E)&lt;0, _xlfn.XLOOKUP(AB331,'02效果表'!D:D,'02效果表'!E:E), 0) +
AE331*IF(_xlfn.XLOOKUP(AD331,'02效果表'!D:D,'02效果表'!E:E)&lt;0, _xlfn.XLOOKUP(AD331,'02效果表'!D:D,'02效果表'!E:E), 0)), 1)</f>
        <v>0</v>
      </c>
      <c r="G331" s="7">
        <f>ROUND(1/6*(I331*MAX(_xlfn.XLOOKUP(H331,'02效果表'!D:D,'02效果表'!E:E),0)+K331*MAX(_xlfn.XLOOKUP(J331,'02效果表'!D:D,'02效果表'!E:E),0)+M331*MAX(_xlfn.XLOOKUP(L331,'02效果表'!D:D,'02效果表'!E:E),0)+O331*MAX(_xlfn.XLOOKUP(N331,'02效果表'!D:D,'02效果表'!E:E),0)+Q331*MAX(_xlfn.XLOOKUP(P331,'02效果表'!D:D,'02效果表'!E:E),0)+S331*MAX(_xlfn.XLOOKUP(R331,'02效果表'!D:D,'02效果表'!E:E),0)+U331*MAX(_xlfn.XLOOKUP(T331,'02效果表'!D:D,'02效果表'!E:E),0)+W331*MAX(_xlfn.XLOOKUP(V331,'02效果表'!D:D,'02效果表'!E:E),0)+Y331*MAX(_xlfn.XLOOKUP(X331,'02效果表'!D:D,'02效果表'!E:E),0)+AA331*MAX(_xlfn.XLOOKUP(Z331,'02效果表'!D:D,'02效果表'!E:E),0)+AC331*MAX(_xlfn.XLOOKUP(AB331,'02效果表'!D:D,'02效果表'!E:E),0)+AE331*MAX(_xlfn.XLOOKUP(AD331,'02效果表'!D:D,'02效果表'!E:E),0)),1)</f>
        <v>0</v>
      </c>
      <c r="H331" s="6"/>
      <c r="I331" s="6"/>
      <c r="J331" s="6"/>
      <c r="K331" s="6"/>
      <c r="L331" s="6"/>
      <c r="M331" s="6"/>
      <c r="N331" s="6"/>
      <c r="O331" s="6"/>
      <c r="P331" s="6"/>
      <c r="Q331" s="6"/>
      <c r="R331" s="6"/>
      <c r="S331" s="6"/>
      <c r="T331" s="6"/>
      <c r="U331" s="6"/>
      <c r="V331" s="6"/>
      <c r="W331" s="6"/>
      <c r="X331" s="6"/>
      <c r="Y331" s="6"/>
      <c r="Z331" s="6"/>
      <c r="AA331" s="6"/>
      <c r="AB331" s="6"/>
      <c r="AC331" s="6"/>
      <c r="AD331" s="6"/>
      <c r="AE331" s="6"/>
    </row>
    <row r="332" spans="1:31" x14ac:dyDescent="0.35">
      <c r="A332" s="6">
        <v>332</v>
      </c>
      <c r="B332" s="6" t="s">
        <v>5</v>
      </c>
      <c r="C332" s="10" t="s">
        <v>2</v>
      </c>
      <c r="D332" s="9" t="s">
        <v>1531</v>
      </c>
      <c r="E332" s="7">
        <f t="shared" si="12"/>
        <v>0</v>
      </c>
      <c r="F332" s="7">
        <f>-1*ROUND(1/6*(I332*IF(_xlfn.XLOOKUP(H332,'02效果表'!D:D,'02效果表'!E:E)&lt;0, _xlfn.XLOOKUP(H332,'02效果表'!D:D,'02效果表'!E:E), 0) +
K332*IF(_xlfn.XLOOKUP(J332,'02效果表'!D:D,'02效果表'!E:E)&lt;0, _xlfn.XLOOKUP(J332,'02效果表'!D:D,'02效果表'!E:E), 0) +
M332*IF(_xlfn.XLOOKUP(L332,'02效果表'!D:D,'02效果表'!E:E)&lt;0, _xlfn.XLOOKUP(L332,'02效果表'!D:D,'02效果表'!E:E), 0) +
O332*IF(_xlfn.XLOOKUP(N332,'02效果表'!D:D,'02效果表'!E:E)&lt;0, _xlfn.XLOOKUP(N332,'02效果表'!D:D,'02效果表'!E:E), 0) +
Q332*IF(_xlfn.XLOOKUP(P332,'02效果表'!D:D,'02效果表'!E:E)&lt;0, _xlfn.XLOOKUP(P332,'02效果表'!D:D,'02效果表'!E:E), 0) +
S332*IF(_xlfn.XLOOKUP(R332,'02效果表'!D:D,'02效果表'!E:E)&lt;0, _xlfn.XLOOKUP(R332,'02效果表'!D:D,'02效果表'!E:E), 0) +
U332*IF(_xlfn.XLOOKUP(T332,'02效果表'!D:D,'02效果表'!E:E)&lt;0, _xlfn.XLOOKUP(T332,'02效果表'!D:D,'02效果表'!E:E), 0) +
W332*IF(_xlfn.XLOOKUP(V332,'02效果表'!D:D,'02效果表'!E:E)&lt;0, _xlfn.XLOOKUP(V332,'02效果表'!D:D,'02效果表'!E:E), 0) +
Y332*IF(_xlfn.XLOOKUP(X332,'02效果表'!D:D,'02效果表'!E:E)&lt;0, _xlfn.XLOOKUP(X332,'02效果表'!D:D,'02效果表'!E:E), 0) +
AA332*IF(_xlfn.XLOOKUP(Z332,'02效果表'!D:D,'02效果表'!E:E)&lt;0, _xlfn.XLOOKUP(Z332,'02效果表'!D:D,'02效果表'!E:E), 0) +
AC332*IF(_xlfn.XLOOKUP(AB332,'02效果表'!D:D,'02效果表'!E:E)&lt;0, _xlfn.XLOOKUP(AB332,'02效果表'!D:D,'02效果表'!E:E), 0) +
AE332*IF(_xlfn.XLOOKUP(AD332,'02效果表'!D:D,'02效果表'!E:E)&lt;0, _xlfn.XLOOKUP(AD332,'02效果表'!D:D,'02效果表'!E:E), 0)), 1)</f>
        <v>0</v>
      </c>
      <c r="G332" s="7">
        <f>ROUND(1/6*(I332*MAX(_xlfn.XLOOKUP(H332,'02效果表'!D:D,'02效果表'!E:E),0)+K332*MAX(_xlfn.XLOOKUP(J332,'02效果表'!D:D,'02效果表'!E:E),0)+M332*MAX(_xlfn.XLOOKUP(L332,'02效果表'!D:D,'02效果表'!E:E),0)+O332*MAX(_xlfn.XLOOKUP(N332,'02效果表'!D:D,'02效果表'!E:E),0)+Q332*MAX(_xlfn.XLOOKUP(P332,'02效果表'!D:D,'02效果表'!E:E),0)+S332*MAX(_xlfn.XLOOKUP(R332,'02效果表'!D:D,'02效果表'!E:E),0)+U332*MAX(_xlfn.XLOOKUP(T332,'02效果表'!D:D,'02效果表'!E:E),0)+W332*MAX(_xlfn.XLOOKUP(V332,'02效果表'!D:D,'02效果表'!E:E),0)+Y332*MAX(_xlfn.XLOOKUP(X332,'02效果表'!D:D,'02效果表'!E:E),0)+AA332*MAX(_xlfn.XLOOKUP(Z332,'02效果表'!D:D,'02效果表'!E:E),0)+AC332*MAX(_xlfn.XLOOKUP(AB332,'02效果表'!D:D,'02效果表'!E:E),0)+AE332*MAX(_xlfn.XLOOKUP(AD332,'02效果表'!D:D,'02效果表'!E:E),0)),1)</f>
        <v>0</v>
      </c>
      <c r="H332" s="6"/>
      <c r="I332" s="6"/>
      <c r="J332" s="6"/>
      <c r="K332" s="6"/>
      <c r="L332" s="6"/>
      <c r="M332" s="6"/>
      <c r="N332" s="6"/>
      <c r="O332" s="6"/>
      <c r="P332" s="6"/>
      <c r="Q332" s="6"/>
      <c r="R332" s="6"/>
      <c r="S332" s="6"/>
      <c r="T332" s="6"/>
      <c r="U332" s="6"/>
      <c r="V332" s="6"/>
      <c r="W332" s="6"/>
      <c r="X332" s="6"/>
      <c r="Y332" s="6"/>
      <c r="Z332" s="6"/>
      <c r="AA332" s="6"/>
      <c r="AB332" s="6"/>
      <c r="AC332" s="6"/>
      <c r="AD332" s="6"/>
      <c r="AE332" s="6"/>
    </row>
    <row r="333" spans="1:31" x14ac:dyDescent="0.35">
      <c r="A333" s="6">
        <v>333</v>
      </c>
      <c r="B333" s="6" t="s">
        <v>5</v>
      </c>
      <c r="C333" s="10" t="s">
        <v>2</v>
      </c>
      <c r="D333" s="9" t="s">
        <v>1532</v>
      </c>
      <c r="E333" s="7">
        <f t="shared" si="12"/>
        <v>0</v>
      </c>
      <c r="F333" s="7">
        <f>-1*ROUND(1/6*(I333*IF(_xlfn.XLOOKUP(H333,'02效果表'!D:D,'02效果表'!E:E)&lt;0, _xlfn.XLOOKUP(H333,'02效果表'!D:D,'02效果表'!E:E), 0) +
K333*IF(_xlfn.XLOOKUP(J333,'02效果表'!D:D,'02效果表'!E:E)&lt;0, _xlfn.XLOOKUP(J333,'02效果表'!D:D,'02效果表'!E:E), 0) +
M333*IF(_xlfn.XLOOKUP(L333,'02效果表'!D:D,'02效果表'!E:E)&lt;0, _xlfn.XLOOKUP(L333,'02效果表'!D:D,'02效果表'!E:E), 0) +
O333*IF(_xlfn.XLOOKUP(N333,'02效果表'!D:D,'02效果表'!E:E)&lt;0, _xlfn.XLOOKUP(N333,'02效果表'!D:D,'02效果表'!E:E), 0) +
Q333*IF(_xlfn.XLOOKUP(P333,'02效果表'!D:D,'02效果表'!E:E)&lt;0, _xlfn.XLOOKUP(P333,'02效果表'!D:D,'02效果表'!E:E), 0) +
S333*IF(_xlfn.XLOOKUP(R333,'02效果表'!D:D,'02效果表'!E:E)&lt;0, _xlfn.XLOOKUP(R333,'02效果表'!D:D,'02效果表'!E:E), 0) +
U333*IF(_xlfn.XLOOKUP(T333,'02效果表'!D:D,'02效果表'!E:E)&lt;0, _xlfn.XLOOKUP(T333,'02效果表'!D:D,'02效果表'!E:E), 0) +
W333*IF(_xlfn.XLOOKUP(V333,'02效果表'!D:D,'02效果表'!E:E)&lt;0, _xlfn.XLOOKUP(V333,'02效果表'!D:D,'02效果表'!E:E), 0) +
Y333*IF(_xlfn.XLOOKUP(X333,'02效果表'!D:D,'02效果表'!E:E)&lt;0, _xlfn.XLOOKUP(X333,'02效果表'!D:D,'02效果表'!E:E), 0) +
AA333*IF(_xlfn.XLOOKUP(Z333,'02效果表'!D:D,'02效果表'!E:E)&lt;0, _xlfn.XLOOKUP(Z333,'02效果表'!D:D,'02效果表'!E:E), 0) +
AC333*IF(_xlfn.XLOOKUP(AB333,'02效果表'!D:D,'02效果表'!E:E)&lt;0, _xlfn.XLOOKUP(AB333,'02效果表'!D:D,'02效果表'!E:E), 0) +
AE333*IF(_xlfn.XLOOKUP(AD333,'02效果表'!D:D,'02效果表'!E:E)&lt;0, _xlfn.XLOOKUP(AD333,'02效果表'!D:D,'02效果表'!E:E), 0)), 1)</f>
        <v>0</v>
      </c>
      <c r="G333" s="7">
        <f>ROUND(1/6*(I333*MAX(_xlfn.XLOOKUP(H333,'02效果表'!D:D,'02效果表'!E:E),0)+K333*MAX(_xlfn.XLOOKUP(J333,'02效果表'!D:D,'02效果表'!E:E),0)+M333*MAX(_xlfn.XLOOKUP(L333,'02效果表'!D:D,'02效果表'!E:E),0)+O333*MAX(_xlfn.XLOOKUP(N333,'02效果表'!D:D,'02效果表'!E:E),0)+Q333*MAX(_xlfn.XLOOKUP(P333,'02效果表'!D:D,'02效果表'!E:E),0)+S333*MAX(_xlfn.XLOOKUP(R333,'02效果表'!D:D,'02效果表'!E:E),0)+U333*MAX(_xlfn.XLOOKUP(T333,'02效果表'!D:D,'02效果表'!E:E),0)+W333*MAX(_xlfn.XLOOKUP(V333,'02效果表'!D:D,'02效果表'!E:E),0)+Y333*MAX(_xlfn.XLOOKUP(X333,'02效果表'!D:D,'02效果表'!E:E),0)+AA333*MAX(_xlfn.XLOOKUP(Z333,'02效果表'!D:D,'02效果表'!E:E),0)+AC333*MAX(_xlfn.XLOOKUP(AB333,'02效果表'!D:D,'02效果表'!E:E),0)+AE333*MAX(_xlfn.XLOOKUP(AD333,'02效果表'!D:D,'02效果表'!E:E),0)),1)</f>
        <v>0</v>
      </c>
      <c r="H333" s="6"/>
      <c r="I333" s="6"/>
      <c r="J333" s="6"/>
      <c r="K333" s="6"/>
      <c r="L333" s="6"/>
      <c r="M333" s="6"/>
      <c r="N333" s="6"/>
      <c r="O333" s="6"/>
      <c r="P333" s="6"/>
      <c r="Q333" s="6"/>
      <c r="R333" s="6"/>
      <c r="S333" s="6"/>
      <c r="T333" s="6"/>
      <c r="U333" s="6"/>
      <c r="V333" s="6"/>
      <c r="W333" s="6"/>
      <c r="X333" s="6"/>
      <c r="Y333" s="6"/>
      <c r="Z333" s="6"/>
      <c r="AA333" s="6"/>
      <c r="AB333" s="6"/>
      <c r="AC333" s="6"/>
      <c r="AD333" s="6"/>
      <c r="AE333" s="6"/>
    </row>
    <row r="334" spans="1:31" x14ac:dyDescent="0.35">
      <c r="A334" s="6">
        <v>334</v>
      </c>
      <c r="B334" s="6" t="s">
        <v>5</v>
      </c>
      <c r="C334" s="10" t="s">
        <v>2</v>
      </c>
      <c r="D334" s="9" t="s">
        <v>1533</v>
      </c>
      <c r="E334" s="7">
        <f t="shared" si="12"/>
        <v>0</v>
      </c>
      <c r="F334" s="7">
        <f>-1*ROUND(1/6*(I334*IF(_xlfn.XLOOKUP(H334,'02效果表'!D:D,'02效果表'!E:E)&lt;0, _xlfn.XLOOKUP(H334,'02效果表'!D:D,'02效果表'!E:E), 0) +
K334*IF(_xlfn.XLOOKUP(J334,'02效果表'!D:D,'02效果表'!E:E)&lt;0, _xlfn.XLOOKUP(J334,'02效果表'!D:D,'02效果表'!E:E), 0) +
M334*IF(_xlfn.XLOOKUP(L334,'02效果表'!D:D,'02效果表'!E:E)&lt;0, _xlfn.XLOOKUP(L334,'02效果表'!D:D,'02效果表'!E:E), 0) +
O334*IF(_xlfn.XLOOKUP(N334,'02效果表'!D:D,'02效果表'!E:E)&lt;0, _xlfn.XLOOKUP(N334,'02效果表'!D:D,'02效果表'!E:E), 0) +
Q334*IF(_xlfn.XLOOKUP(P334,'02效果表'!D:D,'02效果表'!E:E)&lt;0, _xlfn.XLOOKUP(P334,'02效果表'!D:D,'02效果表'!E:E), 0) +
S334*IF(_xlfn.XLOOKUP(R334,'02效果表'!D:D,'02效果表'!E:E)&lt;0, _xlfn.XLOOKUP(R334,'02效果表'!D:D,'02效果表'!E:E), 0) +
U334*IF(_xlfn.XLOOKUP(T334,'02效果表'!D:D,'02效果表'!E:E)&lt;0, _xlfn.XLOOKUP(T334,'02效果表'!D:D,'02效果表'!E:E), 0) +
W334*IF(_xlfn.XLOOKUP(V334,'02效果表'!D:D,'02效果表'!E:E)&lt;0, _xlfn.XLOOKUP(V334,'02效果表'!D:D,'02效果表'!E:E), 0) +
Y334*IF(_xlfn.XLOOKUP(X334,'02效果表'!D:D,'02效果表'!E:E)&lt;0, _xlfn.XLOOKUP(X334,'02效果表'!D:D,'02效果表'!E:E), 0) +
AA334*IF(_xlfn.XLOOKUP(Z334,'02效果表'!D:D,'02效果表'!E:E)&lt;0, _xlfn.XLOOKUP(Z334,'02效果表'!D:D,'02效果表'!E:E), 0) +
AC334*IF(_xlfn.XLOOKUP(AB334,'02效果表'!D:D,'02效果表'!E:E)&lt;0, _xlfn.XLOOKUP(AB334,'02效果表'!D:D,'02效果表'!E:E), 0) +
AE334*IF(_xlfn.XLOOKUP(AD334,'02效果表'!D:D,'02效果表'!E:E)&lt;0, _xlfn.XLOOKUP(AD334,'02效果表'!D:D,'02效果表'!E:E), 0)), 1)</f>
        <v>0</v>
      </c>
      <c r="G334" s="7">
        <f>ROUND(1/6*(I334*MAX(_xlfn.XLOOKUP(H334,'02效果表'!D:D,'02效果表'!E:E),0)+K334*MAX(_xlfn.XLOOKUP(J334,'02效果表'!D:D,'02效果表'!E:E),0)+M334*MAX(_xlfn.XLOOKUP(L334,'02效果表'!D:D,'02效果表'!E:E),0)+O334*MAX(_xlfn.XLOOKUP(N334,'02效果表'!D:D,'02效果表'!E:E),0)+Q334*MAX(_xlfn.XLOOKUP(P334,'02效果表'!D:D,'02效果表'!E:E),0)+S334*MAX(_xlfn.XLOOKUP(R334,'02效果表'!D:D,'02效果表'!E:E),0)+U334*MAX(_xlfn.XLOOKUP(T334,'02效果表'!D:D,'02效果表'!E:E),0)+W334*MAX(_xlfn.XLOOKUP(V334,'02效果表'!D:D,'02效果表'!E:E),0)+Y334*MAX(_xlfn.XLOOKUP(X334,'02效果表'!D:D,'02效果表'!E:E),0)+AA334*MAX(_xlfn.XLOOKUP(Z334,'02效果表'!D:D,'02效果表'!E:E),0)+AC334*MAX(_xlfn.XLOOKUP(AB334,'02效果表'!D:D,'02效果表'!E:E),0)+AE334*MAX(_xlfn.XLOOKUP(AD334,'02效果表'!D:D,'02效果表'!E:E),0)),1)</f>
        <v>0</v>
      </c>
      <c r="H334" s="6"/>
      <c r="I334" s="6"/>
      <c r="J334" s="6"/>
      <c r="K334" s="6"/>
      <c r="L334" s="6"/>
      <c r="M334" s="6"/>
      <c r="N334" s="6"/>
      <c r="O334" s="6"/>
      <c r="P334" s="6"/>
      <c r="Q334" s="6"/>
      <c r="R334" s="6"/>
      <c r="S334" s="6"/>
      <c r="T334" s="6"/>
      <c r="U334" s="6"/>
      <c r="V334" s="6"/>
      <c r="W334" s="6"/>
      <c r="X334" s="6"/>
      <c r="Y334" s="6"/>
      <c r="Z334" s="6"/>
      <c r="AA334" s="6"/>
      <c r="AB334" s="6"/>
      <c r="AC334" s="6"/>
      <c r="AD334" s="6"/>
      <c r="AE334" s="6"/>
    </row>
    <row r="335" spans="1:31" x14ac:dyDescent="0.35">
      <c r="A335" s="6">
        <v>335</v>
      </c>
      <c r="B335" s="6" t="s">
        <v>5</v>
      </c>
      <c r="C335" s="10" t="s">
        <v>2</v>
      </c>
      <c r="D335" s="9" t="s">
        <v>1534</v>
      </c>
      <c r="E335" s="7">
        <f t="shared" si="12"/>
        <v>0</v>
      </c>
      <c r="F335" s="7">
        <f>-1*ROUND(1/6*(I335*IF(_xlfn.XLOOKUP(H335,'02效果表'!D:D,'02效果表'!E:E)&lt;0, _xlfn.XLOOKUP(H335,'02效果表'!D:D,'02效果表'!E:E), 0) +
K335*IF(_xlfn.XLOOKUP(J335,'02效果表'!D:D,'02效果表'!E:E)&lt;0, _xlfn.XLOOKUP(J335,'02效果表'!D:D,'02效果表'!E:E), 0) +
M335*IF(_xlfn.XLOOKUP(L335,'02效果表'!D:D,'02效果表'!E:E)&lt;0, _xlfn.XLOOKUP(L335,'02效果表'!D:D,'02效果表'!E:E), 0) +
O335*IF(_xlfn.XLOOKUP(N335,'02效果表'!D:D,'02效果表'!E:E)&lt;0, _xlfn.XLOOKUP(N335,'02效果表'!D:D,'02效果表'!E:E), 0) +
Q335*IF(_xlfn.XLOOKUP(P335,'02效果表'!D:D,'02效果表'!E:E)&lt;0, _xlfn.XLOOKUP(P335,'02效果表'!D:D,'02效果表'!E:E), 0) +
S335*IF(_xlfn.XLOOKUP(R335,'02效果表'!D:D,'02效果表'!E:E)&lt;0, _xlfn.XLOOKUP(R335,'02效果表'!D:D,'02效果表'!E:E), 0) +
U335*IF(_xlfn.XLOOKUP(T335,'02效果表'!D:D,'02效果表'!E:E)&lt;0, _xlfn.XLOOKUP(T335,'02效果表'!D:D,'02效果表'!E:E), 0) +
W335*IF(_xlfn.XLOOKUP(V335,'02效果表'!D:D,'02效果表'!E:E)&lt;0, _xlfn.XLOOKUP(V335,'02效果表'!D:D,'02效果表'!E:E), 0) +
Y335*IF(_xlfn.XLOOKUP(X335,'02效果表'!D:D,'02效果表'!E:E)&lt;0, _xlfn.XLOOKUP(X335,'02效果表'!D:D,'02效果表'!E:E), 0) +
AA335*IF(_xlfn.XLOOKUP(Z335,'02效果表'!D:D,'02效果表'!E:E)&lt;0, _xlfn.XLOOKUP(Z335,'02效果表'!D:D,'02效果表'!E:E), 0) +
AC335*IF(_xlfn.XLOOKUP(AB335,'02效果表'!D:D,'02效果表'!E:E)&lt;0, _xlfn.XLOOKUP(AB335,'02效果表'!D:D,'02效果表'!E:E), 0) +
AE335*IF(_xlfn.XLOOKUP(AD335,'02效果表'!D:D,'02效果表'!E:E)&lt;0, _xlfn.XLOOKUP(AD335,'02效果表'!D:D,'02效果表'!E:E), 0)), 1)</f>
        <v>0</v>
      </c>
      <c r="G335" s="7">
        <f>ROUND(1/6*(I335*MAX(_xlfn.XLOOKUP(H335,'02效果表'!D:D,'02效果表'!E:E),0)+K335*MAX(_xlfn.XLOOKUP(J335,'02效果表'!D:D,'02效果表'!E:E),0)+M335*MAX(_xlfn.XLOOKUP(L335,'02效果表'!D:D,'02效果表'!E:E),0)+O335*MAX(_xlfn.XLOOKUP(N335,'02效果表'!D:D,'02效果表'!E:E),0)+Q335*MAX(_xlfn.XLOOKUP(P335,'02效果表'!D:D,'02效果表'!E:E),0)+S335*MAX(_xlfn.XLOOKUP(R335,'02效果表'!D:D,'02效果表'!E:E),0)+U335*MAX(_xlfn.XLOOKUP(T335,'02效果表'!D:D,'02效果表'!E:E),0)+W335*MAX(_xlfn.XLOOKUP(V335,'02效果表'!D:D,'02效果表'!E:E),0)+Y335*MAX(_xlfn.XLOOKUP(X335,'02效果表'!D:D,'02效果表'!E:E),0)+AA335*MAX(_xlfn.XLOOKUP(Z335,'02效果表'!D:D,'02效果表'!E:E),0)+AC335*MAX(_xlfn.XLOOKUP(AB335,'02效果表'!D:D,'02效果表'!E:E),0)+AE335*MAX(_xlfn.XLOOKUP(AD335,'02效果表'!D:D,'02效果表'!E:E),0)),1)</f>
        <v>0</v>
      </c>
      <c r="H335" s="6"/>
      <c r="I335" s="6"/>
      <c r="J335" s="6"/>
      <c r="K335" s="6"/>
      <c r="L335" s="6"/>
      <c r="M335" s="6"/>
      <c r="N335" s="6"/>
      <c r="O335" s="6"/>
      <c r="P335" s="6"/>
      <c r="Q335" s="6"/>
      <c r="R335" s="6"/>
      <c r="S335" s="6"/>
      <c r="T335" s="6"/>
      <c r="U335" s="6"/>
      <c r="V335" s="6"/>
      <c r="W335" s="6"/>
      <c r="X335" s="6"/>
      <c r="Y335" s="6"/>
      <c r="Z335" s="6"/>
      <c r="AA335" s="6"/>
      <c r="AB335" s="6"/>
      <c r="AC335" s="6"/>
      <c r="AD335" s="6"/>
      <c r="AE335" s="6"/>
    </row>
    <row r="336" spans="1:31" x14ac:dyDescent="0.35">
      <c r="A336" s="6">
        <v>336</v>
      </c>
      <c r="B336" s="6" t="s">
        <v>5</v>
      </c>
      <c r="C336" s="10" t="s">
        <v>2</v>
      </c>
      <c r="D336" s="9" t="s">
        <v>1535</v>
      </c>
      <c r="E336" s="7">
        <f t="shared" si="12"/>
        <v>0</v>
      </c>
      <c r="F336" s="7">
        <f>-1*ROUND(1/6*(I336*IF(_xlfn.XLOOKUP(H336,'02效果表'!D:D,'02效果表'!E:E)&lt;0, _xlfn.XLOOKUP(H336,'02效果表'!D:D,'02效果表'!E:E), 0) +
K336*IF(_xlfn.XLOOKUP(J336,'02效果表'!D:D,'02效果表'!E:E)&lt;0, _xlfn.XLOOKUP(J336,'02效果表'!D:D,'02效果表'!E:E), 0) +
M336*IF(_xlfn.XLOOKUP(L336,'02效果表'!D:D,'02效果表'!E:E)&lt;0, _xlfn.XLOOKUP(L336,'02效果表'!D:D,'02效果表'!E:E), 0) +
O336*IF(_xlfn.XLOOKUP(N336,'02效果表'!D:D,'02效果表'!E:E)&lt;0, _xlfn.XLOOKUP(N336,'02效果表'!D:D,'02效果表'!E:E), 0) +
Q336*IF(_xlfn.XLOOKUP(P336,'02效果表'!D:D,'02效果表'!E:E)&lt;0, _xlfn.XLOOKUP(P336,'02效果表'!D:D,'02效果表'!E:E), 0) +
S336*IF(_xlfn.XLOOKUP(R336,'02效果表'!D:D,'02效果表'!E:E)&lt;0, _xlfn.XLOOKUP(R336,'02效果表'!D:D,'02效果表'!E:E), 0) +
U336*IF(_xlfn.XLOOKUP(T336,'02效果表'!D:D,'02效果表'!E:E)&lt;0, _xlfn.XLOOKUP(T336,'02效果表'!D:D,'02效果表'!E:E), 0) +
W336*IF(_xlfn.XLOOKUP(V336,'02效果表'!D:D,'02效果表'!E:E)&lt;0, _xlfn.XLOOKUP(V336,'02效果表'!D:D,'02效果表'!E:E), 0) +
Y336*IF(_xlfn.XLOOKUP(X336,'02效果表'!D:D,'02效果表'!E:E)&lt;0, _xlfn.XLOOKUP(X336,'02效果表'!D:D,'02效果表'!E:E), 0) +
AA336*IF(_xlfn.XLOOKUP(Z336,'02效果表'!D:D,'02效果表'!E:E)&lt;0, _xlfn.XLOOKUP(Z336,'02效果表'!D:D,'02效果表'!E:E), 0) +
AC336*IF(_xlfn.XLOOKUP(AB336,'02效果表'!D:D,'02效果表'!E:E)&lt;0, _xlfn.XLOOKUP(AB336,'02效果表'!D:D,'02效果表'!E:E), 0) +
AE336*IF(_xlfn.XLOOKUP(AD336,'02效果表'!D:D,'02效果表'!E:E)&lt;0, _xlfn.XLOOKUP(AD336,'02效果表'!D:D,'02效果表'!E:E), 0)), 1)</f>
        <v>0</v>
      </c>
      <c r="G336" s="7">
        <f>ROUND(1/6*(I336*MAX(_xlfn.XLOOKUP(H336,'02效果表'!D:D,'02效果表'!E:E),0)+K336*MAX(_xlfn.XLOOKUP(J336,'02效果表'!D:D,'02效果表'!E:E),0)+M336*MAX(_xlfn.XLOOKUP(L336,'02效果表'!D:D,'02效果表'!E:E),0)+O336*MAX(_xlfn.XLOOKUP(N336,'02效果表'!D:D,'02效果表'!E:E),0)+Q336*MAX(_xlfn.XLOOKUP(P336,'02效果表'!D:D,'02效果表'!E:E),0)+S336*MAX(_xlfn.XLOOKUP(R336,'02效果表'!D:D,'02效果表'!E:E),0)+U336*MAX(_xlfn.XLOOKUP(T336,'02效果表'!D:D,'02效果表'!E:E),0)+W336*MAX(_xlfn.XLOOKUP(V336,'02效果表'!D:D,'02效果表'!E:E),0)+Y336*MAX(_xlfn.XLOOKUP(X336,'02效果表'!D:D,'02效果表'!E:E),0)+AA336*MAX(_xlfn.XLOOKUP(Z336,'02效果表'!D:D,'02效果表'!E:E),0)+AC336*MAX(_xlfn.XLOOKUP(AB336,'02效果表'!D:D,'02效果表'!E:E),0)+AE336*MAX(_xlfn.XLOOKUP(AD336,'02效果表'!D:D,'02效果表'!E:E),0)),1)</f>
        <v>0</v>
      </c>
      <c r="H336" s="6"/>
      <c r="I336" s="6"/>
      <c r="J336" s="6"/>
      <c r="K336" s="6"/>
      <c r="L336" s="6"/>
      <c r="M336" s="6"/>
      <c r="N336" s="6"/>
      <c r="O336" s="6"/>
      <c r="P336" s="6"/>
      <c r="Q336" s="6"/>
      <c r="R336" s="6"/>
      <c r="S336" s="6"/>
      <c r="T336" s="6"/>
      <c r="U336" s="6"/>
      <c r="V336" s="6"/>
      <c r="W336" s="6"/>
      <c r="X336" s="6"/>
      <c r="Y336" s="6"/>
      <c r="Z336" s="6"/>
      <c r="AA336" s="6"/>
      <c r="AB336" s="6"/>
      <c r="AC336" s="6"/>
      <c r="AD336" s="6"/>
      <c r="AE336" s="6"/>
    </row>
    <row r="337" spans="1:31" x14ac:dyDescent="0.35">
      <c r="A337" s="6">
        <v>337</v>
      </c>
      <c r="B337" s="6" t="s">
        <v>5</v>
      </c>
      <c r="C337" s="10" t="s">
        <v>2</v>
      </c>
      <c r="D337" s="9" t="s">
        <v>1536</v>
      </c>
      <c r="E337" s="7">
        <f t="shared" si="12"/>
        <v>0</v>
      </c>
      <c r="F337" s="7">
        <f>-1*ROUND(1/6*(I337*IF(_xlfn.XLOOKUP(H337,'02效果表'!D:D,'02效果表'!E:E)&lt;0, _xlfn.XLOOKUP(H337,'02效果表'!D:D,'02效果表'!E:E), 0) +
K337*IF(_xlfn.XLOOKUP(J337,'02效果表'!D:D,'02效果表'!E:E)&lt;0, _xlfn.XLOOKUP(J337,'02效果表'!D:D,'02效果表'!E:E), 0) +
M337*IF(_xlfn.XLOOKUP(L337,'02效果表'!D:D,'02效果表'!E:E)&lt;0, _xlfn.XLOOKUP(L337,'02效果表'!D:D,'02效果表'!E:E), 0) +
O337*IF(_xlfn.XLOOKUP(N337,'02效果表'!D:D,'02效果表'!E:E)&lt;0, _xlfn.XLOOKUP(N337,'02效果表'!D:D,'02效果表'!E:E), 0) +
Q337*IF(_xlfn.XLOOKUP(P337,'02效果表'!D:D,'02效果表'!E:E)&lt;0, _xlfn.XLOOKUP(P337,'02效果表'!D:D,'02效果表'!E:E), 0) +
S337*IF(_xlfn.XLOOKUP(R337,'02效果表'!D:D,'02效果表'!E:E)&lt;0, _xlfn.XLOOKUP(R337,'02效果表'!D:D,'02效果表'!E:E), 0) +
U337*IF(_xlfn.XLOOKUP(T337,'02效果表'!D:D,'02效果表'!E:E)&lt;0, _xlfn.XLOOKUP(T337,'02效果表'!D:D,'02效果表'!E:E), 0) +
W337*IF(_xlfn.XLOOKUP(V337,'02效果表'!D:D,'02效果表'!E:E)&lt;0, _xlfn.XLOOKUP(V337,'02效果表'!D:D,'02效果表'!E:E), 0) +
Y337*IF(_xlfn.XLOOKUP(X337,'02效果表'!D:D,'02效果表'!E:E)&lt;0, _xlfn.XLOOKUP(X337,'02效果表'!D:D,'02效果表'!E:E), 0) +
AA337*IF(_xlfn.XLOOKUP(Z337,'02效果表'!D:D,'02效果表'!E:E)&lt;0, _xlfn.XLOOKUP(Z337,'02效果表'!D:D,'02效果表'!E:E), 0) +
AC337*IF(_xlfn.XLOOKUP(AB337,'02效果表'!D:D,'02效果表'!E:E)&lt;0, _xlfn.XLOOKUP(AB337,'02效果表'!D:D,'02效果表'!E:E), 0) +
AE337*IF(_xlfn.XLOOKUP(AD337,'02效果表'!D:D,'02效果表'!E:E)&lt;0, _xlfn.XLOOKUP(AD337,'02效果表'!D:D,'02效果表'!E:E), 0)), 1)</f>
        <v>0</v>
      </c>
      <c r="G337" s="7">
        <f>ROUND(1/6*(I337*MAX(_xlfn.XLOOKUP(H337,'02效果表'!D:D,'02效果表'!E:E),0)+K337*MAX(_xlfn.XLOOKUP(J337,'02效果表'!D:D,'02效果表'!E:E),0)+M337*MAX(_xlfn.XLOOKUP(L337,'02效果表'!D:D,'02效果表'!E:E),0)+O337*MAX(_xlfn.XLOOKUP(N337,'02效果表'!D:D,'02效果表'!E:E),0)+Q337*MAX(_xlfn.XLOOKUP(P337,'02效果表'!D:D,'02效果表'!E:E),0)+S337*MAX(_xlfn.XLOOKUP(R337,'02效果表'!D:D,'02效果表'!E:E),0)+U337*MAX(_xlfn.XLOOKUP(T337,'02效果表'!D:D,'02效果表'!E:E),0)+W337*MAX(_xlfn.XLOOKUP(V337,'02效果表'!D:D,'02效果表'!E:E),0)+Y337*MAX(_xlfn.XLOOKUP(X337,'02效果表'!D:D,'02效果表'!E:E),0)+AA337*MAX(_xlfn.XLOOKUP(Z337,'02效果表'!D:D,'02效果表'!E:E),0)+AC337*MAX(_xlfn.XLOOKUP(AB337,'02效果表'!D:D,'02效果表'!E:E),0)+AE337*MAX(_xlfn.XLOOKUP(AD337,'02效果表'!D:D,'02效果表'!E:E),0)),1)</f>
        <v>0</v>
      </c>
      <c r="H337" s="6"/>
      <c r="I337" s="6"/>
      <c r="J337" s="6"/>
      <c r="K337" s="6"/>
      <c r="L337" s="6"/>
      <c r="M337" s="6"/>
      <c r="N337" s="6"/>
      <c r="O337" s="6"/>
      <c r="P337" s="6"/>
      <c r="Q337" s="6"/>
      <c r="R337" s="6"/>
      <c r="S337" s="6"/>
      <c r="T337" s="6"/>
      <c r="U337" s="6"/>
      <c r="V337" s="6"/>
      <c r="W337" s="6"/>
      <c r="X337" s="6"/>
      <c r="Y337" s="6"/>
      <c r="Z337" s="6"/>
      <c r="AA337" s="6"/>
      <c r="AB337" s="6"/>
      <c r="AC337" s="6"/>
      <c r="AD337" s="6"/>
      <c r="AE337" s="6"/>
    </row>
    <row r="338" spans="1:31" x14ac:dyDescent="0.35">
      <c r="A338" s="6">
        <v>338</v>
      </c>
      <c r="B338" s="6" t="s">
        <v>5</v>
      </c>
      <c r="C338" s="10" t="s">
        <v>2</v>
      </c>
      <c r="D338" s="9" t="s">
        <v>1537</v>
      </c>
      <c r="E338" s="7">
        <f t="shared" si="12"/>
        <v>0</v>
      </c>
      <c r="F338" s="7">
        <f>-1*ROUND(1/6*(I338*IF(_xlfn.XLOOKUP(H338,'02效果表'!D:D,'02效果表'!E:E)&lt;0, _xlfn.XLOOKUP(H338,'02效果表'!D:D,'02效果表'!E:E), 0) +
K338*IF(_xlfn.XLOOKUP(J338,'02效果表'!D:D,'02效果表'!E:E)&lt;0, _xlfn.XLOOKUP(J338,'02效果表'!D:D,'02效果表'!E:E), 0) +
M338*IF(_xlfn.XLOOKUP(L338,'02效果表'!D:D,'02效果表'!E:E)&lt;0, _xlfn.XLOOKUP(L338,'02效果表'!D:D,'02效果表'!E:E), 0) +
O338*IF(_xlfn.XLOOKUP(N338,'02效果表'!D:D,'02效果表'!E:E)&lt;0, _xlfn.XLOOKUP(N338,'02效果表'!D:D,'02效果表'!E:E), 0) +
Q338*IF(_xlfn.XLOOKUP(P338,'02效果表'!D:D,'02效果表'!E:E)&lt;0, _xlfn.XLOOKUP(P338,'02效果表'!D:D,'02效果表'!E:E), 0) +
S338*IF(_xlfn.XLOOKUP(R338,'02效果表'!D:D,'02效果表'!E:E)&lt;0, _xlfn.XLOOKUP(R338,'02效果表'!D:D,'02效果表'!E:E), 0) +
U338*IF(_xlfn.XLOOKUP(T338,'02效果表'!D:D,'02效果表'!E:E)&lt;0, _xlfn.XLOOKUP(T338,'02效果表'!D:D,'02效果表'!E:E), 0) +
W338*IF(_xlfn.XLOOKUP(V338,'02效果表'!D:D,'02效果表'!E:E)&lt;0, _xlfn.XLOOKUP(V338,'02效果表'!D:D,'02效果表'!E:E), 0) +
Y338*IF(_xlfn.XLOOKUP(X338,'02效果表'!D:D,'02效果表'!E:E)&lt;0, _xlfn.XLOOKUP(X338,'02效果表'!D:D,'02效果表'!E:E), 0) +
AA338*IF(_xlfn.XLOOKUP(Z338,'02效果表'!D:D,'02效果表'!E:E)&lt;0, _xlfn.XLOOKUP(Z338,'02效果表'!D:D,'02效果表'!E:E), 0) +
AC338*IF(_xlfn.XLOOKUP(AB338,'02效果表'!D:D,'02效果表'!E:E)&lt;0, _xlfn.XLOOKUP(AB338,'02效果表'!D:D,'02效果表'!E:E), 0) +
AE338*IF(_xlfn.XLOOKUP(AD338,'02效果表'!D:D,'02效果表'!E:E)&lt;0, _xlfn.XLOOKUP(AD338,'02效果表'!D:D,'02效果表'!E:E), 0)), 1)</f>
        <v>0</v>
      </c>
      <c r="G338" s="7">
        <f>ROUND(1/6*(I338*MAX(_xlfn.XLOOKUP(H338,'02效果表'!D:D,'02效果表'!E:E),0)+K338*MAX(_xlfn.XLOOKUP(J338,'02效果表'!D:D,'02效果表'!E:E),0)+M338*MAX(_xlfn.XLOOKUP(L338,'02效果表'!D:D,'02效果表'!E:E),0)+O338*MAX(_xlfn.XLOOKUP(N338,'02效果表'!D:D,'02效果表'!E:E),0)+Q338*MAX(_xlfn.XLOOKUP(P338,'02效果表'!D:D,'02效果表'!E:E),0)+S338*MAX(_xlfn.XLOOKUP(R338,'02效果表'!D:D,'02效果表'!E:E),0)+U338*MAX(_xlfn.XLOOKUP(T338,'02效果表'!D:D,'02效果表'!E:E),0)+W338*MAX(_xlfn.XLOOKUP(V338,'02效果表'!D:D,'02效果表'!E:E),0)+Y338*MAX(_xlfn.XLOOKUP(X338,'02效果表'!D:D,'02效果表'!E:E),0)+AA338*MAX(_xlfn.XLOOKUP(Z338,'02效果表'!D:D,'02效果表'!E:E),0)+AC338*MAX(_xlfn.XLOOKUP(AB338,'02效果表'!D:D,'02效果表'!E:E),0)+AE338*MAX(_xlfn.XLOOKUP(AD338,'02效果表'!D:D,'02效果表'!E:E),0)),1)</f>
        <v>0</v>
      </c>
      <c r="H338" s="6"/>
      <c r="I338" s="6"/>
      <c r="J338" s="6"/>
      <c r="K338" s="6"/>
      <c r="L338" s="6"/>
      <c r="M338" s="6"/>
      <c r="N338" s="6"/>
      <c r="O338" s="6"/>
      <c r="P338" s="6"/>
      <c r="Q338" s="6"/>
      <c r="R338" s="6"/>
      <c r="S338" s="6"/>
      <c r="T338" s="6"/>
      <c r="U338" s="6"/>
      <c r="V338" s="6"/>
      <c r="W338" s="6"/>
      <c r="X338" s="6"/>
      <c r="Y338" s="6"/>
      <c r="Z338" s="6"/>
      <c r="AA338" s="6"/>
      <c r="AB338" s="6"/>
      <c r="AC338" s="6"/>
      <c r="AD338" s="6"/>
      <c r="AE338" s="6"/>
    </row>
    <row r="339" spans="1:31" x14ac:dyDescent="0.35">
      <c r="A339" s="6">
        <v>339</v>
      </c>
      <c r="B339" s="6" t="s">
        <v>5</v>
      </c>
      <c r="C339" s="10" t="s">
        <v>2</v>
      </c>
      <c r="D339" s="9" t="s">
        <v>1538</v>
      </c>
      <c r="E339" s="7">
        <f t="shared" si="12"/>
        <v>0</v>
      </c>
      <c r="F339" s="7">
        <f>-1*ROUND(1/6*(I339*IF(_xlfn.XLOOKUP(H339,'02效果表'!D:D,'02效果表'!E:E)&lt;0, _xlfn.XLOOKUP(H339,'02效果表'!D:D,'02效果表'!E:E), 0) +
K339*IF(_xlfn.XLOOKUP(J339,'02效果表'!D:D,'02效果表'!E:E)&lt;0, _xlfn.XLOOKUP(J339,'02效果表'!D:D,'02效果表'!E:E), 0) +
M339*IF(_xlfn.XLOOKUP(L339,'02效果表'!D:D,'02效果表'!E:E)&lt;0, _xlfn.XLOOKUP(L339,'02效果表'!D:D,'02效果表'!E:E), 0) +
O339*IF(_xlfn.XLOOKUP(N339,'02效果表'!D:D,'02效果表'!E:E)&lt;0, _xlfn.XLOOKUP(N339,'02效果表'!D:D,'02效果表'!E:E), 0) +
Q339*IF(_xlfn.XLOOKUP(P339,'02效果表'!D:D,'02效果表'!E:E)&lt;0, _xlfn.XLOOKUP(P339,'02效果表'!D:D,'02效果表'!E:E), 0) +
S339*IF(_xlfn.XLOOKUP(R339,'02效果表'!D:D,'02效果表'!E:E)&lt;0, _xlfn.XLOOKUP(R339,'02效果表'!D:D,'02效果表'!E:E), 0) +
U339*IF(_xlfn.XLOOKUP(T339,'02效果表'!D:D,'02效果表'!E:E)&lt;0, _xlfn.XLOOKUP(T339,'02效果表'!D:D,'02效果表'!E:E), 0) +
W339*IF(_xlfn.XLOOKUP(V339,'02效果表'!D:D,'02效果表'!E:E)&lt;0, _xlfn.XLOOKUP(V339,'02效果表'!D:D,'02效果表'!E:E), 0) +
Y339*IF(_xlfn.XLOOKUP(X339,'02效果表'!D:D,'02效果表'!E:E)&lt;0, _xlfn.XLOOKUP(X339,'02效果表'!D:D,'02效果表'!E:E), 0) +
AA339*IF(_xlfn.XLOOKUP(Z339,'02效果表'!D:D,'02效果表'!E:E)&lt;0, _xlfn.XLOOKUP(Z339,'02效果表'!D:D,'02效果表'!E:E), 0) +
AC339*IF(_xlfn.XLOOKUP(AB339,'02效果表'!D:D,'02效果表'!E:E)&lt;0, _xlfn.XLOOKUP(AB339,'02效果表'!D:D,'02效果表'!E:E), 0) +
AE339*IF(_xlfn.XLOOKUP(AD339,'02效果表'!D:D,'02效果表'!E:E)&lt;0, _xlfn.XLOOKUP(AD339,'02效果表'!D:D,'02效果表'!E:E), 0)), 1)</f>
        <v>0</v>
      </c>
      <c r="G339" s="7">
        <f>ROUND(1/6*(I339*MAX(_xlfn.XLOOKUP(H339,'02效果表'!D:D,'02效果表'!E:E),0)+K339*MAX(_xlfn.XLOOKUP(J339,'02效果表'!D:D,'02效果表'!E:E),0)+M339*MAX(_xlfn.XLOOKUP(L339,'02效果表'!D:D,'02效果表'!E:E),0)+O339*MAX(_xlfn.XLOOKUP(N339,'02效果表'!D:D,'02效果表'!E:E),0)+Q339*MAX(_xlfn.XLOOKUP(P339,'02效果表'!D:D,'02效果表'!E:E),0)+S339*MAX(_xlfn.XLOOKUP(R339,'02效果表'!D:D,'02效果表'!E:E),0)+U339*MAX(_xlfn.XLOOKUP(T339,'02效果表'!D:D,'02效果表'!E:E),0)+W339*MAX(_xlfn.XLOOKUP(V339,'02效果表'!D:D,'02效果表'!E:E),0)+Y339*MAX(_xlfn.XLOOKUP(X339,'02效果表'!D:D,'02效果表'!E:E),0)+AA339*MAX(_xlfn.XLOOKUP(Z339,'02效果表'!D:D,'02效果表'!E:E),0)+AC339*MAX(_xlfn.XLOOKUP(AB339,'02效果表'!D:D,'02效果表'!E:E),0)+AE339*MAX(_xlfn.XLOOKUP(AD339,'02效果表'!D:D,'02效果表'!E:E),0)),1)</f>
        <v>0</v>
      </c>
      <c r="H339" s="6"/>
      <c r="I339" s="6"/>
      <c r="J339" s="6"/>
      <c r="K339" s="6"/>
      <c r="L339" s="6"/>
      <c r="M339" s="6"/>
      <c r="N339" s="6"/>
      <c r="O339" s="6"/>
      <c r="P339" s="6"/>
      <c r="Q339" s="6"/>
      <c r="R339" s="6"/>
      <c r="S339" s="6"/>
      <c r="T339" s="6"/>
      <c r="U339" s="6"/>
      <c r="V339" s="6"/>
      <c r="W339" s="6"/>
      <c r="X339" s="6"/>
      <c r="Y339" s="6"/>
      <c r="Z339" s="6"/>
      <c r="AA339" s="6"/>
      <c r="AB339" s="6"/>
      <c r="AC339" s="6"/>
      <c r="AD339" s="6"/>
      <c r="AE339" s="6"/>
    </row>
    <row r="340" spans="1:31" x14ac:dyDescent="0.35">
      <c r="A340" s="6">
        <v>340</v>
      </c>
      <c r="B340" s="6" t="s">
        <v>5</v>
      </c>
      <c r="C340" s="10" t="s">
        <v>2</v>
      </c>
      <c r="D340" s="9" t="s">
        <v>1539</v>
      </c>
      <c r="E340" s="7">
        <f t="shared" si="12"/>
        <v>0</v>
      </c>
      <c r="F340" s="7">
        <f>-1*ROUND(1/6*(I340*IF(_xlfn.XLOOKUP(H340,'02效果表'!D:D,'02效果表'!E:E)&lt;0, _xlfn.XLOOKUP(H340,'02效果表'!D:D,'02效果表'!E:E), 0) +
K340*IF(_xlfn.XLOOKUP(J340,'02效果表'!D:D,'02效果表'!E:E)&lt;0, _xlfn.XLOOKUP(J340,'02效果表'!D:D,'02效果表'!E:E), 0) +
M340*IF(_xlfn.XLOOKUP(L340,'02效果表'!D:D,'02效果表'!E:E)&lt;0, _xlfn.XLOOKUP(L340,'02效果表'!D:D,'02效果表'!E:E), 0) +
O340*IF(_xlfn.XLOOKUP(N340,'02效果表'!D:D,'02效果表'!E:E)&lt;0, _xlfn.XLOOKUP(N340,'02效果表'!D:D,'02效果表'!E:E), 0) +
Q340*IF(_xlfn.XLOOKUP(P340,'02效果表'!D:D,'02效果表'!E:E)&lt;0, _xlfn.XLOOKUP(P340,'02效果表'!D:D,'02效果表'!E:E), 0) +
S340*IF(_xlfn.XLOOKUP(R340,'02效果表'!D:D,'02效果表'!E:E)&lt;0, _xlfn.XLOOKUP(R340,'02效果表'!D:D,'02效果表'!E:E), 0) +
U340*IF(_xlfn.XLOOKUP(T340,'02效果表'!D:D,'02效果表'!E:E)&lt;0, _xlfn.XLOOKUP(T340,'02效果表'!D:D,'02效果表'!E:E), 0) +
W340*IF(_xlfn.XLOOKUP(V340,'02效果表'!D:D,'02效果表'!E:E)&lt;0, _xlfn.XLOOKUP(V340,'02效果表'!D:D,'02效果表'!E:E), 0) +
Y340*IF(_xlfn.XLOOKUP(X340,'02效果表'!D:D,'02效果表'!E:E)&lt;0, _xlfn.XLOOKUP(X340,'02效果表'!D:D,'02效果表'!E:E), 0) +
AA340*IF(_xlfn.XLOOKUP(Z340,'02效果表'!D:D,'02效果表'!E:E)&lt;0, _xlfn.XLOOKUP(Z340,'02效果表'!D:D,'02效果表'!E:E), 0) +
AC340*IF(_xlfn.XLOOKUP(AB340,'02效果表'!D:D,'02效果表'!E:E)&lt;0, _xlfn.XLOOKUP(AB340,'02效果表'!D:D,'02效果表'!E:E), 0) +
AE340*IF(_xlfn.XLOOKUP(AD340,'02效果表'!D:D,'02效果表'!E:E)&lt;0, _xlfn.XLOOKUP(AD340,'02效果表'!D:D,'02效果表'!E:E), 0)), 1)</f>
        <v>0</v>
      </c>
      <c r="G340" s="7">
        <f>ROUND(1/6*(I340*MAX(_xlfn.XLOOKUP(H340,'02效果表'!D:D,'02效果表'!E:E),0)+K340*MAX(_xlfn.XLOOKUP(J340,'02效果表'!D:D,'02效果表'!E:E),0)+M340*MAX(_xlfn.XLOOKUP(L340,'02效果表'!D:D,'02效果表'!E:E),0)+O340*MAX(_xlfn.XLOOKUP(N340,'02效果表'!D:D,'02效果表'!E:E),0)+Q340*MAX(_xlfn.XLOOKUP(P340,'02效果表'!D:D,'02效果表'!E:E),0)+S340*MAX(_xlfn.XLOOKUP(R340,'02效果表'!D:D,'02效果表'!E:E),0)+U340*MAX(_xlfn.XLOOKUP(T340,'02效果表'!D:D,'02效果表'!E:E),0)+W340*MAX(_xlfn.XLOOKUP(V340,'02效果表'!D:D,'02效果表'!E:E),0)+Y340*MAX(_xlfn.XLOOKUP(X340,'02效果表'!D:D,'02效果表'!E:E),0)+AA340*MAX(_xlfn.XLOOKUP(Z340,'02效果表'!D:D,'02效果表'!E:E),0)+AC340*MAX(_xlfn.XLOOKUP(AB340,'02效果表'!D:D,'02效果表'!E:E),0)+AE340*MAX(_xlfn.XLOOKUP(AD340,'02效果表'!D:D,'02效果表'!E:E),0)),1)</f>
        <v>0</v>
      </c>
      <c r="H340" s="6"/>
      <c r="I340" s="6"/>
      <c r="J340" s="6"/>
      <c r="K340" s="6"/>
      <c r="L340" s="6"/>
      <c r="M340" s="6"/>
      <c r="N340" s="6"/>
      <c r="O340" s="6"/>
      <c r="P340" s="6"/>
      <c r="Q340" s="6"/>
      <c r="R340" s="6"/>
      <c r="S340" s="6"/>
      <c r="T340" s="6"/>
      <c r="U340" s="6"/>
      <c r="V340" s="6"/>
      <c r="W340" s="6"/>
      <c r="X340" s="6"/>
      <c r="Y340" s="6"/>
      <c r="Z340" s="6"/>
      <c r="AA340" s="6"/>
      <c r="AB340" s="6"/>
      <c r="AC340" s="6"/>
      <c r="AD340" s="6"/>
      <c r="AE340" s="6"/>
    </row>
    <row r="341" spans="1:31" x14ac:dyDescent="0.35">
      <c r="A341" s="6">
        <v>341</v>
      </c>
      <c r="B341" s="6" t="s">
        <v>5</v>
      </c>
      <c r="C341" s="10" t="s">
        <v>2</v>
      </c>
      <c r="D341" s="9" t="s">
        <v>1540</v>
      </c>
      <c r="E341" s="7">
        <f t="shared" si="12"/>
        <v>0</v>
      </c>
      <c r="F341" s="7">
        <f>-1*ROUND(1/6*(I341*IF(_xlfn.XLOOKUP(H341,'02效果表'!D:D,'02效果表'!E:E)&lt;0, _xlfn.XLOOKUP(H341,'02效果表'!D:D,'02效果表'!E:E), 0) +
K341*IF(_xlfn.XLOOKUP(J341,'02效果表'!D:D,'02效果表'!E:E)&lt;0, _xlfn.XLOOKUP(J341,'02效果表'!D:D,'02效果表'!E:E), 0) +
M341*IF(_xlfn.XLOOKUP(L341,'02效果表'!D:D,'02效果表'!E:E)&lt;0, _xlfn.XLOOKUP(L341,'02效果表'!D:D,'02效果表'!E:E), 0) +
O341*IF(_xlfn.XLOOKUP(N341,'02效果表'!D:D,'02效果表'!E:E)&lt;0, _xlfn.XLOOKUP(N341,'02效果表'!D:D,'02效果表'!E:E), 0) +
Q341*IF(_xlfn.XLOOKUP(P341,'02效果表'!D:D,'02效果表'!E:E)&lt;0, _xlfn.XLOOKUP(P341,'02效果表'!D:D,'02效果表'!E:E), 0) +
S341*IF(_xlfn.XLOOKUP(R341,'02效果表'!D:D,'02效果表'!E:E)&lt;0, _xlfn.XLOOKUP(R341,'02效果表'!D:D,'02效果表'!E:E), 0) +
U341*IF(_xlfn.XLOOKUP(T341,'02效果表'!D:D,'02效果表'!E:E)&lt;0, _xlfn.XLOOKUP(T341,'02效果表'!D:D,'02效果表'!E:E), 0) +
W341*IF(_xlfn.XLOOKUP(V341,'02效果表'!D:D,'02效果表'!E:E)&lt;0, _xlfn.XLOOKUP(V341,'02效果表'!D:D,'02效果表'!E:E), 0) +
Y341*IF(_xlfn.XLOOKUP(X341,'02效果表'!D:D,'02效果表'!E:E)&lt;0, _xlfn.XLOOKUP(X341,'02效果表'!D:D,'02效果表'!E:E), 0) +
AA341*IF(_xlfn.XLOOKUP(Z341,'02效果表'!D:D,'02效果表'!E:E)&lt;0, _xlfn.XLOOKUP(Z341,'02效果表'!D:D,'02效果表'!E:E), 0) +
AC341*IF(_xlfn.XLOOKUP(AB341,'02效果表'!D:D,'02效果表'!E:E)&lt;0, _xlfn.XLOOKUP(AB341,'02效果表'!D:D,'02效果表'!E:E), 0) +
AE341*IF(_xlfn.XLOOKUP(AD341,'02效果表'!D:D,'02效果表'!E:E)&lt;0, _xlfn.XLOOKUP(AD341,'02效果表'!D:D,'02效果表'!E:E), 0)), 1)</f>
        <v>0</v>
      </c>
      <c r="G341" s="7">
        <f>ROUND(1/6*(I341*MAX(_xlfn.XLOOKUP(H341,'02效果表'!D:D,'02效果表'!E:E),0)+K341*MAX(_xlfn.XLOOKUP(J341,'02效果表'!D:D,'02效果表'!E:E),0)+M341*MAX(_xlfn.XLOOKUP(L341,'02效果表'!D:D,'02效果表'!E:E),0)+O341*MAX(_xlfn.XLOOKUP(N341,'02效果表'!D:D,'02效果表'!E:E),0)+Q341*MAX(_xlfn.XLOOKUP(P341,'02效果表'!D:D,'02效果表'!E:E),0)+S341*MAX(_xlfn.XLOOKUP(R341,'02效果表'!D:D,'02效果表'!E:E),0)+U341*MAX(_xlfn.XLOOKUP(T341,'02效果表'!D:D,'02效果表'!E:E),0)+W341*MAX(_xlfn.XLOOKUP(V341,'02效果表'!D:D,'02效果表'!E:E),0)+Y341*MAX(_xlfn.XLOOKUP(X341,'02效果表'!D:D,'02效果表'!E:E),0)+AA341*MAX(_xlfn.XLOOKUP(Z341,'02效果表'!D:D,'02效果表'!E:E),0)+AC341*MAX(_xlfn.XLOOKUP(AB341,'02效果表'!D:D,'02效果表'!E:E),0)+AE341*MAX(_xlfn.XLOOKUP(AD341,'02效果表'!D:D,'02效果表'!E:E),0)),1)</f>
        <v>0</v>
      </c>
      <c r="H341" s="6"/>
      <c r="I341" s="6"/>
      <c r="J341" s="6"/>
      <c r="K341" s="6"/>
      <c r="L341" s="6"/>
      <c r="M341" s="6"/>
      <c r="N341" s="6"/>
      <c r="O341" s="6"/>
      <c r="P341" s="6"/>
      <c r="Q341" s="6"/>
      <c r="R341" s="6"/>
      <c r="S341" s="6"/>
      <c r="T341" s="6"/>
      <c r="U341" s="6"/>
      <c r="V341" s="6"/>
      <c r="W341" s="6"/>
      <c r="X341" s="6"/>
      <c r="Y341" s="6"/>
      <c r="Z341" s="6"/>
      <c r="AA341" s="6"/>
      <c r="AB341" s="6"/>
      <c r="AC341" s="6"/>
      <c r="AD341" s="6"/>
      <c r="AE341" s="6"/>
    </row>
    <row r="342" spans="1:31" x14ac:dyDescent="0.35">
      <c r="A342" s="6">
        <v>342</v>
      </c>
      <c r="B342" s="6" t="s">
        <v>5</v>
      </c>
      <c r="C342" s="10" t="s">
        <v>2</v>
      </c>
      <c r="D342" s="9" t="s">
        <v>1541</v>
      </c>
      <c r="E342" s="7">
        <f t="shared" si="12"/>
        <v>0</v>
      </c>
      <c r="F342" s="7">
        <f>-1*ROUND(1/6*(I342*IF(_xlfn.XLOOKUP(H342,'02效果表'!D:D,'02效果表'!E:E)&lt;0, _xlfn.XLOOKUP(H342,'02效果表'!D:D,'02效果表'!E:E), 0) +
K342*IF(_xlfn.XLOOKUP(J342,'02效果表'!D:D,'02效果表'!E:E)&lt;0, _xlfn.XLOOKUP(J342,'02效果表'!D:D,'02效果表'!E:E), 0) +
M342*IF(_xlfn.XLOOKUP(L342,'02效果表'!D:D,'02效果表'!E:E)&lt;0, _xlfn.XLOOKUP(L342,'02效果表'!D:D,'02效果表'!E:E), 0) +
O342*IF(_xlfn.XLOOKUP(N342,'02效果表'!D:D,'02效果表'!E:E)&lt;0, _xlfn.XLOOKUP(N342,'02效果表'!D:D,'02效果表'!E:E), 0) +
Q342*IF(_xlfn.XLOOKUP(P342,'02效果表'!D:D,'02效果表'!E:E)&lt;0, _xlfn.XLOOKUP(P342,'02效果表'!D:D,'02效果表'!E:E), 0) +
S342*IF(_xlfn.XLOOKUP(R342,'02效果表'!D:D,'02效果表'!E:E)&lt;0, _xlfn.XLOOKUP(R342,'02效果表'!D:D,'02效果表'!E:E), 0) +
U342*IF(_xlfn.XLOOKUP(T342,'02效果表'!D:D,'02效果表'!E:E)&lt;0, _xlfn.XLOOKUP(T342,'02效果表'!D:D,'02效果表'!E:E), 0) +
W342*IF(_xlfn.XLOOKUP(V342,'02效果表'!D:D,'02效果表'!E:E)&lt;0, _xlfn.XLOOKUP(V342,'02效果表'!D:D,'02效果表'!E:E), 0) +
Y342*IF(_xlfn.XLOOKUP(X342,'02效果表'!D:D,'02效果表'!E:E)&lt;0, _xlfn.XLOOKUP(X342,'02效果表'!D:D,'02效果表'!E:E), 0) +
AA342*IF(_xlfn.XLOOKUP(Z342,'02效果表'!D:D,'02效果表'!E:E)&lt;0, _xlfn.XLOOKUP(Z342,'02效果表'!D:D,'02效果表'!E:E), 0) +
AC342*IF(_xlfn.XLOOKUP(AB342,'02效果表'!D:D,'02效果表'!E:E)&lt;0, _xlfn.XLOOKUP(AB342,'02效果表'!D:D,'02效果表'!E:E), 0) +
AE342*IF(_xlfn.XLOOKUP(AD342,'02效果表'!D:D,'02效果表'!E:E)&lt;0, _xlfn.XLOOKUP(AD342,'02效果表'!D:D,'02效果表'!E:E), 0)), 1)</f>
        <v>0</v>
      </c>
      <c r="G342" s="7">
        <f>ROUND(1/6*(I342*MAX(_xlfn.XLOOKUP(H342,'02效果表'!D:D,'02效果表'!E:E),0)+K342*MAX(_xlfn.XLOOKUP(J342,'02效果表'!D:D,'02效果表'!E:E),0)+M342*MAX(_xlfn.XLOOKUP(L342,'02效果表'!D:D,'02效果表'!E:E),0)+O342*MAX(_xlfn.XLOOKUP(N342,'02效果表'!D:D,'02效果表'!E:E),0)+Q342*MAX(_xlfn.XLOOKUP(P342,'02效果表'!D:D,'02效果表'!E:E),0)+S342*MAX(_xlfn.XLOOKUP(R342,'02效果表'!D:D,'02效果表'!E:E),0)+U342*MAX(_xlfn.XLOOKUP(T342,'02效果表'!D:D,'02效果表'!E:E),0)+W342*MAX(_xlfn.XLOOKUP(V342,'02效果表'!D:D,'02效果表'!E:E),0)+Y342*MAX(_xlfn.XLOOKUP(X342,'02效果表'!D:D,'02效果表'!E:E),0)+AA342*MAX(_xlfn.XLOOKUP(Z342,'02效果表'!D:D,'02效果表'!E:E),0)+AC342*MAX(_xlfn.XLOOKUP(AB342,'02效果表'!D:D,'02效果表'!E:E),0)+AE342*MAX(_xlfn.XLOOKUP(AD342,'02效果表'!D:D,'02效果表'!E:E),0)),1)</f>
        <v>0</v>
      </c>
      <c r="H342" s="6"/>
      <c r="I342" s="6"/>
      <c r="J342" s="6"/>
      <c r="K342" s="6"/>
      <c r="L342" s="6"/>
      <c r="M342" s="6"/>
      <c r="N342" s="6"/>
      <c r="O342" s="6"/>
      <c r="P342" s="6"/>
      <c r="Q342" s="6"/>
      <c r="R342" s="6"/>
      <c r="S342" s="6"/>
      <c r="T342" s="6"/>
      <c r="U342" s="6"/>
      <c r="V342" s="6"/>
      <c r="W342" s="6"/>
      <c r="X342" s="6"/>
      <c r="Y342" s="6"/>
      <c r="Z342" s="6"/>
      <c r="AA342" s="6"/>
      <c r="AB342" s="6"/>
      <c r="AC342" s="6"/>
      <c r="AD342" s="6"/>
      <c r="AE342" s="6"/>
    </row>
    <row r="343" spans="1:31" x14ac:dyDescent="0.35">
      <c r="A343" s="6">
        <v>343</v>
      </c>
      <c r="B343" s="6" t="s">
        <v>5</v>
      </c>
      <c r="C343" s="10" t="s">
        <v>2</v>
      </c>
      <c r="D343" s="9" t="s">
        <v>1542</v>
      </c>
      <c r="E343" s="7">
        <f t="shared" si="12"/>
        <v>0</v>
      </c>
      <c r="F343" s="7">
        <f>-1*ROUND(1/6*(I343*IF(_xlfn.XLOOKUP(H343,'02效果表'!D:D,'02效果表'!E:E)&lt;0, _xlfn.XLOOKUP(H343,'02效果表'!D:D,'02效果表'!E:E), 0) +
K343*IF(_xlfn.XLOOKUP(J343,'02效果表'!D:D,'02效果表'!E:E)&lt;0, _xlfn.XLOOKUP(J343,'02效果表'!D:D,'02效果表'!E:E), 0) +
M343*IF(_xlfn.XLOOKUP(L343,'02效果表'!D:D,'02效果表'!E:E)&lt;0, _xlfn.XLOOKUP(L343,'02效果表'!D:D,'02效果表'!E:E), 0) +
O343*IF(_xlfn.XLOOKUP(N343,'02效果表'!D:D,'02效果表'!E:E)&lt;0, _xlfn.XLOOKUP(N343,'02效果表'!D:D,'02效果表'!E:E), 0) +
Q343*IF(_xlfn.XLOOKUP(P343,'02效果表'!D:D,'02效果表'!E:E)&lt;0, _xlfn.XLOOKUP(P343,'02效果表'!D:D,'02效果表'!E:E), 0) +
S343*IF(_xlfn.XLOOKUP(R343,'02效果表'!D:D,'02效果表'!E:E)&lt;0, _xlfn.XLOOKUP(R343,'02效果表'!D:D,'02效果表'!E:E), 0) +
U343*IF(_xlfn.XLOOKUP(T343,'02效果表'!D:D,'02效果表'!E:E)&lt;0, _xlfn.XLOOKUP(T343,'02效果表'!D:D,'02效果表'!E:E), 0) +
W343*IF(_xlfn.XLOOKUP(V343,'02效果表'!D:D,'02效果表'!E:E)&lt;0, _xlfn.XLOOKUP(V343,'02效果表'!D:D,'02效果表'!E:E), 0) +
Y343*IF(_xlfn.XLOOKUP(X343,'02效果表'!D:D,'02效果表'!E:E)&lt;0, _xlfn.XLOOKUP(X343,'02效果表'!D:D,'02效果表'!E:E), 0) +
AA343*IF(_xlfn.XLOOKUP(Z343,'02效果表'!D:D,'02效果表'!E:E)&lt;0, _xlfn.XLOOKUP(Z343,'02效果表'!D:D,'02效果表'!E:E), 0) +
AC343*IF(_xlfn.XLOOKUP(AB343,'02效果表'!D:D,'02效果表'!E:E)&lt;0, _xlfn.XLOOKUP(AB343,'02效果表'!D:D,'02效果表'!E:E), 0) +
AE343*IF(_xlfn.XLOOKUP(AD343,'02效果表'!D:D,'02效果表'!E:E)&lt;0, _xlfn.XLOOKUP(AD343,'02效果表'!D:D,'02效果表'!E:E), 0)), 1)</f>
        <v>0</v>
      </c>
      <c r="G343" s="7">
        <f>ROUND(1/6*(I343*MAX(_xlfn.XLOOKUP(H343,'02效果表'!D:D,'02效果表'!E:E),0)+K343*MAX(_xlfn.XLOOKUP(J343,'02效果表'!D:D,'02效果表'!E:E),0)+M343*MAX(_xlfn.XLOOKUP(L343,'02效果表'!D:D,'02效果表'!E:E),0)+O343*MAX(_xlfn.XLOOKUP(N343,'02效果表'!D:D,'02效果表'!E:E),0)+Q343*MAX(_xlfn.XLOOKUP(P343,'02效果表'!D:D,'02效果表'!E:E),0)+S343*MAX(_xlfn.XLOOKUP(R343,'02效果表'!D:D,'02效果表'!E:E),0)+U343*MAX(_xlfn.XLOOKUP(T343,'02效果表'!D:D,'02效果表'!E:E),0)+W343*MAX(_xlfn.XLOOKUP(V343,'02效果表'!D:D,'02效果表'!E:E),0)+Y343*MAX(_xlfn.XLOOKUP(X343,'02效果表'!D:D,'02效果表'!E:E),0)+AA343*MAX(_xlfn.XLOOKUP(Z343,'02效果表'!D:D,'02效果表'!E:E),0)+AC343*MAX(_xlfn.XLOOKUP(AB343,'02效果表'!D:D,'02效果表'!E:E),0)+AE343*MAX(_xlfn.XLOOKUP(AD343,'02效果表'!D:D,'02效果表'!E:E),0)),1)</f>
        <v>0</v>
      </c>
      <c r="H343" s="6"/>
      <c r="I343" s="6"/>
      <c r="J343" s="6"/>
      <c r="K343" s="6"/>
      <c r="L343" s="6"/>
      <c r="M343" s="6"/>
      <c r="N343" s="6"/>
      <c r="O343" s="6"/>
      <c r="P343" s="6"/>
      <c r="Q343" s="6"/>
      <c r="R343" s="6"/>
      <c r="S343" s="6"/>
      <c r="T343" s="6"/>
      <c r="U343" s="6"/>
      <c r="V343" s="6"/>
      <c r="W343" s="6"/>
      <c r="X343" s="6"/>
      <c r="Y343" s="6"/>
      <c r="Z343" s="6"/>
      <c r="AA343" s="6"/>
      <c r="AB343" s="6"/>
      <c r="AC343" s="6"/>
      <c r="AD343" s="6"/>
      <c r="AE343" s="6"/>
    </row>
    <row r="344" spans="1:31" x14ac:dyDescent="0.35">
      <c r="A344" s="6">
        <v>344</v>
      </c>
      <c r="B344" s="6" t="s">
        <v>5</v>
      </c>
      <c r="C344" s="10" t="s">
        <v>2</v>
      </c>
      <c r="D344" s="9" t="s">
        <v>1543</v>
      </c>
      <c r="E344" s="7">
        <f t="shared" si="12"/>
        <v>0</v>
      </c>
      <c r="F344" s="7">
        <f>-1*ROUND(1/6*(I344*IF(_xlfn.XLOOKUP(H344,'02效果表'!D:D,'02效果表'!E:E)&lt;0, _xlfn.XLOOKUP(H344,'02效果表'!D:D,'02效果表'!E:E), 0) +
K344*IF(_xlfn.XLOOKUP(J344,'02效果表'!D:D,'02效果表'!E:E)&lt;0, _xlfn.XLOOKUP(J344,'02效果表'!D:D,'02效果表'!E:E), 0) +
M344*IF(_xlfn.XLOOKUP(L344,'02效果表'!D:D,'02效果表'!E:E)&lt;0, _xlfn.XLOOKUP(L344,'02效果表'!D:D,'02效果表'!E:E), 0) +
O344*IF(_xlfn.XLOOKUP(N344,'02效果表'!D:D,'02效果表'!E:E)&lt;0, _xlfn.XLOOKUP(N344,'02效果表'!D:D,'02效果表'!E:E), 0) +
Q344*IF(_xlfn.XLOOKUP(P344,'02效果表'!D:D,'02效果表'!E:E)&lt;0, _xlfn.XLOOKUP(P344,'02效果表'!D:D,'02效果表'!E:E), 0) +
S344*IF(_xlfn.XLOOKUP(R344,'02效果表'!D:D,'02效果表'!E:E)&lt;0, _xlfn.XLOOKUP(R344,'02效果表'!D:D,'02效果表'!E:E), 0) +
U344*IF(_xlfn.XLOOKUP(T344,'02效果表'!D:D,'02效果表'!E:E)&lt;0, _xlfn.XLOOKUP(T344,'02效果表'!D:D,'02效果表'!E:E), 0) +
W344*IF(_xlfn.XLOOKUP(V344,'02效果表'!D:D,'02效果表'!E:E)&lt;0, _xlfn.XLOOKUP(V344,'02效果表'!D:D,'02效果表'!E:E), 0) +
Y344*IF(_xlfn.XLOOKUP(X344,'02效果表'!D:D,'02效果表'!E:E)&lt;0, _xlfn.XLOOKUP(X344,'02效果表'!D:D,'02效果表'!E:E), 0) +
AA344*IF(_xlfn.XLOOKUP(Z344,'02效果表'!D:D,'02效果表'!E:E)&lt;0, _xlfn.XLOOKUP(Z344,'02效果表'!D:D,'02效果表'!E:E), 0) +
AC344*IF(_xlfn.XLOOKUP(AB344,'02效果表'!D:D,'02效果表'!E:E)&lt;0, _xlfn.XLOOKUP(AB344,'02效果表'!D:D,'02效果表'!E:E), 0) +
AE344*IF(_xlfn.XLOOKUP(AD344,'02效果表'!D:D,'02效果表'!E:E)&lt;0, _xlfn.XLOOKUP(AD344,'02效果表'!D:D,'02效果表'!E:E), 0)), 1)</f>
        <v>0</v>
      </c>
      <c r="G344" s="7">
        <f>ROUND(1/6*(I344*MAX(_xlfn.XLOOKUP(H344,'02效果表'!D:D,'02效果表'!E:E),0)+K344*MAX(_xlfn.XLOOKUP(J344,'02效果表'!D:D,'02效果表'!E:E),0)+M344*MAX(_xlfn.XLOOKUP(L344,'02效果表'!D:D,'02效果表'!E:E),0)+O344*MAX(_xlfn.XLOOKUP(N344,'02效果表'!D:D,'02效果表'!E:E),0)+Q344*MAX(_xlfn.XLOOKUP(P344,'02效果表'!D:D,'02效果表'!E:E),0)+S344*MAX(_xlfn.XLOOKUP(R344,'02效果表'!D:D,'02效果表'!E:E),0)+U344*MAX(_xlfn.XLOOKUP(T344,'02效果表'!D:D,'02效果表'!E:E),0)+W344*MAX(_xlfn.XLOOKUP(V344,'02效果表'!D:D,'02效果表'!E:E),0)+Y344*MAX(_xlfn.XLOOKUP(X344,'02效果表'!D:D,'02效果表'!E:E),0)+AA344*MAX(_xlfn.XLOOKUP(Z344,'02效果表'!D:D,'02效果表'!E:E),0)+AC344*MAX(_xlfn.XLOOKUP(AB344,'02效果表'!D:D,'02效果表'!E:E),0)+AE344*MAX(_xlfn.XLOOKUP(AD344,'02效果表'!D:D,'02效果表'!E:E),0)),1)</f>
        <v>0</v>
      </c>
      <c r="H344" s="6"/>
      <c r="I344" s="6"/>
      <c r="J344" s="6"/>
      <c r="K344" s="6"/>
      <c r="L344" s="6"/>
      <c r="M344" s="6"/>
      <c r="N344" s="6"/>
      <c r="O344" s="6"/>
      <c r="P344" s="6"/>
      <c r="Q344" s="6"/>
      <c r="R344" s="6"/>
      <c r="S344" s="6"/>
      <c r="T344" s="6"/>
      <c r="U344" s="6"/>
      <c r="V344" s="6"/>
      <c r="W344" s="6"/>
      <c r="X344" s="6"/>
      <c r="Y344" s="6"/>
      <c r="Z344" s="6"/>
      <c r="AA344" s="6"/>
      <c r="AB344" s="6"/>
      <c r="AC344" s="6"/>
      <c r="AD344" s="6"/>
      <c r="AE344" s="6"/>
    </row>
    <row r="345" spans="1:31" x14ac:dyDescent="0.35">
      <c r="A345" s="6">
        <v>345</v>
      </c>
      <c r="B345" s="6" t="s">
        <v>5</v>
      </c>
      <c r="C345" s="10" t="s">
        <v>2</v>
      </c>
      <c r="D345" s="9" t="s">
        <v>1544</v>
      </c>
      <c r="E345" s="7">
        <f t="shared" si="12"/>
        <v>0</v>
      </c>
      <c r="F345" s="7">
        <f>-1*ROUND(1/6*(I345*IF(_xlfn.XLOOKUP(H345,'02效果表'!D:D,'02效果表'!E:E)&lt;0, _xlfn.XLOOKUP(H345,'02效果表'!D:D,'02效果表'!E:E), 0) +
K345*IF(_xlfn.XLOOKUP(J345,'02效果表'!D:D,'02效果表'!E:E)&lt;0, _xlfn.XLOOKUP(J345,'02效果表'!D:D,'02效果表'!E:E), 0) +
M345*IF(_xlfn.XLOOKUP(L345,'02效果表'!D:D,'02效果表'!E:E)&lt;0, _xlfn.XLOOKUP(L345,'02效果表'!D:D,'02效果表'!E:E), 0) +
O345*IF(_xlfn.XLOOKUP(N345,'02效果表'!D:D,'02效果表'!E:E)&lt;0, _xlfn.XLOOKUP(N345,'02效果表'!D:D,'02效果表'!E:E), 0) +
Q345*IF(_xlfn.XLOOKUP(P345,'02效果表'!D:D,'02效果表'!E:E)&lt;0, _xlfn.XLOOKUP(P345,'02效果表'!D:D,'02效果表'!E:E), 0) +
S345*IF(_xlfn.XLOOKUP(R345,'02效果表'!D:D,'02效果表'!E:E)&lt;0, _xlfn.XLOOKUP(R345,'02效果表'!D:D,'02效果表'!E:E), 0) +
U345*IF(_xlfn.XLOOKUP(T345,'02效果表'!D:D,'02效果表'!E:E)&lt;0, _xlfn.XLOOKUP(T345,'02效果表'!D:D,'02效果表'!E:E), 0) +
W345*IF(_xlfn.XLOOKUP(V345,'02效果表'!D:D,'02效果表'!E:E)&lt;0, _xlfn.XLOOKUP(V345,'02效果表'!D:D,'02效果表'!E:E), 0) +
Y345*IF(_xlfn.XLOOKUP(X345,'02效果表'!D:D,'02效果表'!E:E)&lt;0, _xlfn.XLOOKUP(X345,'02效果表'!D:D,'02效果表'!E:E), 0) +
AA345*IF(_xlfn.XLOOKUP(Z345,'02效果表'!D:D,'02效果表'!E:E)&lt;0, _xlfn.XLOOKUP(Z345,'02效果表'!D:D,'02效果表'!E:E), 0) +
AC345*IF(_xlfn.XLOOKUP(AB345,'02效果表'!D:D,'02效果表'!E:E)&lt;0, _xlfn.XLOOKUP(AB345,'02效果表'!D:D,'02效果表'!E:E), 0) +
AE345*IF(_xlfn.XLOOKUP(AD345,'02效果表'!D:D,'02效果表'!E:E)&lt;0, _xlfn.XLOOKUP(AD345,'02效果表'!D:D,'02效果表'!E:E), 0)), 1)</f>
        <v>0</v>
      </c>
      <c r="G345" s="7">
        <f>ROUND(1/6*(I345*MAX(_xlfn.XLOOKUP(H345,'02效果表'!D:D,'02效果表'!E:E),0)+K345*MAX(_xlfn.XLOOKUP(J345,'02效果表'!D:D,'02效果表'!E:E),0)+M345*MAX(_xlfn.XLOOKUP(L345,'02效果表'!D:D,'02效果表'!E:E),0)+O345*MAX(_xlfn.XLOOKUP(N345,'02效果表'!D:D,'02效果表'!E:E),0)+Q345*MAX(_xlfn.XLOOKUP(P345,'02效果表'!D:D,'02效果表'!E:E),0)+S345*MAX(_xlfn.XLOOKUP(R345,'02效果表'!D:D,'02效果表'!E:E),0)+U345*MAX(_xlfn.XLOOKUP(T345,'02效果表'!D:D,'02效果表'!E:E),0)+W345*MAX(_xlfn.XLOOKUP(V345,'02效果表'!D:D,'02效果表'!E:E),0)+Y345*MAX(_xlfn.XLOOKUP(X345,'02效果表'!D:D,'02效果表'!E:E),0)+AA345*MAX(_xlfn.XLOOKUP(Z345,'02效果表'!D:D,'02效果表'!E:E),0)+AC345*MAX(_xlfn.XLOOKUP(AB345,'02效果表'!D:D,'02效果表'!E:E),0)+AE345*MAX(_xlfn.XLOOKUP(AD345,'02效果表'!D:D,'02效果表'!E:E),0)),1)</f>
        <v>0</v>
      </c>
      <c r="H345" s="6"/>
      <c r="I345" s="6"/>
      <c r="J345" s="6"/>
      <c r="K345" s="6"/>
      <c r="L345" s="6"/>
      <c r="M345" s="6"/>
      <c r="N345" s="6"/>
      <c r="O345" s="6"/>
      <c r="P345" s="6"/>
      <c r="Q345" s="6"/>
      <c r="R345" s="6"/>
      <c r="S345" s="6"/>
      <c r="T345" s="6"/>
      <c r="U345" s="6"/>
      <c r="V345" s="6"/>
      <c r="W345" s="6"/>
      <c r="X345" s="6"/>
      <c r="Y345" s="6"/>
      <c r="Z345" s="6"/>
      <c r="AA345" s="6"/>
      <c r="AB345" s="6"/>
      <c r="AC345" s="6"/>
      <c r="AD345" s="6"/>
      <c r="AE345" s="6"/>
    </row>
    <row r="346" spans="1:31" x14ac:dyDescent="0.35">
      <c r="A346" s="6">
        <v>346</v>
      </c>
      <c r="B346" s="6" t="s">
        <v>5</v>
      </c>
      <c r="C346" s="10" t="s">
        <v>2</v>
      </c>
      <c r="D346" s="9"/>
      <c r="E346" s="7">
        <f t="shared" si="12"/>
        <v>0</v>
      </c>
      <c r="F346" s="7">
        <f>-1*ROUND(1/6*(I346*IF(_xlfn.XLOOKUP(H346,'02效果表'!D:D,'02效果表'!E:E)&lt;0, _xlfn.XLOOKUP(H346,'02效果表'!D:D,'02效果表'!E:E), 0) +
K346*IF(_xlfn.XLOOKUP(J346,'02效果表'!D:D,'02效果表'!E:E)&lt;0, _xlfn.XLOOKUP(J346,'02效果表'!D:D,'02效果表'!E:E), 0) +
M346*IF(_xlfn.XLOOKUP(L346,'02效果表'!D:D,'02效果表'!E:E)&lt;0, _xlfn.XLOOKUP(L346,'02效果表'!D:D,'02效果表'!E:E), 0) +
O346*IF(_xlfn.XLOOKUP(N346,'02效果表'!D:D,'02效果表'!E:E)&lt;0, _xlfn.XLOOKUP(N346,'02效果表'!D:D,'02效果表'!E:E), 0) +
Q346*IF(_xlfn.XLOOKUP(P346,'02效果表'!D:D,'02效果表'!E:E)&lt;0, _xlfn.XLOOKUP(P346,'02效果表'!D:D,'02效果表'!E:E), 0) +
S346*IF(_xlfn.XLOOKUP(R346,'02效果表'!D:D,'02效果表'!E:E)&lt;0, _xlfn.XLOOKUP(R346,'02效果表'!D:D,'02效果表'!E:E), 0) +
U346*IF(_xlfn.XLOOKUP(T346,'02效果表'!D:D,'02效果表'!E:E)&lt;0, _xlfn.XLOOKUP(T346,'02效果表'!D:D,'02效果表'!E:E), 0) +
W346*IF(_xlfn.XLOOKUP(V346,'02效果表'!D:D,'02效果表'!E:E)&lt;0, _xlfn.XLOOKUP(V346,'02效果表'!D:D,'02效果表'!E:E), 0) +
Y346*IF(_xlfn.XLOOKUP(X346,'02效果表'!D:D,'02效果表'!E:E)&lt;0, _xlfn.XLOOKUP(X346,'02效果表'!D:D,'02效果表'!E:E), 0) +
AA346*IF(_xlfn.XLOOKUP(Z346,'02效果表'!D:D,'02效果表'!E:E)&lt;0, _xlfn.XLOOKUP(Z346,'02效果表'!D:D,'02效果表'!E:E), 0) +
AC346*IF(_xlfn.XLOOKUP(AB346,'02效果表'!D:D,'02效果表'!E:E)&lt;0, _xlfn.XLOOKUP(AB346,'02效果表'!D:D,'02效果表'!E:E), 0) +
AE346*IF(_xlfn.XLOOKUP(AD346,'02效果表'!D:D,'02效果表'!E:E)&lt;0, _xlfn.XLOOKUP(AD346,'02效果表'!D:D,'02效果表'!E:E), 0)), 1)</f>
        <v>0</v>
      </c>
      <c r="G346" s="7">
        <f>ROUND(1/6*(I346*MAX(_xlfn.XLOOKUP(H346,'02效果表'!D:D,'02效果表'!E:E),0)+K346*MAX(_xlfn.XLOOKUP(J346,'02效果表'!D:D,'02效果表'!E:E),0)+M346*MAX(_xlfn.XLOOKUP(L346,'02效果表'!D:D,'02效果表'!E:E),0)+O346*MAX(_xlfn.XLOOKUP(N346,'02效果表'!D:D,'02效果表'!E:E),0)+Q346*MAX(_xlfn.XLOOKUP(P346,'02效果表'!D:D,'02效果表'!E:E),0)+S346*MAX(_xlfn.XLOOKUP(R346,'02效果表'!D:D,'02效果表'!E:E),0)+U346*MAX(_xlfn.XLOOKUP(T346,'02效果表'!D:D,'02效果表'!E:E),0)+W346*MAX(_xlfn.XLOOKUP(V346,'02效果表'!D:D,'02效果表'!E:E),0)+Y346*MAX(_xlfn.XLOOKUP(X346,'02效果表'!D:D,'02效果表'!E:E),0)+AA346*MAX(_xlfn.XLOOKUP(Z346,'02效果表'!D:D,'02效果表'!E:E),0)+AC346*MAX(_xlfn.XLOOKUP(AB346,'02效果表'!D:D,'02效果表'!E:E),0)+AE346*MAX(_xlfn.XLOOKUP(AD346,'02效果表'!D:D,'02效果表'!E:E),0)),1)</f>
        <v>0</v>
      </c>
      <c r="H346" s="6"/>
      <c r="I346" s="6"/>
      <c r="J346" s="6"/>
      <c r="K346" s="6"/>
      <c r="L346" s="6"/>
      <c r="M346" s="6"/>
      <c r="N346" s="6"/>
      <c r="O346" s="6"/>
      <c r="P346" s="6"/>
      <c r="Q346" s="6"/>
      <c r="R346" s="6"/>
      <c r="S346" s="6"/>
      <c r="T346" s="6"/>
      <c r="U346" s="6"/>
      <c r="V346" s="6"/>
      <c r="W346" s="6"/>
      <c r="X346" s="6"/>
      <c r="Y346" s="6"/>
      <c r="Z346" s="6"/>
      <c r="AA346" s="6"/>
      <c r="AB346" s="6"/>
      <c r="AC346" s="6"/>
      <c r="AD346" s="6"/>
      <c r="AE346" s="6"/>
    </row>
    <row r="347" spans="1:31" x14ac:dyDescent="0.35">
      <c r="A347" s="6">
        <v>347</v>
      </c>
      <c r="B347" s="6" t="s">
        <v>5</v>
      </c>
      <c r="C347" s="10" t="s">
        <v>2</v>
      </c>
      <c r="D347" s="9"/>
      <c r="E347" s="7">
        <f t="shared" si="12"/>
        <v>0</v>
      </c>
      <c r="F347" s="7">
        <f>-1*ROUND(1/6*(I347*IF(_xlfn.XLOOKUP(H347,'02效果表'!D:D,'02效果表'!E:E)&lt;0, _xlfn.XLOOKUP(H347,'02效果表'!D:D,'02效果表'!E:E), 0) +
K347*IF(_xlfn.XLOOKUP(J347,'02效果表'!D:D,'02效果表'!E:E)&lt;0, _xlfn.XLOOKUP(J347,'02效果表'!D:D,'02效果表'!E:E), 0) +
M347*IF(_xlfn.XLOOKUP(L347,'02效果表'!D:D,'02效果表'!E:E)&lt;0, _xlfn.XLOOKUP(L347,'02效果表'!D:D,'02效果表'!E:E), 0) +
O347*IF(_xlfn.XLOOKUP(N347,'02效果表'!D:D,'02效果表'!E:E)&lt;0, _xlfn.XLOOKUP(N347,'02效果表'!D:D,'02效果表'!E:E), 0) +
Q347*IF(_xlfn.XLOOKUP(P347,'02效果表'!D:D,'02效果表'!E:E)&lt;0, _xlfn.XLOOKUP(P347,'02效果表'!D:D,'02效果表'!E:E), 0) +
S347*IF(_xlfn.XLOOKUP(R347,'02效果表'!D:D,'02效果表'!E:E)&lt;0, _xlfn.XLOOKUP(R347,'02效果表'!D:D,'02效果表'!E:E), 0) +
U347*IF(_xlfn.XLOOKUP(T347,'02效果表'!D:D,'02效果表'!E:E)&lt;0, _xlfn.XLOOKUP(T347,'02效果表'!D:D,'02效果表'!E:E), 0) +
W347*IF(_xlfn.XLOOKUP(V347,'02效果表'!D:D,'02效果表'!E:E)&lt;0, _xlfn.XLOOKUP(V347,'02效果表'!D:D,'02效果表'!E:E), 0) +
Y347*IF(_xlfn.XLOOKUP(X347,'02效果表'!D:D,'02效果表'!E:E)&lt;0, _xlfn.XLOOKUP(X347,'02效果表'!D:D,'02效果表'!E:E), 0) +
AA347*IF(_xlfn.XLOOKUP(Z347,'02效果表'!D:D,'02效果表'!E:E)&lt;0, _xlfn.XLOOKUP(Z347,'02效果表'!D:D,'02效果表'!E:E), 0) +
AC347*IF(_xlfn.XLOOKUP(AB347,'02效果表'!D:D,'02效果表'!E:E)&lt;0, _xlfn.XLOOKUP(AB347,'02效果表'!D:D,'02效果表'!E:E), 0) +
AE347*IF(_xlfn.XLOOKUP(AD347,'02效果表'!D:D,'02效果表'!E:E)&lt;0, _xlfn.XLOOKUP(AD347,'02效果表'!D:D,'02效果表'!E:E), 0)), 1)</f>
        <v>0</v>
      </c>
      <c r="G347" s="7">
        <f>ROUND(1/6*(I347*MAX(_xlfn.XLOOKUP(H347,'02效果表'!D:D,'02效果表'!E:E),0)+K347*MAX(_xlfn.XLOOKUP(J347,'02效果表'!D:D,'02效果表'!E:E),0)+M347*MAX(_xlfn.XLOOKUP(L347,'02效果表'!D:D,'02效果表'!E:E),0)+O347*MAX(_xlfn.XLOOKUP(N347,'02效果表'!D:D,'02效果表'!E:E),0)+Q347*MAX(_xlfn.XLOOKUP(P347,'02效果表'!D:D,'02效果表'!E:E),0)+S347*MAX(_xlfn.XLOOKUP(R347,'02效果表'!D:D,'02效果表'!E:E),0)+U347*MAX(_xlfn.XLOOKUP(T347,'02效果表'!D:D,'02效果表'!E:E),0)+W347*MAX(_xlfn.XLOOKUP(V347,'02效果表'!D:D,'02效果表'!E:E),0)+Y347*MAX(_xlfn.XLOOKUP(X347,'02效果表'!D:D,'02效果表'!E:E),0)+AA347*MAX(_xlfn.XLOOKUP(Z347,'02效果表'!D:D,'02效果表'!E:E),0)+AC347*MAX(_xlfn.XLOOKUP(AB347,'02效果表'!D:D,'02效果表'!E:E),0)+AE347*MAX(_xlfn.XLOOKUP(AD347,'02效果表'!D:D,'02效果表'!E:E),0)),1)</f>
        <v>0</v>
      </c>
      <c r="H347" s="6"/>
      <c r="I347" s="6"/>
      <c r="J347" s="6"/>
      <c r="K347" s="6"/>
      <c r="L347" s="6"/>
      <c r="M347" s="6"/>
      <c r="N347" s="6"/>
      <c r="O347" s="6"/>
      <c r="P347" s="6"/>
      <c r="Q347" s="6"/>
      <c r="R347" s="6"/>
      <c r="S347" s="6"/>
      <c r="T347" s="6"/>
      <c r="U347" s="6"/>
      <c r="V347" s="6"/>
      <c r="W347" s="6"/>
      <c r="X347" s="6"/>
      <c r="Y347" s="6"/>
      <c r="Z347" s="6"/>
      <c r="AA347" s="6"/>
      <c r="AB347" s="6"/>
      <c r="AC347" s="6"/>
      <c r="AD347" s="6"/>
      <c r="AE347" s="6"/>
    </row>
    <row r="348" spans="1:31" x14ac:dyDescent="0.35">
      <c r="A348" s="6">
        <v>348</v>
      </c>
      <c r="B348" s="6" t="s">
        <v>5</v>
      </c>
      <c r="C348" s="10" t="s">
        <v>2</v>
      </c>
      <c r="D348" s="9"/>
      <c r="E348" s="7">
        <f t="shared" si="12"/>
        <v>0</v>
      </c>
      <c r="F348" s="7">
        <f>-1*ROUND(1/6*(I348*IF(_xlfn.XLOOKUP(H348,'02效果表'!D:D,'02效果表'!E:E)&lt;0, _xlfn.XLOOKUP(H348,'02效果表'!D:D,'02效果表'!E:E), 0) +
K348*IF(_xlfn.XLOOKUP(J348,'02效果表'!D:D,'02效果表'!E:E)&lt;0, _xlfn.XLOOKUP(J348,'02效果表'!D:D,'02效果表'!E:E), 0) +
M348*IF(_xlfn.XLOOKUP(L348,'02效果表'!D:D,'02效果表'!E:E)&lt;0, _xlfn.XLOOKUP(L348,'02效果表'!D:D,'02效果表'!E:E), 0) +
O348*IF(_xlfn.XLOOKUP(N348,'02效果表'!D:D,'02效果表'!E:E)&lt;0, _xlfn.XLOOKUP(N348,'02效果表'!D:D,'02效果表'!E:E), 0) +
Q348*IF(_xlfn.XLOOKUP(P348,'02效果表'!D:D,'02效果表'!E:E)&lt;0, _xlfn.XLOOKUP(P348,'02效果表'!D:D,'02效果表'!E:E), 0) +
S348*IF(_xlfn.XLOOKUP(R348,'02效果表'!D:D,'02效果表'!E:E)&lt;0, _xlfn.XLOOKUP(R348,'02效果表'!D:D,'02效果表'!E:E), 0) +
U348*IF(_xlfn.XLOOKUP(T348,'02效果表'!D:D,'02效果表'!E:E)&lt;0, _xlfn.XLOOKUP(T348,'02效果表'!D:D,'02效果表'!E:E), 0) +
W348*IF(_xlfn.XLOOKUP(V348,'02效果表'!D:D,'02效果表'!E:E)&lt;0, _xlfn.XLOOKUP(V348,'02效果表'!D:D,'02效果表'!E:E), 0) +
Y348*IF(_xlfn.XLOOKUP(X348,'02效果表'!D:D,'02效果表'!E:E)&lt;0, _xlfn.XLOOKUP(X348,'02效果表'!D:D,'02效果表'!E:E), 0) +
AA348*IF(_xlfn.XLOOKUP(Z348,'02效果表'!D:D,'02效果表'!E:E)&lt;0, _xlfn.XLOOKUP(Z348,'02效果表'!D:D,'02效果表'!E:E), 0) +
AC348*IF(_xlfn.XLOOKUP(AB348,'02效果表'!D:D,'02效果表'!E:E)&lt;0, _xlfn.XLOOKUP(AB348,'02效果表'!D:D,'02效果表'!E:E), 0) +
AE348*IF(_xlfn.XLOOKUP(AD348,'02效果表'!D:D,'02效果表'!E:E)&lt;0, _xlfn.XLOOKUP(AD348,'02效果表'!D:D,'02效果表'!E:E), 0)), 1)</f>
        <v>0</v>
      </c>
      <c r="G348" s="7">
        <f>ROUND(1/6*(I348*MAX(_xlfn.XLOOKUP(H348,'02效果表'!D:D,'02效果表'!E:E),0)+K348*MAX(_xlfn.XLOOKUP(J348,'02效果表'!D:D,'02效果表'!E:E),0)+M348*MAX(_xlfn.XLOOKUP(L348,'02效果表'!D:D,'02效果表'!E:E),0)+O348*MAX(_xlfn.XLOOKUP(N348,'02效果表'!D:D,'02效果表'!E:E),0)+Q348*MAX(_xlfn.XLOOKUP(P348,'02效果表'!D:D,'02效果表'!E:E),0)+S348*MAX(_xlfn.XLOOKUP(R348,'02效果表'!D:D,'02效果表'!E:E),0)+U348*MAX(_xlfn.XLOOKUP(T348,'02效果表'!D:D,'02效果表'!E:E),0)+W348*MAX(_xlfn.XLOOKUP(V348,'02效果表'!D:D,'02效果表'!E:E),0)+Y348*MAX(_xlfn.XLOOKUP(X348,'02效果表'!D:D,'02效果表'!E:E),0)+AA348*MAX(_xlfn.XLOOKUP(Z348,'02效果表'!D:D,'02效果表'!E:E),0)+AC348*MAX(_xlfn.XLOOKUP(AB348,'02效果表'!D:D,'02效果表'!E:E),0)+AE348*MAX(_xlfn.XLOOKUP(AD348,'02效果表'!D:D,'02效果表'!E:E),0)),1)</f>
        <v>0</v>
      </c>
      <c r="H348" s="6"/>
      <c r="I348" s="6"/>
      <c r="J348" s="6"/>
      <c r="K348" s="6"/>
      <c r="L348" s="6"/>
      <c r="M348" s="6"/>
      <c r="N348" s="6"/>
      <c r="O348" s="6"/>
      <c r="P348" s="6"/>
      <c r="Q348" s="6"/>
      <c r="R348" s="6"/>
      <c r="S348" s="6"/>
      <c r="T348" s="6"/>
      <c r="U348" s="6"/>
      <c r="V348" s="6"/>
      <c r="W348" s="6"/>
      <c r="X348" s="6"/>
      <c r="Y348" s="6"/>
      <c r="Z348" s="6"/>
      <c r="AA348" s="6"/>
      <c r="AB348" s="6"/>
      <c r="AC348" s="6"/>
      <c r="AD348" s="6"/>
      <c r="AE348" s="6"/>
    </row>
    <row r="349" spans="1:31" x14ac:dyDescent="0.35">
      <c r="A349" s="6">
        <v>349</v>
      </c>
      <c r="B349" s="6" t="s">
        <v>5</v>
      </c>
      <c r="C349" s="10" t="s">
        <v>16</v>
      </c>
      <c r="D349" s="9" t="s">
        <v>1545</v>
      </c>
      <c r="E349" s="7">
        <f t="shared" si="12"/>
        <v>0</v>
      </c>
      <c r="F349" s="7">
        <f>-1*ROUND(1/6*(I349*IF(_xlfn.XLOOKUP(H349,'02效果表'!D:D,'02效果表'!E:E)&lt;0, _xlfn.XLOOKUP(H349,'02效果表'!D:D,'02效果表'!E:E), 0) +
K349*IF(_xlfn.XLOOKUP(J349,'02效果表'!D:D,'02效果表'!E:E)&lt;0, _xlfn.XLOOKUP(J349,'02效果表'!D:D,'02效果表'!E:E), 0) +
M349*IF(_xlfn.XLOOKUP(L349,'02效果表'!D:D,'02效果表'!E:E)&lt;0, _xlfn.XLOOKUP(L349,'02效果表'!D:D,'02效果表'!E:E), 0) +
O349*IF(_xlfn.XLOOKUP(N349,'02效果表'!D:D,'02效果表'!E:E)&lt;0, _xlfn.XLOOKUP(N349,'02效果表'!D:D,'02效果表'!E:E), 0) +
Q349*IF(_xlfn.XLOOKUP(P349,'02效果表'!D:D,'02效果表'!E:E)&lt;0, _xlfn.XLOOKUP(P349,'02效果表'!D:D,'02效果表'!E:E), 0) +
S349*IF(_xlfn.XLOOKUP(R349,'02效果表'!D:D,'02效果表'!E:E)&lt;0, _xlfn.XLOOKUP(R349,'02效果表'!D:D,'02效果表'!E:E), 0) +
U349*IF(_xlfn.XLOOKUP(T349,'02效果表'!D:D,'02效果表'!E:E)&lt;0, _xlfn.XLOOKUP(T349,'02效果表'!D:D,'02效果表'!E:E), 0) +
W349*IF(_xlfn.XLOOKUP(V349,'02效果表'!D:D,'02效果表'!E:E)&lt;0, _xlfn.XLOOKUP(V349,'02效果表'!D:D,'02效果表'!E:E), 0) +
Y349*IF(_xlfn.XLOOKUP(X349,'02效果表'!D:D,'02效果表'!E:E)&lt;0, _xlfn.XLOOKUP(X349,'02效果表'!D:D,'02效果表'!E:E), 0) +
AA349*IF(_xlfn.XLOOKUP(Z349,'02效果表'!D:D,'02效果表'!E:E)&lt;0, _xlfn.XLOOKUP(Z349,'02效果表'!D:D,'02效果表'!E:E), 0) +
AC349*IF(_xlfn.XLOOKUP(AB349,'02效果表'!D:D,'02效果表'!E:E)&lt;0, _xlfn.XLOOKUP(AB349,'02效果表'!D:D,'02效果表'!E:E), 0) +
AE349*IF(_xlfn.XLOOKUP(AD349,'02效果表'!D:D,'02效果表'!E:E)&lt;0, _xlfn.XLOOKUP(AD349,'02效果表'!D:D,'02效果表'!E:E), 0)), 1)</f>
        <v>0</v>
      </c>
      <c r="G349" s="7">
        <f>ROUND(1/6*(I349*MAX(_xlfn.XLOOKUP(H349,'02效果表'!D:D,'02效果表'!E:E),0)+K349*MAX(_xlfn.XLOOKUP(J349,'02效果表'!D:D,'02效果表'!E:E),0)+M349*MAX(_xlfn.XLOOKUP(L349,'02效果表'!D:D,'02效果表'!E:E),0)+O349*MAX(_xlfn.XLOOKUP(N349,'02效果表'!D:D,'02效果表'!E:E),0)+Q349*MAX(_xlfn.XLOOKUP(P349,'02效果表'!D:D,'02效果表'!E:E),0)+S349*MAX(_xlfn.XLOOKUP(R349,'02效果表'!D:D,'02效果表'!E:E),0)+U349*MAX(_xlfn.XLOOKUP(T349,'02效果表'!D:D,'02效果表'!E:E),0)+W349*MAX(_xlfn.XLOOKUP(V349,'02效果表'!D:D,'02效果表'!E:E),0)+Y349*MAX(_xlfn.XLOOKUP(X349,'02效果表'!D:D,'02效果表'!E:E),0)+AA349*MAX(_xlfn.XLOOKUP(Z349,'02效果表'!D:D,'02效果表'!E:E),0)+AC349*MAX(_xlfn.XLOOKUP(AB349,'02效果表'!D:D,'02效果表'!E:E),0)+AE349*MAX(_xlfn.XLOOKUP(AD349,'02效果表'!D:D,'02效果表'!E:E),0)),1)</f>
        <v>0</v>
      </c>
      <c r="H349" s="6"/>
      <c r="I349" s="6"/>
      <c r="J349" s="6"/>
      <c r="K349" s="6"/>
      <c r="L349" s="6"/>
      <c r="M349" s="6"/>
      <c r="N349" s="6"/>
      <c r="O349" s="6"/>
      <c r="P349" s="6"/>
      <c r="Q349" s="6"/>
      <c r="R349" s="6"/>
      <c r="S349" s="6"/>
      <c r="T349" s="6"/>
      <c r="U349" s="6"/>
      <c r="V349" s="6"/>
      <c r="W349" s="6"/>
      <c r="X349" s="6"/>
      <c r="Y349" s="6"/>
      <c r="Z349" s="6"/>
      <c r="AA349" s="6"/>
      <c r="AB349" s="6"/>
      <c r="AC349" s="6"/>
      <c r="AD349" s="6"/>
      <c r="AE349" s="6"/>
    </row>
    <row r="350" spans="1:31" x14ac:dyDescent="0.35">
      <c r="A350" s="6">
        <v>350</v>
      </c>
      <c r="B350" s="6" t="s">
        <v>5</v>
      </c>
      <c r="C350" s="10" t="s">
        <v>16</v>
      </c>
      <c r="D350" s="9" t="s">
        <v>1546</v>
      </c>
      <c r="E350" s="7">
        <f t="shared" si="12"/>
        <v>0</v>
      </c>
      <c r="F350" s="7">
        <f>-1*ROUND(1/6*(I350*IF(_xlfn.XLOOKUP(H350,'02效果表'!D:D,'02效果表'!E:E)&lt;0, _xlfn.XLOOKUP(H350,'02效果表'!D:D,'02效果表'!E:E), 0) +
K350*IF(_xlfn.XLOOKUP(J350,'02效果表'!D:D,'02效果表'!E:E)&lt;0, _xlfn.XLOOKUP(J350,'02效果表'!D:D,'02效果表'!E:E), 0) +
M350*IF(_xlfn.XLOOKUP(L350,'02效果表'!D:D,'02效果表'!E:E)&lt;0, _xlfn.XLOOKUP(L350,'02效果表'!D:D,'02效果表'!E:E), 0) +
O350*IF(_xlfn.XLOOKUP(N350,'02效果表'!D:D,'02效果表'!E:E)&lt;0, _xlfn.XLOOKUP(N350,'02效果表'!D:D,'02效果表'!E:E), 0) +
Q350*IF(_xlfn.XLOOKUP(P350,'02效果表'!D:D,'02效果表'!E:E)&lt;0, _xlfn.XLOOKUP(P350,'02效果表'!D:D,'02效果表'!E:E), 0) +
S350*IF(_xlfn.XLOOKUP(R350,'02效果表'!D:D,'02效果表'!E:E)&lt;0, _xlfn.XLOOKUP(R350,'02效果表'!D:D,'02效果表'!E:E), 0) +
U350*IF(_xlfn.XLOOKUP(T350,'02效果表'!D:D,'02效果表'!E:E)&lt;0, _xlfn.XLOOKUP(T350,'02效果表'!D:D,'02效果表'!E:E), 0) +
W350*IF(_xlfn.XLOOKUP(V350,'02效果表'!D:D,'02效果表'!E:E)&lt;0, _xlfn.XLOOKUP(V350,'02效果表'!D:D,'02效果表'!E:E), 0) +
Y350*IF(_xlfn.XLOOKUP(X350,'02效果表'!D:D,'02效果表'!E:E)&lt;0, _xlfn.XLOOKUP(X350,'02效果表'!D:D,'02效果表'!E:E), 0) +
AA350*IF(_xlfn.XLOOKUP(Z350,'02效果表'!D:D,'02效果表'!E:E)&lt;0, _xlfn.XLOOKUP(Z350,'02效果表'!D:D,'02效果表'!E:E), 0) +
AC350*IF(_xlfn.XLOOKUP(AB350,'02效果表'!D:D,'02效果表'!E:E)&lt;0, _xlfn.XLOOKUP(AB350,'02效果表'!D:D,'02效果表'!E:E), 0) +
AE350*IF(_xlfn.XLOOKUP(AD350,'02效果表'!D:D,'02效果表'!E:E)&lt;0, _xlfn.XLOOKUP(AD350,'02效果表'!D:D,'02效果表'!E:E), 0)), 1)</f>
        <v>0</v>
      </c>
      <c r="G350" s="7">
        <f>ROUND(1/6*(I350*MAX(_xlfn.XLOOKUP(H350,'02效果表'!D:D,'02效果表'!E:E),0)+K350*MAX(_xlfn.XLOOKUP(J350,'02效果表'!D:D,'02效果表'!E:E),0)+M350*MAX(_xlfn.XLOOKUP(L350,'02效果表'!D:D,'02效果表'!E:E),0)+O350*MAX(_xlfn.XLOOKUP(N350,'02效果表'!D:D,'02效果表'!E:E),0)+Q350*MAX(_xlfn.XLOOKUP(P350,'02效果表'!D:D,'02效果表'!E:E),0)+S350*MAX(_xlfn.XLOOKUP(R350,'02效果表'!D:D,'02效果表'!E:E),0)+U350*MAX(_xlfn.XLOOKUP(T350,'02效果表'!D:D,'02效果表'!E:E),0)+W350*MAX(_xlfn.XLOOKUP(V350,'02效果表'!D:D,'02效果表'!E:E),0)+Y350*MAX(_xlfn.XLOOKUP(X350,'02效果表'!D:D,'02效果表'!E:E),0)+AA350*MAX(_xlfn.XLOOKUP(Z350,'02效果表'!D:D,'02效果表'!E:E),0)+AC350*MAX(_xlfn.XLOOKUP(AB350,'02效果表'!D:D,'02效果表'!E:E),0)+AE350*MAX(_xlfn.XLOOKUP(AD350,'02效果表'!D:D,'02效果表'!E:E),0)),1)</f>
        <v>0</v>
      </c>
      <c r="H350" s="6"/>
      <c r="I350" s="6"/>
      <c r="J350" s="6"/>
      <c r="K350" s="6"/>
      <c r="L350" s="6"/>
      <c r="M350" s="6"/>
      <c r="N350" s="6"/>
      <c r="O350" s="6"/>
      <c r="P350" s="6"/>
      <c r="Q350" s="6"/>
      <c r="R350" s="6"/>
      <c r="S350" s="6"/>
      <c r="T350" s="6"/>
      <c r="U350" s="6"/>
      <c r="V350" s="6"/>
      <c r="W350" s="6"/>
      <c r="X350" s="6"/>
      <c r="Y350" s="6"/>
      <c r="Z350" s="6"/>
      <c r="AA350" s="6"/>
      <c r="AB350" s="6"/>
      <c r="AC350" s="6"/>
      <c r="AD350" s="6"/>
      <c r="AE350" s="6"/>
    </row>
    <row r="351" spans="1:31" x14ac:dyDescent="0.35">
      <c r="A351" s="6">
        <v>351</v>
      </c>
      <c r="B351" s="6" t="s">
        <v>5</v>
      </c>
      <c r="C351" s="10" t="s">
        <v>16</v>
      </c>
      <c r="D351" s="9" t="s">
        <v>1547</v>
      </c>
      <c r="E351" s="7">
        <f t="shared" si="12"/>
        <v>0</v>
      </c>
      <c r="F351" s="7">
        <f>-1*ROUND(1/6*(I351*IF(_xlfn.XLOOKUP(H351,'02效果表'!D:D,'02效果表'!E:E)&lt;0, _xlfn.XLOOKUP(H351,'02效果表'!D:D,'02效果表'!E:E), 0) +
K351*IF(_xlfn.XLOOKUP(J351,'02效果表'!D:D,'02效果表'!E:E)&lt;0, _xlfn.XLOOKUP(J351,'02效果表'!D:D,'02效果表'!E:E), 0) +
M351*IF(_xlfn.XLOOKUP(L351,'02效果表'!D:D,'02效果表'!E:E)&lt;0, _xlfn.XLOOKUP(L351,'02效果表'!D:D,'02效果表'!E:E), 0) +
O351*IF(_xlfn.XLOOKUP(N351,'02效果表'!D:D,'02效果表'!E:E)&lt;0, _xlfn.XLOOKUP(N351,'02效果表'!D:D,'02效果表'!E:E), 0) +
Q351*IF(_xlfn.XLOOKUP(P351,'02效果表'!D:D,'02效果表'!E:E)&lt;0, _xlfn.XLOOKUP(P351,'02效果表'!D:D,'02效果表'!E:E), 0) +
S351*IF(_xlfn.XLOOKUP(R351,'02效果表'!D:D,'02效果表'!E:E)&lt;0, _xlfn.XLOOKUP(R351,'02效果表'!D:D,'02效果表'!E:E), 0) +
U351*IF(_xlfn.XLOOKUP(T351,'02效果表'!D:D,'02效果表'!E:E)&lt;0, _xlfn.XLOOKUP(T351,'02效果表'!D:D,'02效果表'!E:E), 0) +
W351*IF(_xlfn.XLOOKUP(V351,'02效果表'!D:D,'02效果表'!E:E)&lt;0, _xlfn.XLOOKUP(V351,'02效果表'!D:D,'02效果表'!E:E), 0) +
Y351*IF(_xlfn.XLOOKUP(X351,'02效果表'!D:D,'02效果表'!E:E)&lt;0, _xlfn.XLOOKUP(X351,'02效果表'!D:D,'02效果表'!E:E), 0) +
AA351*IF(_xlfn.XLOOKUP(Z351,'02效果表'!D:D,'02效果表'!E:E)&lt;0, _xlfn.XLOOKUP(Z351,'02效果表'!D:D,'02效果表'!E:E), 0) +
AC351*IF(_xlfn.XLOOKUP(AB351,'02效果表'!D:D,'02效果表'!E:E)&lt;0, _xlfn.XLOOKUP(AB351,'02效果表'!D:D,'02效果表'!E:E), 0) +
AE351*IF(_xlfn.XLOOKUP(AD351,'02效果表'!D:D,'02效果表'!E:E)&lt;0, _xlfn.XLOOKUP(AD351,'02效果表'!D:D,'02效果表'!E:E), 0)), 1)</f>
        <v>0</v>
      </c>
      <c r="G351" s="7">
        <f>ROUND(1/6*(I351*MAX(_xlfn.XLOOKUP(H351,'02效果表'!D:D,'02效果表'!E:E),0)+K351*MAX(_xlfn.XLOOKUP(J351,'02效果表'!D:D,'02效果表'!E:E),0)+M351*MAX(_xlfn.XLOOKUP(L351,'02效果表'!D:D,'02效果表'!E:E),0)+O351*MAX(_xlfn.XLOOKUP(N351,'02效果表'!D:D,'02效果表'!E:E),0)+Q351*MAX(_xlfn.XLOOKUP(P351,'02效果表'!D:D,'02效果表'!E:E),0)+S351*MAX(_xlfn.XLOOKUP(R351,'02效果表'!D:D,'02效果表'!E:E),0)+U351*MAX(_xlfn.XLOOKUP(T351,'02效果表'!D:D,'02效果表'!E:E),0)+W351*MAX(_xlfn.XLOOKUP(V351,'02效果表'!D:D,'02效果表'!E:E),0)+Y351*MAX(_xlfn.XLOOKUP(X351,'02效果表'!D:D,'02效果表'!E:E),0)+AA351*MAX(_xlfn.XLOOKUP(Z351,'02效果表'!D:D,'02效果表'!E:E),0)+AC351*MAX(_xlfn.XLOOKUP(AB351,'02效果表'!D:D,'02效果表'!E:E),0)+AE351*MAX(_xlfn.XLOOKUP(AD351,'02效果表'!D:D,'02效果表'!E:E),0)),1)</f>
        <v>0</v>
      </c>
      <c r="H351" s="6"/>
      <c r="I351" s="6"/>
      <c r="J351" s="6"/>
      <c r="K351" s="6"/>
      <c r="L351" s="6"/>
      <c r="M351" s="6"/>
      <c r="N351" s="6"/>
      <c r="O351" s="6"/>
      <c r="P351" s="6"/>
      <c r="Q351" s="6"/>
      <c r="R351" s="6"/>
      <c r="S351" s="6"/>
      <c r="T351" s="6"/>
      <c r="U351" s="6"/>
      <c r="V351" s="6"/>
      <c r="W351" s="6"/>
      <c r="X351" s="6"/>
      <c r="Y351" s="6"/>
      <c r="Z351" s="6"/>
      <c r="AA351" s="6"/>
      <c r="AB351" s="6"/>
      <c r="AC351" s="6"/>
      <c r="AD351" s="6"/>
      <c r="AE351" s="6"/>
    </row>
    <row r="352" spans="1:31" x14ac:dyDescent="0.35">
      <c r="A352" s="6">
        <v>352</v>
      </c>
      <c r="B352" s="6" t="s">
        <v>5</v>
      </c>
      <c r="C352" s="10" t="s">
        <v>16</v>
      </c>
      <c r="D352" s="9" t="s">
        <v>1548</v>
      </c>
      <c r="E352" s="7">
        <f t="shared" si="12"/>
        <v>0</v>
      </c>
      <c r="F352" s="7">
        <f>-1*ROUND(1/6*(I352*IF(_xlfn.XLOOKUP(H352,'02效果表'!D:D,'02效果表'!E:E)&lt;0, _xlfn.XLOOKUP(H352,'02效果表'!D:D,'02效果表'!E:E), 0) +
K352*IF(_xlfn.XLOOKUP(J352,'02效果表'!D:D,'02效果表'!E:E)&lt;0, _xlfn.XLOOKUP(J352,'02效果表'!D:D,'02效果表'!E:E), 0) +
M352*IF(_xlfn.XLOOKUP(L352,'02效果表'!D:D,'02效果表'!E:E)&lt;0, _xlfn.XLOOKUP(L352,'02效果表'!D:D,'02效果表'!E:E), 0) +
O352*IF(_xlfn.XLOOKUP(N352,'02效果表'!D:D,'02效果表'!E:E)&lt;0, _xlfn.XLOOKUP(N352,'02效果表'!D:D,'02效果表'!E:E), 0) +
Q352*IF(_xlfn.XLOOKUP(P352,'02效果表'!D:D,'02效果表'!E:E)&lt;0, _xlfn.XLOOKUP(P352,'02效果表'!D:D,'02效果表'!E:E), 0) +
S352*IF(_xlfn.XLOOKUP(R352,'02效果表'!D:D,'02效果表'!E:E)&lt;0, _xlfn.XLOOKUP(R352,'02效果表'!D:D,'02效果表'!E:E), 0) +
U352*IF(_xlfn.XLOOKUP(T352,'02效果表'!D:D,'02效果表'!E:E)&lt;0, _xlfn.XLOOKUP(T352,'02效果表'!D:D,'02效果表'!E:E), 0) +
W352*IF(_xlfn.XLOOKUP(V352,'02效果表'!D:D,'02效果表'!E:E)&lt;0, _xlfn.XLOOKUP(V352,'02效果表'!D:D,'02效果表'!E:E), 0) +
Y352*IF(_xlfn.XLOOKUP(X352,'02效果表'!D:D,'02效果表'!E:E)&lt;0, _xlfn.XLOOKUP(X352,'02效果表'!D:D,'02效果表'!E:E), 0) +
AA352*IF(_xlfn.XLOOKUP(Z352,'02效果表'!D:D,'02效果表'!E:E)&lt;0, _xlfn.XLOOKUP(Z352,'02效果表'!D:D,'02效果表'!E:E), 0) +
AC352*IF(_xlfn.XLOOKUP(AB352,'02效果表'!D:D,'02效果表'!E:E)&lt;0, _xlfn.XLOOKUP(AB352,'02效果表'!D:D,'02效果表'!E:E), 0) +
AE352*IF(_xlfn.XLOOKUP(AD352,'02效果表'!D:D,'02效果表'!E:E)&lt;0, _xlfn.XLOOKUP(AD352,'02效果表'!D:D,'02效果表'!E:E), 0)), 1)</f>
        <v>0</v>
      </c>
      <c r="G352" s="7">
        <f>ROUND(1/6*(I352*MAX(_xlfn.XLOOKUP(H352,'02效果表'!D:D,'02效果表'!E:E),0)+K352*MAX(_xlfn.XLOOKUP(J352,'02效果表'!D:D,'02效果表'!E:E),0)+M352*MAX(_xlfn.XLOOKUP(L352,'02效果表'!D:D,'02效果表'!E:E),0)+O352*MAX(_xlfn.XLOOKUP(N352,'02效果表'!D:D,'02效果表'!E:E),0)+Q352*MAX(_xlfn.XLOOKUP(P352,'02效果表'!D:D,'02效果表'!E:E),0)+S352*MAX(_xlfn.XLOOKUP(R352,'02效果表'!D:D,'02效果表'!E:E),0)+U352*MAX(_xlfn.XLOOKUP(T352,'02效果表'!D:D,'02效果表'!E:E),0)+W352*MAX(_xlfn.XLOOKUP(V352,'02效果表'!D:D,'02效果表'!E:E),0)+Y352*MAX(_xlfn.XLOOKUP(X352,'02效果表'!D:D,'02效果表'!E:E),0)+AA352*MAX(_xlfn.XLOOKUP(Z352,'02效果表'!D:D,'02效果表'!E:E),0)+AC352*MAX(_xlfn.XLOOKUP(AB352,'02效果表'!D:D,'02效果表'!E:E),0)+AE352*MAX(_xlfn.XLOOKUP(AD352,'02效果表'!D:D,'02效果表'!E:E),0)),1)</f>
        <v>0</v>
      </c>
      <c r="H352" s="6"/>
      <c r="I352" s="6"/>
      <c r="J352" s="6"/>
      <c r="K352" s="6"/>
      <c r="L352" s="6"/>
      <c r="M352" s="6"/>
      <c r="N352" s="6"/>
      <c r="O352" s="6"/>
      <c r="P352" s="6"/>
      <c r="Q352" s="6"/>
      <c r="R352" s="6"/>
      <c r="S352" s="6"/>
      <c r="T352" s="6"/>
      <c r="U352" s="6"/>
      <c r="V352" s="6"/>
      <c r="W352" s="6"/>
      <c r="X352" s="6"/>
      <c r="Y352" s="6"/>
      <c r="Z352" s="6"/>
      <c r="AA352" s="6"/>
      <c r="AB352" s="6"/>
      <c r="AC352" s="6"/>
      <c r="AD352" s="6"/>
      <c r="AE352" s="6"/>
    </row>
    <row r="353" spans="1:31" x14ac:dyDescent="0.35">
      <c r="A353" s="6">
        <v>353</v>
      </c>
      <c r="B353" s="6" t="s">
        <v>5</v>
      </c>
      <c r="C353" s="10" t="s">
        <v>16</v>
      </c>
      <c r="D353" s="9" t="s">
        <v>1549</v>
      </c>
      <c r="E353" s="7">
        <f t="shared" si="12"/>
        <v>0</v>
      </c>
      <c r="F353" s="7">
        <f>-1*ROUND(1/6*(I353*IF(_xlfn.XLOOKUP(H353,'02效果表'!D:D,'02效果表'!E:E)&lt;0, _xlfn.XLOOKUP(H353,'02效果表'!D:D,'02效果表'!E:E), 0) +
K353*IF(_xlfn.XLOOKUP(J353,'02效果表'!D:D,'02效果表'!E:E)&lt;0, _xlfn.XLOOKUP(J353,'02效果表'!D:D,'02效果表'!E:E), 0) +
M353*IF(_xlfn.XLOOKUP(L353,'02效果表'!D:D,'02效果表'!E:E)&lt;0, _xlfn.XLOOKUP(L353,'02效果表'!D:D,'02效果表'!E:E), 0) +
O353*IF(_xlfn.XLOOKUP(N353,'02效果表'!D:D,'02效果表'!E:E)&lt;0, _xlfn.XLOOKUP(N353,'02效果表'!D:D,'02效果表'!E:E), 0) +
Q353*IF(_xlfn.XLOOKUP(P353,'02效果表'!D:D,'02效果表'!E:E)&lt;0, _xlfn.XLOOKUP(P353,'02效果表'!D:D,'02效果表'!E:E), 0) +
S353*IF(_xlfn.XLOOKUP(R353,'02效果表'!D:D,'02效果表'!E:E)&lt;0, _xlfn.XLOOKUP(R353,'02效果表'!D:D,'02效果表'!E:E), 0) +
U353*IF(_xlfn.XLOOKUP(T353,'02效果表'!D:D,'02效果表'!E:E)&lt;0, _xlfn.XLOOKUP(T353,'02效果表'!D:D,'02效果表'!E:E), 0) +
W353*IF(_xlfn.XLOOKUP(V353,'02效果表'!D:D,'02效果表'!E:E)&lt;0, _xlfn.XLOOKUP(V353,'02效果表'!D:D,'02效果表'!E:E), 0) +
Y353*IF(_xlfn.XLOOKUP(X353,'02效果表'!D:D,'02效果表'!E:E)&lt;0, _xlfn.XLOOKUP(X353,'02效果表'!D:D,'02效果表'!E:E), 0) +
AA353*IF(_xlfn.XLOOKUP(Z353,'02效果表'!D:D,'02效果表'!E:E)&lt;0, _xlfn.XLOOKUP(Z353,'02效果表'!D:D,'02效果表'!E:E), 0) +
AC353*IF(_xlfn.XLOOKUP(AB353,'02效果表'!D:D,'02效果表'!E:E)&lt;0, _xlfn.XLOOKUP(AB353,'02效果表'!D:D,'02效果表'!E:E), 0) +
AE353*IF(_xlfn.XLOOKUP(AD353,'02效果表'!D:D,'02效果表'!E:E)&lt;0, _xlfn.XLOOKUP(AD353,'02效果表'!D:D,'02效果表'!E:E), 0)), 1)</f>
        <v>0</v>
      </c>
      <c r="G353" s="7">
        <f>ROUND(1/6*(I353*MAX(_xlfn.XLOOKUP(H353,'02效果表'!D:D,'02效果表'!E:E),0)+K353*MAX(_xlfn.XLOOKUP(J353,'02效果表'!D:D,'02效果表'!E:E),0)+M353*MAX(_xlfn.XLOOKUP(L353,'02效果表'!D:D,'02效果表'!E:E),0)+O353*MAX(_xlfn.XLOOKUP(N353,'02效果表'!D:D,'02效果表'!E:E),0)+Q353*MAX(_xlfn.XLOOKUP(P353,'02效果表'!D:D,'02效果表'!E:E),0)+S353*MAX(_xlfn.XLOOKUP(R353,'02效果表'!D:D,'02效果表'!E:E),0)+U353*MAX(_xlfn.XLOOKUP(T353,'02效果表'!D:D,'02效果表'!E:E),0)+W353*MAX(_xlfn.XLOOKUP(V353,'02效果表'!D:D,'02效果表'!E:E),0)+Y353*MAX(_xlfn.XLOOKUP(X353,'02效果表'!D:D,'02效果表'!E:E),0)+AA353*MAX(_xlfn.XLOOKUP(Z353,'02效果表'!D:D,'02效果表'!E:E),0)+AC353*MAX(_xlfn.XLOOKUP(AB353,'02效果表'!D:D,'02效果表'!E:E),0)+AE353*MAX(_xlfn.XLOOKUP(AD353,'02效果表'!D:D,'02效果表'!E:E),0)),1)</f>
        <v>0</v>
      </c>
      <c r="H353" s="6"/>
      <c r="I353" s="6"/>
      <c r="J353" s="6"/>
      <c r="K353" s="6"/>
      <c r="L353" s="6"/>
      <c r="M353" s="6"/>
      <c r="N353" s="6"/>
      <c r="O353" s="6"/>
      <c r="P353" s="6"/>
      <c r="Q353" s="6"/>
      <c r="R353" s="6"/>
      <c r="S353" s="6"/>
      <c r="T353" s="6"/>
      <c r="U353" s="6"/>
      <c r="V353" s="6"/>
      <c r="W353" s="6"/>
      <c r="X353" s="6"/>
      <c r="Y353" s="6"/>
      <c r="Z353" s="6"/>
      <c r="AA353" s="6"/>
      <c r="AB353" s="6"/>
      <c r="AC353" s="6"/>
      <c r="AD353" s="6"/>
      <c r="AE353" s="6"/>
    </row>
    <row r="354" spans="1:31" x14ac:dyDescent="0.35">
      <c r="A354" s="6">
        <v>354</v>
      </c>
      <c r="B354" s="6" t="s">
        <v>5</v>
      </c>
      <c r="C354" s="10" t="s">
        <v>16</v>
      </c>
      <c r="D354" s="9" t="s">
        <v>1550</v>
      </c>
      <c r="E354" s="7">
        <f t="shared" si="12"/>
        <v>0</v>
      </c>
      <c r="F354" s="7">
        <f>-1*ROUND(1/6*(I354*IF(_xlfn.XLOOKUP(H354,'02效果表'!D:D,'02效果表'!E:E)&lt;0, _xlfn.XLOOKUP(H354,'02效果表'!D:D,'02效果表'!E:E), 0) +
K354*IF(_xlfn.XLOOKUP(J354,'02效果表'!D:D,'02效果表'!E:E)&lt;0, _xlfn.XLOOKUP(J354,'02效果表'!D:D,'02效果表'!E:E), 0) +
M354*IF(_xlfn.XLOOKUP(L354,'02效果表'!D:D,'02效果表'!E:E)&lt;0, _xlfn.XLOOKUP(L354,'02效果表'!D:D,'02效果表'!E:E), 0) +
O354*IF(_xlfn.XLOOKUP(N354,'02效果表'!D:D,'02效果表'!E:E)&lt;0, _xlfn.XLOOKUP(N354,'02效果表'!D:D,'02效果表'!E:E), 0) +
Q354*IF(_xlfn.XLOOKUP(P354,'02效果表'!D:D,'02效果表'!E:E)&lt;0, _xlfn.XLOOKUP(P354,'02效果表'!D:D,'02效果表'!E:E), 0) +
S354*IF(_xlfn.XLOOKUP(R354,'02效果表'!D:D,'02效果表'!E:E)&lt;0, _xlfn.XLOOKUP(R354,'02效果表'!D:D,'02效果表'!E:E), 0) +
U354*IF(_xlfn.XLOOKUP(T354,'02效果表'!D:D,'02效果表'!E:E)&lt;0, _xlfn.XLOOKUP(T354,'02效果表'!D:D,'02效果表'!E:E), 0) +
W354*IF(_xlfn.XLOOKUP(V354,'02效果表'!D:D,'02效果表'!E:E)&lt;0, _xlfn.XLOOKUP(V354,'02效果表'!D:D,'02效果表'!E:E), 0) +
Y354*IF(_xlfn.XLOOKUP(X354,'02效果表'!D:D,'02效果表'!E:E)&lt;0, _xlfn.XLOOKUP(X354,'02效果表'!D:D,'02效果表'!E:E), 0) +
AA354*IF(_xlfn.XLOOKUP(Z354,'02效果表'!D:D,'02效果表'!E:E)&lt;0, _xlfn.XLOOKUP(Z354,'02效果表'!D:D,'02效果表'!E:E), 0) +
AC354*IF(_xlfn.XLOOKUP(AB354,'02效果表'!D:D,'02效果表'!E:E)&lt;0, _xlfn.XLOOKUP(AB354,'02效果表'!D:D,'02效果表'!E:E), 0) +
AE354*IF(_xlfn.XLOOKUP(AD354,'02效果表'!D:D,'02效果表'!E:E)&lt;0, _xlfn.XLOOKUP(AD354,'02效果表'!D:D,'02效果表'!E:E), 0)), 1)</f>
        <v>0</v>
      </c>
      <c r="G354" s="7">
        <f>ROUND(1/6*(I354*MAX(_xlfn.XLOOKUP(H354,'02效果表'!D:D,'02效果表'!E:E),0)+K354*MAX(_xlfn.XLOOKUP(J354,'02效果表'!D:D,'02效果表'!E:E),0)+M354*MAX(_xlfn.XLOOKUP(L354,'02效果表'!D:D,'02效果表'!E:E),0)+O354*MAX(_xlfn.XLOOKUP(N354,'02效果表'!D:D,'02效果表'!E:E),0)+Q354*MAX(_xlfn.XLOOKUP(P354,'02效果表'!D:D,'02效果表'!E:E),0)+S354*MAX(_xlfn.XLOOKUP(R354,'02效果表'!D:D,'02效果表'!E:E),0)+U354*MAX(_xlfn.XLOOKUP(T354,'02效果表'!D:D,'02效果表'!E:E),0)+W354*MAX(_xlfn.XLOOKUP(V354,'02效果表'!D:D,'02效果表'!E:E),0)+Y354*MAX(_xlfn.XLOOKUP(X354,'02效果表'!D:D,'02效果表'!E:E),0)+AA354*MAX(_xlfn.XLOOKUP(Z354,'02效果表'!D:D,'02效果表'!E:E),0)+AC354*MAX(_xlfn.XLOOKUP(AB354,'02效果表'!D:D,'02效果表'!E:E),0)+AE354*MAX(_xlfn.XLOOKUP(AD354,'02效果表'!D:D,'02效果表'!E:E),0)),1)</f>
        <v>0</v>
      </c>
      <c r="H354" s="6"/>
      <c r="I354" s="6"/>
      <c r="J354" s="6"/>
      <c r="K354" s="6"/>
      <c r="L354" s="6"/>
      <c r="M354" s="6"/>
      <c r="N354" s="6"/>
      <c r="O354" s="6"/>
      <c r="P354" s="6"/>
      <c r="Q354" s="6"/>
      <c r="R354" s="6"/>
      <c r="S354" s="6"/>
      <c r="T354" s="6"/>
      <c r="U354" s="6"/>
      <c r="V354" s="6"/>
      <c r="W354" s="6"/>
      <c r="X354" s="6"/>
      <c r="Y354" s="6"/>
      <c r="Z354" s="6"/>
      <c r="AA354" s="6"/>
      <c r="AB354" s="6"/>
      <c r="AC354" s="6"/>
      <c r="AD354" s="6"/>
      <c r="AE354" s="6"/>
    </row>
    <row r="355" spans="1:31" x14ac:dyDescent="0.35">
      <c r="A355" s="6">
        <v>355</v>
      </c>
      <c r="B355" s="6" t="s">
        <v>5</v>
      </c>
      <c r="C355" s="10" t="s">
        <v>16</v>
      </c>
      <c r="D355" s="9" t="s">
        <v>1551</v>
      </c>
      <c r="E355" s="7">
        <f t="shared" si="12"/>
        <v>0</v>
      </c>
      <c r="F355" s="7">
        <f>-1*ROUND(1/6*(I355*IF(_xlfn.XLOOKUP(H355,'02效果表'!D:D,'02效果表'!E:E)&lt;0, _xlfn.XLOOKUP(H355,'02效果表'!D:D,'02效果表'!E:E), 0) +
K355*IF(_xlfn.XLOOKUP(J355,'02效果表'!D:D,'02效果表'!E:E)&lt;0, _xlfn.XLOOKUP(J355,'02效果表'!D:D,'02效果表'!E:E), 0) +
M355*IF(_xlfn.XLOOKUP(L355,'02效果表'!D:D,'02效果表'!E:E)&lt;0, _xlfn.XLOOKUP(L355,'02效果表'!D:D,'02效果表'!E:E), 0) +
O355*IF(_xlfn.XLOOKUP(N355,'02效果表'!D:D,'02效果表'!E:E)&lt;0, _xlfn.XLOOKUP(N355,'02效果表'!D:D,'02效果表'!E:E), 0) +
Q355*IF(_xlfn.XLOOKUP(P355,'02效果表'!D:D,'02效果表'!E:E)&lt;0, _xlfn.XLOOKUP(P355,'02效果表'!D:D,'02效果表'!E:E), 0) +
S355*IF(_xlfn.XLOOKUP(R355,'02效果表'!D:D,'02效果表'!E:E)&lt;0, _xlfn.XLOOKUP(R355,'02效果表'!D:D,'02效果表'!E:E), 0) +
U355*IF(_xlfn.XLOOKUP(T355,'02效果表'!D:D,'02效果表'!E:E)&lt;0, _xlfn.XLOOKUP(T355,'02效果表'!D:D,'02效果表'!E:E), 0) +
W355*IF(_xlfn.XLOOKUP(V355,'02效果表'!D:D,'02效果表'!E:E)&lt;0, _xlfn.XLOOKUP(V355,'02效果表'!D:D,'02效果表'!E:E), 0) +
Y355*IF(_xlfn.XLOOKUP(X355,'02效果表'!D:D,'02效果表'!E:E)&lt;0, _xlfn.XLOOKUP(X355,'02效果表'!D:D,'02效果表'!E:E), 0) +
AA355*IF(_xlfn.XLOOKUP(Z355,'02效果表'!D:D,'02效果表'!E:E)&lt;0, _xlfn.XLOOKUP(Z355,'02效果表'!D:D,'02效果表'!E:E), 0) +
AC355*IF(_xlfn.XLOOKUP(AB355,'02效果表'!D:D,'02效果表'!E:E)&lt;0, _xlfn.XLOOKUP(AB355,'02效果表'!D:D,'02效果表'!E:E), 0) +
AE355*IF(_xlfn.XLOOKUP(AD355,'02效果表'!D:D,'02效果表'!E:E)&lt;0, _xlfn.XLOOKUP(AD355,'02效果表'!D:D,'02效果表'!E:E), 0)), 1)</f>
        <v>0</v>
      </c>
      <c r="G355" s="7">
        <f>ROUND(1/6*(I355*MAX(_xlfn.XLOOKUP(H355,'02效果表'!D:D,'02效果表'!E:E),0)+K355*MAX(_xlfn.XLOOKUP(J355,'02效果表'!D:D,'02效果表'!E:E),0)+M355*MAX(_xlfn.XLOOKUP(L355,'02效果表'!D:D,'02效果表'!E:E),0)+O355*MAX(_xlfn.XLOOKUP(N355,'02效果表'!D:D,'02效果表'!E:E),0)+Q355*MAX(_xlfn.XLOOKUP(P355,'02效果表'!D:D,'02效果表'!E:E),0)+S355*MAX(_xlfn.XLOOKUP(R355,'02效果表'!D:D,'02效果表'!E:E),0)+U355*MAX(_xlfn.XLOOKUP(T355,'02效果表'!D:D,'02效果表'!E:E),0)+W355*MAX(_xlfn.XLOOKUP(V355,'02效果表'!D:D,'02效果表'!E:E),0)+Y355*MAX(_xlfn.XLOOKUP(X355,'02效果表'!D:D,'02效果表'!E:E),0)+AA355*MAX(_xlfn.XLOOKUP(Z355,'02效果表'!D:D,'02效果表'!E:E),0)+AC355*MAX(_xlfn.XLOOKUP(AB355,'02效果表'!D:D,'02效果表'!E:E),0)+AE355*MAX(_xlfn.XLOOKUP(AD355,'02效果表'!D:D,'02效果表'!E:E),0)),1)</f>
        <v>0</v>
      </c>
      <c r="H355" s="6"/>
      <c r="I355" s="6"/>
      <c r="J355" s="6"/>
      <c r="K355" s="6"/>
      <c r="L355" s="6"/>
      <c r="M355" s="6"/>
      <c r="N355" s="6"/>
      <c r="O355" s="6"/>
      <c r="P355" s="6"/>
      <c r="Q355" s="6"/>
      <c r="R355" s="6"/>
      <c r="S355" s="6"/>
      <c r="T355" s="6"/>
      <c r="U355" s="6"/>
      <c r="V355" s="6"/>
      <c r="W355" s="6"/>
      <c r="X355" s="6"/>
      <c r="Y355" s="6"/>
      <c r="Z355" s="6"/>
      <c r="AA355" s="6"/>
      <c r="AB355" s="6"/>
      <c r="AC355" s="6"/>
      <c r="AD355" s="6"/>
      <c r="AE355" s="6"/>
    </row>
    <row r="356" spans="1:31" x14ac:dyDescent="0.35">
      <c r="A356" s="6">
        <v>356</v>
      </c>
      <c r="B356" s="6" t="s">
        <v>5</v>
      </c>
      <c r="C356" s="10" t="s">
        <v>16</v>
      </c>
      <c r="D356" s="9" t="s">
        <v>1552</v>
      </c>
      <c r="E356" s="7">
        <f t="shared" si="12"/>
        <v>0</v>
      </c>
      <c r="F356" s="7">
        <f>-1*ROUND(1/6*(I356*IF(_xlfn.XLOOKUP(H356,'02效果表'!D:D,'02效果表'!E:E)&lt;0, _xlfn.XLOOKUP(H356,'02效果表'!D:D,'02效果表'!E:E), 0) +
K356*IF(_xlfn.XLOOKUP(J356,'02效果表'!D:D,'02效果表'!E:E)&lt;0, _xlfn.XLOOKUP(J356,'02效果表'!D:D,'02效果表'!E:E), 0) +
M356*IF(_xlfn.XLOOKUP(L356,'02效果表'!D:D,'02效果表'!E:E)&lt;0, _xlfn.XLOOKUP(L356,'02效果表'!D:D,'02效果表'!E:E), 0) +
O356*IF(_xlfn.XLOOKUP(N356,'02效果表'!D:D,'02效果表'!E:E)&lt;0, _xlfn.XLOOKUP(N356,'02效果表'!D:D,'02效果表'!E:E), 0) +
Q356*IF(_xlfn.XLOOKUP(P356,'02效果表'!D:D,'02效果表'!E:E)&lt;0, _xlfn.XLOOKUP(P356,'02效果表'!D:D,'02效果表'!E:E), 0) +
S356*IF(_xlfn.XLOOKUP(R356,'02效果表'!D:D,'02效果表'!E:E)&lt;0, _xlfn.XLOOKUP(R356,'02效果表'!D:D,'02效果表'!E:E), 0) +
U356*IF(_xlfn.XLOOKUP(T356,'02效果表'!D:D,'02效果表'!E:E)&lt;0, _xlfn.XLOOKUP(T356,'02效果表'!D:D,'02效果表'!E:E), 0) +
W356*IF(_xlfn.XLOOKUP(V356,'02效果表'!D:D,'02效果表'!E:E)&lt;0, _xlfn.XLOOKUP(V356,'02效果表'!D:D,'02效果表'!E:E), 0) +
Y356*IF(_xlfn.XLOOKUP(X356,'02效果表'!D:D,'02效果表'!E:E)&lt;0, _xlfn.XLOOKUP(X356,'02效果表'!D:D,'02效果表'!E:E), 0) +
AA356*IF(_xlfn.XLOOKUP(Z356,'02效果表'!D:D,'02效果表'!E:E)&lt;0, _xlfn.XLOOKUP(Z356,'02效果表'!D:D,'02效果表'!E:E), 0) +
AC356*IF(_xlfn.XLOOKUP(AB356,'02效果表'!D:D,'02效果表'!E:E)&lt;0, _xlfn.XLOOKUP(AB356,'02效果表'!D:D,'02效果表'!E:E), 0) +
AE356*IF(_xlfn.XLOOKUP(AD356,'02效果表'!D:D,'02效果表'!E:E)&lt;0, _xlfn.XLOOKUP(AD356,'02效果表'!D:D,'02效果表'!E:E), 0)), 1)</f>
        <v>0</v>
      </c>
      <c r="G356" s="7">
        <f>ROUND(1/6*(I356*MAX(_xlfn.XLOOKUP(H356,'02效果表'!D:D,'02效果表'!E:E),0)+K356*MAX(_xlfn.XLOOKUP(J356,'02效果表'!D:D,'02效果表'!E:E),0)+M356*MAX(_xlfn.XLOOKUP(L356,'02效果表'!D:D,'02效果表'!E:E),0)+O356*MAX(_xlfn.XLOOKUP(N356,'02效果表'!D:D,'02效果表'!E:E),0)+Q356*MAX(_xlfn.XLOOKUP(P356,'02效果表'!D:D,'02效果表'!E:E),0)+S356*MAX(_xlfn.XLOOKUP(R356,'02效果表'!D:D,'02效果表'!E:E),0)+U356*MAX(_xlfn.XLOOKUP(T356,'02效果表'!D:D,'02效果表'!E:E),0)+W356*MAX(_xlfn.XLOOKUP(V356,'02效果表'!D:D,'02效果表'!E:E),0)+Y356*MAX(_xlfn.XLOOKUP(X356,'02效果表'!D:D,'02效果表'!E:E),0)+AA356*MAX(_xlfn.XLOOKUP(Z356,'02效果表'!D:D,'02效果表'!E:E),0)+AC356*MAX(_xlfn.XLOOKUP(AB356,'02效果表'!D:D,'02效果表'!E:E),0)+AE356*MAX(_xlfn.XLOOKUP(AD356,'02效果表'!D:D,'02效果表'!E:E),0)),1)</f>
        <v>0</v>
      </c>
      <c r="H356" s="6"/>
      <c r="I356" s="6"/>
      <c r="J356" s="6"/>
      <c r="K356" s="6"/>
      <c r="L356" s="6"/>
      <c r="M356" s="6"/>
      <c r="N356" s="6"/>
      <c r="O356" s="6"/>
      <c r="P356" s="6"/>
      <c r="Q356" s="6"/>
      <c r="R356" s="6"/>
      <c r="S356" s="6"/>
      <c r="T356" s="6"/>
      <c r="U356" s="6"/>
      <c r="V356" s="6"/>
      <c r="W356" s="6"/>
      <c r="X356" s="6"/>
      <c r="Y356" s="6"/>
      <c r="Z356" s="6"/>
      <c r="AA356" s="6"/>
      <c r="AB356" s="6"/>
      <c r="AC356" s="6"/>
      <c r="AD356" s="6"/>
      <c r="AE356" s="6"/>
    </row>
    <row r="357" spans="1:31" x14ac:dyDescent="0.35">
      <c r="A357" s="6">
        <v>357</v>
      </c>
      <c r="B357" s="6" t="s">
        <v>5</v>
      </c>
      <c r="C357" s="10" t="s">
        <v>16</v>
      </c>
      <c r="D357" s="9" t="s">
        <v>1553</v>
      </c>
      <c r="E357" s="7">
        <f t="shared" si="12"/>
        <v>0</v>
      </c>
      <c r="F357" s="7">
        <f>-1*ROUND(1/6*(I357*IF(_xlfn.XLOOKUP(H357,'02效果表'!D:D,'02效果表'!E:E)&lt;0, _xlfn.XLOOKUP(H357,'02效果表'!D:D,'02效果表'!E:E), 0) +
K357*IF(_xlfn.XLOOKUP(J357,'02效果表'!D:D,'02效果表'!E:E)&lt;0, _xlfn.XLOOKUP(J357,'02效果表'!D:D,'02效果表'!E:E), 0) +
M357*IF(_xlfn.XLOOKUP(L357,'02效果表'!D:D,'02效果表'!E:E)&lt;0, _xlfn.XLOOKUP(L357,'02效果表'!D:D,'02效果表'!E:E), 0) +
O357*IF(_xlfn.XLOOKUP(N357,'02效果表'!D:D,'02效果表'!E:E)&lt;0, _xlfn.XLOOKUP(N357,'02效果表'!D:D,'02效果表'!E:E), 0) +
Q357*IF(_xlfn.XLOOKUP(P357,'02效果表'!D:D,'02效果表'!E:E)&lt;0, _xlfn.XLOOKUP(P357,'02效果表'!D:D,'02效果表'!E:E), 0) +
S357*IF(_xlfn.XLOOKUP(R357,'02效果表'!D:D,'02效果表'!E:E)&lt;0, _xlfn.XLOOKUP(R357,'02效果表'!D:D,'02效果表'!E:E), 0) +
U357*IF(_xlfn.XLOOKUP(T357,'02效果表'!D:D,'02效果表'!E:E)&lt;0, _xlfn.XLOOKUP(T357,'02效果表'!D:D,'02效果表'!E:E), 0) +
W357*IF(_xlfn.XLOOKUP(V357,'02效果表'!D:D,'02效果表'!E:E)&lt;0, _xlfn.XLOOKUP(V357,'02效果表'!D:D,'02效果表'!E:E), 0) +
Y357*IF(_xlfn.XLOOKUP(X357,'02效果表'!D:D,'02效果表'!E:E)&lt;0, _xlfn.XLOOKUP(X357,'02效果表'!D:D,'02效果表'!E:E), 0) +
AA357*IF(_xlfn.XLOOKUP(Z357,'02效果表'!D:D,'02效果表'!E:E)&lt;0, _xlfn.XLOOKUP(Z357,'02效果表'!D:D,'02效果表'!E:E), 0) +
AC357*IF(_xlfn.XLOOKUP(AB357,'02效果表'!D:D,'02效果表'!E:E)&lt;0, _xlfn.XLOOKUP(AB357,'02效果表'!D:D,'02效果表'!E:E), 0) +
AE357*IF(_xlfn.XLOOKUP(AD357,'02效果表'!D:D,'02效果表'!E:E)&lt;0, _xlfn.XLOOKUP(AD357,'02效果表'!D:D,'02效果表'!E:E), 0)), 1)</f>
        <v>0</v>
      </c>
      <c r="G357" s="7">
        <f>ROUND(1/6*(I357*MAX(_xlfn.XLOOKUP(H357,'02效果表'!D:D,'02效果表'!E:E),0)+K357*MAX(_xlfn.XLOOKUP(J357,'02效果表'!D:D,'02效果表'!E:E),0)+M357*MAX(_xlfn.XLOOKUP(L357,'02效果表'!D:D,'02效果表'!E:E),0)+O357*MAX(_xlfn.XLOOKUP(N357,'02效果表'!D:D,'02效果表'!E:E),0)+Q357*MAX(_xlfn.XLOOKUP(P357,'02效果表'!D:D,'02效果表'!E:E),0)+S357*MAX(_xlfn.XLOOKUP(R357,'02效果表'!D:D,'02效果表'!E:E),0)+U357*MAX(_xlfn.XLOOKUP(T357,'02效果表'!D:D,'02效果表'!E:E),0)+W357*MAX(_xlfn.XLOOKUP(V357,'02效果表'!D:D,'02效果表'!E:E),0)+Y357*MAX(_xlfn.XLOOKUP(X357,'02效果表'!D:D,'02效果表'!E:E),0)+AA357*MAX(_xlfn.XLOOKUP(Z357,'02效果表'!D:D,'02效果表'!E:E),0)+AC357*MAX(_xlfn.XLOOKUP(AB357,'02效果表'!D:D,'02效果表'!E:E),0)+AE357*MAX(_xlfn.XLOOKUP(AD357,'02效果表'!D:D,'02效果表'!E:E),0)),1)</f>
        <v>0</v>
      </c>
      <c r="H357" s="6"/>
      <c r="I357" s="6"/>
      <c r="J357" s="6"/>
      <c r="K357" s="6"/>
      <c r="L357" s="6"/>
      <c r="M357" s="6"/>
      <c r="N357" s="6"/>
      <c r="O357" s="6"/>
      <c r="P357" s="6"/>
      <c r="Q357" s="6"/>
      <c r="R357" s="6"/>
      <c r="S357" s="6"/>
      <c r="T357" s="6"/>
      <c r="U357" s="6"/>
      <c r="V357" s="6"/>
      <c r="W357" s="6"/>
      <c r="X357" s="6"/>
      <c r="Y357" s="6"/>
      <c r="Z357" s="6"/>
      <c r="AA357" s="6"/>
      <c r="AB357" s="6"/>
      <c r="AC357" s="6"/>
      <c r="AD357" s="6"/>
      <c r="AE357" s="6"/>
    </row>
    <row r="358" spans="1:31" x14ac:dyDescent="0.35">
      <c r="A358" s="6">
        <v>358</v>
      </c>
      <c r="B358" s="6" t="s">
        <v>5</v>
      </c>
      <c r="C358" s="10" t="s">
        <v>16</v>
      </c>
      <c r="D358" s="9" t="s">
        <v>1554</v>
      </c>
      <c r="E358" s="7">
        <f t="shared" si="12"/>
        <v>0</v>
      </c>
      <c r="F358" s="7">
        <f>-1*ROUND(1/6*(I358*IF(_xlfn.XLOOKUP(H358,'02效果表'!D:D,'02效果表'!E:E)&lt;0, _xlfn.XLOOKUP(H358,'02效果表'!D:D,'02效果表'!E:E), 0) +
K358*IF(_xlfn.XLOOKUP(J358,'02效果表'!D:D,'02效果表'!E:E)&lt;0, _xlfn.XLOOKUP(J358,'02效果表'!D:D,'02效果表'!E:E), 0) +
M358*IF(_xlfn.XLOOKUP(L358,'02效果表'!D:D,'02效果表'!E:E)&lt;0, _xlfn.XLOOKUP(L358,'02效果表'!D:D,'02效果表'!E:E), 0) +
O358*IF(_xlfn.XLOOKUP(N358,'02效果表'!D:D,'02效果表'!E:E)&lt;0, _xlfn.XLOOKUP(N358,'02效果表'!D:D,'02效果表'!E:E), 0) +
Q358*IF(_xlfn.XLOOKUP(P358,'02效果表'!D:D,'02效果表'!E:E)&lt;0, _xlfn.XLOOKUP(P358,'02效果表'!D:D,'02效果表'!E:E), 0) +
S358*IF(_xlfn.XLOOKUP(R358,'02效果表'!D:D,'02效果表'!E:E)&lt;0, _xlfn.XLOOKUP(R358,'02效果表'!D:D,'02效果表'!E:E), 0) +
U358*IF(_xlfn.XLOOKUP(T358,'02效果表'!D:D,'02效果表'!E:E)&lt;0, _xlfn.XLOOKUP(T358,'02效果表'!D:D,'02效果表'!E:E), 0) +
W358*IF(_xlfn.XLOOKUP(V358,'02效果表'!D:D,'02效果表'!E:E)&lt;0, _xlfn.XLOOKUP(V358,'02效果表'!D:D,'02效果表'!E:E), 0) +
Y358*IF(_xlfn.XLOOKUP(X358,'02效果表'!D:D,'02效果表'!E:E)&lt;0, _xlfn.XLOOKUP(X358,'02效果表'!D:D,'02效果表'!E:E), 0) +
AA358*IF(_xlfn.XLOOKUP(Z358,'02效果表'!D:D,'02效果表'!E:E)&lt;0, _xlfn.XLOOKUP(Z358,'02效果表'!D:D,'02效果表'!E:E), 0) +
AC358*IF(_xlfn.XLOOKUP(AB358,'02效果表'!D:D,'02效果表'!E:E)&lt;0, _xlfn.XLOOKUP(AB358,'02效果表'!D:D,'02效果表'!E:E), 0) +
AE358*IF(_xlfn.XLOOKUP(AD358,'02效果表'!D:D,'02效果表'!E:E)&lt;0, _xlfn.XLOOKUP(AD358,'02效果表'!D:D,'02效果表'!E:E), 0)), 1)</f>
        <v>0</v>
      </c>
      <c r="G358" s="7">
        <f>ROUND(1/6*(I358*MAX(_xlfn.XLOOKUP(H358,'02效果表'!D:D,'02效果表'!E:E),0)+K358*MAX(_xlfn.XLOOKUP(J358,'02效果表'!D:D,'02效果表'!E:E),0)+M358*MAX(_xlfn.XLOOKUP(L358,'02效果表'!D:D,'02效果表'!E:E),0)+O358*MAX(_xlfn.XLOOKUP(N358,'02效果表'!D:D,'02效果表'!E:E),0)+Q358*MAX(_xlfn.XLOOKUP(P358,'02效果表'!D:D,'02效果表'!E:E),0)+S358*MAX(_xlfn.XLOOKUP(R358,'02效果表'!D:D,'02效果表'!E:E),0)+U358*MAX(_xlfn.XLOOKUP(T358,'02效果表'!D:D,'02效果表'!E:E),0)+W358*MAX(_xlfn.XLOOKUP(V358,'02效果表'!D:D,'02效果表'!E:E),0)+Y358*MAX(_xlfn.XLOOKUP(X358,'02效果表'!D:D,'02效果表'!E:E),0)+AA358*MAX(_xlfn.XLOOKUP(Z358,'02效果表'!D:D,'02效果表'!E:E),0)+AC358*MAX(_xlfn.XLOOKUP(AB358,'02效果表'!D:D,'02效果表'!E:E),0)+AE358*MAX(_xlfn.XLOOKUP(AD358,'02效果表'!D:D,'02效果表'!E:E),0)),1)</f>
        <v>0</v>
      </c>
      <c r="H358" s="6"/>
      <c r="I358" s="6"/>
      <c r="J358" s="6"/>
      <c r="K358" s="6"/>
      <c r="L358" s="6"/>
      <c r="M358" s="6"/>
      <c r="N358" s="6"/>
      <c r="O358" s="6"/>
      <c r="P358" s="6"/>
      <c r="Q358" s="6"/>
      <c r="R358" s="6"/>
      <c r="S358" s="6"/>
      <c r="T358" s="6"/>
      <c r="U358" s="6"/>
      <c r="V358" s="6"/>
      <c r="W358" s="6"/>
      <c r="X358" s="6"/>
      <c r="Y358" s="6"/>
      <c r="Z358" s="6"/>
      <c r="AA358" s="6"/>
      <c r="AB358" s="6"/>
      <c r="AC358" s="6"/>
      <c r="AD358" s="6"/>
      <c r="AE358" s="6"/>
    </row>
    <row r="359" spans="1:31" x14ac:dyDescent="0.35">
      <c r="A359" s="6">
        <v>359</v>
      </c>
      <c r="B359" s="6" t="s">
        <v>5</v>
      </c>
      <c r="C359" s="10" t="s">
        <v>16</v>
      </c>
      <c r="D359" s="9" t="s">
        <v>1555</v>
      </c>
      <c r="E359" s="7">
        <f t="shared" si="12"/>
        <v>0</v>
      </c>
      <c r="F359" s="7">
        <f>-1*ROUND(1/6*(I359*IF(_xlfn.XLOOKUP(H359,'02效果表'!D:D,'02效果表'!E:E)&lt;0, _xlfn.XLOOKUP(H359,'02效果表'!D:D,'02效果表'!E:E), 0) +
K359*IF(_xlfn.XLOOKUP(J359,'02效果表'!D:D,'02效果表'!E:E)&lt;0, _xlfn.XLOOKUP(J359,'02效果表'!D:D,'02效果表'!E:E), 0) +
M359*IF(_xlfn.XLOOKUP(L359,'02效果表'!D:D,'02效果表'!E:E)&lt;0, _xlfn.XLOOKUP(L359,'02效果表'!D:D,'02效果表'!E:E), 0) +
O359*IF(_xlfn.XLOOKUP(N359,'02效果表'!D:D,'02效果表'!E:E)&lt;0, _xlfn.XLOOKUP(N359,'02效果表'!D:D,'02效果表'!E:E), 0) +
Q359*IF(_xlfn.XLOOKUP(P359,'02效果表'!D:D,'02效果表'!E:E)&lt;0, _xlfn.XLOOKUP(P359,'02效果表'!D:D,'02效果表'!E:E), 0) +
S359*IF(_xlfn.XLOOKUP(R359,'02效果表'!D:D,'02效果表'!E:E)&lt;0, _xlfn.XLOOKUP(R359,'02效果表'!D:D,'02效果表'!E:E), 0) +
U359*IF(_xlfn.XLOOKUP(T359,'02效果表'!D:D,'02效果表'!E:E)&lt;0, _xlfn.XLOOKUP(T359,'02效果表'!D:D,'02效果表'!E:E), 0) +
W359*IF(_xlfn.XLOOKUP(V359,'02效果表'!D:D,'02效果表'!E:E)&lt;0, _xlfn.XLOOKUP(V359,'02效果表'!D:D,'02效果表'!E:E), 0) +
Y359*IF(_xlfn.XLOOKUP(X359,'02效果表'!D:D,'02效果表'!E:E)&lt;0, _xlfn.XLOOKUP(X359,'02效果表'!D:D,'02效果表'!E:E), 0) +
AA359*IF(_xlfn.XLOOKUP(Z359,'02效果表'!D:D,'02效果表'!E:E)&lt;0, _xlfn.XLOOKUP(Z359,'02效果表'!D:D,'02效果表'!E:E), 0) +
AC359*IF(_xlfn.XLOOKUP(AB359,'02效果表'!D:D,'02效果表'!E:E)&lt;0, _xlfn.XLOOKUP(AB359,'02效果表'!D:D,'02效果表'!E:E), 0) +
AE359*IF(_xlfn.XLOOKUP(AD359,'02效果表'!D:D,'02效果表'!E:E)&lt;0, _xlfn.XLOOKUP(AD359,'02效果表'!D:D,'02效果表'!E:E), 0)), 1)</f>
        <v>0</v>
      </c>
      <c r="G359" s="7">
        <f>ROUND(1/6*(I359*MAX(_xlfn.XLOOKUP(H359,'02效果表'!D:D,'02效果表'!E:E),0)+K359*MAX(_xlfn.XLOOKUP(J359,'02效果表'!D:D,'02效果表'!E:E),0)+M359*MAX(_xlfn.XLOOKUP(L359,'02效果表'!D:D,'02效果表'!E:E),0)+O359*MAX(_xlfn.XLOOKUP(N359,'02效果表'!D:D,'02效果表'!E:E),0)+Q359*MAX(_xlfn.XLOOKUP(P359,'02效果表'!D:D,'02效果表'!E:E),0)+S359*MAX(_xlfn.XLOOKUP(R359,'02效果表'!D:D,'02效果表'!E:E),0)+U359*MAX(_xlfn.XLOOKUP(T359,'02效果表'!D:D,'02效果表'!E:E),0)+W359*MAX(_xlfn.XLOOKUP(V359,'02效果表'!D:D,'02效果表'!E:E),0)+Y359*MAX(_xlfn.XLOOKUP(X359,'02效果表'!D:D,'02效果表'!E:E),0)+AA359*MAX(_xlfn.XLOOKUP(Z359,'02效果表'!D:D,'02效果表'!E:E),0)+AC359*MAX(_xlfn.XLOOKUP(AB359,'02效果表'!D:D,'02效果表'!E:E),0)+AE359*MAX(_xlfn.XLOOKUP(AD359,'02效果表'!D:D,'02效果表'!E:E),0)),1)</f>
        <v>0</v>
      </c>
      <c r="H359" s="6"/>
      <c r="I359" s="6"/>
      <c r="J359" s="6"/>
      <c r="K359" s="6"/>
      <c r="L359" s="6"/>
      <c r="M359" s="6"/>
      <c r="N359" s="6"/>
      <c r="O359" s="6"/>
      <c r="P359" s="6"/>
      <c r="Q359" s="6"/>
      <c r="R359" s="6"/>
      <c r="S359" s="6"/>
      <c r="T359" s="6"/>
      <c r="U359" s="6"/>
      <c r="V359" s="6"/>
      <c r="W359" s="6"/>
      <c r="X359" s="6"/>
      <c r="Y359" s="6"/>
      <c r="Z359" s="6"/>
      <c r="AA359" s="6"/>
      <c r="AB359" s="6"/>
      <c r="AC359" s="6"/>
      <c r="AD359" s="6"/>
      <c r="AE359" s="6"/>
    </row>
    <row r="360" spans="1:31" x14ac:dyDescent="0.35">
      <c r="A360" s="6">
        <v>360</v>
      </c>
      <c r="B360" s="6" t="s">
        <v>5</v>
      </c>
      <c r="C360" s="10" t="s">
        <v>16</v>
      </c>
      <c r="D360" s="9" t="s">
        <v>1556</v>
      </c>
      <c r="E360" s="7">
        <f t="shared" si="12"/>
        <v>0</v>
      </c>
      <c r="F360" s="7">
        <f>-1*ROUND(1/6*(I360*IF(_xlfn.XLOOKUP(H360,'02效果表'!D:D,'02效果表'!E:E)&lt;0, _xlfn.XLOOKUP(H360,'02效果表'!D:D,'02效果表'!E:E), 0) +
K360*IF(_xlfn.XLOOKUP(J360,'02效果表'!D:D,'02效果表'!E:E)&lt;0, _xlfn.XLOOKUP(J360,'02效果表'!D:D,'02效果表'!E:E), 0) +
M360*IF(_xlfn.XLOOKUP(L360,'02效果表'!D:D,'02效果表'!E:E)&lt;0, _xlfn.XLOOKUP(L360,'02效果表'!D:D,'02效果表'!E:E), 0) +
O360*IF(_xlfn.XLOOKUP(N360,'02效果表'!D:D,'02效果表'!E:E)&lt;0, _xlfn.XLOOKUP(N360,'02效果表'!D:D,'02效果表'!E:E), 0) +
Q360*IF(_xlfn.XLOOKUP(P360,'02效果表'!D:D,'02效果表'!E:E)&lt;0, _xlfn.XLOOKUP(P360,'02效果表'!D:D,'02效果表'!E:E), 0) +
S360*IF(_xlfn.XLOOKUP(R360,'02效果表'!D:D,'02效果表'!E:E)&lt;0, _xlfn.XLOOKUP(R360,'02效果表'!D:D,'02效果表'!E:E), 0) +
U360*IF(_xlfn.XLOOKUP(T360,'02效果表'!D:D,'02效果表'!E:E)&lt;0, _xlfn.XLOOKUP(T360,'02效果表'!D:D,'02效果表'!E:E), 0) +
W360*IF(_xlfn.XLOOKUP(V360,'02效果表'!D:D,'02效果表'!E:E)&lt;0, _xlfn.XLOOKUP(V360,'02效果表'!D:D,'02效果表'!E:E), 0) +
Y360*IF(_xlfn.XLOOKUP(X360,'02效果表'!D:D,'02效果表'!E:E)&lt;0, _xlfn.XLOOKUP(X360,'02效果表'!D:D,'02效果表'!E:E), 0) +
AA360*IF(_xlfn.XLOOKUP(Z360,'02效果表'!D:D,'02效果表'!E:E)&lt;0, _xlfn.XLOOKUP(Z360,'02效果表'!D:D,'02效果表'!E:E), 0) +
AC360*IF(_xlfn.XLOOKUP(AB360,'02效果表'!D:D,'02效果表'!E:E)&lt;0, _xlfn.XLOOKUP(AB360,'02效果表'!D:D,'02效果表'!E:E), 0) +
AE360*IF(_xlfn.XLOOKUP(AD360,'02效果表'!D:D,'02效果表'!E:E)&lt;0, _xlfn.XLOOKUP(AD360,'02效果表'!D:D,'02效果表'!E:E), 0)), 1)</f>
        <v>0</v>
      </c>
      <c r="G360" s="7">
        <f>ROUND(1/6*(I360*MAX(_xlfn.XLOOKUP(H360,'02效果表'!D:D,'02效果表'!E:E),0)+K360*MAX(_xlfn.XLOOKUP(J360,'02效果表'!D:D,'02效果表'!E:E),0)+M360*MAX(_xlfn.XLOOKUP(L360,'02效果表'!D:D,'02效果表'!E:E),0)+O360*MAX(_xlfn.XLOOKUP(N360,'02效果表'!D:D,'02效果表'!E:E),0)+Q360*MAX(_xlfn.XLOOKUP(P360,'02效果表'!D:D,'02效果表'!E:E),0)+S360*MAX(_xlfn.XLOOKUP(R360,'02效果表'!D:D,'02效果表'!E:E),0)+U360*MAX(_xlfn.XLOOKUP(T360,'02效果表'!D:D,'02效果表'!E:E),0)+W360*MAX(_xlfn.XLOOKUP(V360,'02效果表'!D:D,'02效果表'!E:E),0)+Y360*MAX(_xlfn.XLOOKUP(X360,'02效果表'!D:D,'02效果表'!E:E),0)+AA360*MAX(_xlfn.XLOOKUP(Z360,'02效果表'!D:D,'02效果表'!E:E),0)+AC360*MAX(_xlfn.XLOOKUP(AB360,'02效果表'!D:D,'02效果表'!E:E),0)+AE360*MAX(_xlfn.XLOOKUP(AD360,'02效果表'!D:D,'02效果表'!E:E),0)),1)</f>
        <v>0</v>
      </c>
      <c r="H360" s="6"/>
      <c r="I360" s="6"/>
      <c r="J360" s="6"/>
      <c r="K360" s="6"/>
      <c r="L360" s="6"/>
      <c r="M360" s="6"/>
      <c r="N360" s="6"/>
      <c r="O360" s="6"/>
      <c r="P360" s="6"/>
      <c r="Q360" s="6"/>
      <c r="R360" s="6"/>
      <c r="S360" s="6"/>
      <c r="T360" s="6"/>
      <c r="U360" s="6"/>
      <c r="V360" s="6"/>
      <c r="W360" s="6"/>
      <c r="X360" s="6"/>
      <c r="Y360" s="6"/>
      <c r="Z360" s="6"/>
      <c r="AA360" s="6"/>
      <c r="AB360" s="6"/>
      <c r="AC360" s="6"/>
      <c r="AD360" s="6"/>
      <c r="AE360" s="6"/>
    </row>
    <row r="361" spans="1:31" x14ac:dyDescent="0.35">
      <c r="A361" s="6">
        <v>361</v>
      </c>
      <c r="B361" s="6" t="s">
        <v>5</v>
      </c>
      <c r="C361" s="10" t="s">
        <v>16</v>
      </c>
      <c r="D361" s="9" t="s">
        <v>1557</v>
      </c>
      <c r="E361" s="7">
        <f t="shared" si="12"/>
        <v>0</v>
      </c>
      <c r="F361" s="7">
        <f>-1*ROUND(1/6*(I361*IF(_xlfn.XLOOKUP(H361,'02效果表'!D:D,'02效果表'!E:E)&lt;0, _xlfn.XLOOKUP(H361,'02效果表'!D:D,'02效果表'!E:E), 0) +
K361*IF(_xlfn.XLOOKUP(J361,'02效果表'!D:D,'02效果表'!E:E)&lt;0, _xlfn.XLOOKUP(J361,'02效果表'!D:D,'02效果表'!E:E), 0) +
M361*IF(_xlfn.XLOOKUP(L361,'02效果表'!D:D,'02效果表'!E:E)&lt;0, _xlfn.XLOOKUP(L361,'02效果表'!D:D,'02效果表'!E:E), 0) +
O361*IF(_xlfn.XLOOKUP(N361,'02效果表'!D:D,'02效果表'!E:E)&lt;0, _xlfn.XLOOKUP(N361,'02效果表'!D:D,'02效果表'!E:E), 0) +
Q361*IF(_xlfn.XLOOKUP(P361,'02效果表'!D:D,'02效果表'!E:E)&lt;0, _xlfn.XLOOKUP(P361,'02效果表'!D:D,'02效果表'!E:E), 0) +
S361*IF(_xlfn.XLOOKUP(R361,'02效果表'!D:D,'02效果表'!E:E)&lt;0, _xlfn.XLOOKUP(R361,'02效果表'!D:D,'02效果表'!E:E), 0) +
U361*IF(_xlfn.XLOOKUP(T361,'02效果表'!D:D,'02效果表'!E:E)&lt;0, _xlfn.XLOOKUP(T361,'02效果表'!D:D,'02效果表'!E:E), 0) +
W361*IF(_xlfn.XLOOKUP(V361,'02效果表'!D:D,'02效果表'!E:E)&lt;0, _xlfn.XLOOKUP(V361,'02效果表'!D:D,'02效果表'!E:E), 0) +
Y361*IF(_xlfn.XLOOKUP(X361,'02效果表'!D:D,'02效果表'!E:E)&lt;0, _xlfn.XLOOKUP(X361,'02效果表'!D:D,'02效果表'!E:E), 0) +
AA361*IF(_xlfn.XLOOKUP(Z361,'02效果表'!D:D,'02效果表'!E:E)&lt;0, _xlfn.XLOOKUP(Z361,'02效果表'!D:D,'02效果表'!E:E), 0) +
AC361*IF(_xlfn.XLOOKUP(AB361,'02效果表'!D:D,'02效果表'!E:E)&lt;0, _xlfn.XLOOKUP(AB361,'02效果表'!D:D,'02效果表'!E:E), 0) +
AE361*IF(_xlfn.XLOOKUP(AD361,'02效果表'!D:D,'02效果表'!E:E)&lt;0, _xlfn.XLOOKUP(AD361,'02效果表'!D:D,'02效果表'!E:E), 0)), 1)</f>
        <v>0</v>
      </c>
      <c r="G361" s="7">
        <f>ROUND(1/6*(I361*MAX(_xlfn.XLOOKUP(H361,'02效果表'!D:D,'02效果表'!E:E),0)+K361*MAX(_xlfn.XLOOKUP(J361,'02效果表'!D:D,'02效果表'!E:E),0)+M361*MAX(_xlfn.XLOOKUP(L361,'02效果表'!D:D,'02效果表'!E:E),0)+O361*MAX(_xlfn.XLOOKUP(N361,'02效果表'!D:D,'02效果表'!E:E),0)+Q361*MAX(_xlfn.XLOOKUP(P361,'02效果表'!D:D,'02效果表'!E:E),0)+S361*MAX(_xlfn.XLOOKUP(R361,'02效果表'!D:D,'02效果表'!E:E),0)+U361*MAX(_xlfn.XLOOKUP(T361,'02效果表'!D:D,'02效果表'!E:E),0)+W361*MAX(_xlfn.XLOOKUP(V361,'02效果表'!D:D,'02效果表'!E:E),0)+Y361*MAX(_xlfn.XLOOKUP(X361,'02效果表'!D:D,'02效果表'!E:E),0)+AA361*MAX(_xlfn.XLOOKUP(Z361,'02效果表'!D:D,'02效果表'!E:E),0)+AC361*MAX(_xlfn.XLOOKUP(AB361,'02效果表'!D:D,'02效果表'!E:E),0)+AE361*MAX(_xlfn.XLOOKUP(AD361,'02效果表'!D:D,'02效果表'!E:E),0)),1)</f>
        <v>0</v>
      </c>
      <c r="H361" s="6"/>
      <c r="I361" s="6"/>
      <c r="J361" s="6"/>
      <c r="K361" s="6"/>
      <c r="L361" s="6"/>
      <c r="M361" s="6"/>
      <c r="N361" s="6"/>
      <c r="O361" s="6"/>
      <c r="P361" s="6"/>
      <c r="Q361" s="6"/>
      <c r="R361" s="6"/>
      <c r="S361" s="6"/>
      <c r="T361" s="6"/>
      <c r="U361" s="6"/>
      <c r="V361" s="6"/>
      <c r="W361" s="6"/>
      <c r="X361" s="6"/>
      <c r="Y361" s="6"/>
      <c r="Z361" s="6"/>
      <c r="AA361" s="6"/>
      <c r="AB361" s="6"/>
      <c r="AC361" s="6"/>
      <c r="AD361" s="6"/>
      <c r="AE361" s="6"/>
    </row>
    <row r="362" spans="1:31" x14ac:dyDescent="0.35">
      <c r="A362" s="6">
        <v>362</v>
      </c>
      <c r="B362" s="6" t="s">
        <v>5</v>
      </c>
      <c r="C362" s="10" t="s">
        <v>16</v>
      </c>
      <c r="D362" s="9" t="s">
        <v>1558</v>
      </c>
      <c r="E362" s="7">
        <f t="shared" si="12"/>
        <v>0</v>
      </c>
      <c r="F362" s="7">
        <f>-1*ROUND(1/6*(I362*IF(_xlfn.XLOOKUP(H362,'02效果表'!D:D,'02效果表'!E:E)&lt;0, _xlfn.XLOOKUP(H362,'02效果表'!D:D,'02效果表'!E:E), 0) +
K362*IF(_xlfn.XLOOKUP(J362,'02效果表'!D:D,'02效果表'!E:E)&lt;0, _xlfn.XLOOKUP(J362,'02效果表'!D:D,'02效果表'!E:E), 0) +
M362*IF(_xlfn.XLOOKUP(L362,'02效果表'!D:D,'02效果表'!E:E)&lt;0, _xlfn.XLOOKUP(L362,'02效果表'!D:D,'02效果表'!E:E), 0) +
O362*IF(_xlfn.XLOOKUP(N362,'02效果表'!D:D,'02效果表'!E:E)&lt;0, _xlfn.XLOOKUP(N362,'02效果表'!D:D,'02效果表'!E:E), 0) +
Q362*IF(_xlfn.XLOOKUP(P362,'02效果表'!D:D,'02效果表'!E:E)&lt;0, _xlfn.XLOOKUP(P362,'02效果表'!D:D,'02效果表'!E:E), 0) +
S362*IF(_xlfn.XLOOKUP(R362,'02效果表'!D:D,'02效果表'!E:E)&lt;0, _xlfn.XLOOKUP(R362,'02效果表'!D:D,'02效果表'!E:E), 0) +
U362*IF(_xlfn.XLOOKUP(T362,'02效果表'!D:D,'02效果表'!E:E)&lt;0, _xlfn.XLOOKUP(T362,'02效果表'!D:D,'02效果表'!E:E), 0) +
W362*IF(_xlfn.XLOOKUP(V362,'02效果表'!D:D,'02效果表'!E:E)&lt;0, _xlfn.XLOOKUP(V362,'02效果表'!D:D,'02效果表'!E:E), 0) +
Y362*IF(_xlfn.XLOOKUP(X362,'02效果表'!D:D,'02效果表'!E:E)&lt;0, _xlfn.XLOOKUP(X362,'02效果表'!D:D,'02效果表'!E:E), 0) +
AA362*IF(_xlfn.XLOOKUP(Z362,'02效果表'!D:D,'02效果表'!E:E)&lt;0, _xlfn.XLOOKUP(Z362,'02效果表'!D:D,'02效果表'!E:E), 0) +
AC362*IF(_xlfn.XLOOKUP(AB362,'02效果表'!D:D,'02效果表'!E:E)&lt;0, _xlfn.XLOOKUP(AB362,'02效果表'!D:D,'02效果表'!E:E), 0) +
AE362*IF(_xlfn.XLOOKUP(AD362,'02效果表'!D:D,'02效果表'!E:E)&lt;0, _xlfn.XLOOKUP(AD362,'02效果表'!D:D,'02效果表'!E:E), 0)), 1)</f>
        <v>0</v>
      </c>
      <c r="G362" s="7">
        <f>ROUND(1/6*(I362*MAX(_xlfn.XLOOKUP(H362,'02效果表'!D:D,'02效果表'!E:E),0)+K362*MAX(_xlfn.XLOOKUP(J362,'02效果表'!D:D,'02效果表'!E:E),0)+M362*MAX(_xlfn.XLOOKUP(L362,'02效果表'!D:D,'02效果表'!E:E),0)+O362*MAX(_xlfn.XLOOKUP(N362,'02效果表'!D:D,'02效果表'!E:E),0)+Q362*MAX(_xlfn.XLOOKUP(P362,'02效果表'!D:D,'02效果表'!E:E),0)+S362*MAX(_xlfn.XLOOKUP(R362,'02效果表'!D:D,'02效果表'!E:E),0)+U362*MAX(_xlfn.XLOOKUP(T362,'02效果表'!D:D,'02效果表'!E:E),0)+W362*MAX(_xlfn.XLOOKUP(V362,'02效果表'!D:D,'02效果表'!E:E),0)+Y362*MAX(_xlfn.XLOOKUP(X362,'02效果表'!D:D,'02效果表'!E:E),0)+AA362*MAX(_xlfn.XLOOKUP(Z362,'02效果表'!D:D,'02效果表'!E:E),0)+AC362*MAX(_xlfn.XLOOKUP(AB362,'02效果表'!D:D,'02效果表'!E:E),0)+AE362*MAX(_xlfn.XLOOKUP(AD362,'02效果表'!D:D,'02效果表'!E:E),0)),1)</f>
        <v>0</v>
      </c>
      <c r="H362" s="6"/>
      <c r="I362" s="6"/>
      <c r="J362" s="6"/>
      <c r="K362" s="6"/>
      <c r="L362" s="6"/>
      <c r="M362" s="6"/>
      <c r="N362" s="6"/>
      <c r="O362" s="6"/>
      <c r="P362" s="6"/>
      <c r="Q362" s="6"/>
      <c r="R362" s="6"/>
      <c r="S362" s="6"/>
      <c r="T362" s="6"/>
      <c r="U362" s="6"/>
      <c r="V362" s="6"/>
      <c r="W362" s="6"/>
      <c r="X362" s="6"/>
      <c r="Y362" s="6"/>
      <c r="Z362" s="6"/>
      <c r="AA362" s="6"/>
      <c r="AB362" s="6"/>
      <c r="AC362" s="6"/>
      <c r="AD362" s="6"/>
      <c r="AE362" s="6"/>
    </row>
    <row r="363" spans="1:31" x14ac:dyDescent="0.35">
      <c r="A363" s="6">
        <v>363</v>
      </c>
      <c r="B363" s="6" t="s">
        <v>5</v>
      </c>
      <c r="C363" s="10" t="s">
        <v>16</v>
      </c>
      <c r="D363" s="9" t="s">
        <v>1559</v>
      </c>
      <c r="E363" s="7">
        <f t="shared" si="12"/>
        <v>0</v>
      </c>
      <c r="F363" s="7">
        <f>-1*ROUND(1/6*(I363*IF(_xlfn.XLOOKUP(H363,'02效果表'!D:D,'02效果表'!E:E)&lt;0, _xlfn.XLOOKUP(H363,'02效果表'!D:D,'02效果表'!E:E), 0) +
K363*IF(_xlfn.XLOOKUP(J363,'02效果表'!D:D,'02效果表'!E:E)&lt;0, _xlfn.XLOOKUP(J363,'02效果表'!D:D,'02效果表'!E:E), 0) +
M363*IF(_xlfn.XLOOKUP(L363,'02效果表'!D:D,'02效果表'!E:E)&lt;0, _xlfn.XLOOKUP(L363,'02效果表'!D:D,'02效果表'!E:E), 0) +
O363*IF(_xlfn.XLOOKUP(N363,'02效果表'!D:D,'02效果表'!E:E)&lt;0, _xlfn.XLOOKUP(N363,'02效果表'!D:D,'02效果表'!E:E), 0) +
Q363*IF(_xlfn.XLOOKUP(P363,'02效果表'!D:D,'02效果表'!E:E)&lt;0, _xlfn.XLOOKUP(P363,'02效果表'!D:D,'02效果表'!E:E), 0) +
S363*IF(_xlfn.XLOOKUP(R363,'02效果表'!D:D,'02效果表'!E:E)&lt;0, _xlfn.XLOOKUP(R363,'02效果表'!D:D,'02效果表'!E:E), 0) +
U363*IF(_xlfn.XLOOKUP(T363,'02效果表'!D:D,'02效果表'!E:E)&lt;0, _xlfn.XLOOKUP(T363,'02效果表'!D:D,'02效果表'!E:E), 0) +
W363*IF(_xlfn.XLOOKUP(V363,'02效果表'!D:D,'02效果表'!E:E)&lt;0, _xlfn.XLOOKUP(V363,'02效果表'!D:D,'02效果表'!E:E), 0) +
Y363*IF(_xlfn.XLOOKUP(X363,'02效果表'!D:D,'02效果表'!E:E)&lt;0, _xlfn.XLOOKUP(X363,'02效果表'!D:D,'02效果表'!E:E), 0) +
AA363*IF(_xlfn.XLOOKUP(Z363,'02效果表'!D:D,'02效果表'!E:E)&lt;0, _xlfn.XLOOKUP(Z363,'02效果表'!D:D,'02效果表'!E:E), 0) +
AC363*IF(_xlfn.XLOOKUP(AB363,'02效果表'!D:D,'02效果表'!E:E)&lt;0, _xlfn.XLOOKUP(AB363,'02效果表'!D:D,'02效果表'!E:E), 0) +
AE363*IF(_xlfn.XLOOKUP(AD363,'02效果表'!D:D,'02效果表'!E:E)&lt;0, _xlfn.XLOOKUP(AD363,'02效果表'!D:D,'02效果表'!E:E), 0)), 1)</f>
        <v>0</v>
      </c>
      <c r="G363" s="7">
        <f>ROUND(1/6*(I363*MAX(_xlfn.XLOOKUP(H363,'02效果表'!D:D,'02效果表'!E:E),0)+K363*MAX(_xlfn.XLOOKUP(J363,'02效果表'!D:D,'02效果表'!E:E),0)+M363*MAX(_xlfn.XLOOKUP(L363,'02效果表'!D:D,'02效果表'!E:E),0)+O363*MAX(_xlfn.XLOOKUP(N363,'02效果表'!D:D,'02效果表'!E:E),0)+Q363*MAX(_xlfn.XLOOKUP(P363,'02效果表'!D:D,'02效果表'!E:E),0)+S363*MAX(_xlfn.XLOOKUP(R363,'02效果表'!D:D,'02效果表'!E:E),0)+U363*MAX(_xlfn.XLOOKUP(T363,'02效果表'!D:D,'02效果表'!E:E),0)+W363*MAX(_xlfn.XLOOKUP(V363,'02效果表'!D:D,'02效果表'!E:E),0)+Y363*MAX(_xlfn.XLOOKUP(X363,'02效果表'!D:D,'02效果表'!E:E),0)+AA363*MAX(_xlfn.XLOOKUP(Z363,'02效果表'!D:D,'02效果表'!E:E),0)+AC363*MAX(_xlfn.XLOOKUP(AB363,'02效果表'!D:D,'02效果表'!E:E),0)+AE363*MAX(_xlfn.XLOOKUP(AD363,'02效果表'!D:D,'02效果表'!E:E),0)),1)</f>
        <v>0</v>
      </c>
      <c r="H363" s="6"/>
      <c r="I363" s="6"/>
      <c r="J363" s="6"/>
      <c r="K363" s="6"/>
      <c r="L363" s="6"/>
      <c r="M363" s="6"/>
      <c r="N363" s="6"/>
      <c r="O363" s="6"/>
      <c r="P363" s="6"/>
      <c r="Q363" s="6"/>
      <c r="R363" s="6"/>
      <c r="S363" s="6"/>
      <c r="T363" s="6"/>
      <c r="U363" s="6"/>
      <c r="V363" s="6"/>
      <c r="W363" s="6"/>
      <c r="X363" s="6"/>
      <c r="Y363" s="6"/>
      <c r="Z363" s="6"/>
      <c r="AA363" s="6"/>
      <c r="AB363" s="6"/>
      <c r="AC363" s="6"/>
      <c r="AD363" s="6"/>
      <c r="AE363" s="6"/>
    </row>
    <row r="364" spans="1:31" x14ac:dyDescent="0.35">
      <c r="A364" s="6">
        <v>364</v>
      </c>
      <c r="B364" s="6" t="s">
        <v>5</v>
      </c>
      <c r="C364" s="10" t="s">
        <v>16</v>
      </c>
      <c r="D364" s="9" t="s">
        <v>1560</v>
      </c>
      <c r="E364" s="7">
        <f t="shared" si="12"/>
        <v>0</v>
      </c>
      <c r="F364" s="7">
        <f>-1*ROUND(1/6*(I364*IF(_xlfn.XLOOKUP(H364,'02效果表'!D:D,'02效果表'!E:E)&lt;0, _xlfn.XLOOKUP(H364,'02效果表'!D:D,'02效果表'!E:E), 0) +
K364*IF(_xlfn.XLOOKUP(J364,'02效果表'!D:D,'02效果表'!E:E)&lt;0, _xlfn.XLOOKUP(J364,'02效果表'!D:D,'02效果表'!E:E), 0) +
M364*IF(_xlfn.XLOOKUP(L364,'02效果表'!D:D,'02效果表'!E:E)&lt;0, _xlfn.XLOOKUP(L364,'02效果表'!D:D,'02效果表'!E:E), 0) +
O364*IF(_xlfn.XLOOKUP(N364,'02效果表'!D:D,'02效果表'!E:E)&lt;0, _xlfn.XLOOKUP(N364,'02效果表'!D:D,'02效果表'!E:E), 0) +
Q364*IF(_xlfn.XLOOKUP(P364,'02效果表'!D:D,'02效果表'!E:E)&lt;0, _xlfn.XLOOKUP(P364,'02效果表'!D:D,'02效果表'!E:E), 0) +
S364*IF(_xlfn.XLOOKUP(R364,'02效果表'!D:D,'02效果表'!E:E)&lt;0, _xlfn.XLOOKUP(R364,'02效果表'!D:D,'02效果表'!E:E), 0) +
U364*IF(_xlfn.XLOOKUP(T364,'02效果表'!D:D,'02效果表'!E:E)&lt;0, _xlfn.XLOOKUP(T364,'02效果表'!D:D,'02效果表'!E:E), 0) +
W364*IF(_xlfn.XLOOKUP(V364,'02效果表'!D:D,'02效果表'!E:E)&lt;0, _xlfn.XLOOKUP(V364,'02效果表'!D:D,'02效果表'!E:E), 0) +
Y364*IF(_xlfn.XLOOKUP(X364,'02效果表'!D:D,'02效果表'!E:E)&lt;0, _xlfn.XLOOKUP(X364,'02效果表'!D:D,'02效果表'!E:E), 0) +
AA364*IF(_xlfn.XLOOKUP(Z364,'02效果表'!D:D,'02效果表'!E:E)&lt;0, _xlfn.XLOOKUP(Z364,'02效果表'!D:D,'02效果表'!E:E), 0) +
AC364*IF(_xlfn.XLOOKUP(AB364,'02效果表'!D:D,'02效果表'!E:E)&lt;0, _xlfn.XLOOKUP(AB364,'02效果表'!D:D,'02效果表'!E:E), 0) +
AE364*IF(_xlfn.XLOOKUP(AD364,'02效果表'!D:D,'02效果表'!E:E)&lt;0, _xlfn.XLOOKUP(AD364,'02效果表'!D:D,'02效果表'!E:E), 0)), 1)</f>
        <v>0</v>
      </c>
      <c r="G364" s="7">
        <f>ROUND(1/6*(I364*MAX(_xlfn.XLOOKUP(H364,'02效果表'!D:D,'02效果表'!E:E),0)+K364*MAX(_xlfn.XLOOKUP(J364,'02效果表'!D:D,'02效果表'!E:E),0)+M364*MAX(_xlfn.XLOOKUP(L364,'02效果表'!D:D,'02效果表'!E:E),0)+O364*MAX(_xlfn.XLOOKUP(N364,'02效果表'!D:D,'02效果表'!E:E),0)+Q364*MAX(_xlfn.XLOOKUP(P364,'02效果表'!D:D,'02效果表'!E:E),0)+S364*MAX(_xlfn.XLOOKUP(R364,'02效果表'!D:D,'02效果表'!E:E),0)+U364*MAX(_xlfn.XLOOKUP(T364,'02效果表'!D:D,'02效果表'!E:E),0)+W364*MAX(_xlfn.XLOOKUP(V364,'02效果表'!D:D,'02效果表'!E:E),0)+Y364*MAX(_xlfn.XLOOKUP(X364,'02效果表'!D:D,'02效果表'!E:E),0)+AA364*MAX(_xlfn.XLOOKUP(Z364,'02效果表'!D:D,'02效果表'!E:E),0)+AC364*MAX(_xlfn.XLOOKUP(AB364,'02效果表'!D:D,'02效果表'!E:E),0)+AE364*MAX(_xlfn.XLOOKUP(AD364,'02效果表'!D:D,'02效果表'!E:E),0)),1)</f>
        <v>0</v>
      </c>
      <c r="H364" s="6"/>
      <c r="I364" s="6"/>
      <c r="J364" s="6"/>
      <c r="K364" s="6"/>
      <c r="L364" s="6"/>
      <c r="M364" s="6"/>
      <c r="N364" s="6"/>
      <c r="O364" s="6"/>
      <c r="P364" s="6"/>
      <c r="Q364" s="6"/>
      <c r="R364" s="6"/>
      <c r="S364" s="6"/>
      <c r="T364" s="6"/>
      <c r="U364" s="6"/>
      <c r="V364" s="6"/>
      <c r="W364" s="6"/>
      <c r="X364" s="6"/>
      <c r="Y364" s="6"/>
      <c r="Z364" s="6"/>
      <c r="AA364" s="6"/>
      <c r="AB364" s="6"/>
      <c r="AC364" s="6"/>
      <c r="AD364" s="6"/>
      <c r="AE364" s="6"/>
    </row>
    <row r="365" spans="1:31" x14ac:dyDescent="0.35">
      <c r="A365" s="6">
        <v>365</v>
      </c>
      <c r="B365" s="6" t="s">
        <v>5</v>
      </c>
      <c r="C365" s="10" t="s">
        <v>16</v>
      </c>
      <c r="D365" s="9" t="s">
        <v>1561</v>
      </c>
      <c r="E365" s="7">
        <f t="shared" si="12"/>
        <v>0</v>
      </c>
      <c r="F365" s="7">
        <f>-1*ROUND(1/6*(I365*IF(_xlfn.XLOOKUP(H365,'02效果表'!D:D,'02效果表'!E:E)&lt;0, _xlfn.XLOOKUP(H365,'02效果表'!D:D,'02效果表'!E:E), 0) +
K365*IF(_xlfn.XLOOKUP(J365,'02效果表'!D:D,'02效果表'!E:E)&lt;0, _xlfn.XLOOKUP(J365,'02效果表'!D:D,'02效果表'!E:E), 0) +
M365*IF(_xlfn.XLOOKUP(L365,'02效果表'!D:D,'02效果表'!E:E)&lt;0, _xlfn.XLOOKUP(L365,'02效果表'!D:D,'02效果表'!E:E), 0) +
O365*IF(_xlfn.XLOOKUP(N365,'02效果表'!D:D,'02效果表'!E:E)&lt;0, _xlfn.XLOOKUP(N365,'02效果表'!D:D,'02效果表'!E:E), 0) +
Q365*IF(_xlfn.XLOOKUP(P365,'02效果表'!D:D,'02效果表'!E:E)&lt;0, _xlfn.XLOOKUP(P365,'02效果表'!D:D,'02效果表'!E:E), 0) +
S365*IF(_xlfn.XLOOKUP(R365,'02效果表'!D:D,'02效果表'!E:E)&lt;0, _xlfn.XLOOKUP(R365,'02效果表'!D:D,'02效果表'!E:E), 0) +
U365*IF(_xlfn.XLOOKUP(T365,'02效果表'!D:D,'02效果表'!E:E)&lt;0, _xlfn.XLOOKUP(T365,'02效果表'!D:D,'02效果表'!E:E), 0) +
W365*IF(_xlfn.XLOOKUP(V365,'02效果表'!D:D,'02效果表'!E:E)&lt;0, _xlfn.XLOOKUP(V365,'02效果表'!D:D,'02效果表'!E:E), 0) +
Y365*IF(_xlfn.XLOOKUP(X365,'02效果表'!D:D,'02效果表'!E:E)&lt;0, _xlfn.XLOOKUP(X365,'02效果表'!D:D,'02效果表'!E:E), 0) +
AA365*IF(_xlfn.XLOOKUP(Z365,'02效果表'!D:D,'02效果表'!E:E)&lt;0, _xlfn.XLOOKUP(Z365,'02效果表'!D:D,'02效果表'!E:E), 0) +
AC365*IF(_xlfn.XLOOKUP(AB365,'02效果表'!D:D,'02效果表'!E:E)&lt;0, _xlfn.XLOOKUP(AB365,'02效果表'!D:D,'02效果表'!E:E), 0) +
AE365*IF(_xlfn.XLOOKUP(AD365,'02效果表'!D:D,'02效果表'!E:E)&lt;0, _xlfn.XLOOKUP(AD365,'02效果表'!D:D,'02效果表'!E:E), 0)), 1)</f>
        <v>0</v>
      </c>
      <c r="G365" s="7">
        <f>ROUND(1/6*(I365*MAX(_xlfn.XLOOKUP(H365,'02效果表'!D:D,'02效果表'!E:E),0)+K365*MAX(_xlfn.XLOOKUP(J365,'02效果表'!D:D,'02效果表'!E:E),0)+M365*MAX(_xlfn.XLOOKUP(L365,'02效果表'!D:D,'02效果表'!E:E),0)+O365*MAX(_xlfn.XLOOKUP(N365,'02效果表'!D:D,'02效果表'!E:E),0)+Q365*MAX(_xlfn.XLOOKUP(P365,'02效果表'!D:D,'02效果表'!E:E),0)+S365*MAX(_xlfn.XLOOKUP(R365,'02效果表'!D:D,'02效果表'!E:E),0)+U365*MAX(_xlfn.XLOOKUP(T365,'02效果表'!D:D,'02效果表'!E:E),0)+W365*MAX(_xlfn.XLOOKUP(V365,'02效果表'!D:D,'02效果表'!E:E),0)+Y365*MAX(_xlfn.XLOOKUP(X365,'02效果表'!D:D,'02效果表'!E:E),0)+AA365*MAX(_xlfn.XLOOKUP(Z365,'02效果表'!D:D,'02效果表'!E:E),0)+AC365*MAX(_xlfn.XLOOKUP(AB365,'02效果表'!D:D,'02效果表'!E:E),0)+AE365*MAX(_xlfn.XLOOKUP(AD365,'02效果表'!D:D,'02效果表'!E:E),0)),1)</f>
        <v>0</v>
      </c>
      <c r="H365" s="6"/>
      <c r="I365" s="6"/>
      <c r="J365" s="6"/>
      <c r="K365" s="6"/>
      <c r="L365" s="6"/>
      <c r="M365" s="6"/>
      <c r="N365" s="6"/>
      <c r="O365" s="6"/>
      <c r="P365" s="6"/>
      <c r="Q365" s="6"/>
      <c r="R365" s="6"/>
      <c r="S365" s="6"/>
      <c r="T365" s="6"/>
      <c r="U365" s="6"/>
      <c r="V365" s="6"/>
      <c r="W365" s="6"/>
      <c r="X365" s="6"/>
      <c r="Y365" s="6"/>
      <c r="Z365" s="6"/>
      <c r="AA365" s="6"/>
      <c r="AB365" s="6"/>
      <c r="AC365" s="6"/>
      <c r="AD365" s="6"/>
      <c r="AE365" s="6"/>
    </row>
    <row r="366" spans="1:31" x14ac:dyDescent="0.35">
      <c r="A366" s="6">
        <v>366</v>
      </c>
      <c r="B366" s="6" t="s">
        <v>5</v>
      </c>
      <c r="C366" s="10" t="s">
        <v>16</v>
      </c>
      <c r="D366" s="9" t="s">
        <v>1562</v>
      </c>
      <c r="E366" s="7">
        <f t="shared" si="12"/>
        <v>0</v>
      </c>
      <c r="F366" s="7">
        <f>-1*ROUND(1/6*(I366*IF(_xlfn.XLOOKUP(H366,'02效果表'!D:D,'02效果表'!E:E)&lt;0, _xlfn.XLOOKUP(H366,'02效果表'!D:D,'02效果表'!E:E), 0) +
K366*IF(_xlfn.XLOOKUP(J366,'02效果表'!D:D,'02效果表'!E:E)&lt;0, _xlfn.XLOOKUP(J366,'02效果表'!D:D,'02效果表'!E:E), 0) +
M366*IF(_xlfn.XLOOKUP(L366,'02效果表'!D:D,'02效果表'!E:E)&lt;0, _xlfn.XLOOKUP(L366,'02效果表'!D:D,'02效果表'!E:E), 0) +
O366*IF(_xlfn.XLOOKUP(N366,'02效果表'!D:D,'02效果表'!E:E)&lt;0, _xlfn.XLOOKUP(N366,'02效果表'!D:D,'02效果表'!E:E), 0) +
Q366*IF(_xlfn.XLOOKUP(P366,'02效果表'!D:D,'02效果表'!E:E)&lt;0, _xlfn.XLOOKUP(P366,'02效果表'!D:D,'02效果表'!E:E), 0) +
S366*IF(_xlfn.XLOOKUP(R366,'02效果表'!D:D,'02效果表'!E:E)&lt;0, _xlfn.XLOOKUP(R366,'02效果表'!D:D,'02效果表'!E:E), 0) +
U366*IF(_xlfn.XLOOKUP(T366,'02效果表'!D:D,'02效果表'!E:E)&lt;0, _xlfn.XLOOKUP(T366,'02效果表'!D:D,'02效果表'!E:E), 0) +
W366*IF(_xlfn.XLOOKUP(V366,'02效果表'!D:D,'02效果表'!E:E)&lt;0, _xlfn.XLOOKUP(V366,'02效果表'!D:D,'02效果表'!E:E), 0) +
Y366*IF(_xlfn.XLOOKUP(X366,'02效果表'!D:D,'02效果表'!E:E)&lt;0, _xlfn.XLOOKUP(X366,'02效果表'!D:D,'02效果表'!E:E), 0) +
AA366*IF(_xlfn.XLOOKUP(Z366,'02效果表'!D:D,'02效果表'!E:E)&lt;0, _xlfn.XLOOKUP(Z366,'02效果表'!D:D,'02效果表'!E:E), 0) +
AC366*IF(_xlfn.XLOOKUP(AB366,'02效果表'!D:D,'02效果表'!E:E)&lt;0, _xlfn.XLOOKUP(AB366,'02效果表'!D:D,'02效果表'!E:E), 0) +
AE366*IF(_xlfn.XLOOKUP(AD366,'02效果表'!D:D,'02效果表'!E:E)&lt;0, _xlfn.XLOOKUP(AD366,'02效果表'!D:D,'02效果表'!E:E), 0)), 1)</f>
        <v>0</v>
      </c>
      <c r="G366" s="7">
        <f>ROUND(1/6*(I366*MAX(_xlfn.XLOOKUP(H366,'02效果表'!D:D,'02效果表'!E:E),0)+K366*MAX(_xlfn.XLOOKUP(J366,'02效果表'!D:D,'02效果表'!E:E),0)+M366*MAX(_xlfn.XLOOKUP(L366,'02效果表'!D:D,'02效果表'!E:E),0)+O366*MAX(_xlfn.XLOOKUP(N366,'02效果表'!D:D,'02效果表'!E:E),0)+Q366*MAX(_xlfn.XLOOKUP(P366,'02效果表'!D:D,'02效果表'!E:E),0)+S366*MAX(_xlfn.XLOOKUP(R366,'02效果表'!D:D,'02效果表'!E:E),0)+U366*MAX(_xlfn.XLOOKUP(T366,'02效果表'!D:D,'02效果表'!E:E),0)+W366*MAX(_xlfn.XLOOKUP(V366,'02效果表'!D:D,'02效果表'!E:E),0)+Y366*MAX(_xlfn.XLOOKUP(X366,'02效果表'!D:D,'02效果表'!E:E),0)+AA366*MAX(_xlfn.XLOOKUP(Z366,'02效果表'!D:D,'02效果表'!E:E),0)+AC366*MAX(_xlfn.XLOOKUP(AB366,'02效果表'!D:D,'02效果表'!E:E),0)+AE366*MAX(_xlfn.XLOOKUP(AD366,'02效果表'!D:D,'02效果表'!E:E),0)),1)</f>
        <v>0</v>
      </c>
      <c r="H366" s="6"/>
      <c r="I366" s="6"/>
      <c r="J366" s="6"/>
      <c r="K366" s="6"/>
      <c r="L366" s="6"/>
      <c r="M366" s="6"/>
      <c r="N366" s="6"/>
      <c r="O366" s="6"/>
      <c r="P366" s="6"/>
      <c r="Q366" s="6"/>
      <c r="R366" s="6"/>
      <c r="S366" s="6"/>
      <c r="T366" s="6"/>
      <c r="U366" s="6"/>
      <c r="V366" s="6"/>
      <c r="W366" s="6"/>
      <c r="X366" s="6"/>
      <c r="Y366" s="6"/>
      <c r="Z366" s="6"/>
      <c r="AA366" s="6"/>
      <c r="AB366" s="6"/>
      <c r="AC366" s="6"/>
      <c r="AD366" s="6"/>
      <c r="AE366" s="6"/>
    </row>
    <row r="367" spans="1:31" x14ac:dyDescent="0.35">
      <c r="A367" s="6">
        <v>367</v>
      </c>
      <c r="B367" s="6" t="s">
        <v>5</v>
      </c>
      <c r="C367" s="10" t="s">
        <v>16</v>
      </c>
      <c r="D367" s="9" t="s">
        <v>1563</v>
      </c>
      <c r="E367" s="7">
        <f t="shared" si="12"/>
        <v>0</v>
      </c>
      <c r="F367" s="7">
        <f>-1*ROUND(1/6*(I367*IF(_xlfn.XLOOKUP(H367,'02效果表'!D:D,'02效果表'!E:E)&lt;0, _xlfn.XLOOKUP(H367,'02效果表'!D:D,'02效果表'!E:E), 0) +
K367*IF(_xlfn.XLOOKUP(J367,'02效果表'!D:D,'02效果表'!E:E)&lt;0, _xlfn.XLOOKUP(J367,'02效果表'!D:D,'02效果表'!E:E), 0) +
M367*IF(_xlfn.XLOOKUP(L367,'02效果表'!D:D,'02效果表'!E:E)&lt;0, _xlfn.XLOOKUP(L367,'02效果表'!D:D,'02效果表'!E:E), 0) +
O367*IF(_xlfn.XLOOKUP(N367,'02效果表'!D:D,'02效果表'!E:E)&lt;0, _xlfn.XLOOKUP(N367,'02效果表'!D:D,'02效果表'!E:E), 0) +
Q367*IF(_xlfn.XLOOKUP(P367,'02效果表'!D:D,'02效果表'!E:E)&lt;0, _xlfn.XLOOKUP(P367,'02效果表'!D:D,'02效果表'!E:E), 0) +
S367*IF(_xlfn.XLOOKUP(R367,'02效果表'!D:D,'02效果表'!E:E)&lt;0, _xlfn.XLOOKUP(R367,'02效果表'!D:D,'02效果表'!E:E), 0) +
U367*IF(_xlfn.XLOOKUP(T367,'02效果表'!D:D,'02效果表'!E:E)&lt;0, _xlfn.XLOOKUP(T367,'02效果表'!D:D,'02效果表'!E:E), 0) +
W367*IF(_xlfn.XLOOKUP(V367,'02效果表'!D:D,'02效果表'!E:E)&lt;0, _xlfn.XLOOKUP(V367,'02效果表'!D:D,'02效果表'!E:E), 0) +
Y367*IF(_xlfn.XLOOKUP(X367,'02效果表'!D:D,'02效果表'!E:E)&lt;0, _xlfn.XLOOKUP(X367,'02效果表'!D:D,'02效果表'!E:E), 0) +
AA367*IF(_xlfn.XLOOKUP(Z367,'02效果表'!D:D,'02效果表'!E:E)&lt;0, _xlfn.XLOOKUP(Z367,'02效果表'!D:D,'02效果表'!E:E), 0) +
AC367*IF(_xlfn.XLOOKUP(AB367,'02效果表'!D:D,'02效果表'!E:E)&lt;0, _xlfn.XLOOKUP(AB367,'02效果表'!D:D,'02效果表'!E:E), 0) +
AE367*IF(_xlfn.XLOOKUP(AD367,'02效果表'!D:D,'02效果表'!E:E)&lt;0, _xlfn.XLOOKUP(AD367,'02效果表'!D:D,'02效果表'!E:E), 0)), 1)</f>
        <v>0</v>
      </c>
      <c r="G367" s="7">
        <f>ROUND(1/6*(I367*MAX(_xlfn.XLOOKUP(H367,'02效果表'!D:D,'02效果表'!E:E),0)+K367*MAX(_xlfn.XLOOKUP(J367,'02效果表'!D:D,'02效果表'!E:E),0)+M367*MAX(_xlfn.XLOOKUP(L367,'02效果表'!D:D,'02效果表'!E:E),0)+O367*MAX(_xlfn.XLOOKUP(N367,'02效果表'!D:D,'02效果表'!E:E),0)+Q367*MAX(_xlfn.XLOOKUP(P367,'02效果表'!D:D,'02效果表'!E:E),0)+S367*MAX(_xlfn.XLOOKUP(R367,'02效果表'!D:D,'02效果表'!E:E),0)+U367*MAX(_xlfn.XLOOKUP(T367,'02效果表'!D:D,'02效果表'!E:E),0)+W367*MAX(_xlfn.XLOOKUP(V367,'02效果表'!D:D,'02效果表'!E:E),0)+Y367*MAX(_xlfn.XLOOKUP(X367,'02效果表'!D:D,'02效果表'!E:E),0)+AA367*MAX(_xlfn.XLOOKUP(Z367,'02效果表'!D:D,'02效果表'!E:E),0)+AC367*MAX(_xlfn.XLOOKUP(AB367,'02效果表'!D:D,'02效果表'!E:E),0)+AE367*MAX(_xlfn.XLOOKUP(AD367,'02效果表'!D:D,'02效果表'!E:E),0)),1)</f>
        <v>0</v>
      </c>
      <c r="H367" s="6"/>
      <c r="I367" s="6"/>
      <c r="J367" s="6"/>
      <c r="K367" s="6"/>
      <c r="L367" s="6"/>
      <c r="M367" s="6"/>
      <c r="N367" s="6"/>
      <c r="O367" s="6"/>
      <c r="P367" s="6"/>
      <c r="Q367" s="6"/>
      <c r="R367" s="6"/>
      <c r="S367" s="6"/>
      <c r="T367" s="6"/>
      <c r="U367" s="6"/>
      <c r="V367" s="6"/>
      <c r="W367" s="6"/>
      <c r="X367" s="6"/>
      <c r="Y367" s="6"/>
      <c r="Z367" s="6"/>
      <c r="AA367" s="6"/>
      <c r="AB367" s="6"/>
      <c r="AC367" s="6"/>
      <c r="AD367" s="6"/>
      <c r="AE367" s="6"/>
    </row>
    <row r="368" spans="1:31" x14ac:dyDescent="0.35">
      <c r="A368" s="6">
        <v>368</v>
      </c>
      <c r="B368" s="6" t="s">
        <v>5</v>
      </c>
      <c r="C368" s="10" t="s">
        <v>16</v>
      </c>
      <c r="D368" s="9" t="s">
        <v>1564</v>
      </c>
      <c r="E368" s="7">
        <f t="shared" si="12"/>
        <v>0</v>
      </c>
      <c r="F368" s="7">
        <f>-1*ROUND(1/6*(I368*IF(_xlfn.XLOOKUP(H368,'02效果表'!D:D,'02效果表'!E:E)&lt;0, _xlfn.XLOOKUP(H368,'02效果表'!D:D,'02效果表'!E:E), 0) +
K368*IF(_xlfn.XLOOKUP(J368,'02效果表'!D:D,'02效果表'!E:E)&lt;0, _xlfn.XLOOKUP(J368,'02效果表'!D:D,'02效果表'!E:E), 0) +
M368*IF(_xlfn.XLOOKUP(L368,'02效果表'!D:D,'02效果表'!E:E)&lt;0, _xlfn.XLOOKUP(L368,'02效果表'!D:D,'02效果表'!E:E), 0) +
O368*IF(_xlfn.XLOOKUP(N368,'02效果表'!D:D,'02效果表'!E:E)&lt;0, _xlfn.XLOOKUP(N368,'02效果表'!D:D,'02效果表'!E:E), 0) +
Q368*IF(_xlfn.XLOOKUP(P368,'02效果表'!D:D,'02效果表'!E:E)&lt;0, _xlfn.XLOOKUP(P368,'02效果表'!D:D,'02效果表'!E:E), 0) +
S368*IF(_xlfn.XLOOKUP(R368,'02效果表'!D:D,'02效果表'!E:E)&lt;0, _xlfn.XLOOKUP(R368,'02效果表'!D:D,'02效果表'!E:E), 0) +
U368*IF(_xlfn.XLOOKUP(T368,'02效果表'!D:D,'02效果表'!E:E)&lt;0, _xlfn.XLOOKUP(T368,'02效果表'!D:D,'02效果表'!E:E), 0) +
W368*IF(_xlfn.XLOOKUP(V368,'02效果表'!D:D,'02效果表'!E:E)&lt;0, _xlfn.XLOOKUP(V368,'02效果表'!D:D,'02效果表'!E:E), 0) +
Y368*IF(_xlfn.XLOOKUP(X368,'02效果表'!D:D,'02效果表'!E:E)&lt;0, _xlfn.XLOOKUP(X368,'02效果表'!D:D,'02效果表'!E:E), 0) +
AA368*IF(_xlfn.XLOOKUP(Z368,'02效果表'!D:D,'02效果表'!E:E)&lt;0, _xlfn.XLOOKUP(Z368,'02效果表'!D:D,'02效果表'!E:E), 0) +
AC368*IF(_xlfn.XLOOKUP(AB368,'02效果表'!D:D,'02效果表'!E:E)&lt;0, _xlfn.XLOOKUP(AB368,'02效果表'!D:D,'02效果表'!E:E), 0) +
AE368*IF(_xlfn.XLOOKUP(AD368,'02效果表'!D:D,'02效果表'!E:E)&lt;0, _xlfn.XLOOKUP(AD368,'02效果表'!D:D,'02效果表'!E:E), 0)), 1)</f>
        <v>0</v>
      </c>
      <c r="G368" s="7">
        <f>ROUND(1/6*(I368*MAX(_xlfn.XLOOKUP(H368,'02效果表'!D:D,'02效果表'!E:E),0)+K368*MAX(_xlfn.XLOOKUP(J368,'02效果表'!D:D,'02效果表'!E:E),0)+M368*MAX(_xlfn.XLOOKUP(L368,'02效果表'!D:D,'02效果表'!E:E),0)+O368*MAX(_xlfn.XLOOKUP(N368,'02效果表'!D:D,'02效果表'!E:E),0)+Q368*MAX(_xlfn.XLOOKUP(P368,'02效果表'!D:D,'02效果表'!E:E),0)+S368*MAX(_xlfn.XLOOKUP(R368,'02效果表'!D:D,'02效果表'!E:E),0)+U368*MAX(_xlfn.XLOOKUP(T368,'02效果表'!D:D,'02效果表'!E:E),0)+W368*MAX(_xlfn.XLOOKUP(V368,'02效果表'!D:D,'02效果表'!E:E),0)+Y368*MAX(_xlfn.XLOOKUP(X368,'02效果表'!D:D,'02效果表'!E:E),0)+AA368*MAX(_xlfn.XLOOKUP(Z368,'02效果表'!D:D,'02效果表'!E:E),0)+AC368*MAX(_xlfn.XLOOKUP(AB368,'02效果表'!D:D,'02效果表'!E:E),0)+AE368*MAX(_xlfn.XLOOKUP(AD368,'02效果表'!D:D,'02效果表'!E:E),0)),1)</f>
        <v>0</v>
      </c>
      <c r="H368" s="6"/>
      <c r="I368" s="6"/>
      <c r="J368" s="6"/>
      <c r="K368" s="6"/>
      <c r="L368" s="6"/>
      <c r="M368" s="6"/>
      <c r="N368" s="6"/>
      <c r="O368" s="6"/>
      <c r="P368" s="6"/>
      <c r="Q368" s="6"/>
      <c r="R368" s="6"/>
      <c r="S368" s="6"/>
      <c r="T368" s="6"/>
      <c r="U368" s="6"/>
      <c r="V368" s="6"/>
      <c r="W368" s="6"/>
      <c r="X368" s="6"/>
      <c r="Y368" s="6"/>
      <c r="Z368" s="6"/>
      <c r="AA368" s="6"/>
      <c r="AB368" s="6"/>
      <c r="AC368" s="6"/>
      <c r="AD368" s="6"/>
      <c r="AE368" s="6"/>
    </row>
    <row r="369" spans="1:31" x14ac:dyDescent="0.35">
      <c r="A369" s="6">
        <v>369</v>
      </c>
      <c r="B369" s="6" t="s">
        <v>5</v>
      </c>
      <c r="C369" s="10" t="s">
        <v>16</v>
      </c>
      <c r="D369" s="9" t="s">
        <v>1565</v>
      </c>
      <c r="E369" s="7">
        <f t="shared" si="12"/>
        <v>0</v>
      </c>
      <c r="F369" s="7">
        <f>-1*ROUND(1/6*(I369*IF(_xlfn.XLOOKUP(H369,'02效果表'!D:D,'02效果表'!E:E)&lt;0, _xlfn.XLOOKUP(H369,'02效果表'!D:D,'02效果表'!E:E), 0) +
K369*IF(_xlfn.XLOOKUP(J369,'02效果表'!D:D,'02效果表'!E:E)&lt;0, _xlfn.XLOOKUP(J369,'02效果表'!D:D,'02效果表'!E:E), 0) +
M369*IF(_xlfn.XLOOKUP(L369,'02效果表'!D:D,'02效果表'!E:E)&lt;0, _xlfn.XLOOKUP(L369,'02效果表'!D:D,'02效果表'!E:E), 0) +
O369*IF(_xlfn.XLOOKUP(N369,'02效果表'!D:D,'02效果表'!E:E)&lt;0, _xlfn.XLOOKUP(N369,'02效果表'!D:D,'02效果表'!E:E), 0) +
Q369*IF(_xlfn.XLOOKUP(P369,'02效果表'!D:D,'02效果表'!E:E)&lt;0, _xlfn.XLOOKUP(P369,'02效果表'!D:D,'02效果表'!E:E), 0) +
S369*IF(_xlfn.XLOOKUP(R369,'02效果表'!D:D,'02效果表'!E:E)&lt;0, _xlfn.XLOOKUP(R369,'02效果表'!D:D,'02效果表'!E:E), 0) +
U369*IF(_xlfn.XLOOKUP(T369,'02效果表'!D:D,'02效果表'!E:E)&lt;0, _xlfn.XLOOKUP(T369,'02效果表'!D:D,'02效果表'!E:E), 0) +
W369*IF(_xlfn.XLOOKUP(V369,'02效果表'!D:D,'02效果表'!E:E)&lt;0, _xlfn.XLOOKUP(V369,'02效果表'!D:D,'02效果表'!E:E), 0) +
Y369*IF(_xlfn.XLOOKUP(X369,'02效果表'!D:D,'02效果表'!E:E)&lt;0, _xlfn.XLOOKUP(X369,'02效果表'!D:D,'02效果表'!E:E), 0) +
AA369*IF(_xlfn.XLOOKUP(Z369,'02效果表'!D:D,'02效果表'!E:E)&lt;0, _xlfn.XLOOKUP(Z369,'02效果表'!D:D,'02效果表'!E:E), 0) +
AC369*IF(_xlfn.XLOOKUP(AB369,'02效果表'!D:D,'02效果表'!E:E)&lt;0, _xlfn.XLOOKUP(AB369,'02效果表'!D:D,'02效果表'!E:E), 0) +
AE369*IF(_xlfn.XLOOKUP(AD369,'02效果表'!D:D,'02效果表'!E:E)&lt;0, _xlfn.XLOOKUP(AD369,'02效果表'!D:D,'02效果表'!E:E), 0)), 1)</f>
        <v>0</v>
      </c>
      <c r="G369" s="7">
        <f>ROUND(1/6*(I369*MAX(_xlfn.XLOOKUP(H369,'02效果表'!D:D,'02效果表'!E:E),0)+K369*MAX(_xlfn.XLOOKUP(J369,'02效果表'!D:D,'02效果表'!E:E),0)+M369*MAX(_xlfn.XLOOKUP(L369,'02效果表'!D:D,'02效果表'!E:E),0)+O369*MAX(_xlfn.XLOOKUP(N369,'02效果表'!D:D,'02效果表'!E:E),0)+Q369*MAX(_xlfn.XLOOKUP(P369,'02效果表'!D:D,'02效果表'!E:E),0)+S369*MAX(_xlfn.XLOOKUP(R369,'02效果表'!D:D,'02效果表'!E:E),0)+U369*MAX(_xlfn.XLOOKUP(T369,'02效果表'!D:D,'02效果表'!E:E),0)+W369*MAX(_xlfn.XLOOKUP(V369,'02效果表'!D:D,'02效果表'!E:E),0)+Y369*MAX(_xlfn.XLOOKUP(X369,'02效果表'!D:D,'02效果表'!E:E),0)+AA369*MAX(_xlfn.XLOOKUP(Z369,'02效果表'!D:D,'02效果表'!E:E),0)+AC369*MAX(_xlfn.XLOOKUP(AB369,'02效果表'!D:D,'02效果表'!E:E),0)+AE369*MAX(_xlfn.XLOOKUP(AD369,'02效果表'!D:D,'02效果表'!E:E),0)),1)</f>
        <v>0</v>
      </c>
      <c r="H369" s="6"/>
      <c r="I369" s="6"/>
      <c r="J369" s="6"/>
      <c r="K369" s="6"/>
      <c r="L369" s="6"/>
      <c r="M369" s="6"/>
      <c r="N369" s="6"/>
      <c r="O369" s="6"/>
      <c r="P369" s="6"/>
      <c r="Q369" s="6"/>
      <c r="R369" s="6"/>
      <c r="S369" s="6"/>
      <c r="T369" s="6"/>
      <c r="U369" s="6"/>
      <c r="V369" s="6"/>
      <c r="W369" s="6"/>
      <c r="X369" s="6"/>
      <c r="Y369" s="6"/>
      <c r="Z369" s="6"/>
      <c r="AA369" s="6"/>
      <c r="AB369" s="6"/>
      <c r="AC369" s="6"/>
      <c r="AD369" s="6"/>
      <c r="AE369" s="6"/>
    </row>
    <row r="370" spans="1:31" x14ac:dyDescent="0.35">
      <c r="A370" s="6">
        <v>370</v>
      </c>
      <c r="B370" s="6" t="s">
        <v>5</v>
      </c>
      <c r="C370" s="10" t="s">
        <v>16</v>
      </c>
      <c r="D370" s="9" t="s">
        <v>1566</v>
      </c>
      <c r="E370" s="7">
        <f t="shared" si="12"/>
        <v>0</v>
      </c>
      <c r="F370" s="7">
        <f>-1*ROUND(1/6*(I370*IF(_xlfn.XLOOKUP(H370,'02效果表'!D:D,'02效果表'!E:E)&lt;0, _xlfn.XLOOKUP(H370,'02效果表'!D:D,'02效果表'!E:E), 0) +
K370*IF(_xlfn.XLOOKUP(J370,'02效果表'!D:D,'02效果表'!E:E)&lt;0, _xlfn.XLOOKUP(J370,'02效果表'!D:D,'02效果表'!E:E), 0) +
M370*IF(_xlfn.XLOOKUP(L370,'02效果表'!D:D,'02效果表'!E:E)&lt;0, _xlfn.XLOOKUP(L370,'02效果表'!D:D,'02效果表'!E:E), 0) +
O370*IF(_xlfn.XLOOKUP(N370,'02效果表'!D:D,'02效果表'!E:E)&lt;0, _xlfn.XLOOKUP(N370,'02效果表'!D:D,'02效果表'!E:E), 0) +
Q370*IF(_xlfn.XLOOKUP(P370,'02效果表'!D:D,'02效果表'!E:E)&lt;0, _xlfn.XLOOKUP(P370,'02效果表'!D:D,'02效果表'!E:E), 0) +
S370*IF(_xlfn.XLOOKUP(R370,'02效果表'!D:D,'02效果表'!E:E)&lt;0, _xlfn.XLOOKUP(R370,'02效果表'!D:D,'02效果表'!E:E), 0) +
U370*IF(_xlfn.XLOOKUP(T370,'02效果表'!D:D,'02效果表'!E:E)&lt;0, _xlfn.XLOOKUP(T370,'02效果表'!D:D,'02效果表'!E:E), 0) +
W370*IF(_xlfn.XLOOKUP(V370,'02效果表'!D:D,'02效果表'!E:E)&lt;0, _xlfn.XLOOKUP(V370,'02效果表'!D:D,'02效果表'!E:E), 0) +
Y370*IF(_xlfn.XLOOKUP(X370,'02效果表'!D:D,'02效果表'!E:E)&lt;0, _xlfn.XLOOKUP(X370,'02效果表'!D:D,'02效果表'!E:E), 0) +
AA370*IF(_xlfn.XLOOKUP(Z370,'02效果表'!D:D,'02效果表'!E:E)&lt;0, _xlfn.XLOOKUP(Z370,'02效果表'!D:D,'02效果表'!E:E), 0) +
AC370*IF(_xlfn.XLOOKUP(AB370,'02效果表'!D:D,'02效果表'!E:E)&lt;0, _xlfn.XLOOKUP(AB370,'02效果表'!D:D,'02效果表'!E:E), 0) +
AE370*IF(_xlfn.XLOOKUP(AD370,'02效果表'!D:D,'02效果表'!E:E)&lt;0, _xlfn.XLOOKUP(AD370,'02效果表'!D:D,'02效果表'!E:E), 0)), 1)</f>
        <v>0</v>
      </c>
      <c r="G370" s="7">
        <f>ROUND(1/6*(I370*MAX(_xlfn.XLOOKUP(H370,'02效果表'!D:D,'02效果表'!E:E),0)+K370*MAX(_xlfn.XLOOKUP(J370,'02效果表'!D:D,'02效果表'!E:E),0)+M370*MAX(_xlfn.XLOOKUP(L370,'02效果表'!D:D,'02效果表'!E:E),0)+O370*MAX(_xlfn.XLOOKUP(N370,'02效果表'!D:D,'02效果表'!E:E),0)+Q370*MAX(_xlfn.XLOOKUP(P370,'02效果表'!D:D,'02效果表'!E:E),0)+S370*MAX(_xlfn.XLOOKUP(R370,'02效果表'!D:D,'02效果表'!E:E),0)+U370*MAX(_xlfn.XLOOKUP(T370,'02效果表'!D:D,'02效果表'!E:E),0)+W370*MAX(_xlfn.XLOOKUP(V370,'02效果表'!D:D,'02效果表'!E:E),0)+Y370*MAX(_xlfn.XLOOKUP(X370,'02效果表'!D:D,'02效果表'!E:E),0)+AA370*MAX(_xlfn.XLOOKUP(Z370,'02效果表'!D:D,'02效果表'!E:E),0)+AC370*MAX(_xlfn.XLOOKUP(AB370,'02效果表'!D:D,'02效果表'!E:E),0)+AE370*MAX(_xlfn.XLOOKUP(AD370,'02效果表'!D:D,'02效果表'!E:E),0)),1)</f>
        <v>0</v>
      </c>
      <c r="H370" s="6"/>
      <c r="I370" s="6"/>
      <c r="J370" s="6"/>
      <c r="K370" s="6"/>
      <c r="L370" s="6"/>
      <c r="M370" s="6"/>
      <c r="N370" s="6"/>
      <c r="O370" s="6"/>
      <c r="P370" s="6"/>
      <c r="Q370" s="6"/>
      <c r="R370" s="6"/>
      <c r="S370" s="6"/>
      <c r="T370" s="6"/>
      <c r="U370" s="6"/>
      <c r="V370" s="6"/>
      <c r="W370" s="6"/>
      <c r="X370" s="6"/>
      <c r="Y370" s="6"/>
      <c r="Z370" s="6"/>
      <c r="AA370" s="6"/>
      <c r="AB370" s="6"/>
      <c r="AC370" s="6"/>
      <c r="AD370" s="6"/>
      <c r="AE370" s="6"/>
    </row>
    <row r="371" spans="1:31" x14ac:dyDescent="0.35">
      <c r="A371" s="6">
        <v>371</v>
      </c>
      <c r="B371" s="6" t="s">
        <v>5</v>
      </c>
      <c r="C371" s="10" t="s">
        <v>16</v>
      </c>
      <c r="D371" s="9" t="s">
        <v>1567</v>
      </c>
      <c r="E371" s="7">
        <f t="shared" si="12"/>
        <v>0</v>
      </c>
      <c r="F371" s="7">
        <f>-1*ROUND(1/6*(I371*IF(_xlfn.XLOOKUP(H371,'02效果表'!D:D,'02效果表'!E:E)&lt;0, _xlfn.XLOOKUP(H371,'02效果表'!D:D,'02效果表'!E:E), 0) +
K371*IF(_xlfn.XLOOKUP(J371,'02效果表'!D:D,'02效果表'!E:E)&lt;0, _xlfn.XLOOKUP(J371,'02效果表'!D:D,'02效果表'!E:E), 0) +
M371*IF(_xlfn.XLOOKUP(L371,'02效果表'!D:D,'02效果表'!E:E)&lt;0, _xlfn.XLOOKUP(L371,'02效果表'!D:D,'02效果表'!E:E), 0) +
O371*IF(_xlfn.XLOOKUP(N371,'02效果表'!D:D,'02效果表'!E:E)&lt;0, _xlfn.XLOOKUP(N371,'02效果表'!D:D,'02效果表'!E:E), 0) +
Q371*IF(_xlfn.XLOOKUP(P371,'02效果表'!D:D,'02效果表'!E:E)&lt;0, _xlfn.XLOOKUP(P371,'02效果表'!D:D,'02效果表'!E:E), 0) +
S371*IF(_xlfn.XLOOKUP(R371,'02效果表'!D:D,'02效果表'!E:E)&lt;0, _xlfn.XLOOKUP(R371,'02效果表'!D:D,'02效果表'!E:E), 0) +
U371*IF(_xlfn.XLOOKUP(T371,'02效果表'!D:D,'02效果表'!E:E)&lt;0, _xlfn.XLOOKUP(T371,'02效果表'!D:D,'02效果表'!E:E), 0) +
W371*IF(_xlfn.XLOOKUP(V371,'02效果表'!D:D,'02效果表'!E:E)&lt;0, _xlfn.XLOOKUP(V371,'02效果表'!D:D,'02效果表'!E:E), 0) +
Y371*IF(_xlfn.XLOOKUP(X371,'02效果表'!D:D,'02效果表'!E:E)&lt;0, _xlfn.XLOOKUP(X371,'02效果表'!D:D,'02效果表'!E:E), 0) +
AA371*IF(_xlfn.XLOOKUP(Z371,'02效果表'!D:D,'02效果表'!E:E)&lt;0, _xlfn.XLOOKUP(Z371,'02效果表'!D:D,'02效果表'!E:E), 0) +
AC371*IF(_xlfn.XLOOKUP(AB371,'02效果表'!D:D,'02效果表'!E:E)&lt;0, _xlfn.XLOOKUP(AB371,'02效果表'!D:D,'02效果表'!E:E), 0) +
AE371*IF(_xlfn.XLOOKUP(AD371,'02效果表'!D:D,'02效果表'!E:E)&lt;0, _xlfn.XLOOKUP(AD371,'02效果表'!D:D,'02效果表'!E:E), 0)), 1)</f>
        <v>0</v>
      </c>
      <c r="G371" s="7">
        <f>ROUND(1/6*(I371*MAX(_xlfn.XLOOKUP(H371,'02效果表'!D:D,'02效果表'!E:E),0)+K371*MAX(_xlfn.XLOOKUP(J371,'02效果表'!D:D,'02效果表'!E:E),0)+M371*MAX(_xlfn.XLOOKUP(L371,'02效果表'!D:D,'02效果表'!E:E),0)+O371*MAX(_xlfn.XLOOKUP(N371,'02效果表'!D:D,'02效果表'!E:E),0)+Q371*MAX(_xlfn.XLOOKUP(P371,'02效果表'!D:D,'02效果表'!E:E),0)+S371*MAX(_xlfn.XLOOKUP(R371,'02效果表'!D:D,'02效果表'!E:E),0)+U371*MAX(_xlfn.XLOOKUP(T371,'02效果表'!D:D,'02效果表'!E:E),0)+W371*MAX(_xlfn.XLOOKUP(V371,'02效果表'!D:D,'02效果表'!E:E),0)+Y371*MAX(_xlfn.XLOOKUP(X371,'02效果表'!D:D,'02效果表'!E:E),0)+AA371*MAX(_xlfn.XLOOKUP(Z371,'02效果表'!D:D,'02效果表'!E:E),0)+AC371*MAX(_xlfn.XLOOKUP(AB371,'02效果表'!D:D,'02效果表'!E:E),0)+AE371*MAX(_xlfn.XLOOKUP(AD371,'02效果表'!D:D,'02效果表'!E:E),0)),1)</f>
        <v>0</v>
      </c>
      <c r="H371" s="6"/>
      <c r="I371" s="6"/>
      <c r="J371" s="6"/>
      <c r="K371" s="6"/>
      <c r="L371" s="6"/>
      <c r="M371" s="6"/>
      <c r="N371" s="6"/>
      <c r="O371" s="6"/>
      <c r="P371" s="6"/>
      <c r="Q371" s="6"/>
      <c r="R371" s="6"/>
      <c r="S371" s="6"/>
      <c r="T371" s="6"/>
      <c r="U371" s="6"/>
      <c r="V371" s="6"/>
      <c r="W371" s="6"/>
      <c r="X371" s="6"/>
      <c r="Y371" s="6"/>
      <c r="Z371" s="6"/>
      <c r="AA371" s="6"/>
      <c r="AB371" s="6"/>
      <c r="AC371" s="6"/>
      <c r="AD371" s="6"/>
      <c r="AE371" s="6"/>
    </row>
    <row r="372" spans="1:31" x14ac:dyDescent="0.35">
      <c r="A372" s="6">
        <v>372</v>
      </c>
      <c r="B372" s="6" t="s">
        <v>5</v>
      </c>
      <c r="C372" s="10" t="s">
        <v>16</v>
      </c>
      <c r="D372" s="9"/>
      <c r="E372" s="7">
        <f t="shared" si="12"/>
        <v>0</v>
      </c>
      <c r="F372" s="7">
        <f>-1*ROUND(1/6*(I372*IF(_xlfn.XLOOKUP(H372,'02效果表'!D:D,'02效果表'!E:E)&lt;0, _xlfn.XLOOKUP(H372,'02效果表'!D:D,'02效果表'!E:E), 0) +
K372*IF(_xlfn.XLOOKUP(J372,'02效果表'!D:D,'02效果表'!E:E)&lt;0, _xlfn.XLOOKUP(J372,'02效果表'!D:D,'02效果表'!E:E), 0) +
M372*IF(_xlfn.XLOOKUP(L372,'02效果表'!D:D,'02效果表'!E:E)&lt;0, _xlfn.XLOOKUP(L372,'02效果表'!D:D,'02效果表'!E:E), 0) +
O372*IF(_xlfn.XLOOKUP(N372,'02效果表'!D:D,'02效果表'!E:E)&lt;0, _xlfn.XLOOKUP(N372,'02效果表'!D:D,'02效果表'!E:E), 0) +
Q372*IF(_xlfn.XLOOKUP(P372,'02效果表'!D:D,'02效果表'!E:E)&lt;0, _xlfn.XLOOKUP(P372,'02效果表'!D:D,'02效果表'!E:E), 0) +
S372*IF(_xlfn.XLOOKUP(R372,'02效果表'!D:D,'02效果表'!E:E)&lt;0, _xlfn.XLOOKUP(R372,'02效果表'!D:D,'02效果表'!E:E), 0) +
U372*IF(_xlfn.XLOOKUP(T372,'02效果表'!D:D,'02效果表'!E:E)&lt;0, _xlfn.XLOOKUP(T372,'02效果表'!D:D,'02效果表'!E:E), 0) +
W372*IF(_xlfn.XLOOKUP(V372,'02效果表'!D:D,'02效果表'!E:E)&lt;0, _xlfn.XLOOKUP(V372,'02效果表'!D:D,'02效果表'!E:E), 0) +
Y372*IF(_xlfn.XLOOKUP(X372,'02效果表'!D:D,'02效果表'!E:E)&lt;0, _xlfn.XLOOKUP(X372,'02效果表'!D:D,'02效果表'!E:E), 0) +
AA372*IF(_xlfn.XLOOKUP(Z372,'02效果表'!D:D,'02效果表'!E:E)&lt;0, _xlfn.XLOOKUP(Z372,'02效果表'!D:D,'02效果表'!E:E), 0) +
AC372*IF(_xlfn.XLOOKUP(AB372,'02效果表'!D:D,'02效果表'!E:E)&lt;0, _xlfn.XLOOKUP(AB372,'02效果表'!D:D,'02效果表'!E:E), 0) +
AE372*IF(_xlfn.XLOOKUP(AD372,'02效果表'!D:D,'02效果表'!E:E)&lt;0, _xlfn.XLOOKUP(AD372,'02效果表'!D:D,'02效果表'!E:E), 0)), 1)</f>
        <v>0</v>
      </c>
      <c r="G372" s="7">
        <f>ROUND(1/6*(I372*MAX(_xlfn.XLOOKUP(H372,'02效果表'!D:D,'02效果表'!E:E),0)+K372*MAX(_xlfn.XLOOKUP(J372,'02效果表'!D:D,'02效果表'!E:E),0)+M372*MAX(_xlfn.XLOOKUP(L372,'02效果表'!D:D,'02效果表'!E:E),0)+O372*MAX(_xlfn.XLOOKUP(N372,'02效果表'!D:D,'02效果表'!E:E),0)+Q372*MAX(_xlfn.XLOOKUP(P372,'02效果表'!D:D,'02效果表'!E:E),0)+S372*MAX(_xlfn.XLOOKUP(R372,'02效果表'!D:D,'02效果表'!E:E),0)+U372*MAX(_xlfn.XLOOKUP(T372,'02效果表'!D:D,'02效果表'!E:E),0)+W372*MAX(_xlfn.XLOOKUP(V372,'02效果表'!D:D,'02效果表'!E:E),0)+Y372*MAX(_xlfn.XLOOKUP(X372,'02效果表'!D:D,'02效果表'!E:E),0)+AA372*MAX(_xlfn.XLOOKUP(Z372,'02效果表'!D:D,'02效果表'!E:E),0)+AC372*MAX(_xlfn.XLOOKUP(AB372,'02效果表'!D:D,'02效果表'!E:E),0)+AE372*MAX(_xlfn.XLOOKUP(AD372,'02效果表'!D:D,'02效果表'!E:E),0)),1)</f>
        <v>0</v>
      </c>
      <c r="H372" s="6"/>
      <c r="I372" s="6"/>
      <c r="J372" s="6"/>
      <c r="K372" s="6"/>
      <c r="L372" s="6"/>
      <c r="M372" s="6"/>
      <c r="N372" s="6"/>
      <c r="O372" s="6"/>
      <c r="P372" s="6"/>
      <c r="Q372" s="6"/>
      <c r="R372" s="6"/>
      <c r="S372" s="6"/>
      <c r="T372" s="6"/>
      <c r="U372" s="6"/>
      <c r="V372" s="6"/>
      <c r="W372" s="6"/>
      <c r="X372" s="6"/>
      <c r="Y372" s="6"/>
      <c r="Z372" s="6"/>
      <c r="AA372" s="6"/>
      <c r="AB372" s="6"/>
      <c r="AC372" s="6"/>
      <c r="AD372" s="6"/>
      <c r="AE372" s="6"/>
    </row>
    <row r="373" spans="1:31" x14ac:dyDescent="0.35">
      <c r="A373" s="6">
        <v>373</v>
      </c>
      <c r="B373" s="6" t="s">
        <v>5</v>
      </c>
      <c r="C373" s="10" t="s">
        <v>16</v>
      </c>
      <c r="D373" s="9"/>
      <c r="E373" s="7">
        <f t="shared" si="12"/>
        <v>0</v>
      </c>
      <c r="F373" s="7">
        <f>-1*ROUND(1/6*(I373*IF(_xlfn.XLOOKUP(H373,'02效果表'!D:D,'02效果表'!E:E)&lt;0, _xlfn.XLOOKUP(H373,'02效果表'!D:D,'02效果表'!E:E), 0) +
K373*IF(_xlfn.XLOOKUP(J373,'02效果表'!D:D,'02效果表'!E:E)&lt;0, _xlfn.XLOOKUP(J373,'02效果表'!D:D,'02效果表'!E:E), 0) +
M373*IF(_xlfn.XLOOKUP(L373,'02效果表'!D:D,'02效果表'!E:E)&lt;0, _xlfn.XLOOKUP(L373,'02效果表'!D:D,'02效果表'!E:E), 0) +
O373*IF(_xlfn.XLOOKUP(N373,'02效果表'!D:D,'02效果表'!E:E)&lt;0, _xlfn.XLOOKUP(N373,'02效果表'!D:D,'02效果表'!E:E), 0) +
Q373*IF(_xlfn.XLOOKUP(P373,'02效果表'!D:D,'02效果表'!E:E)&lt;0, _xlfn.XLOOKUP(P373,'02效果表'!D:D,'02效果表'!E:E), 0) +
S373*IF(_xlfn.XLOOKUP(R373,'02效果表'!D:D,'02效果表'!E:E)&lt;0, _xlfn.XLOOKUP(R373,'02效果表'!D:D,'02效果表'!E:E), 0) +
U373*IF(_xlfn.XLOOKUP(T373,'02效果表'!D:D,'02效果表'!E:E)&lt;0, _xlfn.XLOOKUP(T373,'02效果表'!D:D,'02效果表'!E:E), 0) +
W373*IF(_xlfn.XLOOKUP(V373,'02效果表'!D:D,'02效果表'!E:E)&lt;0, _xlfn.XLOOKUP(V373,'02效果表'!D:D,'02效果表'!E:E), 0) +
Y373*IF(_xlfn.XLOOKUP(X373,'02效果表'!D:D,'02效果表'!E:E)&lt;0, _xlfn.XLOOKUP(X373,'02效果表'!D:D,'02效果表'!E:E), 0) +
AA373*IF(_xlfn.XLOOKUP(Z373,'02效果表'!D:D,'02效果表'!E:E)&lt;0, _xlfn.XLOOKUP(Z373,'02效果表'!D:D,'02效果表'!E:E), 0) +
AC373*IF(_xlfn.XLOOKUP(AB373,'02效果表'!D:D,'02效果表'!E:E)&lt;0, _xlfn.XLOOKUP(AB373,'02效果表'!D:D,'02效果表'!E:E), 0) +
AE373*IF(_xlfn.XLOOKUP(AD373,'02效果表'!D:D,'02效果表'!E:E)&lt;0, _xlfn.XLOOKUP(AD373,'02效果表'!D:D,'02效果表'!E:E), 0)), 1)</f>
        <v>0</v>
      </c>
      <c r="G373" s="7">
        <f>ROUND(1/6*(I373*MAX(_xlfn.XLOOKUP(H373,'02效果表'!D:D,'02效果表'!E:E),0)+K373*MAX(_xlfn.XLOOKUP(J373,'02效果表'!D:D,'02效果表'!E:E),0)+M373*MAX(_xlfn.XLOOKUP(L373,'02效果表'!D:D,'02效果表'!E:E),0)+O373*MAX(_xlfn.XLOOKUP(N373,'02效果表'!D:D,'02效果表'!E:E),0)+Q373*MAX(_xlfn.XLOOKUP(P373,'02效果表'!D:D,'02效果表'!E:E),0)+S373*MAX(_xlfn.XLOOKUP(R373,'02效果表'!D:D,'02效果表'!E:E),0)+U373*MAX(_xlfn.XLOOKUP(T373,'02效果表'!D:D,'02效果表'!E:E),0)+W373*MAX(_xlfn.XLOOKUP(V373,'02效果表'!D:D,'02效果表'!E:E),0)+Y373*MAX(_xlfn.XLOOKUP(X373,'02效果表'!D:D,'02效果表'!E:E),0)+AA373*MAX(_xlfn.XLOOKUP(Z373,'02效果表'!D:D,'02效果表'!E:E),0)+AC373*MAX(_xlfn.XLOOKUP(AB373,'02效果表'!D:D,'02效果表'!E:E),0)+AE373*MAX(_xlfn.XLOOKUP(AD373,'02效果表'!D:D,'02效果表'!E:E),0)),1)</f>
        <v>0</v>
      </c>
      <c r="H373" s="6"/>
      <c r="I373" s="6"/>
      <c r="J373" s="6"/>
      <c r="K373" s="6"/>
      <c r="L373" s="6"/>
      <c r="M373" s="6"/>
      <c r="N373" s="6"/>
      <c r="O373" s="6"/>
      <c r="P373" s="6"/>
      <c r="Q373" s="6"/>
      <c r="R373" s="6"/>
      <c r="S373" s="6"/>
      <c r="T373" s="6"/>
      <c r="U373" s="6"/>
      <c r="V373" s="6"/>
      <c r="W373" s="6"/>
      <c r="X373" s="6"/>
      <c r="Y373" s="6"/>
      <c r="Z373" s="6"/>
      <c r="AA373" s="6"/>
      <c r="AB373" s="6"/>
      <c r="AC373" s="6"/>
      <c r="AD373" s="6"/>
      <c r="AE373" s="6"/>
    </row>
    <row r="374" spans="1:31" x14ac:dyDescent="0.35">
      <c r="A374" s="6">
        <v>374</v>
      </c>
      <c r="B374" s="6" t="s">
        <v>5</v>
      </c>
      <c r="C374" s="10" t="s">
        <v>16</v>
      </c>
      <c r="D374" s="9"/>
      <c r="E374" s="7">
        <f t="shared" si="12"/>
        <v>0</v>
      </c>
      <c r="F374" s="7">
        <f>-1*ROUND(1/6*(I374*IF(_xlfn.XLOOKUP(H374,'02效果表'!D:D,'02效果表'!E:E)&lt;0, _xlfn.XLOOKUP(H374,'02效果表'!D:D,'02效果表'!E:E), 0) +
K374*IF(_xlfn.XLOOKUP(J374,'02效果表'!D:D,'02效果表'!E:E)&lt;0, _xlfn.XLOOKUP(J374,'02效果表'!D:D,'02效果表'!E:E), 0) +
M374*IF(_xlfn.XLOOKUP(L374,'02效果表'!D:D,'02效果表'!E:E)&lt;0, _xlfn.XLOOKUP(L374,'02效果表'!D:D,'02效果表'!E:E), 0) +
O374*IF(_xlfn.XLOOKUP(N374,'02效果表'!D:D,'02效果表'!E:E)&lt;0, _xlfn.XLOOKUP(N374,'02效果表'!D:D,'02效果表'!E:E), 0) +
Q374*IF(_xlfn.XLOOKUP(P374,'02效果表'!D:D,'02效果表'!E:E)&lt;0, _xlfn.XLOOKUP(P374,'02效果表'!D:D,'02效果表'!E:E), 0) +
S374*IF(_xlfn.XLOOKUP(R374,'02效果表'!D:D,'02效果表'!E:E)&lt;0, _xlfn.XLOOKUP(R374,'02效果表'!D:D,'02效果表'!E:E), 0) +
U374*IF(_xlfn.XLOOKUP(T374,'02效果表'!D:D,'02效果表'!E:E)&lt;0, _xlfn.XLOOKUP(T374,'02效果表'!D:D,'02效果表'!E:E), 0) +
W374*IF(_xlfn.XLOOKUP(V374,'02效果表'!D:D,'02效果表'!E:E)&lt;0, _xlfn.XLOOKUP(V374,'02效果表'!D:D,'02效果表'!E:E), 0) +
Y374*IF(_xlfn.XLOOKUP(X374,'02效果表'!D:D,'02效果表'!E:E)&lt;0, _xlfn.XLOOKUP(X374,'02效果表'!D:D,'02效果表'!E:E), 0) +
AA374*IF(_xlfn.XLOOKUP(Z374,'02效果表'!D:D,'02效果表'!E:E)&lt;0, _xlfn.XLOOKUP(Z374,'02效果表'!D:D,'02效果表'!E:E), 0) +
AC374*IF(_xlfn.XLOOKUP(AB374,'02效果表'!D:D,'02效果表'!E:E)&lt;0, _xlfn.XLOOKUP(AB374,'02效果表'!D:D,'02效果表'!E:E), 0) +
AE374*IF(_xlfn.XLOOKUP(AD374,'02效果表'!D:D,'02效果表'!E:E)&lt;0, _xlfn.XLOOKUP(AD374,'02效果表'!D:D,'02效果表'!E:E), 0)), 1)</f>
        <v>0</v>
      </c>
      <c r="G374" s="7">
        <f>ROUND(1/6*(I374*MAX(_xlfn.XLOOKUP(H374,'02效果表'!D:D,'02效果表'!E:E),0)+K374*MAX(_xlfn.XLOOKUP(J374,'02效果表'!D:D,'02效果表'!E:E),0)+M374*MAX(_xlfn.XLOOKUP(L374,'02效果表'!D:D,'02效果表'!E:E),0)+O374*MAX(_xlfn.XLOOKUP(N374,'02效果表'!D:D,'02效果表'!E:E),0)+Q374*MAX(_xlfn.XLOOKUP(P374,'02效果表'!D:D,'02效果表'!E:E),0)+S374*MAX(_xlfn.XLOOKUP(R374,'02效果表'!D:D,'02效果表'!E:E),0)+U374*MAX(_xlfn.XLOOKUP(T374,'02效果表'!D:D,'02效果表'!E:E),0)+W374*MAX(_xlfn.XLOOKUP(V374,'02效果表'!D:D,'02效果表'!E:E),0)+Y374*MAX(_xlfn.XLOOKUP(X374,'02效果表'!D:D,'02效果表'!E:E),0)+AA374*MAX(_xlfn.XLOOKUP(Z374,'02效果表'!D:D,'02效果表'!E:E),0)+AC374*MAX(_xlfn.XLOOKUP(AB374,'02效果表'!D:D,'02效果表'!E:E),0)+AE374*MAX(_xlfn.XLOOKUP(AD374,'02效果表'!D:D,'02效果表'!E:E),0)),1)</f>
        <v>0</v>
      </c>
      <c r="H374" s="6"/>
      <c r="I374" s="6"/>
      <c r="J374" s="6"/>
      <c r="K374" s="6"/>
      <c r="L374" s="6"/>
      <c r="M374" s="6"/>
      <c r="N374" s="6"/>
      <c r="O374" s="6"/>
      <c r="P374" s="6"/>
      <c r="Q374" s="6"/>
      <c r="R374" s="6"/>
      <c r="S374" s="6"/>
      <c r="T374" s="6"/>
      <c r="U374" s="6"/>
      <c r="V374" s="6"/>
      <c r="W374" s="6"/>
      <c r="X374" s="6"/>
      <c r="Y374" s="6"/>
      <c r="Z374" s="6"/>
      <c r="AA374" s="6"/>
      <c r="AB374" s="6"/>
      <c r="AC374" s="6"/>
      <c r="AD374" s="6"/>
      <c r="AE374" s="6"/>
    </row>
    <row r="375" spans="1:31" x14ac:dyDescent="0.35">
      <c r="A375" s="6">
        <v>375</v>
      </c>
      <c r="B375" s="6" t="s">
        <v>5</v>
      </c>
      <c r="C375" s="10" t="s">
        <v>16</v>
      </c>
      <c r="D375" s="9"/>
      <c r="E375" s="7">
        <f t="shared" si="12"/>
        <v>0</v>
      </c>
      <c r="F375" s="7">
        <f>-1*ROUND(1/6*(I375*IF(_xlfn.XLOOKUP(H375,'02效果表'!D:D,'02效果表'!E:E)&lt;0, _xlfn.XLOOKUP(H375,'02效果表'!D:D,'02效果表'!E:E), 0) +
K375*IF(_xlfn.XLOOKUP(J375,'02效果表'!D:D,'02效果表'!E:E)&lt;0, _xlfn.XLOOKUP(J375,'02效果表'!D:D,'02效果表'!E:E), 0) +
M375*IF(_xlfn.XLOOKUP(L375,'02效果表'!D:D,'02效果表'!E:E)&lt;0, _xlfn.XLOOKUP(L375,'02效果表'!D:D,'02效果表'!E:E), 0) +
O375*IF(_xlfn.XLOOKUP(N375,'02效果表'!D:D,'02效果表'!E:E)&lt;0, _xlfn.XLOOKUP(N375,'02效果表'!D:D,'02效果表'!E:E), 0) +
Q375*IF(_xlfn.XLOOKUP(P375,'02效果表'!D:D,'02效果表'!E:E)&lt;0, _xlfn.XLOOKUP(P375,'02效果表'!D:D,'02效果表'!E:E), 0) +
S375*IF(_xlfn.XLOOKUP(R375,'02效果表'!D:D,'02效果表'!E:E)&lt;0, _xlfn.XLOOKUP(R375,'02效果表'!D:D,'02效果表'!E:E), 0) +
U375*IF(_xlfn.XLOOKUP(T375,'02效果表'!D:D,'02效果表'!E:E)&lt;0, _xlfn.XLOOKUP(T375,'02效果表'!D:D,'02效果表'!E:E), 0) +
W375*IF(_xlfn.XLOOKUP(V375,'02效果表'!D:D,'02效果表'!E:E)&lt;0, _xlfn.XLOOKUP(V375,'02效果表'!D:D,'02效果表'!E:E), 0) +
Y375*IF(_xlfn.XLOOKUP(X375,'02效果表'!D:D,'02效果表'!E:E)&lt;0, _xlfn.XLOOKUP(X375,'02效果表'!D:D,'02效果表'!E:E), 0) +
AA375*IF(_xlfn.XLOOKUP(Z375,'02效果表'!D:D,'02效果表'!E:E)&lt;0, _xlfn.XLOOKUP(Z375,'02效果表'!D:D,'02效果表'!E:E), 0) +
AC375*IF(_xlfn.XLOOKUP(AB375,'02效果表'!D:D,'02效果表'!E:E)&lt;0, _xlfn.XLOOKUP(AB375,'02效果表'!D:D,'02效果表'!E:E), 0) +
AE375*IF(_xlfn.XLOOKUP(AD375,'02效果表'!D:D,'02效果表'!E:E)&lt;0, _xlfn.XLOOKUP(AD375,'02效果表'!D:D,'02效果表'!E:E), 0)), 1)</f>
        <v>0</v>
      </c>
      <c r="G375" s="7">
        <f>ROUND(1/6*(I375*MAX(_xlfn.XLOOKUP(H375,'02效果表'!D:D,'02效果表'!E:E),0)+K375*MAX(_xlfn.XLOOKUP(J375,'02效果表'!D:D,'02效果表'!E:E),0)+M375*MAX(_xlfn.XLOOKUP(L375,'02效果表'!D:D,'02效果表'!E:E),0)+O375*MAX(_xlfn.XLOOKUP(N375,'02效果表'!D:D,'02效果表'!E:E),0)+Q375*MAX(_xlfn.XLOOKUP(P375,'02效果表'!D:D,'02效果表'!E:E),0)+S375*MAX(_xlfn.XLOOKUP(R375,'02效果表'!D:D,'02效果表'!E:E),0)+U375*MAX(_xlfn.XLOOKUP(T375,'02效果表'!D:D,'02效果表'!E:E),0)+W375*MAX(_xlfn.XLOOKUP(V375,'02效果表'!D:D,'02效果表'!E:E),0)+Y375*MAX(_xlfn.XLOOKUP(X375,'02效果表'!D:D,'02效果表'!E:E),0)+AA375*MAX(_xlfn.XLOOKUP(Z375,'02效果表'!D:D,'02效果表'!E:E),0)+AC375*MAX(_xlfn.XLOOKUP(AB375,'02效果表'!D:D,'02效果表'!E:E),0)+AE375*MAX(_xlfn.XLOOKUP(AD375,'02效果表'!D:D,'02效果表'!E:E),0)),1)</f>
        <v>0</v>
      </c>
      <c r="H375" s="6"/>
      <c r="I375" s="6"/>
      <c r="J375" s="6"/>
      <c r="K375" s="6"/>
      <c r="L375" s="6"/>
      <c r="M375" s="6"/>
      <c r="N375" s="6"/>
      <c r="O375" s="6"/>
      <c r="P375" s="6"/>
      <c r="Q375" s="6"/>
      <c r="R375" s="6"/>
      <c r="S375" s="6"/>
      <c r="T375" s="6"/>
      <c r="U375" s="6"/>
      <c r="V375" s="6"/>
      <c r="W375" s="6"/>
      <c r="X375" s="6"/>
      <c r="Y375" s="6"/>
      <c r="Z375" s="6"/>
      <c r="AA375" s="6"/>
      <c r="AB375" s="6"/>
      <c r="AC375" s="6"/>
      <c r="AD375" s="6"/>
      <c r="AE375" s="6"/>
    </row>
    <row r="376" spans="1:31" x14ac:dyDescent="0.35">
      <c r="A376" s="6">
        <v>376</v>
      </c>
      <c r="B376" s="6" t="s">
        <v>5</v>
      </c>
      <c r="C376" s="10" t="s">
        <v>16</v>
      </c>
      <c r="D376" s="9"/>
      <c r="E376" s="7">
        <f t="shared" si="12"/>
        <v>0</v>
      </c>
      <c r="F376" s="7">
        <f>-1*ROUND(1/6*(I376*IF(_xlfn.XLOOKUP(H376,'02效果表'!D:D,'02效果表'!E:E)&lt;0, _xlfn.XLOOKUP(H376,'02效果表'!D:D,'02效果表'!E:E), 0) +
K376*IF(_xlfn.XLOOKUP(J376,'02效果表'!D:D,'02效果表'!E:E)&lt;0, _xlfn.XLOOKUP(J376,'02效果表'!D:D,'02效果表'!E:E), 0) +
M376*IF(_xlfn.XLOOKUP(L376,'02效果表'!D:D,'02效果表'!E:E)&lt;0, _xlfn.XLOOKUP(L376,'02效果表'!D:D,'02效果表'!E:E), 0) +
O376*IF(_xlfn.XLOOKUP(N376,'02效果表'!D:D,'02效果表'!E:E)&lt;0, _xlfn.XLOOKUP(N376,'02效果表'!D:D,'02效果表'!E:E), 0) +
Q376*IF(_xlfn.XLOOKUP(P376,'02效果表'!D:D,'02效果表'!E:E)&lt;0, _xlfn.XLOOKUP(P376,'02效果表'!D:D,'02效果表'!E:E), 0) +
S376*IF(_xlfn.XLOOKUP(R376,'02效果表'!D:D,'02效果表'!E:E)&lt;0, _xlfn.XLOOKUP(R376,'02效果表'!D:D,'02效果表'!E:E), 0) +
U376*IF(_xlfn.XLOOKUP(T376,'02效果表'!D:D,'02效果表'!E:E)&lt;0, _xlfn.XLOOKUP(T376,'02效果表'!D:D,'02效果表'!E:E), 0) +
W376*IF(_xlfn.XLOOKUP(V376,'02效果表'!D:D,'02效果表'!E:E)&lt;0, _xlfn.XLOOKUP(V376,'02效果表'!D:D,'02效果表'!E:E), 0) +
Y376*IF(_xlfn.XLOOKUP(X376,'02效果表'!D:D,'02效果表'!E:E)&lt;0, _xlfn.XLOOKUP(X376,'02效果表'!D:D,'02效果表'!E:E), 0) +
AA376*IF(_xlfn.XLOOKUP(Z376,'02效果表'!D:D,'02效果表'!E:E)&lt;0, _xlfn.XLOOKUP(Z376,'02效果表'!D:D,'02效果表'!E:E), 0) +
AC376*IF(_xlfn.XLOOKUP(AB376,'02效果表'!D:D,'02效果表'!E:E)&lt;0, _xlfn.XLOOKUP(AB376,'02效果表'!D:D,'02效果表'!E:E), 0) +
AE376*IF(_xlfn.XLOOKUP(AD376,'02效果表'!D:D,'02效果表'!E:E)&lt;0, _xlfn.XLOOKUP(AD376,'02效果表'!D:D,'02效果表'!E:E), 0)), 1)</f>
        <v>0</v>
      </c>
      <c r="G376" s="7">
        <f>ROUND(1/6*(I376*MAX(_xlfn.XLOOKUP(H376,'02效果表'!D:D,'02效果表'!E:E),0)+K376*MAX(_xlfn.XLOOKUP(J376,'02效果表'!D:D,'02效果表'!E:E),0)+M376*MAX(_xlfn.XLOOKUP(L376,'02效果表'!D:D,'02效果表'!E:E),0)+O376*MAX(_xlfn.XLOOKUP(N376,'02效果表'!D:D,'02效果表'!E:E),0)+Q376*MAX(_xlfn.XLOOKUP(P376,'02效果表'!D:D,'02效果表'!E:E),0)+S376*MAX(_xlfn.XLOOKUP(R376,'02效果表'!D:D,'02效果表'!E:E),0)+U376*MAX(_xlfn.XLOOKUP(T376,'02效果表'!D:D,'02效果表'!E:E),0)+W376*MAX(_xlfn.XLOOKUP(V376,'02效果表'!D:D,'02效果表'!E:E),0)+Y376*MAX(_xlfn.XLOOKUP(X376,'02效果表'!D:D,'02效果表'!E:E),0)+AA376*MAX(_xlfn.XLOOKUP(Z376,'02效果表'!D:D,'02效果表'!E:E),0)+AC376*MAX(_xlfn.XLOOKUP(AB376,'02效果表'!D:D,'02效果表'!E:E),0)+AE376*MAX(_xlfn.XLOOKUP(AD376,'02效果表'!D:D,'02效果表'!E:E),0)),1)</f>
        <v>0</v>
      </c>
      <c r="H376" s="6"/>
      <c r="I376" s="6"/>
      <c r="J376" s="6"/>
      <c r="K376" s="6"/>
      <c r="L376" s="6"/>
      <c r="M376" s="6"/>
      <c r="N376" s="6"/>
      <c r="O376" s="6"/>
      <c r="P376" s="6"/>
      <c r="Q376" s="6"/>
      <c r="R376" s="6"/>
      <c r="S376" s="6"/>
      <c r="T376" s="6"/>
      <c r="U376" s="6"/>
      <c r="V376" s="6"/>
      <c r="W376" s="6"/>
      <c r="X376" s="6"/>
      <c r="Y376" s="6"/>
      <c r="Z376" s="6"/>
      <c r="AA376" s="6"/>
      <c r="AB376" s="6"/>
      <c r="AC376" s="6"/>
      <c r="AD376" s="6"/>
      <c r="AE376" s="6"/>
    </row>
    <row r="377" spans="1:31" x14ac:dyDescent="0.35">
      <c r="A377" s="6">
        <v>377</v>
      </c>
      <c r="B377" s="6" t="s">
        <v>5</v>
      </c>
      <c r="C377" s="10" t="s">
        <v>17</v>
      </c>
      <c r="D377" s="9" t="s">
        <v>1568</v>
      </c>
      <c r="E377" s="7">
        <f t="shared" si="12"/>
        <v>0</v>
      </c>
      <c r="F377" s="7">
        <f>-1*ROUND(1/6*(I377*IF(_xlfn.XLOOKUP(H377,'02效果表'!D:D,'02效果表'!E:E)&lt;0, _xlfn.XLOOKUP(H377,'02效果表'!D:D,'02效果表'!E:E), 0) +
K377*IF(_xlfn.XLOOKUP(J377,'02效果表'!D:D,'02效果表'!E:E)&lt;0, _xlfn.XLOOKUP(J377,'02效果表'!D:D,'02效果表'!E:E), 0) +
M377*IF(_xlfn.XLOOKUP(L377,'02效果表'!D:D,'02效果表'!E:E)&lt;0, _xlfn.XLOOKUP(L377,'02效果表'!D:D,'02效果表'!E:E), 0) +
O377*IF(_xlfn.XLOOKUP(N377,'02效果表'!D:D,'02效果表'!E:E)&lt;0, _xlfn.XLOOKUP(N377,'02效果表'!D:D,'02效果表'!E:E), 0) +
Q377*IF(_xlfn.XLOOKUP(P377,'02效果表'!D:D,'02效果表'!E:E)&lt;0, _xlfn.XLOOKUP(P377,'02效果表'!D:D,'02效果表'!E:E), 0) +
S377*IF(_xlfn.XLOOKUP(R377,'02效果表'!D:D,'02效果表'!E:E)&lt;0, _xlfn.XLOOKUP(R377,'02效果表'!D:D,'02效果表'!E:E), 0) +
U377*IF(_xlfn.XLOOKUP(T377,'02效果表'!D:D,'02效果表'!E:E)&lt;0, _xlfn.XLOOKUP(T377,'02效果表'!D:D,'02效果表'!E:E), 0) +
W377*IF(_xlfn.XLOOKUP(V377,'02效果表'!D:D,'02效果表'!E:E)&lt;0, _xlfn.XLOOKUP(V377,'02效果表'!D:D,'02效果表'!E:E), 0) +
Y377*IF(_xlfn.XLOOKUP(X377,'02效果表'!D:D,'02效果表'!E:E)&lt;0, _xlfn.XLOOKUP(X377,'02效果表'!D:D,'02效果表'!E:E), 0) +
AA377*IF(_xlfn.XLOOKUP(Z377,'02效果表'!D:D,'02效果表'!E:E)&lt;0, _xlfn.XLOOKUP(Z377,'02效果表'!D:D,'02效果表'!E:E), 0) +
AC377*IF(_xlfn.XLOOKUP(AB377,'02效果表'!D:D,'02效果表'!E:E)&lt;0, _xlfn.XLOOKUP(AB377,'02效果表'!D:D,'02效果表'!E:E), 0) +
AE377*IF(_xlfn.XLOOKUP(AD377,'02效果表'!D:D,'02效果表'!E:E)&lt;0, _xlfn.XLOOKUP(AD377,'02效果表'!D:D,'02效果表'!E:E), 0)), 1)</f>
        <v>0</v>
      </c>
      <c r="G377" s="7">
        <f>ROUND(1/6*(I377*MAX(_xlfn.XLOOKUP(H377,'02效果表'!D:D,'02效果表'!E:E),0)+K377*MAX(_xlfn.XLOOKUP(J377,'02效果表'!D:D,'02效果表'!E:E),0)+M377*MAX(_xlfn.XLOOKUP(L377,'02效果表'!D:D,'02效果表'!E:E),0)+O377*MAX(_xlfn.XLOOKUP(N377,'02效果表'!D:D,'02效果表'!E:E),0)+Q377*MAX(_xlfn.XLOOKUP(P377,'02效果表'!D:D,'02效果表'!E:E),0)+S377*MAX(_xlfn.XLOOKUP(R377,'02效果表'!D:D,'02效果表'!E:E),0)+U377*MAX(_xlfn.XLOOKUP(T377,'02效果表'!D:D,'02效果表'!E:E),0)+W377*MAX(_xlfn.XLOOKUP(V377,'02效果表'!D:D,'02效果表'!E:E),0)+Y377*MAX(_xlfn.XLOOKUP(X377,'02效果表'!D:D,'02效果表'!E:E),0)+AA377*MAX(_xlfn.XLOOKUP(Z377,'02效果表'!D:D,'02效果表'!E:E),0)+AC377*MAX(_xlfn.XLOOKUP(AB377,'02效果表'!D:D,'02效果表'!E:E),0)+AE377*MAX(_xlfn.XLOOKUP(AD377,'02效果表'!D:D,'02效果表'!E:E),0)),1)</f>
        <v>0</v>
      </c>
      <c r="H377" s="6"/>
      <c r="I377" s="6"/>
      <c r="J377" s="6"/>
      <c r="K377" s="6"/>
      <c r="L377" s="6"/>
      <c r="M377" s="6"/>
      <c r="N377" s="6"/>
      <c r="O377" s="6"/>
      <c r="P377" s="6"/>
      <c r="Q377" s="6"/>
      <c r="R377" s="6"/>
      <c r="S377" s="6"/>
      <c r="T377" s="6"/>
      <c r="U377" s="6"/>
      <c r="V377" s="6"/>
      <c r="W377" s="6"/>
      <c r="X377" s="6"/>
      <c r="Y377" s="6"/>
      <c r="Z377" s="6"/>
      <c r="AA377" s="6"/>
      <c r="AB377" s="6"/>
      <c r="AC377" s="6"/>
      <c r="AD377" s="6"/>
      <c r="AE377" s="6"/>
    </row>
    <row r="378" spans="1:31" x14ac:dyDescent="0.35">
      <c r="A378" s="6">
        <v>378</v>
      </c>
      <c r="B378" s="6" t="s">
        <v>5</v>
      </c>
      <c r="C378" s="10" t="s">
        <v>17</v>
      </c>
      <c r="D378" s="9" t="s">
        <v>1569</v>
      </c>
      <c r="E378" s="7">
        <f t="shared" si="12"/>
        <v>0</v>
      </c>
      <c r="F378" s="7">
        <f>-1*ROUND(1/6*(I378*IF(_xlfn.XLOOKUP(H378,'02效果表'!D:D,'02效果表'!E:E)&lt;0, _xlfn.XLOOKUP(H378,'02效果表'!D:D,'02效果表'!E:E), 0) +
K378*IF(_xlfn.XLOOKUP(J378,'02效果表'!D:D,'02效果表'!E:E)&lt;0, _xlfn.XLOOKUP(J378,'02效果表'!D:D,'02效果表'!E:E), 0) +
M378*IF(_xlfn.XLOOKUP(L378,'02效果表'!D:D,'02效果表'!E:E)&lt;0, _xlfn.XLOOKUP(L378,'02效果表'!D:D,'02效果表'!E:E), 0) +
O378*IF(_xlfn.XLOOKUP(N378,'02效果表'!D:D,'02效果表'!E:E)&lt;0, _xlfn.XLOOKUP(N378,'02效果表'!D:D,'02效果表'!E:E), 0) +
Q378*IF(_xlfn.XLOOKUP(P378,'02效果表'!D:D,'02效果表'!E:E)&lt;0, _xlfn.XLOOKUP(P378,'02效果表'!D:D,'02效果表'!E:E), 0) +
S378*IF(_xlfn.XLOOKUP(R378,'02效果表'!D:D,'02效果表'!E:E)&lt;0, _xlfn.XLOOKUP(R378,'02效果表'!D:D,'02效果表'!E:E), 0) +
U378*IF(_xlfn.XLOOKUP(T378,'02效果表'!D:D,'02效果表'!E:E)&lt;0, _xlfn.XLOOKUP(T378,'02效果表'!D:D,'02效果表'!E:E), 0) +
W378*IF(_xlfn.XLOOKUP(V378,'02效果表'!D:D,'02效果表'!E:E)&lt;0, _xlfn.XLOOKUP(V378,'02效果表'!D:D,'02效果表'!E:E), 0) +
Y378*IF(_xlfn.XLOOKUP(X378,'02效果表'!D:D,'02效果表'!E:E)&lt;0, _xlfn.XLOOKUP(X378,'02效果表'!D:D,'02效果表'!E:E), 0) +
AA378*IF(_xlfn.XLOOKUP(Z378,'02效果表'!D:D,'02效果表'!E:E)&lt;0, _xlfn.XLOOKUP(Z378,'02效果表'!D:D,'02效果表'!E:E), 0) +
AC378*IF(_xlfn.XLOOKUP(AB378,'02效果表'!D:D,'02效果表'!E:E)&lt;0, _xlfn.XLOOKUP(AB378,'02效果表'!D:D,'02效果表'!E:E), 0) +
AE378*IF(_xlfn.XLOOKUP(AD378,'02效果表'!D:D,'02效果表'!E:E)&lt;0, _xlfn.XLOOKUP(AD378,'02效果表'!D:D,'02效果表'!E:E), 0)), 1)</f>
        <v>0</v>
      </c>
      <c r="G378" s="7">
        <f>ROUND(1/6*(I378*MAX(_xlfn.XLOOKUP(H378,'02效果表'!D:D,'02效果表'!E:E),0)+K378*MAX(_xlfn.XLOOKUP(J378,'02效果表'!D:D,'02效果表'!E:E),0)+M378*MAX(_xlfn.XLOOKUP(L378,'02效果表'!D:D,'02效果表'!E:E),0)+O378*MAX(_xlfn.XLOOKUP(N378,'02效果表'!D:D,'02效果表'!E:E),0)+Q378*MAX(_xlfn.XLOOKUP(P378,'02效果表'!D:D,'02效果表'!E:E),0)+S378*MAX(_xlfn.XLOOKUP(R378,'02效果表'!D:D,'02效果表'!E:E),0)+U378*MAX(_xlfn.XLOOKUP(T378,'02效果表'!D:D,'02效果表'!E:E),0)+W378*MAX(_xlfn.XLOOKUP(V378,'02效果表'!D:D,'02效果表'!E:E),0)+Y378*MAX(_xlfn.XLOOKUP(X378,'02效果表'!D:D,'02效果表'!E:E),0)+AA378*MAX(_xlfn.XLOOKUP(Z378,'02效果表'!D:D,'02效果表'!E:E),0)+AC378*MAX(_xlfn.XLOOKUP(AB378,'02效果表'!D:D,'02效果表'!E:E),0)+AE378*MAX(_xlfn.XLOOKUP(AD378,'02效果表'!D:D,'02效果表'!E:E),0)),1)</f>
        <v>0</v>
      </c>
      <c r="H378" s="6"/>
      <c r="I378" s="6"/>
      <c r="J378" s="6"/>
      <c r="K378" s="6"/>
      <c r="L378" s="6"/>
      <c r="M378" s="6"/>
      <c r="N378" s="6"/>
      <c r="O378" s="6"/>
      <c r="P378" s="6"/>
      <c r="Q378" s="6"/>
      <c r="R378" s="6"/>
      <c r="S378" s="6"/>
      <c r="T378" s="6"/>
      <c r="U378" s="6"/>
      <c r="V378" s="6"/>
      <c r="W378" s="6"/>
      <c r="X378" s="6"/>
      <c r="Y378" s="6"/>
      <c r="Z378" s="6"/>
      <c r="AA378" s="6"/>
      <c r="AB378" s="6"/>
      <c r="AC378" s="6"/>
      <c r="AD378" s="6"/>
      <c r="AE378" s="6"/>
    </row>
    <row r="379" spans="1:31" x14ac:dyDescent="0.35">
      <c r="A379" s="6">
        <v>379</v>
      </c>
      <c r="B379" s="6" t="s">
        <v>5</v>
      </c>
      <c r="C379" s="10" t="s">
        <v>17</v>
      </c>
      <c r="D379" s="9" t="s">
        <v>1570</v>
      </c>
      <c r="E379" s="7">
        <f t="shared" si="12"/>
        <v>0</v>
      </c>
      <c r="F379" s="7">
        <f>-1*ROUND(1/6*(I379*IF(_xlfn.XLOOKUP(H379,'02效果表'!D:D,'02效果表'!E:E)&lt;0, _xlfn.XLOOKUP(H379,'02效果表'!D:D,'02效果表'!E:E), 0) +
K379*IF(_xlfn.XLOOKUP(J379,'02效果表'!D:D,'02效果表'!E:E)&lt;0, _xlfn.XLOOKUP(J379,'02效果表'!D:D,'02效果表'!E:E), 0) +
M379*IF(_xlfn.XLOOKUP(L379,'02效果表'!D:D,'02效果表'!E:E)&lt;0, _xlfn.XLOOKUP(L379,'02效果表'!D:D,'02效果表'!E:E), 0) +
O379*IF(_xlfn.XLOOKUP(N379,'02效果表'!D:D,'02效果表'!E:E)&lt;0, _xlfn.XLOOKUP(N379,'02效果表'!D:D,'02效果表'!E:E), 0) +
Q379*IF(_xlfn.XLOOKUP(P379,'02效果表'!D:D,'02效果表'!E:E)&lt;0, _xlfn.XLOOKUP(P379,'02效果表'!D:D,'02效果表'!E:E), 0) +
S379*IF(_xlfn.XLOOKUP(R379,'02效果表'!D:D,'02效果表'!E:E)&lt;0, _xlfn.XLOOKUP(R379,'02效果表'!D:D,'02效果表'!E:E), 0) +
U379*IF(_xlfn.XLOOKUP(T379,'02效果表'!D:D,'02效果表'!E:E)&lt;0, _xlfn.XLOOKUP(T379,'02效果表'!D:D,'02效果表'!E:E), 0) +
W379*IF(_xlfn.XLOOKUP(V379,'02效果表'!D:D,'02效果表'!E:E)&lt;0, _xlfn.XLOOKUP(V379,'02效果表'!D:D,'02效果表'!E:E), 0) +
Y379*IF(_xlfn.XLOOKUP(X379,'02效果表'!D:D,'02效果表'!E:E)&lt;0, _xlfn.XLOOKUP(X379,'02效果表'!D:D,'02效果表'!E:E), 0) +
AA379*IF(_xlfn.XLOOKUP(Z379,'02效果表'!D:D,'02效果表'!E:E)&lt;0, _xlfn.XLOOKUP(Z379,'02效果表'!D:D,'02效果表'!E:E), 0) +
AC379*IF(_xlfn.XLOOKUP(AB379,'02效果表'!D:D,'02效果表'!E:E)&lt;0, _xlfn.XLOOKUP(AB379,'02效果表'!D:D,'02效果表'!E:E), 0) +
AE379*IF(_xlfn.XLOOKUP(AD379,'02效果表'!D:D,'02效果表'!E:E)&lt;0, _xlfn.XLOOKUP(AD379,'02效果表'!D:D,'02效果表'!E:E), 0)), 1)</f>
        <v>0</v>
      </c>
      <c r="G379" s="7">
        <f>ROUND(1/6*(I379*MAX(_xlfn.XLOOKUP(H379,'02效果表'!D:D,'02效果表'!E:E),0)+K379*MAX(_xlfn.XLOOKUP(J379,'02效果表'!D:D,'02效果表'!E:E),0)+M379*MAX(_xlfn.XLOOKUP(L379,'02效果表'!D:D,'02效果表'!E:E),0)+O379*MAX(_xlfn.XLOOKUP(N379,'02效果表'!D:D,'02效果表'!E:E),0)+Q379*MAX(_xlfn.XLOOKUP(P379,'02效果表'!D:D,'02效果表'!E:E),0)+S379*MAX(_xlfn.XLOOKUP(R379,'02效果表'!D:D,'02效果表'!E:E),0)+U379*MAX(_xlfn.XLOOKUP(T379,'02效果表'!D:D,'02效果表'!E:E),0)+W379*MAX(_xlfn.XLOOKUP(V379,'02效果表'!D:D,'02效果表'!E:E),0)+Y379*MAX(_xlfn.XLOOKUP(X379,'02效果表'!D:D,'02效果表'!E:E),0)+AA379*MAX(_xlfn.XLOOKUP(Z379,'02效果表'!D:D,'02效果表'!E:E),0)+AC379*MAX(_xlfn.XLOOKUP(AB379,'02效果表'!D:D,'02效果表'!E:E),0)+AE379*MAX(_xlfn.XLOOKUP(AD379,'02效果表'!D:D,'02效果表'!E:E),0)),1)</f>
        <v>0</v>
      </c>
      <c r="H379" s="6"/>
      <c r="I379" s="6"/>
      <c r="J379" s="6"/>
      <c r="K379" s="6"/>
      <c r="L379" s="6"/>
      <c r="M379" s="6"/>
      <c r="N379" s="6"/>
      <c r="O379" s="6"/>
      <c r="P379" s="6"/>
      <c r="Q379" s="6"/>
      <c r="R379" s="6"/>
      <c r="S379" s="6"/>
      <c r="T379" s="6"/>
      <c r="U379" s="6"/>
      <c r="V379" s="6"/>
      <c r="W379" s="6"/>
      <c r="X379" s="6"/>
      <c r="Y379" s="6"/>
      <c r="Z379" s="6"/>
      <c r="AA379" s="6"/>
      <c r="AB379" s="6"/>
      <c r="AC379" s="6"/>
      <c r="AD379" s="6"/>
      <c r="AE379" s="6"/>
    </row>
    <row r="380" spans="1:31" x14ac:dyDescent="0.35">
      <c r="A380" s="6">
        <v>380</v>
      </c>
      <c r="B380" s="6" t="s">
        <v>5</v>
      </c>
      <c r="C380" s="10" t="s">
        <v>17</v>
      </c>
      <c r="D380" s="9" t="s">
        <v>1571</v>
      </c>
      <c r="E380" s="7">
        <f t="shared" si="12"/>
        <v>0</v>
      </c>
      <c r="F380" s="7">
        <f>-1*ROUND(1/6*(I380*IF(_xlfn.XLOOKUP(H380,'02效果表'!D:D,'02效果表'!E:E)&lt;0, _xlfn.XLOOKUP(H380,'02效果表'!D:D,'02效果表'!E:E), 0) +
K380*IF(_xlfn.XLOOKUP(J380,'02效果表'!D:D,'02效果表'!E:E)&lt;0, _xlfn.XLOOKUP(J380,'02效果表'!D:D,'02效果表'!E:E), 0) +
M380*IF(_xlfn.XLOOKUP(L380,'02效果表'!D:D,'02效果表'!E:E)&lt;0, _xlfn.XLOOKUP(L380,'02效果表'!D:D,'02效果表'!E:E), 0) +
O380*IF(_xlfn.XLOOKUP(N380,'02效果表'!D:D,'02效果表'!E:E)&lt;0, _xlfn.XLOOKUP(N380,'02效果表'!D:D,'02效果表'!E:E), 0) +
Q380*IF(_xlfn.XLOOKUP(P380,'02效果表'!D:D,'02效果表'!E:E)&lt;0, _xlfn.XLOOKUP(P380,'02效果表'!D:D,'02效果表'!E:E), 0) +
S380*IF(_xlfn.XLOOKUP(R380,'02效果表'!D:D,'02效果表'!E:E)&lt;0, _xlfn.XLOOKUP(R380,'02效果表'!D:D,'02效果表'!E:E), 0) +
U380*IF(_xlfn.XLOOKUP(T380,'02效果表'!D:D,'02效果表'!E:E)&lt;0, _xlfn.XLOOKUP(T380,'02效果表'!D:D,'02效果表'!E:E), 0) +
W380*IF(_xlfn.XLOOKUP(V380,'02效果表'!D:D,'02效果表'!E:E)&lt;0, _xlfn.XLOOKUP(V380,'02效果表'!D:D,'02效果表'!E:E), 0) +
Y380*IF(_xlfn.XLOOKUP(X380,'02效果表'!D:D,'02效果表'!E:E)&lt;0, _xlfn.XLOOKUP(X380,'02效果表'!D:D,'02效果表'!E:E), 0) +
AA380*IF(_xlfn.XLOOKUP(Z380,'02效果表'!D:D,'02效果表'!E:E)&lt;0, _xlfn.XLOOKUP(Z380,'02效果表'!D:D,'02效果表'!E:E), 0) +
AC380*IF(_xlfn.XLOOKUP(AB380,'02效果表'!D:D,'02效果表'!E:E)&lt;0, _xlfn.XLOOKUP(AB380,'02效果表'!D:D,'02效果表'!E:E), 0) +
AE380*IF(_xlfn.XLOOKUP(AD380,'02效果表'!D:D,'02效果表'!E:E)&lt;0, _xlfn.XLOOKUP(AD380,'02效果表'!D:D,'02效果表'!E:E), 0)), 1)</f>
        <v>0</v>
      </c>
      <c r="G380" s="7">
        <f>ROUND(1/6*(I380*MAX(_xlfn.XLOOKUP(H380,'02效果表'!D:D,'02效果表'!E:E),0)+K380*MAX(_xlfn.XLOOKUP(J380,'02效果表'!D:D,'02效果表'!E:E),0)+M380*MAX(_xlfn.XLOOKUP(L380,'02效果表'!D:D,'02效果表'!E:E),0)+O380*MAX(_xlfn.XLOOKUP(N380,'02效果表'!D:D,'02效果表'!E:E),0)+Q380*MAX(_xlfn.XLOOKUP(P380,'02效果表'!D:D,'02效果表'!E:E),0)+S380*MAX(_xlfn.XLOOKUP(R380,'02效果表'!D:D,'02效果表'!E:E),0)+U380*MAX(_xlfn.XLOOKUP(T380,'02效果表'!D:D,'02效果表'!E:E),0)+W380*MAX(_xlfn.XLOOKUP(V380,'02效果表'!D:D,'02效果表'!E:E),0)+Y380*MAX(_xlfn.XLOOKUP(X380,'02效果表'!D:D,'02效果表'!E:E),0)+AA380*MAX(_xlfn.XLOOKUP(Z380,'02效果表'!D:D,'02效果表'!E:E),0)+AC380*MAX(_xlfn.XLOOKUP(AB380,'02效果表'!D:D,'02效果表'!E:E),0)+AE380*MAX(_xlfn.XLOOKUP(AD380,'02效果表'!D:D,'02效果表'!E:E),0)),1)</f>
        <v>0</v>
      </c>
      <c r="H380" s="6"/>
      <c r="I380" s="6"/>
      <c r="J380" s="6"/>
      <c r="K380" s="6"/>
      <c r="L380" s="6"/>
      <c r="M380" s="6"/>
      <c r="N380" s="6"/>
      <c r="O380" s="6"/>
      <c r="P380" s="6"/>
      <c r="Q380" s="6"/>
      <c r="R380" s="6"/>
      <c r="S380" s="6"/>
      <c r="T380" s="6"/>
      <c r="U380" s="6"/>
      <c r="V380" s="6"/>
      <c r="W380" s="6"/>
      <c r="X380" s="6"/>
      <c r="Y380" s="6"/>
      <c r="Z380" s="6"/>
      <c r="AA380" s="6"/>
      <c r="AB380" s="6"/>
      <c r="AC380" s="6"/>
      <c r="AD380" s="6"/>
      <c r="AE380" s="6"/>
    </row>
    <row r="381" spans="1:31" x14ac:dyDescent="0.35">
      <c r="A381" s="6">
        <v>381</v>
      </c>
      <c r="B381" s="6" t="s">
        <v>5</v>
      </c>
      <c r="C381" s="10" t="s">
        <v>17</v>
      </c>
      <c r="D381" s="9" t="s">
        <v>1572</v>
      </c>
      <c r="E381" s="7">
        <f t="shared" si="12"/>
        <v>0</v>
      </c>
      <c r="F381" s="7">
        <f>-1*ROUND(1/6*(I381*IF(_xlfn.XLOOKUP(H381,'02效果表'!D:D,'02效果表'!E:E)&lt;0, _xlfn.XLOOKUP(H381,'02效果表'!D:D,'02效果表'!E:E), 0) +
K381*IF(_xlfn.XLOOKUP(J381,'02效果表'!D:D,'02效果表'!E:E)&lt;0, _xlfn.XLOOKUP(J381,'02效果表'!D:D,'02效果表'!E:E), 0) +
M381*IF(_xlfn.XLOOKUP(L381,'02效果表'!D:D,'02效果表'!E:E)&lt;0, _xlfn.XLOOKUP(L381,'02效果表'!D:D,'02效果表'!E:E), 0) +
O381*IF(_xlfn.XLOOKUP(N381,'02效果表'!D:D,'02效果表'!E:E)&lt;0, _xlfn.XLOOKUP(N381,'02效果表'!D:D,'02效果表'!E:E), 0) +
Q381*IF(_xlfn.XLOOKUP(P381,'02效果表'!D:D,'02效果表'!E:E)&lt;0, _xlfn.XLOOKUP(P381,'02效果表'!D:D,'02效果表'!E:E), 0) +
S381*IF(_xlfn.XLOOKUP(R381,'02效果表'!D:D,'02效果表'!E:E)&lt;0, _xlfn.XLOOKUP(R381,'02效果表'!D:D,'02效果表'!E:E), 0) +
U381*IF(_xlfn.XLOOKUP(T381,'02效果表'!D:D,'02效果表'!E:E)&lt;0, _xlfn.XLOOKUP(T381,'02效果表'!D:D,'02效果表'!E:E), 0) +
W381*IF(_xlfn.XLOOKUP(V381,'02效果表'!D:D,'02效果表'!E:E)&lt;0, _xlfn.XLOOKUP(V381,'02效果表'!D:D,'02效果表'!E:E), 0) +
Y381*IF(_xlfn.XLOOKUP(X381,'02效果表'!D:D,'02效果表'!E:E)&lt;0, _xlfn.XLOOKUP(X381,'02效果表'!D:D,'02效果表'!E:E), 0) +
AA381*IF(_xlfn.XLOOKUP(Z381,'02效果表'!D:D,'02效果表'!E:E)&lt;0, _xlfn.XLOOKUP(Z381,'02效果表'!D:D,'02效果表'!E:E), 0) +
AC381*IF(_xlfn.XLOOKUP(AB381,'02效果表'!D:D,'02效果表'!E:E)&lt;0, _xlfn.XLOOKUP(AB381,'02效果表'!D:D,'02效果表'!E:E), 0) +
AE381*IF(_xlfn.XLOOKUP(AD381,'02效果表'!D:D,'02效果表'!E:E)&lt;0, _xlfn.XLOOKUP(AD381,'02效果表'!D:D,'02效果表'!E:E), 0)), 1)</f>
        <v>0</v>
      </c>
      <c r="G381" s="7">
        <f>ROUND(1/6*(I381*MAX(_xlfn.XLOOKUP(H381,'02效果表'!D:D,'02效果表'!E:E),0)+K381*MAX(_xlfn.XLOOKUP(J381,'02效果表'!D:D,'02效果表'!E:E),0)+M381*MAX(_xlfn.XLOOKUP(L381,'02效果表'!D:D,'02效果表'!E:E),0)+O381*MAX(_xlfn.XLOOKUP(N381,'02效果表'!D:D,'02效果表'!E:E),0)+Q381*MAX(_xlfn.XLOOKUP(P381,'02效果表'!D:D,'02效果表'!E:E),0)+S381*MAX(_xlfn.XLOOKUP(R381,'02效果表'!D:D,'02效果表'!E:E),0)+U381*MAX(_xlfn.XLOOKUP(T381,'02效果表'!D:D,'02效果表'!E:E),0)+W381*MAX(_xlfn.XLOOKUP(V381,'02效果表'!D:D,'02效果表'!E:E),0)+Y381*MAX(_xlfn.XLOOKUP(X381,'02效果表'!D:D,'02效果表'!E:E),0)+AA381*MAX(_xlfn.XLOOKUP(Z381,'02效果表'!D:D,'02效果表'!E:E),0)+AC381*MAX(_xlfn.XLOOKUP(AB381,'02效果表'!D:D,'02效果表'!E:E),0)+AE381*MAX(_xlfn.XLOOKUP(AD381,'02效果表'!D:D,'02效果表'!E:E),0)),1)</f>
        <v>0</v>
      </c>
      <c r="H381" s="6"/>
      <c r="I381" s="6"/>
      <c r="J381" s="6"/>
      <c r="K381" s="6"/>
      <c r="L381" s="6"/>
      <c r="M381" s="6"/>
      <c r="N381" s="6"/>
      <c r="O381" s="6"/>
      <c r="P381" s="6"/>
      <c r="Q381" s="6"/>
      <c r="R381" s="6"/>
      <c r="S381" s="6"/>
      <c r="T381" s="6"/>
      <c r="U381" s="6"/>
      <c r="V381" s="6"/>
      <c r="W381" s="6"/>
      <c r="X381" s="6"/>
      <c r="Y381" s="6"/>
      <c r="Z381" s="6"/>
      <c r="AA381" s="6"/>
      <c r="AB381" s="6"/>
      <c r="AC381" s="6"/>
      <c r="AD381" s="6"/>
      <c r="AE381" s="6"/>
    </row>
    <row r="382" spans="1:31" x14ac:dyDescent="0.35">
      <c r="A382" s="6">
        <v>382</v>
      </c>
      <c r="B382" s="6" t="s">
        <v>5</v>
      </c>
      <c r="C382" s="10" t="s">
        <v>17</v>
      </c>
      <c r="D382" s="9" t="s">
        <v>1573</v>
      </c>
      <c r="E382" s="7">
        <f t="shared" si="12"/>
        <v>0</v>
      </c>
      <c r="F382" s="7">
        <f>-1*ROUND(1/6*(I382*IF(_xlfn.XLOOKUP(H382,'02效果表'!D:D,'02效果表'!E:E)&lt;0, _xlfn.XLOOKUP(H382,'02效果表'!D:D,'02效果表'!E:E), 0) +
K382*IF(_xlfn.XLOOKUP(J382,'02效果表'!D:D,'02效果表'!E:E)&lt;0, _xlfn.XLOOKUP(J382,'02效果表'!D:D,'02效果表'!E:E), 0) +
M382*IF(_xlfn.XLOOKUP(L382,'02效果表'!D:D,'02效果表'!E:E)&lt;0, _xlfn.XLOOKUP(L382,'02效果表'!D:D,'02效果表'!E:E), 0) +
O382*IF(_xlfn.XLOOKUP(N382,'02效果表'!D:D,'02效果表'!E:E)&lt;0, _xlfn.XLOOKUP(N382,'02效果表'!D:D,'02效果表'!E:E), 0) +
Q382*IF(_xlfn.XLOOKUP(P382,'02效果表'!D:D,'02效果表'!E:E)&lt;0, _xlfn.XLOOKUP(P382,'02效果表'!D:D,'02效果表'!E:E), 0) +
S382*IF(_xlfn.XLOOKUP(R382,'02效果表'!D:D,'02效果表'!E:E)&lt;0, _xlfn.XLOOKUP(R382,'02效果表'!D:D,'02效果表'!E:E), 0) +
U382*IF(_xlfn.XLOOKUP(T382,'02效果表'!D:D,'02效果表'!E:E)&lt;0, _xlfn.XLOOKUP(T382,'02效果表'!D:D,'02效果表'!E:E), 0) +
W382*IF(_xlfn.XLOOKUP(V382,'02效果表'!D:D,'02效果表'!E:E)&lt;0, _xlfn.XLOOKUP(V382,'02效果表'!D:D,'02效果表'!E:E), 0) +
Y382*IF(_xlfn.XLOOKUP(X382,'02效果表'!D:D,'02效果表'!E:E)&lt;0, _xlfn.XLOOKUP(X382,'02效果表'!D:D,'02效果表'!E:E), 0) +
AA382*IF(_xlfn.XLOOKUP(Z382,'02效果表'!D:D,'02效果表'!E:E)&lt;0, _xlfn.XLOOKUP(Z382,'02效果表'!D:D,'02效果表'!E:E), 0) +
AC382*IF(_xlfn.XLOOKUP(AB382,'02效果表'!D:D,'02效果表'!E:E)&lt;0, _xlfn.XLOOKUP(AB382,'02效果表'!D:D,'02效果表'!E:E), 0) +
AE382*IF(_xlfn.XLOOKUP(AD382,'02效果表'!D:D,'02效果表'!E:E)&lt;0, _xlfn.XLOOKUP(AD382,'02效果表'!D:D,'02效果表'!E:E), 0)), 1)</f>
        <v>0</v>
      </c>
      <c r="G382" s="7">
        <f>ROUND(1/6*(I382*MAX(_xlfn.XLOOKUP(H382,'02效果表'!D:D,'02效果表'!E:E),0)+K382*MAX(_xlfn.XLOOKUP(J382,'02效果表'!D:D,'02效果表'!E:E),0)+M382*MAX(_xlfn.XLOOKUP(L382,'02效果表'!D:D,'02效果表'!E:E),0)+O382*MAX(_xlfn.XLOOKUP(N382,'02效果表'!D:D,'02效果表'!E:E),0)+Q382*MAX(_xlfn.XLOOKUP(P382,'02效果表'!D:D,'02效果表'!E:E),0)+S382*MAX(_xlfn.XLOOKUP(R382,'02效果表'!D:D,'02效果表'!E:E),0)+U382*MAX(_xlfn.XLOOKUP(T382,'02效果表'!D:D,'02效果表'!E:E),0)+W382*MAX(_xlfn.XLOOKUP(V382,'02效果表'!D:D,'02效果表'!E:E),0)+Y382*MAX(_xlfn.XLOOKUP(X382,'02效果表'!D:D,'02效果表'!E:E),0)+AA382*MAX(_xlfn.XLOOKUP(Z382,'02效果表'!D:D,'02效果表'!E:E),0)+AC382*MAX(_xlfn.XLOOKUP(AB382,'02效果表'!D:D,'02效果表'!E:E),0)+AE382*MAX(_xlfn.XLOOKUP(AD382,'02效果表'!D:D,'02效果表'!E:E),0)),1)</f>
        <v>0</v>
      </c>
      <c r="H382" s="6"/>
      <c r="I382" s="6"/>
      <c r="J382" s="6"/>
      <c r="K382" s="6"/>
      <c r="L382" s="6"/>
      <c r="M382" s="6"/>
      <c r="N382" s="6"/>
      <c r="O382" s="6"/>
      <c r="P382" s="6"/>
      <c r="Q382" s="6"/>
      <c r="R382" s="6"/>
      <c r="S382" s="6"/>
      <c r="T382" s="6"/>
      <c r="U382" s="6"/>
      <c r="V382" s="6"/>
      <c r="W382" s="6"/>
      <c r="X382" s="6"/>
      <c r="Y382" s="6"/>
      <c r="Z382" s="6"/>
      <c r="AA382" s="6"/>
      <c r="AB382" s="6"/>
      <c r="AC382" s="6"/>
      <c r="AD382" s="6"/>
      <c r="AE382" s="6"/>
    </row>
    <row r="383" spans="1:31" x14ac:dyDescent="0.35">
      <c r="A383" s="6">
        <v>383</v>
      </c>
      <c r="B383" s="6" t="s">
        <v>5</v>
      </c>
      <c r="C383" s="10" t="s">
        <v>17</v>
      </c>
      <c r="D383" s="9" t="s">
        <v>1574</v>
      </c>
      <c r="E383" s="7">
        <f t="shared" si="12"/>
        <v>0</v>
      </c>
      <c r="F383" s="7">
        <f>-1*ROUND(1/6*(I383*IF(_xlfn.XLOOKUP(H383,'02效果表'!D:D,'02效果表'!E:E)&lt;0, _xlfn.XLOOKUP(H383,'02效果表'!D:D,'02效果表'!E:E), 0) +
K383*IF(_xlfn.XLOOKUP(J383,'02效果表'!D:D,'02效果表'!E:E)&lt;0, _xlfn.XLOOKUP(J383,'02效果表'!D:D,'02效果表'!E:E), 0) +
M383*IF(_xlfn.XLOOKUP(L383,'02效果表'!D:D,'02效果表'!E:E)&lt;0, _xlfn.XLOOKUP(L383,'02效果表'!D:D,'02效果表'!E:E), 0) +
O383*IF(_xlfn.XLOOKUP(N383,'02效果表'!D:D,'02效果表'!E:E)&lt;0, _xlfn.XLOOKUP(N383,'02效果表'!D:D,'02效果表'!E:E), 0) +
Q383*IF(_xlfn.XLOOKUP(P383,'02效果表'!D:D,'02效果表'!E:E)&lt;0, _xlfn.XLOOKUP(P383,'02效果表'!D:D,'02效果表'!E:E), 0) +
S383*IF(_xlfn.XLOOKUP(R383,'02效果表'!D:D,'02效果表'!E:E)&lt;0, _xlfn.XLOOKUP(R383,'02效果表'!D:D,'02效果表'!E:E), 0) +
U383*IF(_xlfn.XLOOKUP(T383,'02效果表'!D:D,'02效果表'!E:E)&lt;0, _xlfn.XLOOKUP(T383,'02效果表'!D:D,'02效果表'!E:E), 0) +
W383*IF(_xlfn.XLOOKUP(V383,'02效果表'!D:D,'02效果表'!E:E)&lt;0, _xlfn.XLOOKUP(V383,'02效果表'!D:D,'02效果表'!E:E), 0) +
Y383*IF(_xlfn.XLOOKUP(X383,'02效果表'!D:D,'02效果表'!E:E)&lt;0, _xlfn.XLOOKUP(X383,'02效果表'!D:D,'02效果表'!E:E), 0) +
AA383*IF(_xlfn.XLOOKUP(Z383,'02效果表'!D:D,'02效果表'!E:E)&lt;0, _xlfn.XLOOKUP(Z383,'02效果表'!D:D,'02效果表'!E:E), 0) +
AC383*IF(_xlfn.XLOOKUP(AB383,'02效果表'!D:D,'02效果表'!E:E)&lt;0, _xlfn.XLOOKUP(AB383,'02效果表'!D:D,'02效果表'!E:E), 0) +
AE383*IF(_xlfn.XLOOKUP(AD383,'02效果表'!D:D,'02效果表'!E:E)&lt;0, _xlfn.XLOOKUP(AD383,'02效果表'!D:D,'02效果表'!E:E), 0)), 1)</f>
        <v>0</v>
      </c>
      <c r="G383" s="7">
        <f>ROUND(1/6*(I383*MAX(_xlfn.XLOOKUP(H383,'02效果表'!D:D,'02效果表'!E:E),0)+K383*MAX(_xlfn.XLOOKUP(J383,'02效果表'!D:D,'02效果表'!E:E),0)+M383*MAX(_xlfn.XLOOKUP(L383,'02效果表'!D:D,'02效果表'!E:E),0)+O383*MAX(_xlfn.XLOOKUP(N383,'02效果表'!D:D,'02效果表'!E:E),0)+Q383*MAX(_xlfn.XLOOKUP(P383,'02效果表'!D:D,'02效果表'!E:E),0)+S383*MAX(_xlfn.XLOOKUP(R383,'02效果表'!D:D,'02效果表'!E:E),0)+U383*MAX(_xlfn.XLOOKUP(T383,'02效果表'!D:D,'02效果表'!E:E),0)+W383*MAX(_xlfn.XLOOKUP(V383,'02效果表'!D:D,'02效果表'!E:E),0)+Y383*MAX(_xlfn.XLOOKUP(X383,'02效果表'!D:D,'02效果表'!E:E),0)+AA383*MAX(_xlfn.XLOOKUP(Z383,'02效果表'!D:D,'02效果表'!E:E),0)+AC383*MAX(_xlfn.XLOOKUP(AB383,'02效果表'!D:D,'02效果表'!E:E),0)+AE383*MAX(_xlfn.XLOOKUP(AD383,'02效果表'!D:D,'02效果表'!E:E),0)),1)</f>
        <v>0</v>
      </c>
      <c r="H383" s="6"/>
      <c r="I383" s="6"/>
      <c r="J383" s="6"/>
      <c r="K383" s="6"/>
      <c r="L383" s="6"/>
      <c r="M383" s="6"/>
      <c r="N383" s="6"/>
      <c r="O383" s="6"/>
      <c r="P383" s="6"/>
      <c r="Q383" s="6"/>
      <c r="R383" s="6"/>
      <c r="S383" s="6"/>
      <c r="T383" s="6"/>
      <c r="U383" s="6"/>
      <c r="V383" s="6"/>
      <c r="W383" s="6"/>
      <c r="X383" s="6"/>
      <c r="Y383" s="6"/>
      <c r="Z383" s="6"/>
      <c r="AA383" s="6"/>
      <c r="AB383" s="6"/>
      <c r="AC383" s="6"/>
      <c r="AD383" s="6"/>
      <c r="AE383" s="6"/>
    </row>
    <row r="384" spans="1:31" x14ac:dyDescent="0.35">
      <c r="A384" s="6">
        <v>384</v>
      </c>
      <c r="B384" s="6" t="s">
        <v>5</v>
      </c>
      <c r="C384" s="10" t="s">
        <v>17</v>
      </c>
      <c r="D384" s="9" t="s">
        <v>1575</v>
      </c>
      <c r="E384" s="7">
        <f t="shared" si="12"/>
        <v>0</v>
      </c>
      <c r="F384" s="7">
        <f>-1*ROUND(1/6*(I384*IF(_xlfn.XLOOKUP(H384,'02效果表'!D:D,'02效果表'!E:E)&lt;0, _xlfn.XLOOKUP(H384,'02效果表'!D:D,'02效果表'!E:E), 0) +
K384*IF(_xlfn.XLOOKUP(J384,'02效果表'!D:D,'02效果表'!E:E)&lt;0, _xlfn.XLOOKUP(J384,'02效果表'!D:D,'02效果表'!E:E), 0) +
M384*IF(_xlfn.XLOOKUP(L384,'02效果表'!D:D,'02效果表'!E:E)&lt;0, _xlfn.XLOOKUP(L384,'02效果表'!D:D,'02效果表'!E:E), 0) +
O384*IF(_xlfn.XLOOKUP(N384,'02效果表'!D:D,'02效果表'!E:E)&lt;0, _xlfn.XLOOKUP(N384,'02效果表'!D:D,'02效果表'!E:E), 0) +
Q384*IF(_xlfn.XLOOKUP(P384,'02效果表'!D:D,'02效果表'!E:E)&lt;0, _xlfn.XLOOKUP(P384,'02效果表'!D:D,'02效果表'!E:E), 0) +
S384*IF(_xlfn.XLOOKUP(R384,'02效果表'!D:D,'02效果表'!E:E)&lt;0, _xlfn.XLOOKUP(R384,'02效果表'!D:D,'02效果表'!E:E), 0) +
U384*IF(_xlfn.XLOOKUP(T384,'02效果表'!D:D,'02效果表'!E:E)&lt;0, _xlfn.XLOOKUP(T384,'02效果表'!D:D,'02效果表'!E:E), 0) +
W384*IF(_xlfn.XLOOKUP(V384,'02效果表'!D:D,'02效果表'!E:E)&lt;0, _xlfn.XLOOKUP(V384,'02效果表'!D:D,'02效果表'!E:E), 0) +
Y384*IF(_xlfn.XLOOKUP(X384,'02效果表'!D:D,'02效果表'!E:E)&lt;0, _xlfn.XLOOKUP(X384,'02效果表'!D:D,'02效果表'!E:E), 0) +
AA384*IF(_xlfn.XLOOKUP(Z384,'02效果表'!D:D,'02效果表'!E:E)&lt;0, _xlfn.XLOOKUP(Z384,'02效果表'!D:D,'02效果表'!E:E), 0) +
AC384*IF(_xlfn.XLOOKUP(AB384,'02效果表'!D:D,'02效果表'!E:E)&lt;0, _xlfn.XLOOKUP(AB384,'02效果表'!D:D,'02效果表'!E:E), 0) +
AE384*IF(_xlfn.XLOOKUP(AD384,'02效果表'!D:D,'02效果表'!E:E)&lt;0, _xlfn.XLOOKUP(AD384,'02效果表'!D:D,'02效果表'!E:E), 0)), 1)</f>
        <v>0</v>
      </c>
      <c r="G384" s="7">
        <f>ROUND(1/6*(I384*MAX(_xlfn.XLOOKUP(H384,'02效果表'!D:D,'02效果表'!E:E),0)+K384*MAX(_xlfn.XLOOKUP(J384,'02效果表'!D:D,'02效果表'!E:E),0)+M384*MAX(_xlfn.XLOOKUP(L384,'02效果表'!D:D,'02效果表'!E:E),0)+O384*MAX(_xlfn.XLOOKUP(N384,'02效果表'!D:D,'02效果表'!E:E),0)+Q384*MAX(_xlfn.XLOOKUP(P384,'02效果表'!D:D,'02效果表'!E:E),0)+S384*MAX(_xlfn.XLOOKUP(R384,'02效果表'!D:D,'02效果表'!E:E),0)+U384*MAX(_xlfn.XLOOKUP(T384,'02效果表'!D:D,'02效果表'!E:E),0)+W384*MAX(_xlfn.XLOOKUP(V384,'02效果表'!D:D,'02效果表'!E:E),0)+Y384*MAX(_xlfn.XLOOKUP(X384,'02效果表'!D:D,'02效果表'!E:E),0)+AA384*MAX(_xlfn.XLOOKUP(Z384,'02效果表'!D:D,'02效果表'!E:E),0)+AC384*MAX(_xlfn.XLOOKUP(AB384,'02效果表'!D:D,'02效果表'!E:E),0)+AE384*MAX(_xlfn.XLOOKUP(AD384,'02效果表'!D:D,'02效果表'!E:E),0)),1)</f>
        <v>0</v>
      </c>
      <c r="H384" s="6"/>
      <c r="I384" s="6"/>
      <c r="J384" s="6"/>
      <c r="K384" s="6"/>
      <c r="L384" s="6"/>
      <c r="M384" s="6"/>
      <c r="N384" s="6"/>
      <c r="O384" s="6"/>
      <c r="P384" s="6"/>
      <c r="Q384" s="6"/>
      <c r="R384" s="6"/>
      <c r="S384" s="6"/>
      <c r="T384" s="6"/>
      <c r="U384" s="6"/>
      <c r="V384" s="6"/>
      <c r="W384" s="6"/>
      <c r="X384" s="6"/>
      <c r="Y384" s="6"/>
      <c r="Z384" s="6"/>
      <c r="AA384" s="6"/>
      <c r="AB384" s="6"/>
      <c r="AC384" s="6"/>
      <c r="AD384" s="6"/>
      <c r="AE384" s="6"/>
    </row>
    <row r="385" spans="1:31" x14ac:dyDescent="0.35">
      <c r="A385" s="6">
        <v>385</v>
      </c>
      <c r="B385" s="6" t="s">
        <v>5</v>
      </c>
      <c r="C385" s="10" t="s">
        <v>17</v>
      </c>
      <c r="D385" s="9" t="s">
        <v>1576</v>
      </c>
      <c r="E385" s="7">
        <f t="shared" si="12"/>
        <v>0</v>
      </c>
      <c r="F385" s="7">
        <f>-1*ROUND(1/6*(I385*IF(_xlfn.XLOOKUP(H385,'02效果表'!D:D,'02效果表'!E:E)&lt;0, _xlfn.XLOOKUP(H385,'02效果表'!D:D,'02效果表'!E:E), 0) +
K385*IF(_xlfn.XLOOKUP(J385,'02效果表'!D:D,'02效果表'!E:E)&lt;0, _xlfn.XLOOKUP(J385,'02效果表'!D:D,'02效果表'!E:E), 0) +
M385*IF(_xlfn.XLOOKUP(L385,'02效果表'!D:D,'02效果表'!E:E)&lt;0, _xlfn.XLOOKUP(L385,'02效果表'!D:D,'02效果表'!E:E), 0) +
O385*IF(_xlfn.XLOOKUP(N385,'02效果表'!D:D,'02效果表'!E:E)&lt;0, _xlfn.XLOOKUP(N385,'02效果表'!D:D,'02效果表'!E:E), 0) +
Q385*IF(_xlfn.XLOOKUP(P385,'02效果表'!D:D,'02效果表'!E:E)&lt;0, _xlfn.XLOOKUP(P385,'02效果表'!D:D,'02效果表'!E:E), 0) +
S385*IF(_xlfn.XLOOKUP(R385,'02效果表'!D:D,'02效果表'!E:E)&lt;0, _xlfn.XLOOKUP(R385,'02效果表'!D:D,'02效果表'!E:E), 0) +
U385*IF(_xlfn.XLOOKUP(T385,'02效果表'!D:D,'02效果表'!E:E)&lt;0, _xlfn.XLOOKUP(T385,'02效果表'!D:D,'02效果表'!E:E), 0) +
W385*IF(_xlfn.XLOOKUP(V385,'02效果表'!D:D,'02效果表'!E:E)&lt;0, _xlfn.XLOOKUP(V385,'02效果表'!D:D,'02效果表'!E:E), 0) +
Y385*IF(_xlfn.XLOOKUP(X385,'02效果表'!D:D,'02效果表'!E:E)&lt;0, _xlfn.XLOOKUP(X385,'02效果表'!D:D,'02效果表'!E:E), 0) +
AA385*IF(_xlfn.XLOOKUP(Z385,'02效果表'!D:D,'02效果表'!E:E)&lt;0, _xlfn.XLOOKUP(Z385,'02效果表'!D:D,'02效果表'!E:E), 0) +
AC385*IF(_xlfn.XLOOKUP(AB385,'02效果表'!D:D,'02效果表'!E:E)&lt;0, _xlfn.XLOOKUP(AB385,'02效果表'!D:D,'02效果表'!E:E), 0) +
AE385*IF(_xlfn.XLOOKUP(AD385,'02效果表'!D:D,'02效果表'!E:E)&lt;0, _xlfn.XLOOKUP(AD385,'02效果表'!D:D,'02效果表'!E:E), 0)), 1)</f>
        <v>0</v>
      </c>
      <c r="G385" s="7">
        <f>ROUND(1/6*(I385*MAX(_xlfn.XLOOKUP(H385,'02效果表'!D:D,'02效果表'!E:E),0)+K385*MAX(_xlfn.XLOOKUP(J385,'02效果表'!D:D,'02效果表'!E:E),0)+M385*MAX(_xlfn.XLOOKUP(L385,'02效果表'!D:D,'02效果表'!E:E),0)+O385*MAX(_xlfn.XLOOKUP(N385,'02效果表'!D:D,'02效果表'!E:E),0)+Q385*MAX(_xlfn.XLOOKUP(P385,'02效果表'!D:D,'02效果表'!E:E),0)+S385*MAX(_xlfn.XLOOKUP(R385,'02效果表'!D:D,'02效果表'!E:E),0)+U385*MAX(_xlfn.XLOOKUP(T385,'02效果表'!D:D,'02效果表'!E:E),0)+W385*MAX(_xlfn.XLOOKUP(V385,'02效果表'!D:D,'02效果表'!E:E),0)+Y385*MAX(_xlfn.XLOOKUP(X385,'02效果表'!D:D,'02效果表'!E:E),0)+AA385*MAX(_xlfn.XLOOKUP(Z385,'02效果表'!D:D,'02效果表'!E:E),0)+AC385*MAX(_xlfn.XLOOKUP(AB385,'02效果表'!D:D,'02效果表'!E:E),0)+AE385*MAX(_xlfn.XLOOKUP(AD385,'02效果表'!D:D,'02效果表'!E:E),0)),1)</f>
        <v>0</v>
      </c>
      <c r="H385" s="6"/>
      <c r="I385" s="6"/>
      <c r="J385" s="6"/>
      <c r="K385" s="6"/>
      <c r="L385" s="6"/>
      <c r="M385" s="6"/>
      <c r="N385" s="6"/>
      <c r="O385" s="6"/>
      <c r="P385" s="6"/>
      <c r="Q385" s="6"/>
      <c r="R385" s="6"/>
      <c r="S385" s="6"/>
      <c r="T385" s="6"/>
      <c r="U385" s="6"/>
      <c r="V385" s="6"/>
      <c r="W385" s="6"/>
      <c r="X385" s="6"/>
      <c r="Y385" s="6"/>
      <c r="Z385" s="6"/>
      <c r="AA385" s="6"/>
      <c r="AB385" s="6"/>
      <c r="AC385" s="6"/>
      <c r="AD385" s="6"/>
      <c r="AE385" s="6"/>
    </row>
    <row r="386" spans="1:31" x14ac:dyDescent="0.35">
      <c r="A386" s="6">
        <v>386</v>
      </c>
      <c r="B386" s="6" t="s">
        <v>5</v>
      </c>
      <c r="C386" s="10" t="s">
        <v>17</v>
      </c>
      <c r="D386" s="9" t="s">
        <v>1577</v>
      </c>
      <c r="E386" s="7">
        <f t="shared" ref="E386:E449" si="13">ROUND(G386-F386,0)</f>
        <v>0</v>
      </c>
      <c r="F386" s="7">
        <f>-1*ROUND(1/6*(I386*IF(_xlfn.XLOOKUP(H386,'02效果表'!D:D,'02效果表'!E:E)&lt;0, _xlfn.XLOOKUP(H386,'02效果表'!D:D,'02效果表'!E:E), 0) +
K386*IF(_xlfn.XLOOKUP(J386,'02效果表'!D:D,'02效果表'!E:E)&lt;0, _xlfn.XLOOKUP(J386,'02效果表'!D:D,'02效果表'!E:E), 0) +
M386*IF(_xlfn.XLOOKUP(L386,'02效果表'!D:D,'02效果表'!E:E)&lt;0, _xlfn.XLOOKUP(L386,'02效果表'!D:D,'02效果表'!E:E), 0) +
O386*IF(_xlfn.XLOOKUP(N386,'02效果表'!D:D,'02效果表'!E:E)&lt;0, _xlfn.XLOOKUP(N386,'02效果表'!D:D,'02效果表'!E:E), 0) +
Q386*IF(_xlfn.XLOOKUP(P386,'02效果表'!D:D,'02效果表'!E:E)&lt;0, _xlfn.XLOOKUP(P386,'02效果表'!D:D,'02效果表'!E:E), 0) +
S386*IF(_xlfn.XLOOKUP(R386,'02效果表'!D:D,'02效果表'!E:E)&lt;0, _xlfn.XLOOKUP(R386,'02效果表'!D:D,'02效果表'!E:E), 0) +
U386*IF(_xlfn.XLOOKUP(T386,'02效果表'!D:D,'02效果表'!E:E)&lt;0, _xlfn.XLOOKUP(T386,'02效果表'!D:D,'02效果表'!E:E), 0) +
W386*IF(_xlfn.XLOOKUP(V386,'02效果表'!D:D,'02效果表'!E:E)&lt;0, _xlfn.XLOOKUP(V386,'02效果表'!D:D,'02效果表'!E:E), 0) +
Y386*IF(_xlfn.XLOOKUP(X386,'02效果表'!D:D,'02效果表'!E:E)&lt;0, _xlfn.XLOOKUP(X386,'02效果表'!D:D,'02效果表'!E:E), 0) +
AA386*IF(_xlfn.XLOOKUP(Z386,'02效果表'!D:D,'02效果表'!E:E)&lt;0, _xlfn.XLOOKUP(Z386,'02效果表'!D:D,'02效果表'!E:E), 0) +
AC386*IF(_xlfn.XLOOKUP(AB386,'02效果表'!D:D,'02效果表'!E:E)&lt;0, _xlfn.XLOOKUP(AB386,'02效果表'!D:D,'02效果表'!E:E), 0) +
AE386*IF(_xlfn.XLOOKUP(AD386,'02效果表'!D:D,'02效果表'!E:E)&lt;0, _xlfn.XLOOKUP(AD386,'02效果表'!D:D,'02效果表'!E:E), 0)), 1)</f>
        <v>0</v>
      </c>
      <c r="G386" s="7">
        <f>ROUND(1/6*(I386*MAX(_xlfn.XLOOKUP(H386,'02效果表'!D:D,'02效果表'!E:E),0)+K386*MAX(_xlfn.XLOOKUP(J386,'02效果表'!D:D,'02效果表'!E:E),0)+M386*MAX(_xlfn.XLOOKUP(L386,'02效果表'!D:D,'02效果表'!E:E),0)+O386*MAX(_xlfn.XLOOKUP(N386,'02效果表'!D:D,'02效果表'!E:E),0)+Q386*MAX(_xlfn.XLOOKUP(P386,'02效果表'!D:D,'02效果表'!E:E),0)+S386*MAX(_xlfn.XLOOKUP(R386,'02效果表'!D:D,'02效果表'!E:E),0)+U386*MAX(_xlfn.XLOOKUP(T386,'02效果表'!D:D,'02效果表'!E:E),0)+W386*MAX(_xlfn.XLOOKUP(V386,'02效果表'!D:D,'02效果表'!E:E),0)+Y386*MAX(_xlfn.XLOOKUP(X386,'02效果表'!D:D,'02效果表'!E:E),0)+AA386*MAX(_xlfn.XLOOKUP(Z386,'02效果表'!D:D,'02效果表'!E:E),0)+AC386*MAX(_xlfn.XLOOKUP(AB386,'02效果表'!D:D,'02效果表'!E:E),0)+AE386*MAX(_xlfn.XLOOKUP(AD386,'02效果表'!D:D,'02效果表'!E:E),0)),1)</f>
        <v>0</v>
      </c>
      <c r="H386" s="6"/>
      <c r="I386" s="6"/>
      <c r="J386" s="6"/>
      <c r="K386" s="6"/>
      <c r="L386" s="6"/>
      <c r="M386" s="6"/>
      <c r="N386" s="6"/>
      <c r="O386" s="6"/>
      <c r="P386" s="6"/>
      <c r="Q386" s="6"/>
      <c r="R386" s="6"/>
      <c r="S386" s="6"/>
      <c r="T386" s="6"/>
      <c r="U386" s="6"/>
      <c r="V386" s="6"/>
      <c r="W386" s="6"/>
      <c r="X386" s="6"/>
      <c r="Y386" s="6"/>
      <c r="Z386" s="6"/>
      <c r="AA386" s="6"/>
      <c r="AB386" s="6"/>
      <c r="AC386" s="6"/>
      <c r="AD386" s="6"/>
      <c r="AE386" s="6"/>
    </row>
    <row r="387" spans="1:31" x14ac:dyDescent="0.35">
      <c r="A387" s="6">
        <v>387</v>
      </c>
      <c r="B387" s="6" t="s">
        <v>5</v>
      </c>
      <c r="C387" s="10" t="s">
        <v>17</v>
      </c>
      <c r="D387" s="9" t="s">
        <v>1578</v>
      </c>
      <c r="E387" s="7">
        <f t="shared" si="13"/>
        <v>0</v>
      </c>
      <c r="F387" s="7">
        <f>-1*ROUND(1/6*(I387*IF(_xlfn.XLOOKUP(H387,'02效果表'!D:D,'02效果表'!E:E)&lt;0, _xlfn.XLOOKUP(H387,'02效果表'!D:D,'02效果表'!E:E), 0) +
K387*IF(_xlfn.XLOOKUP(J387,'02效果表'!D:D,'02效果表'!E:E)&lt;0, _xlfn.XLOOKUP(J387,'02效果表'!D:D,'02效果表'!E:E), 0) +
M387*IF(_xlfn.XLOOKUP(L387,'02效果表'!D:D,'02效果表'!E:E)&lt;0, _xlfn.XLOOKUP(L387,'02效果表'!D:D,'02效果表'!E:E), 0) +
O387*IF(_xlfn.XLOOKUP(N387,'02效果表'!D:D,'02效果表'!E:E)&lt;0, _xlfn.XLOOKUP(N387,'02效果表'!D:D,'02效果表'!E:E), 0) +
Q387*IF(_xlfn.XLOOKUP(P387,'02效果表'!D:D,'02效果表'!E:E)&lt;0, _xlfn.XLOOKUP(P387,'02效果表'!D:D,'02效果表'!E:E), 0) +
S387*IF(_xlfn.XLOOKUP(R387,'02效果表'!D:D,'02效果表'!E:E)&lt;0, _xlfn.XLOOKUP(R387,'02效果表'!D:D,'02效果表'!E:E), 0) +
U387*IF(_xlfn.XLOOKUP(T387,'02效果表'!D:D,'02效果表'!E:E)&lt;0, _xlfn.XLOOKUP(T387,'02效果表'!D:D,'02效果表'!E:E), 0) +
W387*IF(_xlfn.XLOOKUP(V387,'02效果表'!D:D,'02效果表'!E:E)&lt;0, _xlfn.XLOOKUP(V387,'02效果表'!D:D,'02效果表'!E:E), 0) +
Y387*IF(_xlfn.XLOOKUP(X387,'02效果表'!D:D,'02效果表'!E:E)&lt;0, _xlfn.XLOOKUP(X387,'02效果表'!D:D,'02效果表'!E:E), 0) +
AA387*IF(_xlfn.XLOOKUP(Z387,'02效果表'!D:D,'02效果表'!E:E)&lt;0, _xlfn.XLOOKUP(Z387,'02效果表'!D:D,'02效果表'!E:E), 0) +
AC387*IF(_xlfn.XLOOKUP(AB387,'02效果表'!D:D,'02效果表'!E:E)&lt;0, _xlfn.XLOOKUP(AB387,'02效果表'!D:D,'02效果表'!E:E), 0) +
AE387*IF(_xlfn.XLOOKUP(AD387,'02效果表'!D:D,'02效果表'!E:E)&lt;0, _xlfn.XLOOKUP(AD387,'02效果表'!D:D,'02效果表'!E:E), 0)), 1)</f>
        <v>0</v>
      </c>
      <c r="G387" s="7">
        <f>ROUND(1/6*(I387*MAX(_xlfn.XLOOKUP(H387,'02效果表'!D:D,'02效果表'!E:E),0)+K387*MAX(_xlfn.XLOOKUP(J387,'02效果表'!D:D,'02效果表'!E:E),0)+M387*MAX(_xlfn.XLOOKUP(L387,'02效果表'!D:D,'02效果表'!E:E),0)+O387*MAX(_xlfn.XLOOKUP(N387,'02效果表'!D:D,'02效果表'!E:E),0)+Q387*MAX(_xlfn.XLOOKUP(P387,'02效果表'!D:D,'02效果表'!E:E),0)+S387*MAX(_xlfn.XLOOKUP(R387,'02效果表'!D:D,'02效果表'!E:E),0)+U387*MAX(_xlfn.XLOOKUP(T387,'02效果表'!D:D,'02效果表'!E:E),0)+W387*MAX(_xlfn.XLOOKUP(V387,'02效果表'!D:D,'02效果表'!E:E),0)+Y387*MAX(_xlfn.XLOOKUP(X387,'02效果表'!D:D,'02效果表'!E:E),0)+AA387*MAX(_xlfn.XLOOKUP(Z387,'02效果表'!D:D,'02效果表'!E:E),0)+AC387*MAX(_xlfn.XLOOKUP(AB387,'02效果表'!D:D,'02效果表'!E:E),0)+AE387*MAX(_xlfn.XLOOKUP(AD387,'02效果表'!D:D,'02效果表'!E:E),0)),1)</f>
        <v>0</v>
      </c>
      <c r="H387" s="6"/>
      <c r="I387" s="6"/>
      <c r="J387" s="6"/>
      <c r="K387" s="6"/>
      <c r="L387" s="6"/>
      <c r="M387" s="6"/>
      <c r="N387" s="6"/>
      <c r="O387" s="6"/>
      <c r="P387" s="6"/>
      <c r="Q387" s="6"/>
      <c r="R387" s="6"/>
      <c r="S387" s="6"/>
      <c r="T387" s="6"/>
      <c r="U387" s="6"/>
      <c r="V387" s="6"/>
      <c r="W387" s="6"/>
      <c r="X387" s="6"/>
      <c r="Y387" s="6"/>
      <c r="Z387" s="6"/>
      <c r="AA387" s="6"/>
      <c r="AB387" s="6"/>
      <c r="AC387" s="6"/>
      <c r="AD387" s="6"/>
      <c r="AE387" s="6"/>
    </row>
    <row r="388" spans="1:31" x14ac:dyDescent="0.35">
      <c r="A388" s="6">
        <v>388</v>
      </c>
      <c r="B388" s="6" t="s">
        <v>5</v>
      </c>
      <c r="C388" s="10" t="s">
        <v>17</v>
      </c>
      <c r="D388" s="9" t="s">
        <v>1579</v>
      </c>
      <c r="E388" s="7">
        <f t="shared" si="13"/>
        <v>0</v>
      </c>
      <c r="F388" s="7">
        <f>-1*ROUND(1/6*(I388*IF(_xlfn.XLOOKUP(H388,'02效果表'!D:D,'02效果表'!E:E)&lt;0, _xlfn.XLOOKUP(H388,'02效果表'!D:D,'02效果表'!E:E), 0) +
K388*IF(_xlfn.XLOOKUP(J388,'02效果表'!D:D,'02效果表'!E:E)&lt;0, _xlfn.XLOOKUP(J388,'02效果表'!D:D,'02效果表'!E:E), 0) +
M388*IF(_xlfn.XLOOKUP(L388,'02效果表'!D:D,'02效果表'!E:E)&lt;0, _xlfn.XLOOKUP(L388,'02效果表'!D:D,'02效果表'!E:E), 0) +
O388*IF(_xlfn.XLOOKUP(N388,'02效果表'!D:D,'02效果表'!E:E)&lt;0, _xlfn.XLOOKUP(N388,'02效果表'!D:D,'02效果表'!E:E), 0) +
Q388*IF(_xlfn.XLOOKUP(P388,'02效果表'!D:D,'02效果表'!E:E)&lt;0, _xlfn.XLOOKUP(P388,'02效果表'!D:D,'02效果表'!E:E), 0) +
S388*IF(_xlfn.XLOOKUP(R388,'02效果表'!D:D,'02效果表'!E:E)&lt;0, _xlfn.XLOOKUP(R388,'02效果表'!D:D,'02效果表'!E:E), 0) +
U388*IF(_xlfn.XLOOKUP(T388,'02效果表'!D:D,'02效果表'!E:E)&lt;0, _xlfn.XLOOKUP(T388,'02效果表'!D:D,'02效果表'!E:E), 0) +
W388*IF(_xlfn.XLOOKUP(V388,'02效果表'!D:D,'02效果表'!E:E)&lt;0, _xlfn.XLOOKUP(V388,'02效果表'!D:D,'02效果表'!E:E), 0) +
Y388*IF(_xlfn.XLOOKUP(X388,'02效果表'!D:D,'02效果表'!E:E)&lt;0, _xlfn.XLOOKUP(X388,'02效果表'!D:D,'02效果表'!E:E), 0) +
AA388*IF(_xlfn.XLOOKUP(Z388,'02效果表'!D:D,'02效果表'!E:E)&lt;0, _xlfn.XLOOKUP(Z388,'02效果表'!D:D,'02效果表'!E:E), 0) +
AC388*IF(_xlfn.XLOOKUP(AB388,'02效果表'!D:D,'02效果表'!E:E)&lt;0, _xlfn.XLOOKUP(AB388,'02效果表'!D:D,'02效果表'!E:E), 0) +
AE388*IF(_xlfn.XLOOKUP(AD388,'02效果表'!D:D,'02效果表'!E:E)&lt;0, _xlfn.XLOOKUP(AD388,'02效果表'!D:D,'02效果表'!E:E), 0)), 1)</f>
        <v>0</v>
      </c>
      <c r="G388" s="7">
        <f>ROUND(1/6*(I388*MAX(_xlfn.XLOOKUP(H388,'02效果表'!D:D,'02效果表'!E:E),0)+K388*MAX(_xlfn.XLOOKUP(J388,'02效果表'!D:D,'02效果表'!E:E),0)+M388*MAX(_xlfn.XLOOKUP(L388,'02效果表'!D:D,'02效果表'!E:E),0)+O388*MAX(_xlfn.XLOOKUP(N388,'02效果表'!D:D,'02效果表'!E:E),0)+Q388*MAX(_xlfn.XLOOKUP(P388,'02效果表'!D:D,'02效果表'!E:E),0)+S388*MAX(_xlfn.XLOOKUP(R388,'02效果表'!D:D,'02效果表'!E:E),0)+U388*MAX(_xlfn.XLOOKUP(T388,'02效果表'!D:D,'02效果表'!E:E),0)+W388*MAX(_xlfn.XLOOKUP(V388,'02效果表'!D:D,'02效果表'!E:E),0)+Y388*MAX(_xlfn.XLOOKUP(X388,'02效果表'!D:D,'02效果表'!E:E),0)+AA388*MAX(_xlfn.XLOOKUP(Z388,'02效果表'!D:D,'02效果表'!E:E),0)+AC388*MAX(_xlfn.XLOOKUP(AB388,'02效果表'!D:D,'02效果表'!E:E),0)+AE388*MAX(_xlfn.XLOOKUP(AD388,'02效果表'!D:D,'02效果表'!E:E),0)),1)</f>
        <v>0</v>
      </c>
      <c r="H388" s="6"/>
      <c r="I388" s="6"/>
      <c r="J388" s="6"/>
      <c r="K388" s="6"/>
      <c r="L388" s="6"/>
      <c r="M388" s="6"/>
      <c r="N388" s="6"/>
      <c r="O388" s="6"/>
      <c r="P388" s="6"/>
      <c r="Q388" s="6"/>
      <c r="R388" s="6"/>
      <c r="S388" s="6"/>
      <c r="T388" s="6"/>
      <c r="U388" s="6"/>
      <c r="V388" s="6"/>
      <c r="W388" s="6"/>
      <c r="X388" s="6"/>
      <c r="Y388" s="6"/>
      <c r="Z388" s="6"/>
      <c r="AA388" s="6"/>
      <c r="AB388" s="6"/>
      <c r="AC388" s="6"/>
      <c r="AD388" s="6"/>
      <c r="AE388" s="6"/>
    </row>
    <row r="389" spans="1:31" x14ac:dyDescent="0.35">
      <c r="A389" s="6">
        <v>389</v>
      </c>
      <c r="B389" s="6" t="s">
        <v>5</v>
      </c>
      <c r="C389" s="10" t="s">
        <v>17</v>
      </c>
      <c r="D389" s="9" t="s">
        <v>1580</v>
      </c>
      <c r="E389" s="7">
        <f t="shared" si="13"/>
        <v>0</v>
      </c>
      <c r="F389" s="7">
        <f>-1*ROUND(1/6*(I389*IF(_xlfn.XLOOKUP(H389,'02效果表'!D:D,'02效果表'!E:E)&lt;0, _xlfn.XLOOKUP(H389,'02效果表'!D:D,'02效果表'!E:E), 0) +
K389*IF(_xlfn.XLOOKUP(J389,'02效果表'!D:D,'02效果表'!E:E)&lt;0, _xlfn.XLOOKUP(J389,'02效果表'!D:D,'02效果表'!E:E), 0) +
M389*IF(_xlfn.XLOOKUP(L389,'02效果表'!D:D,'02效果表'!E:E)&lt;0, _xlfn.XLOOKUP(L389,'02效果表'!D:D,'02效果表'!E:E), 0) +
O389*IF(_xlfn.XLOOKUP(N389,'02效果表'!D:D,'02效果表'!E:E)&lt;0, _xlfn.XLOOKUP(N389,'02效果表'!D:D,'02效果表'!E:E), 0) +
Q389*IF(_xlfn.XLOOKUP(P389,'02效果表'!D:D,'02效果表'!E:E)&lt;0, _xlfn.XLOOKUP(P389,'02效果表'!D:D,'02效果表'!E:E), 0) +
S389*IF(_xlfn.XLOOKUP(R389,'02效果表'!D:D,'02效果表'!E:E)&lt;0, _xlfn.XLOOKUP(R389,'02效果表'!D:D,'02效果表'!E:E), 0) +
U389*IF(_xlfn.XLOOKUP(T389,'02效果表'!D:D,'02效果表'!E:E)&lt;0, _xlfn.XLOOKUP(T389,'02效果表'!D:D,'02效果表'!E:E), 0) +
W389*IF(_xlfn.XLOOKUP(V389,'02效果表'!D:D,'02效果表'!E:E)&lt;0, _xlfn.XLOOKUP(V389,'02效果表'!D:D,'02效果表'!E:E), 0) +
Y389*IF(_xlfn.XLOOKUP(X389,'02效果表'!D:D,'02效果表'!E:E)&lt;0, _xlfn.XLOOKUP(X389,'02效果表'!D:D,'02效果表'!E:E), 0) +
AA389*IF(_xlfn.XLOOKUP(Z389,'02效果表'!D:D,'02效果表'!E:E)&lt;0, _xlfn.XLOOKUP(Z389,'02效果表'!D:D,'02效果表'!E:E), 0) +
AC389*IF(_xlfn.XLOOKUP(AB389,'02效果表'!D:D,'02效果表'!E:E)&lt;0, _xlfn.XLOOKUP(AB389,'02效果表'!D:D,'02效果表'!E:E), 0) +
AE389*IF(_xlfn.XLOOKUP(AD389,'02效果表'!D:D,'02效果表'!E:E)&lt;0, _xlfn.XLOOKUP(AD389,'02效果表'!D:D,'02效果表'!E:E), 0)), 1)</f>
        <v>0</v>
      </c>
      <c r="G389" s="7">
        <f>ROUND(1/6*(I389*MAX(_xlfn.XLOOKUP(H389,'02效果表'!D:D,'02效果表'!E:E),0)+K389*MAX(_xlfn.XLOOKUP(J389,'02效果表'!D:D,'02效果表'!E:E),0)+M389*MAX(_xlfn.XLOOKUP(L389,'02效果表'!D:D,'02效果表'!E:E),0)+O389*MAX(_xlfn.XLOOKUP(N389,'02效果表'!D:D,'02效果表'!E:E),0)+Q389*MAX(_xlfn.XLOOKUP(P389,'02效果表'!D:D,'02效果表'!E:E),0)+S389*MAX(_xlfn.XLOOKUP(R389,'02效果表'!D:D,'02效果表'!E:E),0)+U389*MAX(_xlfn.XLOOKUP(T389,'02效果表'!D:D,'02效果表'!E:E),0)+W389*MAX(_xlfn.XLOOKUP(V389,'02效果表'!D:D,'02效果表'!E:E),0)+Y389*MAX(_xlfn.XLOOKUP(X389,'02效果表'!D:D,'02效果表'!E:E),0)+AA389*MAX(_xlfn.XLOOKUP(Z389,'02效果表'!D:D,'02效果表'!E:E),0)+AC389*MAX(_xlfn.XLOOKUP(AB389,'02效果表'!D:D,'02效果表'!E:E),0)+AE389*MAX(_xlfn.XLOOKUP(AD389,'02效果表'!D:D,'02效果表'!E:E),0)),1)</f>
        <v>0</v>
      </c>
      <c r="H389" s="6"/>
      <c r="I389" s="6"/>
      <c r="J389" s="6"/>
      <c r="K389" s="6"/>
      <c r="L389" s="6"/>
      <c r="M389" s="6"/>
      <c r="N389" s="6"/>
      <c r="O389" s="6"/>
      <c r="P389" s="6"/>
      <c r="Q389" s="6"/>
      <c r="R389" s="6"/>
      <c r="S389" s="6"/>
      <c r="T389" s="6"/>
      <c r="U389" s="6"/>
      <c r="V389" s="6"/>
      <c r="W389" s="6"/>
      <c r="X389" s="6"/>
      <c r="Y389" s="6"/>
      <c r="Z389" s="6"/>
      <c r="AA389" s="6"/>
      <c r="AB389" s="6"/>
      <c r="AC389" s="6"/>
      <c r="AD389" s="6"/>
      <c r="AE389" s="6"/>
    </row>
    <row r="390" spans="1:31" x14ac:dyDescent="0.35">
      <c r="A390" s="6">
        <v>390</v>
      </c>
      <c r="B390" s="6" t="s">
        <v>5</v>
      </c>
      <c r="C390" s="10" t="s">
        <v>17</v>
      </c>
      <c r="D390" s="9" t="s">
        <v>1581</v>
      </c>
      <c r="E390" s="7">
        <f t="shared" si="13"/>
        <v>0</v>
      </c>
      <c r="F390" s="7">
        <f>-1*ROUND(1/6*(I390*IF(_xlfn.XLOOKUP(H390,'02效果表'!D:D,'02效果表'!E:E)&lt;0, _xlfn.XLOOKUP(H390,'02效果表'!D:D,'02效果表'!E:E), 0) +
K390*IF(_xlfn.XLOOKUP(J390,'02效果表'!D:D,'02效果表'!E:E)&lt;0, _xlfn.XLOOKUP(J390,'02效果表'!D:D,'02效果表'!E:E), 0) +
M390*IF(_xlfn.XLOOKUP(L390,'02效果表'!D:D,'02效果表'!E:E)&lt;0, _xlfn.XLOOKUP(L390,'02效果表'!D:D,'02效果表'!E:E), 0) +
O390*IF(_xlfn.XLOOKUP(N390,'02效果表'!D:D,'02效果表'!E:E)&lt;0, _xlfn.XLOOKUP(N390,'02效果表'!D:D,'02效果表'!E:E), 0) +
Q390*IF(_xlfn.XLOOKUP(P390,'02效果表'!D:D,'02效果表'!E:E)&lt;0, _xlfn.XLOOKUP(P390,'02效果表'!D:D,'02效果表'!E:E), 0) +
S390*IF(_xlfn.XLOOKUP(R390,'02效果表'!D:D,'02效果表'!E:E)&lt;0, _xlfn.XLOOKUP(R390,'02效果表'!D:D,'02效果表'!E:E), 0) +
U390*IF(_xlfn.XLOOKUP(T390,'02效果表'!D:D,'02效果表'!E:E)&lt;0, _xlfn.XLOOKUP(T390,'02效果表'!D:D,'02效果表'!E:E), 0) +
W390*IF(_xlfn.XLOOKUP(V390,'02效果表'!D:D,'02效果表'!E:E)&lt;0, _xlfn.XLOOKUP(V390,'02效果表'!D:D,'02效果表'!E:E), 0) +
Y390*IF(_xlfn.XLOOKUP(X390,'02效果表'!D:D,'02效果表'!E:E)&lt;0, _xlfn.XLOOKUP(X390,'02效果表'!D:D,'02效果表'!E:E), 0) +
AA390*IF(_xlfn.XLOOKUP(Z390,'02效果表'!D:D,'02效果表'!E:E)&lt;0, _xlfn.XLOOKUP(Z390,'02效果表'!D:D,'02效果表'!E:E), 0) +
AC390*IF(_xlfn.XLOOKUP(AB390,'02效果表'!D:D,'02效果表'!E:E)&lt;0, _xlfn.XLOOKUP(AB390,'02效果表'!D:D,'02效果表'!E:E), 0) +
AE390*IF(_xlfn.XLOOKUP(AD390,'02效果表'!D:D,'02效果表'!E:E)&lt;0, _xlfn.XLOOKUP(AD390,'02效果表'!D:D,'02效果表'!E:E), 0)), 1)</f>
        <v>0</v>
      </c>
      <c r="G390" s="7">
        <f>ROUND(1/6*(I390*MAX(_xlfn.XLOOKUP(H390,'02效果表'!D:D,'02效果表'!E:E),0)+K390*MAX(_xlfn.XLOOKUP(J390,'02效果表'!D:D,'02效果表'!E:E),0)+M390*MAX(_xlfn.XLOOKUP(L390,'02效果表'!D:D,'02效果表'!E:E),0)+O390*MAX(_xlfn.XLOOKUP(N390,'02效果表'!D:D,'02效果表'!E:E),0)+Q390*MAX(_xlfn.XLOOKUP(P390,'02效果表'!D:D,'02效果表'!E:E),0)+S390*MAX(_xlfn.XLOOKUP(R390,'02效果表'!D:D,'02效果表'!E:E),0)+U390*MAX(_xlfn.XLOOKUP(T390,'02效果表'!D:D,'02效果表'!E:E),0)+W390*MAX(_xlfn.XLOOKUP(V390,'02效果表'!D:D,'02效果表'!E:E),0)+Y390*MAX(_xlfn.XLOOKUP(X390,'02效果表'!D:D,'02效果表'!E:E),0)+AA390*MAX(_xlfn.XLOOKUP(Z390,'02效果表'!D:D,'02效果表'!E:E),0)+AC390*MAX(_xlfn.XLOOKUP(AB390,'02效果表'!D:D,'02效果表'!E:E),0)+AE390*MAX(_xlfn.XLOOKUP(AD390,'02效果表'!D:D,'02效果表'!E:E),0)),1)</f>
        <v>0</v>
      </c>
      <c r="H390" s="6"/>
      <c r="I390" s="6"/>
      <c r="J390" s="6"/>
      <c r="K390" s="6"/>
      <c r="L390" s="6"/>
      <c r="M390" s="6"/>
      <c r="N390" s="6"/>
      <c r="O390" s="6"/>
      <c r="P390" s="6"/>
      <c r="Q390" s="6"/>
      <c r="R390" s="6"/>
      <c r="S390" s="6"/>
      <c r="T390" s="6"/>
      <c r="U390" s="6"/>
      <c r="V390" s="6"/>
      <c r="W390" s="6"/>
      <c r="X390" s="6"/>
      <c r="Y390" s="6"/>
      <c r="Z390" s="6"/>
      <c r="AA390" s="6"/>
      <c r="AB390" s="6"/>
      <c r="AC390" s="6"/>
      <c r="AD390" s="6"/>
      <c r="AE390" s="6"/>
    </row>
    <row r="391" spans="1:31" x14ac:dyDescent="0.35">
      <c r="A391" s="6">
        <v>391</v>
      </c>
      <c r="B391" s="6" t="s">
        <v>5</v>
      </c>
      <c r="C391" s="10" t="s">
        <v>17</v>
      </c>
      <c r="D391" s="9" t="s">
        <v>1582</v>
      </c>
      <c r="E391" s="7">
        <f t="shared" si="13"/>
        <v>0</v>
      </c>
      <c r="F391" s="7">
        <f>-1*ROUND(1/6*(I391*IF(_xlfn.XLOOKUP(H391,'02效果表'!D:D,'02效果表'!E:E)&lt;0, _xlfn.XLOOKUP(H391,'02效果表'!D:D,'02效果表'!E:E), 0) +
K391*IF(_xlfn.XLOOKUP(J391,'02效果表'!D:D,'02效果表'!E:E)&lt;0, _xlfn.XLOOKUP(J391,'02效果表'!D:D,'02效果表'!E:E), 0) +
M391*IF(_xlfn.XLOOKUP(L391,'02效果表'!D:D,'02效果表'!E:E)&lt;0, _xlfn.XLOOKUP(L391,'02效果表'!D:D,'02效果表'!E:E), 0) +
O391*IF(_xlfn.XLOOKUP(N391,'02效果表'!D:D,'02效果表'!E:E)&lt;0, _xlfn.XLOOKUP(N391,'02效果表'!D:D,'02效果表'!E:E), 0) +
Q391*IF(_xlfn.XLOOKUP(P391,'02效果表'!D:D,'02效果表'!E:E)&lt;0, _xlfn.XLOOKUP(P391,'02效果表'!D:D,'02效果表'!E:E), 0) +
S391*IF(_xlfn.XLOOKUP(R391,'02效果表'!D:D,'02效果表'!E:E)&lt;0, _xlfn.XLOOKUP(R391,'02效果表'!D:D,'02效果表'!E:E), 0) +
U391*IF(_xlfn.XLOOKUP(T391,'02效果表'!D:D,'02效果表'!E:E)&lt;0, _xlfn.XLOOKUP(T391,'02效果表'!D:D,'02效果表'!E:E), 0) +
W391*IF(_xlfn.XLOOKUP(V391,'02效果表'!D:D,'02效果表'!E:E)&lt;0, _xlfn.XLOOKUP(V391,'02效果表'!D:D,'02效果表'!E:E), 0) +
Y391*IF(_xlfn.XLOOKUP(X391,'02效果表'!D:D,'02效果表'!E:E)&lt;0, _xlfn.XLOOKUP(X391,'02效果表'!D:D,'02效果表'!E:E), 0) +
AA391*IF(_xlfn.XLOOKUP(Z391,'02效果表'!D:D,'02效果表'!E:E)&lt;0, _xlfn.XLOOKUP(Z391,'02效果表'!D:D,'02效果表'!E:E), 0) +
AC391*IF(_xlfn.XLOOKUP(AB391,'02效果表'!D:D,'02效果表'!E:E)&lt;0, _xlfn.XLOOKUP(AB391,'02效果表'!D:D,'02效果表'!E:E), 0) +
AE391*IF(_xlfn.XLOOKUP(AD391,'02效果表'!D:D,'02效果表'!E:E)&lt;0, _xlfn.XLOOKUP(AD391,'02效果表'!D:D,'02效果表'!E:E), 0)), 1)</f>
        <v>0</v>
      </c>
      <c r="G391" s="7">
        <f>ROUND(1/6*(I391*MAX(_xlfn.XLOOKUP(H391,'02效果表'!D:D,'02效果表'!E:E),0)+K391*MAX(_xlfn.XLOOKUP(J391,'02效果表'!D:D,'02效果表'!E:E),0)+M391*MAX(_xlfn.XLOOKUP(L391,'02效果表'!D:D,'02效果表'!E:E),0)+O391*MAX(_xlfn.XLOOKUP(N391,'02效果表'!D:D,'02效果表'!E:E),0)+Q391*MAX(_xlfn.XLOOKUP(P391,'02效果表'!D:D,'02效果表'!E:E),0)+S391*MAX(_xlfn.XLOOKUP(R391,'02效果表'!D:D,'02效果表'!E:E),0)+U391*MAX(_xlfn.XLOOKUP(T391,'02效果表'!D:D,'02效果表'!E:E),0)+W391*MAX(_xlfn.XLOOKUP(V391,'02效果表'!D:D,'02效果表'!E:E),0)+Y391*MAX(_xlfn.XLOOKUP(X391,'02效果表'!D:D,'02效果表'!E:E),0)+AA391*MAX(_xlfn.XLOOKUP(Z391,'02效果表'!D:D,'02效果表'!E:E),0)+AC391*MAX(_xlfn.XLOOKUP(AB391,'02效果表'!D:D,'02效果表'!E:E),0)+AE391*MAX(_xlfn.XLOOKUP(AD391,'02效果表'!D:D,'02效果表'!E:E),0)),1)</f>
        <v>0</v>
      </c>
      <c r="H391" s="6"/>
      <c r="I391" s="6"/>
      <c r="J391" s="6"/>
      <c r="K391" s="6"/>
      <c r="L391" s="6"/>
      <c r="M391" s="6"/>
      <c r="N391" s="6"/>
      <c r="O391" s="6"/>
      <c r="P391" s="6"/>
      <c r="Q391" s="6"/>
      <c r="R391" s="6"/>
      <c r="S391" s="6"/>
      <c r="T391" s="6"/>
      <c r="U391" s="6"/>
      <c r="V391" s="6"/>
      <c r="W391" s="6"/>
      <c r="X391" s="6"/>
      <c r="Y391" s="6"/>
      <c r="Z391" s="6"/>
      <c r="AA391" s="6"/>
      <c r="AB391" s="6"/>
      <c r="AC391" s="6"/>
      <c r="AD391" s="6"/>
      <c r="AE391" s="6"/>
    </row>
    <row r="392" spans="1:31" x14ac:dyDescent="0.35">
      <c r="A392" s="6">
        <v>392</v>
      </c>
      <c r="B392" s="6" t="s">
        <v>5</v>
      </c>
      <c r="C392" s="10" t="s">
        <v>17</v>
      </c>
      <c r="D392" s="9" t="s">
        <v>1583</v>
      </c>
      <c r="E392" s="7">
        <f t="shared" si="13"/>
        <v>0</v>
      </c>
      <c r="F392" s="7">
        <f>-1*ROUND(1/6*(I392*IF(_xlfn.XLOOKUP(H392,'02效果表'!D:D,'02效果表'!E:E)&lt;0, _xlfn.XLOOKUP(H392,'02效果表'!D:D,'02效果表'!E:E), 0) +
K392*IF(_xlfn.XLOOKUP(J392,'02效果表'!D:D,'02效果表'!E:E)&lt;0, _xlfn.XLOOKUP(J392,'02效果表'!D:D,'02效果表'!E:E), 0) +
M392*IF(_xlfn.XLOOKUP(L392,'02效果表'!D:D,'02效果表'!E:E)&lt;0, _xlfn.XLOOKUP(L392,'02效果表'!D:D,'02效果表'!E:E), 0) +
O392*IF(_xlfn.XLOOKUP(N392,'02效果表'!D:D,'02效果表'!E:E)&lt;0, _xlfn.XLOOKUP(N392,'02效果表'!D:D,'02效果表'!E:E), 0) +
Q392*IF(_xlfn.XLOOKUP(P392,'02效果表'!D:D,'02效果表'!E:E)&lt;0, _xlfn.XLOOKUP(P392,'02效果表'!D:D,'02效果表'!E:E), 0) +
S392*IF(_xlfn.XLOOKUP(R392,'02效果表'!D:D,'02效果表'!E:E)&lt;0, _xlfn.XLOOKUP(R392,'02效果表'!D:D,'02效果表'!E:E), 0) +
U392*IF(_xlfn.XLOOKUP(T392,'02效果表'!D:D,'02效果表'!E:E)&lt;0, _xlfn.XLOOKUP(T392,'02效果表'!D:D,'02效果表'!E:E), 0) +
W392*IF(_xlfn.XLOOKUP(V392,'02效果表'!D:D,'02效果表'!E:E)&lt;0, _xlfn.XLOOKUP(V392,'02效果表'!D:D,'02效果表'!E:E), 0) +
Y392*IF(_xlfn.XLOOKUP(X392,'02效果表'!D:D,'02效果表'!E:E)&lt;0, _xlfn.XLOOKUP(X392,'02效果表'!D:D,'02效果表'!E:E), 0) +
AA392*IF(_xlfn.XLOOKUP(Z392,'02效果表'!D:D,'02效果表'!E:E)&lt;0, _xlfn.XLOOKUP(Z392,'02效果表'!D:D,'02效果表'!E:E), 0) +
AC392*IF(_xlfn.XLOOKUP(AB392,'02效果表'!D:D,'02效果表'!E:E)&lt;0, _xlfn.XLOOKUP(AB392,'02效果表'!D:D,'02效果表'!E:E), 0) +
AE392*IF(_xlfn.XLOOKUP(AD392,'02效果表'!D:D,'02效果表'!E:E)&lt;0, _xlfn.XLOOKUP(AD392,'02效果表'!D:D,'02效果表'!E:E), 0)), 1)</f>
        <v>0</v>
      </c>
      <c r="G392" s="7">
        <f>ROUND(1/6*(I392*MAX(_xlfn.XLOOKUP(H392,'02效果表'!D:D,'02效果表'!E:E),0)+K392*MAX(_xlfn.XLOOKUP(J392,'02效果表'!D:D,'02效果表'!E:E),0)+M392*MAX(_xlfn.XLOOKUP(L392,'02效果表'!D:D,'02效果表'!E:E),0)+O392*MAX(_xlfn.XLOOKUP(N392,'02效果表'!D:D,'02效果表'!E:E),0)+Q392*MAX(_xlfn.XLOOKUP(P392,'02效果表'!D:D,'02效果表'!E:E),0)+S392*MAX(_xlfn.XLOOKUP(R392,'02效果表'!D:D,'02效果表'!E:E),0)+U392*MAX(_xlfn.XLOOKUP(T392,'02效果表'!D:D,'02效果表'!E:E),0)+W392*MAX(_xlfn.XLOOKUP(V392,'02效果表'!D:D,'02效果表'!E:E),0)+Y392*MAX(_xlfn.XLOOKUP(X392,'02效果表'!D:D,'02效果表'!E:E),0)+AA392*MAX(_xlfn.XLOOKUP(Z392,'02效果表'!D:D,'02效果表'!E:E),0)+AC392*MAX(_xlfn.XLOOKUP(AB392,'02效果表'!D:D,'02效果表'!E:E),0)+AE392*MAX(_xlfn.XLOOKUP(AD392,'02效果表'!D:D,'02效果表'!E:E),0)),1)</f>
        <v>0</v>
      </c>
      <c r="H392" s="6"/>
      <c r="I392" s="6"/>
      <c r="J392" s="6"/>
      <c r="K392" s="6"/>
      <c r="L392" s="6"/>
      <c r="M392" s="6"/>
      <c r="N392" s="6"/>
      <c r="O392" s="6"/>
      <c r="P392" s="6"/>
      <c r="Q392" s="6"/>
      <c r="R392" s="6"/>
      <c r="S392" s="6"/>
      <c r="T392" s="6"/>
      <c r="U392" s="6"/>
      <c r="V392" s="6"/>
      <c r="W392" s="6"/>
      <c r="X392" s="6"/>
      <c r="Y392" s="6"/>
      <c r="Z392" s="6"/>
      <c r="AA392" s="6"/>
      <c r="AB392" s="6"/>
      <c r="AC392" s="6"/>
      <c r="AD392" s="6"/>
      <c r="AE392" s="6"/>
    </row>
    <row r="393" spans="1:31" x14ac:dyDescent="0.35">
      <c r="A393" s="6">
        <v>393</v>
      </c>
      <c r="B393" s="6" t="s">
        <v>5</v>
      </c>
      <c r="C393" s="10" t="s">
        <v>17</v>
      </c>
      <c r="D393" s="9" t="s">
        <v>1584</v>
      </c>
      <c r="E393" s="7">
        <f t="shared" si="13"/>
        <v>0</v>
      </c>
      <c r="F393" s="7">
        <f>-1*ROUND(1/6*(I393*IF(_xlfn.XLOOKUP(H393,'02效果表'!D:D,'02效果表'!E:E)&lt;0, _xlfn.XLOOKUP(H393,'02效果表'!D:D,'02效果表'!E:E), 0) +
K393*IF(_xlfn.XLOOKUP(J393,'02效果表'!D:D,'02效果表'!E:E)&lt;0, _xlfn.XLOOKUP(J393,'02效果表'!D:D,'02效果表'!E:E), 0) +
M393*IF(_xlfn.XLOOKUP(L393,'02效果表'!D:D,'02效果表'!E:E)&lt;0, _xlfn.XLOOKUP(L393,'02效果表'!D:D,'02效果表'!E:E), 0) +
O393*IF(_xlfn.XLOOKUP(N393,'02效果表'!D:D,'02效果表'!E:E)&lt;0, _xlfn.XLOOKUP(N393,'02效果表'!D:D,'02效果表'!E:E), 0) +
Q393*IF(_xlfn.XLOOKUP(P393,'02效果表'!D:D,'02效果表'!E:E)&lt;0, _xlfn.XLOOKUP(P393,'02效果表'!D:D,'02效果表'!E:E), 0) +
S393*IF(_xlfn.XLOOKUP(R393,'02效果表'!D:D,'02效果表'!E:E)&lt;0, _xlfn.XLOOKUP(R393,'02效果表'!D:D,'02效果表'!E:E), 0) +
U393*IF(_xlfn.XLOOKUP(T393,'02效果表'!D:D,'02效果表'!E:E)&lt;0, _xlfn.XLOOKUP(T393,'02效果表'!D:D,'02效果表'!E:E), 0) +
W393*IF(_xlfn.XLOOKUP(V393,'02效果表'!D:D,'02效果表'!E:E)&lt;0, _xlfn.XLOOKUP(V393,'02效果表'!D:D,'02效果表'!E:E), 0) +
Y393*IF(_xlfn.XLOOKUP(X393,'02效果表'!D:D,'02效果表'!E:E)&lt;0, _xlfn.XLOOKUP(X393,'02效果表'!D:D,'02效果表'!E:E), 0) +
AA393*IF(_xlfn.XLOOKUP(Z393,'02效果表'!D:D,'02效果表'!E:E)&lt;0, _xlfn.XLOOKUP(Z393,'02效果表'!D:D,'02效果表'!E:E), 0) +
AC393*IF(_xlfn.XLOOKUP(AB393,'02效果表'!D:D,'02效果表'!E:E)&lt;0, _xlfn.XLOOKUP(AB393,'02效果表'!D:D,'02效果表'!E:E), 0) +
AE393*IF(_xlfn.XLOOKUP(AD393,'02效果表'!D:D,'02效果表'!E:E)&lt;0, _xlfn.XLOOKUP(AD393,'02效果表'!D:D,'02效果表'!E:E), 0)), 1)</f>
        <v>0</v>
      </c>
      <c r="G393" s="7">
        <f>ROUND(1/6*(I393*MAX(_xlfn.XLOOKUP(H393,'02效果表'!D:D,'02效果表'!E:E),0)+K393*MAX(_xlfn.XLOOKUP(J393,'02效果表'!D:D,'02效果表'!E:E),0)+M393*MAX(_xlfn.XLOOKUP(L393,'02效果表'!D:D,'02效果表'!E:E),0)+O393*MAX(_xlfn.XLOOKUP(N393,'02效果表'!D:D,'02效果表'!E:E),0)+Q393*MAX(_xlfn.XLOOKUP(P393,'02效果表'!D:D,'02效果表'!E:E),0)+S393*MAX(_xlfn.XLOOKUP(R393,'02效果表'!D:D,'02效果表'!E:E),0)+U393*MAX(_xlfn.XLOOKUP(T393,'02效果表'!D:D,'02效果表'!E:E),0)+W393*MAX(_xlfn.XLOOKUP(V393,'02效果表'!D:D,'02效果表'!E:E),0)+Y393*MAX(_xlfn.XLOOKUP(X393,'02效果表'!D:D,'02效果表'!E:E),0)+AA393*MAX(_xlfn.XLOOKUP(Z393,'02效果表'!D:D,'02效果表'!E:E),0)+AC393*MAX(_xlfn.XLOOKUP(AB393,'02效果表'!D:D,'02效果表'!E:E),0)+AE393*MAX(_xlfn.XLOOKUP(AD393,'02效果表'!D:D,'02效果表'!E:E),0)),1)</f>
        <v>0</v>
      </c>
      <c r="H393" s="6"/>
      <c r="I393" s="6"/>
      <c r="J393" s="6"/>
      <c r="K393" s="6"/>
      <c r="L393" s="6"/>
      <c r="M393" s="6"/>
      <c r="N393" s="6"/>
      <c r="O393" s="6"/>
      <c r="P393" s="6"/>
      <c r="Q393" s="6"/>
      <c r="R393" s="6"/>
      <c r="S393" s="6"/>
      <c r="T393" s="6"/>
      <c r="U393" s="6"/>
      <c r="V393" s="6"/>
      <c r="W393" s="6"/>
      <c r="X393" s="6"/>
      <c r="Y393" s="6"/>
      <c r="Z393" s="6"/>
      <c r="AA393" s="6"/>
      <c r="AB393" s="6"/>
      <c r="AC393" s="6"/>
      <c r="AD393" s="6"/>
      <c r="AE393" s="6"/>
    </row>
    <row r="394" spans="1:31" x14ac:dyDescent="0.35">
      <c r="A394" s="6">
        <v>394</v>
      </c>
      <c r="B394" s="6" t="s">
        <v>5</v>
      </c>
      <c r="C394" s="10" t="s">
        <v>17</v>
      </c>
      <c r="D394" s="9" t="s">
        <v>1585</v>
      </c>
      <c r="E394" s="7">
        <f t="shared" si="13"/>
        <v>0</v>
      </c>
      <c r="F394" s="7">
        <f>-1*ROUND(1/6*(I394*IF(_xlfn.XLOOKUP(H394,'02效果表'!D:D,'02效果表'!E:E)&lt;0, _xlfn.XLOOKUP(H394,'02效果表'!D:D,'02效果表'!E:E), 0) +
K394*IF(_xlfn.XLOOKUP(J394,'02效果表'!D:D,'02效果表'!E:E)&lt;0, _xlfn.XLOOKUP(J394,'02效果表'!D:D,'02效果表'!E:E), 0) +
M394*IF(_xlfn.XLOOKUP(L394,'02效果表'!D:D,'02效果表'!E:E)&lt;0, _xlfn.XLOOKUP(L394,'02效果表'!D:D,'02效果表'!E:E), 0) +
O394*IF(_xlfn.XLOOKUP(N394,'02效果表'!D:D,'02效果表'!E:E)&lt;0, _xlfn.XLOOKUP(N394,'02效果表'!D:D,'02效果表'!E:E), 0) +
Q394*IF(_xlfn.XLOOKUP(P394,'02效果表'!D:D,'02效果表'!E:E)&lt;0, _xlfn.XLOOKUP(P394,'02效果表'!D:D,'02效果表'!E:E), 0) +
S394*IF(_xlfn.XLOOKUP(R394,'02效果表'!D:D,'02效果表'!E:E)&lt;0, _xlfn.XLOOKUP(R394,'02效果表'!D:D,'02效果表'!E:E), 0) +
U394*IF(_xlfn.XLOOKUP(T394,'02效果表'!D:D,'02效果表'!E:E)&lt;0, _xlfn.XLOOKUP(T394,'02效果表'!D:D,'02效果表'!E:E), 0) +
W394*IF(_xlfn.XLOOKUP(V394,'02效果表'!D:D,'02效果表'!E:E)&lt;0, _xlfn.XLOOKUP(V394,'02效果表'!D:D,'02效果表'!E:E), 0) +
Y394*IF(_xlfn.XLOOKUP(X394,'02效果表'!D:D,'02效果表'!E:E)&lt;0, _xlfn.XLOOKUP(X394,'02效果表'!D:D,'02效果表'!E:E), 0) +
AA394*IF(_xlfn.XLOOKUP(Z394,'02效果表'!D:D,'02效果表'!E:E)&lt;0, _xlfn.XLOOKUP(Z394,'02效果表'!D:D,'02效果表'!E:E), 0) +
AC394*IF(_xlfn.XLOOKUP(AB394,'02效果表'!D:D,'02效果表'!E:E)&lt;0, _xlfn.XLOOKUP(AB394,'02效果表'!D:D,'02效果表'!E:E), 0) +
AE394*IF(_xlfn.XLOOKUP(AD394,'02效果表'!D:D,'02效果表'!E:E)&lt;0, _xlfn.XLOOKUP(AD394,'02效果表'!D:D,'02效果表'!E:E), 0)), 1)</f>
        <v>0</v>
      </c>
      <c r="G394" s="7">
        <f>ROUND(1/6*(I394*MAX(_xlfn.XLOOKUP(H394,'02效果表'!D:D,'02效果表'!E:E),0)+K394*MAX(_xlfn.XLOOKUP(J394,'02效果表'!D:D,'02效果表'!E:E),0)+M394*MAX(_xlfn.XLOOKUP(L394,'02效果表'!D:D,'02效果表'!E:E),0)+O394*MAX(_xlfn.XLOOKUP(N394,'02效果表'!D:D,'02效果表'!E:E),0)+Q394*MAX(_xlfn.XLOOKUP(P394,'02效果表'!D:D,'02效果表'!E:E),0)+S394*MAX(_xlfn.XLOOKUP(R394,'02效果表'!D:D,'02效果表'!E:E),0)+U394*MAX(_xlfn.XLOOKUP(T394,'02效果表'!D:D,'02效果表'!E:E),0)+W394*MAX(_xlfn.XLOOKUP(V394,'02效果表'!D:D,'02效果表'!E:E),0)+Y394*MAX(_xlfn.XLOOKUP(X394,'02效果表'!D:D,'02效果表'!E:E),0)+AA394*MAX(_xlfn.XLOOKUP(Z394,'02效果表'!D:D,'02效果表'!E:E),0)+AC394*MAX(_xlfn.XLOOKUP(AB394,'02效果表'!D:D,'02效果表'!E:E),0)+AE394*MAX(_xlfn.XLOOKUP(AD394,'02效果表'!D:D,'02效果表'!E:E),0)),1)</f>
        <v>0</v>
      </c>
      <c r="H394" s="6"/>
      <c r="I394" s="6"/>
      <c r="J394" s="6"/>
      <c r="K394" s="6"/>
      <c r="L394" s="6"/>
      <c r="M394" s="6"/>
      <c r="N394" s="6"/>
      <c r="O394" s="6"/>
      <c r="P394" s="6"/>
      <c r="Q394" s="6"/>
      <c r="R394" s="6"/>
      <c r="S394" s="6"/>
      <c r="T394" s="6"/>
      <c r="U394" s="6"/>
      <c r="V394" s="6"/>
      <c r="W394" s="6"/>
      <c r="X394" s="6"/>
      <c r="Y394" s="6"/>
      <c r="Z394" s="6"/>
      <c r="AA394" s="6"/>
      <c r="AB394" s="6"/>
      <c r="AC394" s="6"/>
      <c r="AD394" s="6"/>
      <c r="AE394" s="6"/>
    </row>
    <row r="395" spans="1:31" x14ac:dyDescent="0.35">
      <c r="A395" s="6">
        <v>395</v>
      </c>
      <c r="B395" s="6" t="s">
        <v>5</v>
      </c>
      <c r="C395" s="10" t="s">
        <v>17</v>
      </c>
      <c r="D395" s="9" t="s">
        <v>1586</v>
      </c>
      <c r="E395" s="7">
        <f t="shared" si="13"/>
        <v>0</v>
      </c>
      <c r="F395" s="7">
        <f>-1*ROUND(1/6*(I395*IF(_xlfn.XLOOKUP(H395,'02效果表'!D:D,'02效果表'!E:E)&lt;0, _xlfn.XLOOKUP(H395,'02效果表'!D:D,'02效果表'!E:E), 0) +
K395*IF(_xlfn.XLOOKUP(J395,'02效果表'!D:D,'02效果表'!E:E)&lt;0, _xlfn.XLOOKUP(J395,'02效果表'!D:D,'02效果表'!E:E), 0) +
M395*IF(_xlfn.XLOOKUP(L395,'02效果表'!D:D,'02效果表'!E:E)&lt;0, _xlfn.XLOOKUP(L395,'02效果表'!D:D,'02效果表'!E:E), 0) +
O395*IF(_xlfn.XLOOKUP(N395,'02效果表'!D:D,'02效果表'!E:E)&lt;0, _xlfn.XLOOKUP(N395,'02效果表'!D:D,'02效果表'!E:E), 0) +
Q395*IF(_xlfn.XLOOKUP(P395,'02效果表'!D:D,'02效果表'!E:E)&lt;0, _xlfn.XLOOKUP(P395,'02效果表'!D:D,'02效果表'!E:E), 0) +
S395*IF(_xlfn.XLOOKUP(R395,'02效果表'!D:D,'02效果表'!E:E)&lt;0, _xlfn.XLOOKUP(R395,'02效果表'!D:D,'02效果表'!E:E), 0) +
U395*IF(_xlfn.XLOOKUP(T395,'02效果表'!D:D,'02效果表'!E:E)&lt;0, _xlfn.XLOOKUP(T395,'02效果表'!D:D,'02效果表'!E:E), 0) +
W395*IF(_xlfn.XLOOKUP(V395,'02效果表'!D:D,'02效果表'!E:E)&lt;0, _xlfn.XLOOKUP(V395,'02效果表'!D:D,'02效果表'!E:E), 0) +
Y395*IF(_xlfn.XLOOKUP(X395,'02效果表'!D:D,'02效果表'!E:E)&lt;0, _xlfn.XLOOKUP(X395,'02效果表'!D:D,'02效果表'!E:E), 0) +
AA395*IF(_xlfn.XLOOKUP(Z395,'02效果表'!D:D,'02效果表'!E:E)&lt;0, _xlfn.XLOOKUP(Z395,'02效果表'!D:D,'02效果表'!E:E), 0) +
AC395*IF(_xlfn.XLOOKUP(AB395,'02效果表'!D:D,'02效果表'!E:E)&lt;0, _xlfn.XLOOKUP(AB395,'02效果表'!D:D,'02效果表'!E:E), 0) +
AE395*IF(_xlfn.XLOOKUP(AD395,'02效果表'!D:D,'02效果表'!E:E)&lt;0, _xlfn.XLOOKUP(AD395,'02效果表'!D:D,'02效果表'!E:E), 0)), 1)</f>
        <v>0</v>
      </c>
      <c r="G395" s="7">
        <f>ROUND(1/6*(I395*MAX(_xlfn.XLOOKUP(H395,'02效果表'!D:D,'02效果表'!E:E),0)+K395*MAX(_xlfn.XLOOKUP(J395,'02效果表'!D:D,'02效果表'!E:E),0)+M395*MAX(_xlfn.XLOOKUP(L395,'02效果表'!D:D,'02效果表'!E:E),0)+O395*MAX(_xlfn.XLOOKUP(N395,'02效果表'!D:D,'02效果表'!E:E),0)+Q395*MAX(_xlfn.XLOOKUP(P395,'02效果表'!D:D,'02效果表'!E:E),0)+S395*MAX(_xlfn.XLOOKUP(R395,'02效果表'!D:D,'02效果表'!E:E),0)+U395*MAX(_xlfn.XLOOKUP(T395,'02效果表'!D:D,'02效果表'!E:E),0)+W395*MAX(_xlfn.XLOOKUP(V395,'02效果表'!D:D,'02效果表'!E:E),0)+Y395*MAX(_xlfn.XLOOKUP(X395,'02效果表'!D:D,'02效果表'!E:E),0)+AA395*MAX(_xlfn.XLOOKUP(Z395,'02效果表'!D:D,'02效果表'!E:E),0)+AC395*MAX(_xlfn.XLOOKUP(AB395,'02效果表'!D:D,'02效果表'!E:E),0)+AE395*MAX(_xlfn.XLOOKUP(AD395,'02效果表'!D:D,'02效果表'!E:E),0)),1)</f>
        <v>0</v>
      </c>
      <c r="H395" s="6"/>
      <c r="I395" s="6"/>
      <c r="J395" s="6"/>
      <c r="K395" s="6"/>
      <c r="L395" s="6"/>
      <c r="M395" s="6"/>
      <c r="N395" s="6"/>
      <c r="O395" s="6"/>
      <c r="P395" s="6"/>
      <c r="Q395" s="6"/>
      <c r="R395" s="6"/>
      <c r="S395" s="6"/>
      <c r="T395" s="6"/>
      <c r="U395" s="6"/>
      <c r="V395" s="6"/>
      <c r="W395" s="6"/>
      <c r="X395" s="6"/>
      <c r="Y395" s="6"/>
      <c r="Z395" s="6"/>
      <c r="AA395" s="6"/>
      <c r="AB395" s="6"/>
      <c r="AC395" s="6"/>
      <c r="AD395" s="6"/>
      <c r="AE395" s="6"/>
    </row>
    <row r="396" spans="1:31" x14ac:dyDescent="0.35">
      <c r="A396" s="6">
        <v>396</v>
      </c>
      <c r="B396" s="6" t="s">
        <v>5</v>
      </c>
      <c r="C396" s="10" t="s">
        <v>17</v>
      </c>
      <c r="D396" s="9"/>
      <c r="E396" s="7">
        <f t="shared" si="13"/>
        <v>0</v>
      </c>
      <c r="F396" s="7">
        <f>-1*ROUND(1/6*(I396*IF(_xlfn.XLOOKUP(H396,'02效果表'!D:D,'02效果表'!E:E)&lt;0, _xlfn.XLOOKUP(H396,'02效果表'!D:D,'02效果表'!E:E), 0) +
K396*IF(_xlfn.XLOOKUP(J396,'02效果表'!D:D,'02效果表'!E:E)&lt;0, _xlfn.XLOOKUP(J396,'02效果表'!D:D,'02效果表'!E:E), 0) +
M396*IF(_xlfn.XLOOKUP(L396,'02效果表'!D:D,'02效果表'!E:E)&lt;0, _xlfn.XLOOKUP(L396,'02效果表'!D:D,'02效果表'!E:E), 0) +
O396*IF(_xlfn.XLOOKUP(N396,'02效果表'!D:D,'02效果表'!E:E)&lt;0, _xlfn.XLOOKUP(N396,'02效果表'!D:D,'02效果表'!E:E), 0) +
Q396*IF(_xlfn.XLOOKUP(P396,'02效果表'!D:D,'02效果表'!E:E)&lt;0, _xlfn.XLOOKUP(P396,'02效果表'!D:D,'02效果表'!E:E), 0) +
S396*IF(_xlfn.XLOOKUP(R396,'02效果表'!D:D,'02效果表'!E:E)&lt;0, _xlfn.XLOOKUP(R396,'02效果表'!D:D,'02效果表'!E:E), 0) +
U396*IF(_xlfn.XLOOKUP(T396,'02效果表'!D:D,'02效果表'!E:E)&lt;0, _xlfn.XLOOKUP(T396,'02效果表'!D:D,'02效果表'!E:E), 0) +
W396*IF(_xlfn.XLOOKUP(V396,'02效果表'!D:D,'02效果表'!E:E)&lt;0, _xlfn.XLOOKUP(V396,'02效果表'!D:D,'02效果表'!E:E), 0) +
Y396*IF(_xlfn.XLOOKUP(X396,'02效果表'!D:D,'02效果表'!E:E)&lt;0, _xlfn.XLOOKUP(X396,'02效果表'!D:D,'02效果表'!E:E), 0) +
AA396*IF(_xlfn.XLOOKUP(Z396,'02效果表'!D:D,'02效果表'!E:E)&lt;0, _xlfn.XLOOKUP(Z396,'02效果表'!D:D,'02效果表'!E:E), 0) +
AC396*IF(_xlfn.XLOOKUP(AB396,'02效果表'!D:D,'02效果表'!E:E)&lt;0, _xlfn.XLOOKUP(AB396,'02效果表'!D:D,'02效果表'!E:E), 0) +
AE396*IF(_xlfn.XLOOKUP(AD396,'02效果表'!D:D,'02效果表'!E:E)&lt;0, _xlfn.XLOOKUP(AD396,'02效果表'!D:D,'02效果表'!E:E), 0)), 1)</f>
        <v>0</v>
      </c>
      <c r="G396" s="7">
        <f>ROUND(1/6*(I396*MAX(_xlfn.XLOOKUP(H396,'02效果表'!D:D,'02效果表'!E:E),0)+K396*MAX(_xlfn.XLOOKUP(J396,'02效果表'!D:D,'02效果表'!E:E),0)+M396*MAX(_xlfn.XLOOKUP(L396,'02效果表'!D:D,'02效果表'!E:E),0)+O396*MAX(_xlfn.XLOOKUP(N396,'02效果表'!D:D,'02效果表'!E:E),0)+Q396*MAX(_xlfn.XLOOKUP(P396,'02效果表'!D:D,'02效果表'!E:E),0)+S396*MAX(_xlfn.XLOOKUP(R396,'02效果表'!D:D,'02效果表'!E:E),0)+U396*MAX(_xlfn.XLOOKUP(T396,'02效果表'!D:D,'02效果表'!E:E),0)+W396*MAX(_xlfn.XLOOKUP(V396,'02效果表'!D:D,'02效果表'!E:E),0)+Y396*MAX(_xlfn.XLOOKUP(X396,'02效果表'!D:D,'02效果表'!E:E),0)+AA396*MAX(_xlfn.XLOOKUP(Z396,'02效果表'!D:D,'02效果表'!E:E),0)+AC396*MAX(_xlfn.XLOOKUP(AB396,'02效果表'!D:D,'02效果表'!E:E),0)+AE396*MAX(_xlfn.XLOOKUP(AD396,'02效果表'!D:D,'02效果表'!E:E),0)),1)</f>
        <v>0</v>
      </c>
      <c r="H396" s="6"/>
      <c r="I396" s="6"/>
      <c r="J396" s="6"/>
      <c r="K396" s="6"/>
      <c r="L396" s="6"/>
      <c r="M396" s="6"/>
      <c r="N396" s="6"/>
      <c r="O396" s="6"/>
      <c r="P396" s="6"/>
      <c r="Q396" s="6"/>
      <c r="R396" s="6"/>
      <c r="S396" s="6"/>
      <c r="T396" s="6"/>
      <c r="U396" s="6"/>
      <c r="V396" s="6"/>
      <c r="W396" s="6"/>
      <c r="X396" s="6"/>
      <c r="Y396" s="6"/>
      <c r="Z396" s="6"/>
      <c r="AA396" s="6"/>
      <c r="AB396" s="6"/>
      <c r="AC396" s="6"/>
      <c r="AD396" s="6"/>
      <c r="AE396" s="6"/>
    </row>
    <row r="397" spans="1:31" x14ac:dyDescent="0.35">
      <c r="A397" s="6">
        <v>397</v>
      </c>
      <c r="B397" s="6" t="s">
        <v>5</v>
      </c>
      <c r="C397" s="10" t="s">
        <v>17</v>
      </c>
      <c r="D397" s="9"/>
      <c r="E397" s="7">
        <f t="shared" si="13"/>
        <v>0</v>
      </c>
      <c r="F397" s="7">
        <f>-1*ROUND(1/6*(I397*IF(_xlfn.XLOOKUP(H397,'02效果表'!D:D,'02效果表'!E:E)&lt;0, _xlfn.XLOOKUP(H397,'02效果表'!D:D,'02效果表'!E:E), 0) +
K397*IF(_xlfn.XLOOKUP(J397,'02效果表'!D:D,'02效果表'!E:E)&lt;0, _xlfn.XLOOKUP(J397,'02效果表'!D:D,'02效果表'!E:E), 0) +
M397*IF(_xlfn.XLOOKUP(L397,'02效果表'!D:D,'02效果表'!E:E)&lt;0, _xlfn.XLOOKUP(L397,'02效果表'!D:D,'02效果表'!E:E), 0) +
O397*IF(_xlfn.XLOOKUP(N397,'02效果表'!D:D,'02效果表'!E:E)&lt;0, _xlfn.XLOOKUP(N397,'02效果表'!D:D,'02效果表'!E:E), 0) +
Q397*IF(_xlfn.XLOOKUP(P397,'02效果表'!D:D,'02效果表'!E:E)&lt;0, _xlfn.XLOOKUP(P397,'02效果表'!D:D,'02效果表'!E:E), 0) +
S397*IF(_xlfn.XLOOKUP(R397,'02效果表'!D:D,'02效果表'!E:E)&lt;0, _xlfn.XLOOKUP(R397,'02效果表'!D:D,'02效果表'!E:E), 0) +
U397*IF(_xlfn.XLOOKUP(T397,'02效果表'!D:D,'02效果表'!E:E)&lt;0, _xlfn.XLOOKUP(T397,'02效果表'!D:D,'02效果表'!E:E), 0) +
W397*IF(_xlfn.XLOOKUP(V397,'02效果表'!D:D,'02效果表'!E:E)&lt;0, _xlfn.XLOOKUP(V397,'02效果表'!D:D,'02效果表'!E:E), 0) +
Y397*IF(_xlfn.XLOOKUP(X397,'02效果表'!D:D,'02效果表'!E:E)&lt;0, _xlfn.XLOOKUP(X397,'02效果表'!D:D,'02效果表'!E:E), 0) +
AA397*IF(_xlfn.XLOOKUP(Z397,'02效果表'!D:D,'02效果表'!E:E)&lt;0, _xlfn.XLOOKUP(Z397,'02效果表'!D:D,'02效果表'!E:E), 0) +
AC397*IF(_xlfn.XLOOKUP(AB397,'02效果表'!D:D,'02效果表'!E:E)&lt;0, _xlfn.XLOOKUP(AB397,'02效果表'!D:D,'02效果表'!E:E), 0) +
AE397*IF(_xlfn.XLOOKUP(AD397,'02效果表'!D:D,'02效果表'!E:E)&lt;0, _xlfn.XLOOKUP(AD397,'02效果表'!D:D,'02效果表'!E:E), 0)), 1)</f>
        <v>0</v>
      </c>
      <c r="G397" s="7">
        <f>ROUND(1/6*(I397*MAX(_xlfn.XLOOKUP(H397,'02效果表'!D:D,'02效果表'!E:E),0)+K397*MAX(_xlfn.XLOOKUP(J397,'02效果表'!D:D,'02效果表'!E:E),0)+M397*MAX(_xlfn.XLOOKUP(L397,'02效果表'!D:D,'02效果表'!E:E),0)+O397*MAX(_xlfn.XLOOKUP(N397,'02效果表'!D:D,'02效果表'!E:E),0)+Q397*MAX(_xlfn.XLOOKUP(P397,'02效果表'!D:D,'02效果表'!E:E),0)+S397*MAX(_xlfn.XLOOKUP(R397,'02效果表'!D:D,'02效果表'!E:E),0)+U397*MAX(_xlfn.XLOOKUP(T397,'02效果表'!D:D,'02效果表'!E:E),0)+W397*MAX(_xlfn.XLOOKUP(V397,'02效果表'!D:D,'02效果表'!E:E),0)+Y397*MAX(_xlfn.XLOOKUP(X397,'02效果表'!D:D,'02效果表'!E:E),0)+AA397*MAX(_xlfn.XLOOKUP(Z397,'02效果表'!D:D,'02效果表'!E:E),0)+AC397*MAX(_xlfn.XLOOKUP(AB397,'02效果表'!D:D,'02效果表'!E:E),0)+AE397*MAX(_xlfn.XLOOKUP(AD397,'02效果表'!D:D,'02效果表'!E:E),0)),1)</f>
        <v>0</v>
      </c>
      <c r="H397" s="6"/>
      <c r="I397" s="6"/>
      <c r="J397" s="6"/>
      <c r="K397" s="6"/>
      <c r="L397" s="6"/>
      <c r="M397" s="6"/>
      <c r="N397" s="6"/>
      <c r="O397" s="6"/>
      <c r="P397" s="6"/>
      <c r="Q397" s="6"/>
      <c r="R397" s="6"/>
      <c r="S397" s="6"/>
      <c r="T397" s="6"/>
      <c r="U397" s="6"/>
      <c r="V397" s="6"/>
      <c r="W397" s="6"/>
      <c r="X397" s="6"/>
      <c r="Y397" s="6"/>
      <c r="Z397" s="6"/>
      <c r="AA397" s="6"/>
      <c r="AB397" s="6"/>
      <c r="AC397" s="6"/>
      <c r="AD397" s="6"/>
      <c r="AE397" s="6"/>
    </row>
    <row r="398" spans="1:31" x14ac:dyDescent="0.35">
      <c r="A398" s="6">
        <v>398</v>
      </c>
      <c r="B398" s="6" t="s">
        <v>5</v>
      </c>
      <c r="C398" s="10" t="s">
        <v>17</v>
      </c>
      <c r="D398" s="9"/>
      <c r="E398" s="7">
        <f t="shared" si="13"/>
        <v>0</v>
      </c>
      <c r="F398" s="7">
        <f>-1*ROUND(1/6*(I398*IF(_xlfn.XLOOKUP(H398,'02效果表'!D:D,'02效果表'!E:E)&lt;0, _xlfn.XLOOKUP(H398,'02效果表'!D:D,'02效果表'!E:E), 0) +
K398*IF(_xlfn.XLOOKUP(J398,'02效果表'!D:D,'02效果表'!E:E)&lt;0, _xlfn.XLOOKUP(J398,'02效果表'!D:D,'02效果表'!E:E), 0) +
M398*IF(_xlfn.XLOOKUP(L398,'02效果表'!D:D,'02效果表'!E:E)&lt;0, _xlfn.XLOOKUP(L398,'02效果表'!D:D,'02效果表'!E:E), 0) +
O398*IF(_xlfn.XLOOKUP(N398,'02效果表'!D:D,'02效果表'!E:E)&lt;0, _xlfn.XLOOKUP(N398,'02效果表'!D:D,'02效果表'!E:E), 0) +
Q398*IF(_xlfn.XLOOKUP(P398,'02效果表'!D:D,'02效果表'!E:E)&lt;0, _xlfn.XLOOKUP(P398,'02效果表'!D:D,'02效果表'!E:E), 0) +
S398*IF(_xlfn.XLOOKUP(R398,'02效果表'!D:D,'02效果表'!E:E)&lt;0, _xlfn.XLOOKUP(R398,'02效果表'!D:D,'02效果表'!E:E), 0) +
U398*IF(_xlfn.XLOOKUP(T398,'02效果表'!D:D,'02效果表'!E:E)&lt;0, _xlfn.XLOOKUP(T398,'02效果表'!D:D,'02效果表'!E:E), 0) +
W398*IF(_xlfn.XLOOKUP(V398,'02效果表'!D:D,'02效果表'!E:E)&lt;0, _xlfn.XLOOKUP(V398,'02效果表'!D:D,'02效果表'!E:E), 0) +
Y398*IF(_xlfn.XLOOKUP(X398,'02效果表'!D:D,'02效果表'!E:E)&lt;0, _xlfn.XLOOKUP(X398,'02效果表'!D:D,'02效果表'!E:E), 0) +
AA398*IF(_xlfn.XLOOKUP(Z398,'02效果表'!D:D,'02效果表'!E:E)&lt;0, _xlfn.XLOOKUP(Z398,'02效果表'!D:D,'02效果表'!E:E), 0) +
AC398*IF(_xlfn.XLOOKUP(AB398,'02效果表'!D:D,'02效果表'!E:E)&lt;0, _xlfn.XLOOKUP(AB398,'02效果表'!D:D,'02效果表'!E:E), 0) +
AE398*IF(_xlfn.XLOOKUP(AD398,'02效果表'!D:D,'02效果表'!E:E)&lt;0, _xlfn.XLOOKUP(AD398,'02效果表'!D:D,'02效果表'!E:E), 0)), 1)</f>
        <v>0</v>
      </c>
      <c r="G398" s="7">
        <f>ROUND(1/6*(I398*MAX(_xlfn.XLOOKUP(H398,'02效果表'!D:D,'02效果表'!E:E),0)+K398*MAX(_xlfn.XLOOKUP(J398,'02效果表'!D:D,'02效果表'!E:E),0)+M398*MAX(_xlfn.XLOOKUP(L398,'02效果表'!D:D,'02效果表'!E:E),0)+O398*MAX(_xlfn.XLOOKUP(N398,'02效果表'!D:D,'02效果表'!E:E),0)+Q398*MAX(_xlfn.XLOOKUP(P398,'02效果表'!D:D,'02效果表'!E:E),0)+S398*MAX(_xlfn.XLOOKUP(R398,'02效果表'!D:D,'02效果表'!E:E),0)+U398*MAX(_xlfn.XLOOKUP(T398,'02效果表'!D:D,'02效果表'!E:E),0)+W398*MAX(_xlfn.XLOOKUP(V398,'02效果表'!D:D,'02效果表'!E:E),0)+Y398*MAX(_xlfn.XLOOKUP(X398,'02效果表'!D:D,'02效果表'!E:E),0)+AA398*MAX(_xlfn.XLOOKUP(Z398,'02效果表'!D:D,'02效果表'!E:E),0)+AC398*MAX(_xlfn.XLOOKUP(AB398,'02效果表'!D:D,'02效果表'!E:E),0)+AE398*MAX(_xlfn.XLOOKUP(AD398,'02效果表'!D:D,'02效果表'!E:E),0)),1)</f>
        <v>0</v>
      </c>
      <c r="H398" s="6"/>
      <c r="I398" s="6"/>
      <c r="J398" s="6"/>
      <c r="K398" s="6"/>
      <c r="L398" s="6"/>
      <c r="M398" s="6"/>
      <c r="N398" s="6"/>
      <c r="O398" s="6"/>
      <c r="P398" s="6"/>
      <c r="Q398" s="6"/>
      <c r="R398" s="6"/>
      <c r="S398" s="6"/>
      <c r="T398" s="6"/>
      <c r="U398" s="6"/>
      <c r="V398" s="6"/>
      <c r="W398" s="6"/>
      <c r="X398" s="6"/>
      <c r="Y398" s="6"/>
      <c r="Z398" s="6"/>
      <c r="AA398" s="6"/>
      <c r="AB398" s="6"/>
      <c r="AC398" s="6"/>
      <c r="AD398" s="6"/>
      <c r="AE398" s="6"/>
    </row>
    <row r="399" spans="1:31" x14ac:dyDescent="0.35">
      <c r="A399" s="6">
        <v>399</v>
      </c>
      <c r="B399" s="6" t="s">
        <v>6</v>
      </c>
      <c r="C399" s="10" t="s">
        <v>18</v>
      </c>
      <c r="D399" s="9" t="s">
        <v>1587</v>
      </c>
      <c r="E399" s="7">
        <f t="shared" si="13"/>
        <v>0</v>
      </c>
      <c r="F399" s="7">
        <f>-1*ROUND(1/6*(I399*IF(_xlfn.XLOOKUP(H399,'02效果表'!D:D,'02效果表'!E:E)&lt;0, _xlfn.XLOOKUP(H399,'02效果表'!D:D,'02效果表'!E:E), 0) +
K399*IF(_xlfn.XLOOKUP(J399,'02效果表'!D:D,'02效果表'!E:E)&lt;0, _xlfn.XLOOKUP(J399,'02效果表'!D:D,'02效果表'!E:E), 0) +
M399*IF(_xlfn.XLOOKUP(L399,'02效果表'!D:D,'02效果表'!E:E)&lt;0, _xlfn.XLOOKUP(L399,'02效果表'!D:D,'02效果表'!E:E), 0) +
O399*IF(_xlfn.XLOOKUP(N399,'02效果表'!D:D,'02效果表'!E:E)&lt;0, _xlfn.XLOOKUP(N399,'02效果表'!D:D,'02效果表'!E:E), 0) +
Q399*IF(_xlfn.XLOOKUP(P399,'02效果表'!D:D,'02效果表'!E:E)&lt;0, _xlfn.XLOOKUP(P399,'02效果表'!D:D,'02效果表'!E:E), 0) +
S399*IF(_xlfn.XLOOKUP(R399,'02效果表'!D:D,'02效果表'!E:E)&lt;0, _xlfn.XLOOKUP(R399,'02效果表'!D:D,'02效果表'!E:E), 0) +
U399*IF(_xlfn.XLOOKUP(T399,'02效果表'!D:D,'02效果表'!E:E)&lt;0, _xlfn.XLOOKUP(T399,'02效果表'!D:D,'02效果表'!E:E), 0) +
W399*IF(_xlfn.XLOOKUP(V399,'02效果表'!D:D,'02效果表'!E:E)&lt;0, _xlfn.XLOOKUP(V399,'02效果表'!D:D,'02效果表'!E:E), 0) +
Y399*IF(_xlfn.XLOOKUP(X399,'02效果表'!D:D,'02效果表'!E:E)&lt;0, _xlfn.XLOOKUP(X399,'02效果表'!D:D,'02效果表'!E:E), 0) +
AA399*IF(_xlfn.XLOOKUP(Z399,'02效果表'!D:D,'02效果表'!E:E)&lt;0, _xlfn.XLOOKUP(Z399,'02效果表'!D:D,'02效果表'!E:E), 0) +
AC399*IF(_xlfn.XLOOKUP(AB399,'02效果表'!D:D,'02效果表'!E:E)&lt;0, _xlfn.XLOOKUP(AB399,'02效果表'!D:D,'02效果表'!E:E), 0) +
AE399*IF(_xlfn.XLOOKUP(AD399,'02效果表'!D:D,'02效果表'!E:E)&lt;0, _xlfn.XLOOKUP(AD399,'02效果表'!D:D,'02效果表'!E:E), 0)), 1)</f>
        <v>0</v>
      </c>
      <c r="G399" s="7">
        <f>ROUND(1/6*(I399*MAX(_xlfn.XLOOKUP(H399,'02效果表'!D:D,'02效果表'!E:E),0)+K399*MAX(_xlfn.XLOOKUP(J399,'02效果表'!D:D,'02效果表'!E:E),0)+M399*MAX(_xlfn.XLOOKUP(L399,'02效果表'!D:D,'02效果表'!E:E),0)+O399*MAX(_xlfn.XLOOKUP(N399,'02效果表'!D:D,'02效果表'!E:E),0)+Q399*MAX(_xlfn.XLOOKUP(P399,'02效果表'!D:D,'02效果表'!E:E),0)+S399*MAX(_xlfn.XLOOKUP(R399,'02效果表'!D:D,'02效果表'!E:E),0)+U399*MAX(_xlfn.XLOOKUP(T399,'02效果表'!D:D,'02效果表'!E:E),0)+W399*MAX(_xlfn.XLOOKUP(V399,'02效果表'!D:D,'02效果表'!E:E),0)+Y399*MAX(_xlfn.XLOOKUP(X399,'02效果表'!D:D,'02效果表'!E:E),0)+AA399*MAX(_xlfn.XLOOKUP(Z399,'02效果表'!D:D,'02效果表'!E:E),0)+AC399*MAX(_xlfn.XLOOKUP(AB399,'02效果表'!D:D,'02效果表'!E:E),0)+AE399*MAX(_xlfn.XLOOKUP(AD399,'02效果表'!D:D,'02效果表'!E:E),0)),1)</f>
        <v>0</v>
      </c>
      <c r="H399" s="6"/>
      <c r="I399" s="6"/>
      <c r="J399" s="6"/>
      <c r="K399" s="6"/>
      <c r="L399" s="6"/>
      <c r="M399" s="6"/>
      <c r="N399" s="6"/>
      <c r="O399" s="6"/>
      <c r="P399" s="6"/>
      <c r="Q399" s="6"/>
      <c r="R399" s="6"/>
      <c r="S399" s="6"/>
      <c r="T399" s="6"/>
      <c r="U399" s="6"/>
      <c r="V399" s="6"/>
      <c r="W399" s="6"/>
      <c r="X399" s="6"/>
      <c r="Y399" s="6"/>
      <c r="Z399" s="6"/>
      <c r="AA399" s="6"/>
      <c r="AB399" s="6"/>
      <c r="AC399" s="6"/>
      <c r="AD399" s="6"/>
      <c r="AE399" s="6"/>
    </row>
    <row r="400" spans="1:31" x14ac:dyDescent="0.35">
      <c r="A400" s="6">
        <v>400</v>
      </c>
      <c r="B400" s="6" t="s">
        <v>6</v>
      </c>
      <c r="C400" s="10" t="s">
        <v>18</v>
      </c>
      <c r="D400" s="9" t="s">
        <v>1312</v>
      </c>
      <c r="E400" s="7">
        <f t="shared" si="13"/>
        <v>0</v>
      </c>
      <c r="F400" s="7">
        <f>-1*ROUND(1/6*(I400*IF(_xlfn.XLOOKUP(H400,'02效果表'!D:D,'02效果表'!E:E)&lt;0, _xlfn.XLOOKUP(H400,'02效果表'!D:D,'02效果表'!E:E), 0) +
K400*IF(_xlfn.XLOOKUP(J400,'02效果表'!D:D,'02效果表'!E:E)&lt;0, _xlfn.XLOOKUP(J400,'02效果表'!D:D,'02效果表'!E:E), 0) +
M400*IF(_xlfn.XLOOKUP(L400,'02效果表'!D:D,'02效果表'!E:E)&lt;0, _xlfn.XLOOKUP(L400,'02效果表'!D:D,'02效果表'!E:E), 0) +
O400*IF(_xlfn.XLOOKUP(N400,'02效果表'!D:D,'02效果表'!E:E)&lt;0, _xlfn.XLOOKUP(N400,'02效果表'!D:D,'02效果表'!E:E), 0) +
Q400*IF(_xlfn.XLOOKUP(P400,'02效果表'!D:D,'02效果表'!E:E)&lt;0, _xlfn.XLOOKUP(P400,'02效果表'!D:D,'02效果表'!E:E), 0) +
S400*IF(_xlfn.XLOOKUP(R400,'02效果表'!D:D,'02效果表'!E:E)&lt;0, _xlfn.XLOOKUP(R400,'02效果表'!D:D,'02效果表'!E:E), 0) +
U400*IF(_xlfn.XLOOKUP(T400,'02效果表'!D:D,'02效果表'!E:E)&lt;0, _xlfn.XLOOKUP(T400,'02效果表'!D:D,'02效果表'!E:E), 0) +
W400*IF(_xlfn.XLOOKUP(V400,'02效果表'!D:D,'02效果表'!E:E)&lt;0, _xlfn.XLOOKUP(V400,'02效果表'!D:D,'02效果表'!E:E), 0) +
Y400*IF(_xlfn.XLOOKUP(X400,'02效果表'!D:D,'02效果表'!E:E)&lt;0, _xlfn.XLOOKUP(X400,'02效果表'!D:D,'02效果表'!E:E), 0) +
AA400*IF(_xlfn.XLOOKUP(Z400,'02效果表'!D:D,'02效果表'!E:E)&lt;0, _xlfn.XLOOKUP(Z400,'02效果表'!D:D,'02效果表'!E:E), 0) +
AC400*IF(_xlfn.XLOOKUP(AB400,'02效果表'!D:D,'02效果表'!E:E)&lt;0, _xlfn.XLOOKUP(AB400,'02效果表'!D:D,'02效果表'!E:E), 0) +
AE400*IF(_xlfn.XLOOKUP(AD400,'02效果表'!D:D,'02效果表'!E:E)&lt;0, _xlfn.XLOOKUP(AD400,'02效果表'!D:D,'02效果表'!E:E), 0)), 1)</f>
        <v>0</v>
      </c>
      <c r="G400" s="7">
        <f>ROUND(1/6*(I400*MAX(_xlfn.XLOOKUP(H400,'02效果表'!D:D,'02效果表'!E:E),0)+K400*MAX(_xlfn.XLOOKUP(J400,'02效果表'!D:D,'02效果表'!E:E),0)+M400*MAX(_xlfn.XLOOKUP(L400,'02效果表'!D:D,'02效果表'!E:E),0)+O400*MAX(_xlfn.XLOOKUP(N400,'02效果表'!D:D,'02效果表'!E:E),0)+Q400*MAX(_xlfn.XLOOKUP(P400,'02效果表'!D:D,'02效果表'!E:E),0)+S400*MAX(_xlfn.XLOOKUP(R400,'02效果表'!D:D,'02效果表'!E:E),0)+U400*MAX(_xlfn.XLOOKUP(T400,'02效果表'!D:D,'02效果表'!E:E),0)+W400*MAX(_xlfn.XLOOKUP(V400,'02效果表'!D:D,'02效果表'!E:E),0)+Y400*MAX(_xlfn.XLOOKUP(X400,'02效果表'!D:D,'02效果表'!E:E),0)+AA400*MAX(_xlfn.XLOOKUP(Z400,'02效果表'!D:D,'02效果表'!E:E),0)+AC400*MAX(_xlfn.XLOOKUP(AB400,'02效果表'!D:D,'02效果表'!E:E),0)+AE400*MAX(_xlfn.XLOOKUP(AD400,'02效果表'!D:D,'02效果表'!E:E),0)),1)</f>
        <v>0</v>
      </c>
      <c r="H400" s="6"/>
      <c r="I400" s="6"/>
      <c r="J400" s="6"/>
      <c r="K400" s="6"/>
      <c r="L400" s="6"/>
      <c r="M400" s="6"/>
      <c r="N400" s="6"/>
      <c r="O400" s="6"/>
      <c r="P400" s="6"/>
      <c r="Q400" s="6"/>
      <c r="R400" s="6"/>
      <c r="S400" s="6"/>
      <c r="T400" s="6"/>
      <c r="U400" s="6"/>
      <c r="V400" s="6"/>
      <c r="W400" s="6"/>
      <c r="X400" s="6"/>
      <c r="Y400" s="6"/>
      <c r="Z400" s="6"/>
      <c r="AA400" s="6"/>
      <c r="AB400" s="6"/>
      <c r="AC400" s="6"/>
      <c r="AD400" s="6"/>
      <c r="AE400" s="6"/>
    </row>
    <row r="401" spans="1:31" x14ac:dyDescent="0.35">
      <c r="A401" s="6">
        <v>401</v>
      </c>
      <c r="B401" s="6" t="s">
        <v>6</v>
      </c>
      <c r="C401" s="10" t="s">
        <v>18</v>
      </c>
      <c r="D401" s="9" t="s">
        <v>1314</v>
      </c>
      <c r="E401" s="7">
        <f t="shared" si="13"/>
        <v>0</v>
      </c>
      <c r="F401" s="7">
        <f>-1*ROUND(1/6*(I401*IF(_xlfn.XLOOKUP(H401,'02效果表'!D:D,'02效果表'!E:E)&lt;0, _xlfn.XLOOKUP(H401,'02效果表'!D:D,'02效果表'!E:E), 0) +
K401*IF(_xlfn.XLOOKUP(J401,'02效果表'!D:D,'02效果表'!E:E)&lt;0, _xlfn.XLOOKUP(J401,'02效果表'!D:D,'02效果表'!E:E), 0) +
M401*IF(_xlfn.XLOOKUP(L401,'02效果表'!D:D,'02效果表'!E:E)&lt;0, _xlfn.XLOOKUP(L401,'02效果表'!D:D,'02效果表'!E:E), 0) +
O401*IF(_xlfn.XLOOKUP(N401,'02效果表'!D:D,'02效果表'!E:E)&lt;0, _xlfn.XLOOKUP(N401,'02效果表'!D:D,'02效果表'!E:E), 0) +
Q401*IF(_xlfn.XLOOKUP(P401,'02效果表'!D:D,'02效果表'!E:E)&lt;0, _xlfn.XLOOKUP(P401,'02效果表'!D:D,'02效果表'!E:E), 0) +
S401*IF(_xlfn.XLOOKUP(R401,'02效果表'!D:D,'02效果表'!E:E)&lt;0, _xlfn.XLOOKUP(R401,'02效果表'!D:D,'02效果表'!E:E), 0) +
U401*IF(_xlfn.XLOOKUP(T401,'02效果表'!D:D,'02效果表'!E:E)&lt;0, _xlfn.XLOOKUP(T401,'02效果表'!D:D,'02效果表'!E:E), 0) +
W401*IF(_xlfn.XLOOKUP(V401,'02效果表'!D:D,'02效果表'!E:E)&lt;0, _xlfn.XLOOKUP(V401,'02效果表'!D:D,'02效果表'!E:E), 0) +
Y401*IF(_xlfn.XLOOKUP(X401,'02效果表'!D:D,'02效果表'!E:E)&lt;0, _xlfn.XLOOKUP(X401,'02效果表'!D:D,'02效果表'!E:E), 0) +
AA401*IF(_xlfn.XLOOKUP(Z401,'02效果表'!D:D,'02效果表'!E:E)&lt;0, _xlfn.XLOOKUP(Z401,'02效果表'!D:D,'02效果表'!E:E), 0) +
AC401*IF(_xlfn.XLOOKUP(AB401,'02效果表'!D:D,'02效果表'!E:E)&lt;0, _xlfn.XLOOKUP(AB401,'02效果表'!D:D,'02效果表'!E:E), 0) +
AE401*IF(_xlfn.XLOOKUP(AD401,'02效果表'!D:D,'02效果表'!E:E)&lt;0, _xlfn.XLOOKUP(AD401,'02效果表'!D:D,'02效果表'!E:E), 0)), 1)</f>
        <v>0</v>
      </c>
      <c r="G401" s="7">
        <f>ROUND(1/6*(I401*MAX(_xlfn.XLOOKUP(H401,'02效果表'!D:D,'02效果表'!E:E),0)+K401*MAX(_xlfn.XLOOKUP(J401,'02效果表'!D:D,'02效果表'!E:E),0)+M401*MAX(_xlfn.XLOOKUP(L401,'02效果表'!D:D,'02效果表'!E:E),0)+O401*MAX(_xlfn.XLOOKUP(N401,'02效果表'!D:D,'02效果表'!E:E),0)+Q401*MAX(_xlfn.XLOOKUP(P401,'02效果表'!D:D,'02效果表'!E:E),0)+S401*MAX(_xlfn.XLOOKUP(R401,'02效果表'!D:D,'02效果表'!E:E),0)+U401*MAX(_xlfn.XLOOKUP(T401,'02效果表'!D:D,'02效果表'!E:E),0)+W401*MAX(_xlfn.XLOOKUP(V401,'02效果表'!D:D,'02效果表'!E:E),0)+Y401*MAX(_xlfn.XLOOKUP(X401,'02效果表'!D:D,'02效果表'!E:E),0)+AA401*MAX(_xlfn.XLOOKUP(Z401,'02效果表'!D:D,'02效果表'!E:E),0)+AC401*MAX(_xlfn.XLOOKUP(AB401,'02效果表'!D:D,'02效果表'!E:E),0)+AE401*MAX(_xlfn.XLOOKUP(AD401,'02效果表'!D:D,'02效果表'!E:E),0)),1)</f>
        <v>0</v>
      </c>
      <c r="H401" s="6"/>
      <c r="I401" s="6"/>
      <c r="J401" s="6"/>
      <c r="K401" s="6"/>
      <c r="L401" s="6"/>
      <c r="M401" s="6"/>
      <c r="N401" s="6"/>
      <c r="O401" s="6"/>
      <c r="P401" s="6"/>
      <c r="Q401" s="6"/>
      <c r="R401" s="6"/>
      <c r="S401" s="6"/>
      <c r="T401" s="6"/>
      <c r="U401" s="6"/>
      <c r="V401" s="6"/>
      <c r="W401" s="6"/>
      <c r="X401" s="6"/>
      <c r="Y401" s="6"/>
      <c r="Z401" s="6"/>
      <c r="AA401" s="6"/>
      <c r="AB401" s="6"/>
      <c r="AC401" s="6"/>
      <c r="AD401" s="6"/>
      <c r="AE401" s="6"/>
    </row>
    <row r="402" spans="1:31" x14ac:dyDescent="0.35">
      <c r="A402" s="6">
        <v>402</v>
      </c>
      <c r="B402" s="6" t="s">
        <v>6</v>
      </c>
      <c r="C402" s="10" t="s">
        <v>1</v>
      </c>
      <c r="D402" s="9" t="s">
        <v>1588</v>
      </c>
      <c r="E402" s="7">
        <f t="shared" si="13"/>
        <v>0</v>
      </c>
      <c r="F402" s="7">
        <f>-1*ROUND(1/6*(I402*IF(_xlfn.XLOOKUP(H402,'02效果表'!D:D,'02效果表'!E:E)&lt;0, _xlfn.XLOOKUP(H402,'02效果表'!D:D,'02效果表'!E:E), 0) +
K402*IF(_xlfn.XLOOKUP(J402,'02效果表'!D:D,'02效果表'!E:E)&lt;0, _xlfn.XLOOKUP(J402,'02效果表'!D:D,'02效果表'!E:E), 0) +
M402*IF(_xlfn.XLOOKUP(L402,'02效果表'!D:D,'02效果表'!E:E)&lt;0, _xlfn.XLOOKUP(L402,'02效果表'!D:D,'02效果表'!E:E), 0) +
O402*IF(_xlfn.XLOOKUP(N402,'02效果表'!D:D,'02效果表'!E:E)&lt;0, _xlfn.XLOOKUP(N402,'02效果表'!D:D,'02效果表'!E:E), 0) +
Q402*IF(_xlfn.XLOOKUP(P402,'02效果表'!D:D,'02效果表'!E:E)&lt;0, _xlfn.XLOOKUP(P402,'02效果表'!D:D,'02效果表'!E:E), 0) +
S402*IF(_xlfn.XLOOKUP(R402,'02效果表'!D:D,'02效果表'!E:E)&lt;0, _xlfn.XLOOKUP(R402,'02效果表'!D:D,'02效果表'!E:E), 0) +
U402*IF(_xlfn.XLOOKUP(T402,'02效果表'!D:D,'02效果表'!E:E)&lt;0, _xlfn.XLOOKUP(T402,'02效果表'!D:D,'02效果表'!E:E), 0) +
W402*IF(_xlfn.XLOOKUP(V402,'02效果表'!D:D,'02效果表'!E:E)&lt;0, _xlfn.XLOOKUP(V402,'02效果表'!D:D,'02效果表'!E:E), 0) +
Y402*IF(_xlfn.XLOOKUP(X402,'02效果表'!D:D,'02效果表'!E:E)&lt;0, _xlfn.XLOOKUP(X402,'02效果表'!D:D,'02效果表'!E:E), 0) +
AA402*IF(_xlfn.XLOOKUP(Z402,'02效果表'!D:D,'02效果表'!E:E)&lt;0, _xlfn.XLOOKUP(Z402,'02效果表'!D:D,'02效果表'!E:E), 0) +
AC402*IF(_xlfn.XLOOKUP(AB402,'02效果表'!D:D,'02效果表'!E:E)&lt;0, _xlfn.XLOOKUP(AB402,'02效果表'!D:D,'02效果表'!E:E), 0) +
AE402*IF(_xlfn.XLOOKUP(AD402,'02效果表'!D:D,'02效果表'!E:E)&lt;0, _xlfn.XLOOKUP(AD402,'02效果表'!D:D,'02效果表'!E:E), 0)), 1)</f>
        <v>0</v>
      </c>
      <c r="G402" s="7">
        <f>ROUND(1/6*(I402*MAX(_xlfn.XLOOKUP(H402,'02效果表'!D:D,'02效果表'!E:E),0)+K402*MAX(_xlfn.XLOOKUP(J402,'02效果表'!D:D,'02效果表'!E:E),0)+M402*MAX(_xlfn.XLOOKUP(L402,'02效果表'!D:D,'02效果表'!E:E),0)+O402*MAX(_xlfn.XLOOKUP(N402,'02效果表'!D:D,'02效果表'!E:E),0)+Q402*MAX(_xlfn.XLOOKUP(P402,'02效果表'!D:D,'02效果表'!E:E),0)+S402*MAX(_xlfn.XLOOKUP(R402,'02效果表'!D:D,'02效果表'!E:E),0)+U402*MAX(_xlfn.XLOOKUP(T402,'02效果表'!D:D,'02效果表'!E:E),0)+W402*MAX(_xlfn.XLOOKUP(V402,'02效果表'!D:D,'02效果表'!E:E),0)+Y402*MAX(_xlfn.XLOOKUP(X402,'02效果表'!D:D,'02效果表'!E:E),0)+AA402*MAX(_xlfn.XLOOKUP(Z402,'02效果表'!D:D,'02效果表'!E:E),0)+AC402*MAX(_xlfn.XLOOKUP(AB402,'02效果表'!D:D,'02效果表'!E:E),0)+AE402*MAX(_xlfn.XLOOKUP(AD402,'02效果表'!D:D,'02效果表'!E:E),0)),1)</f>
        <v>0</v>
      </c>
      <c r="H402" s="6"/>
      <c r="I402" s="6"/>
      <c r="J402" s="6"/>
      <c r="K402" s="6"/>
      <c r="L402" s="6"/>
      <c r="M402" s="6"/>
      <c r="N402" s="6"/>
      <c r="O402" s="6"/>
      <c r="P402" s="6"/>
      <c r="Q402" s="6"/>
      <c r="R402" s="6"/>
      <c r="S402" s="6"/>
      <c r="T402" s="6"/>
      <c r="U402" s="6"/>
      <c r="V402" s="6"/>
      <c r="W402" s="6"/>
      <c r="X402" s="6"/>
      <c r="Y402" s="6"/>
      <c r="Z402" s="6"/>
      <c r="AA402" s="6"/>
      <c r="AB402" s="6"/>
      <c r="AC402" s="6"/>
      <c r="AD402" s="6"/>
      <c r="AE402" s="6"/>
    </row>
    <row r="403" spans="1:31" x14ac:dyDescent="0.35">
      <c r="A403" s="6">
        <v>403</v>
      </c>
      <c r="B403" s="6" t="s">
        <v>6</v>
      </c>
      <c r="C403" s="10" t="s">
        <v>1</v>
      </c>
      <c r="D403" s="9" t="s">
        <v>1589</v>
      </c>
      <c r="E403" s="7">
        <f t="shared" si="13"/>
        <v>0</v>
      </c>
      <c r="F403" s="7">
        <f>-1*ROUND(1/6*(I403*IF(_xlfn.XLOOKUP(H403,'02效果表'!D:D,'02效果表'!E:E)&lt;0, _xlfn.XLOOKUP(H403,'02效果表'!D:D,'02效果表'!E:E), 0) +
K403*IF(_xlfn.XLOOKUP(J403,'02效果表'!D:D,'02效果表'!E:E)&lt;0, _xlfn.XLOOKUP(J403,'02效果表'!D:D,'02效果表'!E:E), 0) +
M403*IF(_xlfn.XLOOKUP(L403,'02效果表'!D:D,'02效果表'!E:E)&lt;0, _xlfn.XLOOKUP(L403,'02效果表'!D:D,'02效果表'!E:E), 0) +
O403*IF(_xlfn.XLOOKUP(N403,'02效果表'!D:D,'02效果表'!E:E)&lt;0, _xlfn.XLOOKUP(N403,'02效果表'!D:D,'02效果表'!E:E), 0) +
Q403*IF(_xlfn.XLOOKUP(P403,'02效果表'!D:D,'02效果表'!E:E)&lt;0, _xlfn.XLOOKUP(P403,'02效果表'!D:D,'02效果表'!E:E), 0) +
S403*IF(_xlfn.XLOOKUP(R403,'02效果表'!D:D,'02效果表'!E:E)&lt;0, _xlfn.XLOOKUP(R403,'02效果表'!D:D,'02效果表'!E:E), 0) +
U403*IF(_xlfn.XLOOKUP(T403,'02效果表'!D:D,'02效果表'!E:E)&lt;0, _xlfn.XLOOKUP(T403,'02效果表'!D:D,'02效果表'!E:E), 0) +
W403*IF(_xlfn.XLOOKUP(V403,'02效果表'!D:D,'02效果表'!E:E)&lt;0, _xlfn.XLOOKUP(V403,'02效果表'!D:D,'02效果表'!E:E), 0) +
Y403*IF(_xlfn.XLOOKUP(X403,'02效果表'!D:D,'02效果表'!E:E)&lt;0, _xlfn.XLOOKUP(X403,'02效果表'!D:D,'02效果表'!E:E), 0) +
AA403*IF(_xlfn.XLOOKUP(Z403,'02效果表'!D:D,'02效果表'!E:E)&lt;0, _xlfn.XLOOKUP(Z403,'02效果表'!D:D,'02效果表'!E:E), 0) +
AC403*IF(_xlfn.XLOOKUP(AB403,'02效果表'!D:D,'02效果表'!E:E)&lt;0, _xlfn.XLOOKUP(AB403,'02效果表'!D:D,'02效果表'!E:E), 0) +
AE403*IF(_xlfn.XLOOKUP(AD403,'02效果表'!D:D,'02效果表'!E:E)&lt;0, _xlfn.XLOOKUP(AD403,'02效果表'!D:D,'02效果表'!E:E), 0)), 1)</f>
        <v>0</v>
      </c>
      <c r="G403" s="7">
        <f>ROUND(1/6*(I403*MAX(_xlfn.XLOOKUP(H403,'02效果表'!D:D,'02效果表'!E:E),0)+K403*MAX(_xlfn.XLOOKUP(J403,'02效果表'!D:D,'02效果表'!E:E),0)+M403*MAX(_xlfn.XLOOKUP(L403,'02效果表'!D:D,'02效果表'!E:E),0)+O403*MAX(_xlfn.XLOOKUP(N403,'02效果表'!D:D,'02效果表'!E:E),0)+Q403*MAX(_xlfn.XLOOKUP(P403,'02效果表'!D:D,'02效果表'!E:E),0)+S403*MAX(_xlfn.XLOOKUP(R403,'02效果表'!D:D,'02效果表'!E:E),0)+U403*MAX(_xlfn.XLOOKUP(T403,'02效果表'!D:D,'02效果表'!E:E),0)+W403*MAX(_xlfn.XLOOKUP(V403,'02效果表'!D:D,'02效果表'!E:E),0)+Y403*MAX(_xlfn.XLOOKUP(X403,'02效果表'!D:D,'02效果表'!E:E),0)+AA403*MAX(_xlfn.XLOOKUP(Z403,'02效果表'!D:D,'02效果表'!E:E),0)+AC403*MAX(_xlfn.XLOOKUP(AB403,'02效果表'!D:D,'02效果表'!E:E),0)+AE403*MAX(_xlfn.XLOOKUP(AD403,'02效果表'!D:D,'02效果表'!E:E),0)),1)</f>
        <v>0</v>
      </c>
      <c r="H403" s="6"/>
      <c r="I403" s="6"/>
      <c r="J403" s="6"/>
      <c r="K403" s="6"/>
      <c r="L403" s="6"/>
      <c r="M403" s="6"/>
      <c r="N403" s="6"/>
      <c r="O403" s="6"/>
      <c r="P403" s="6"/>
      <c r="Q403" s="6"/>
      <c r="R403" s="6"/>
      <c r="S403" s="6"/>
      <c r="T403" s="6"/>
      <c r="U403" s="6"/>
      <c r="V403" s="6"/>
      <c r="W403" s="6"/>
      <c r="X403" s="6"/>
      <c r="Y403" s="6"/>
      <c r="Z403" s="6"/>
      <c r="AA403" s="6"/>
      <c r="AB403" s="6"/>
      <c r="AC403" s="6"/>
      <c r="AD403" s="6"/>
      <c r="AE403" s="6"/>
    </row>
    <row r="404" spans="1:31" x14ac:dyDescent="0.35">
      <c r="A404" s="6">
        <v>404</v>
      </c>
      <c r="B404" s="6" t="s">
        <v>6</v>
      </c>
      <c r="C404" s="10" t="s">
        <v>1</v>
      </c>
      <c r="D404" s="9" t="s">
        <v>1590</v>
      </c>
      <c r="E404" s="7">
        <f t="shared" si="13"/>
        <v>0</v>
      </c>
      <c r="F404" s="7">
        <f>-1*ROUND(1/6*(I404*IF(_xlfn.XLOOKUP(H404,'02效果表'!D:D,'02效果表'!E:E)&lt;0, _xlfn.XLOOKUP(H404,'02效果表'!D:D,'02效果表'!E:E), 0) +
K404*IF(_xlfn.XLOOKUP(J404,'02效果表'!D:D,'02效果表'!E:E)&lt;0, _xlfn.XLOOKUP(J404,'02效果表'!D:D,'02效果表'!E:E), 0) +
M404*IF(_xlfn.XLOOKUP(L404,'02效果表'!D:D,'02效果表'!E:E)&lt;0, _xlfn.XLOOKUP(L404,'02效果表'!D:D,'02效果表'!E:E), 0) +
O404*IF(_xlfn.XLOOKUP(N404,'02效果表'!D:D,'02效果表'!E:E)&lt;0, _xlfn.XLOOKUP(N404,'02效果表'!D:D,'02效果表'!E:E), 0) +
Q404*IF(_xlfn.XLOOKUP(P404,'02效果表'!D:D,'02效果表'!E:E)&lt;0, _xlfn.XLOOKUP(P404,'02效果表'!D:D,'02效果表'!E:E), 0) +
S404*IF(_xlfn.XLOOKUP(R404,'02效果表'!D:D,'02效果表'!E:E)&lt;0, _xlfn.XLOOKUP(R404,'02效果表'!D:D,'02效果表'!E:E), 0) +
U404*IF(_xlfn.XLOOKUP(T404,'02效果表'!D:D,'02效果表'!E:E)&lt;0, _xlfn.XLOOKUP(T404,'02效果表'!D:D,'02效果表'!E:E), 0) +
W404*IF(_xlfn.XLOOKUP(V404,'02效果表'!D:D,'02效果表'!E:E)&lt;0, _xlfn.XLOOKUP(V404,'02效果表'!D:D,'02效果表'!E:E), 0) +
Y404*IF(_xlfn.XLOOKUP(X404,'02效果表'!D:D,'02效果表'!E:E)&lt;0, _xlfn.XLOOKUP(X404,'02效果表'!D:D,'02效果表'!E:E), 0) +
AA404*IF(_xlfn.XLOOKUP(Z404,'02效果表'!D:D,'02效果表'!E:E)&lt;0, _xlfn.XLOOKUP(Z404,'02效果表'!D:D,'02效果表'!E:E), 0) +
AC404*IF(_xlfn.XLOOKUP(AB404,'02效果表'!D:D,'02效果表'!E:E)&lt;0, _xlfn.XLOOKUP(AB404,'02效果表'!D:D,'02效果表'!E:E), 0) +
AE404*IF(_xlfn.XLOOKUP(AD404,'02效果表'!D:D,'02效果表'!E:E)&lt;0, _xlfn.XLOOKUP(AD404,'02效果表'!D:D,'02效果表'!E:E), 0)), 1)</f>
        <v>0</v>
      </c>
      <c r="G404" s="7">
        <f>ROUND(1/6*(I404*MAX(_xlfn.XLOOKUP(H404,'02效果表'!D:D,'02效果表'!E:E),0)+K404*MAX(_xlfn.XLOOKUP(J404,'02效果表'!D:D,'02效果表'!E:E),0)+M404*MAX(_xlfn.XLOOKUP(L404,'02效果表'!D:D,'02效果表'!E:E),0)+O404*MAX(_xlfn.XLOOKUP(N404,'02效果表'!D:D,'02效果表'!E:E),0)+Q404*MAX(_xlfn.XLOOKUP(P404,'02效果表'!D:D,'02效果表'!E:E),0)+S404*MAX(_xlfn.XLOOKUP(R404,'02效果表'!D:D,'02效果表'!E:E),0)+U404*MAX(_xlfn.XLOOKUP(T404,'02效果表'!D:D,'02效果表'!E:E),0)+W404*MAX(_xlfn.XLOOKUP(V404,'02效果表'!D:D,'02效果表'!E:E),0)+Y404*MAX(_xlfn.XLOOKUP(X404,'02效果表'!D:D,'02效果表'!E:E),0)+AA404*MAX(_xlfn.XLOOKUP(Z404,'02效果表'!D:D,'02效果表'!E:E),0)+AC404*MAX(_xlfn.XLOOKUP(AB404,'02效果表'!D:D,'02效果表'!E:E),0)+AE404*MAX(_xlfn.XLOOKUP(AD404,'02效果表'!D:D,'02效果表'!E:E),0)),1)</f>
        <v>0</v>
      </c>
      <c r="H404" s="6"/>
      <c r="I404" s="6"/>
      <c r="J404" s="6"/>
      <c r="K404" s="6"/>
      <c r="L404" s="6"/>
      <c r="M404" s="6"/>
      <c r="N404" s="6"/>
      <c r="O404" s="6"/>
      <c r="P404" s="6"/>
      <c r="Q404" s="6"/>
      <c r="R404" s="6"/>
      <c r="S404" s="6"/>
      <c r="T404" s="6"/>
      <c r="U404" s="6"/>
      <c r="V404" s="6"/>
      <c r="W404" s="6"/>
      <c r="X404" s="6"/>
      <c r="Y404" s="6"/>
      <c r="Z404" s="6"/>
      <c r="AA404" s="6"/>
      <c r="AB404" s="6"/>
      <c r="AC404" s="6"/>
      <c r="AD404" s="6"/>
      <c r="AE404" s="6"/>
    </row>
    <row r="405" spans="1:31" x14ac:dyDescent="0.35">
      <c r="A405" s="6">
        <v>405</v>
      </c>
      <c r="B405" s="6" t="s">
        <v>6</v>
      </c>
      <c r="C405" s="10" t="s">
        <v>1</v>
      </c>
      <c r="D405" s="9" t="s">
        <v>1591</v>
      </c>
      <c r="E405" s="7">
        <f t="shared" si="13"/>
        <v>0</v>
      </c>
      <c r="F405" s="7">
        <f>-1*ROUND(1/6*(I405*IF(_xlfn.XLOOKUP(H405,'02效果表'!D:D,'02效果表'!E:E)&lt;0, _xlfn.XLOOKUP(H405,'02效果表'!D:D,'02效果表'!E:E), 0) +
K405*IF(_xlfn.XLOOKUP(J405,'02效果表'!D:D,'02效果表'!E:E)&lt;0, _xlfn.XLOOKUP(J405,'02效果表'!D:D,'02效果表'!E:E), 0) +
M405*IF(_xlfn.XLOOKUP(L405,'02效果表'!D:D,'02效果表'!E:E)&lt;0, _xlfn.XLOOKUP(L405,'02效果表'!D:D,'02效果表'!E:E), 0) +
O405*IF(_xlfn.XLOOKUP(N405,'02效果表'!D:D,'02效果表'!E:E)&lt;0, _xlfn.XLOOKUP(N405,'02效果表'!D:D,'02效果表'!E:E), 0) +
Q405*IF(_xlfn.XLOOKUP(P405,'02效果表'!D:D,'02效果表'!E:E)&lt;0, _xlfn.XLOOKUP(P405,'02效果表'!D:D,'02效果表'!E:E), 0) +
S405*IF(_xlfn.XLOOKUP(R405,'02效果表'!D:D,'02效果表'!E:E)&lt;0, _xlfn.XLOOKUP(R405,'02效果表'!D:D,'02效果表'!E:E), 0) +
U405*IF(_xlfn.XLOOKUP(T405,'02效果表'!D:D,'02效果表'!E:E)&lt;0, _xlfn.XLOOKUP(T405,'02效果表'!D:D,'02效果表'!E:E), 0) +
W405*IF(_xlfn.XLOOKUP(V405,'02效果表'!D:D,'02效果表'!E:E)&lt;0, _xlfn.XLOOKUP(V405,'02效果表'!D:D,'02效果表'!E:E), 0) +
Y405*IF(_xlfn.XLOOKUP(X405,'02效果表'!D:D,'02效果表'!E:E)&lt;0, _xlfn.XLOOKUP(X405,'02效果表'!D:D,'02效果表'!E:E), 0) +
AA405*IF(_xlfn.XLOOKUP(Z405,'02效果表'!D:D,'02效果表'!E:E)&lt;0, _xlfn.XLOOKUP(Z405,'02效果表'!D:D,'02效果表'!E:E), 0) +
AC405*IF(_xlfn.XLOOKUP(AB405,'02效果表'!D:D,'02效果表'!E:E)&lt;0, _xlfn.XLOOKUP(AB405,'02效果表'!D:D,'02效果表'!E:E), 0) +
AE405*IF(_xlfn.XLOOKUP(AD405,'02效果表'!D:D,'02效果表'!E:E)&lt;0, _xlfn.XLOOKUP(AD405,'02效果表'!D:D,'02效果表'!E:E), 0)), 1)</f>
        <v>0</v>
      </c>
      <c r="G405" s="7">
        <f>ROUND(1/6*(I405*MAX(_xlfn.XLOOKUP(H405,'02效果表'!D:D,'02效果表'!E:E),0)+K405*MAX(_xlfn.XLOOKUP(J405,'02效果表'!D:D,'02效果表'!E:E),0)+M405*MAX(_xlfn.XLOOKUP(L405,'02效果表'!D:D,'02效果表'!E:E),0)+O405*MAX(_xlfn.XLOOKUP(N405,'02效果表'!D:D,'02效果表'!E:E),0)+Q405*MAX(_xlfn.XLOOKUP(P405,'02效果表'!D:D,'02效果表'!E:E),0)+S405*MAX(_xlfn.XLOOKUP(R405,'02效果表'!D:D,'02效果表'!E:E),0)+U405*MAX(_xlfn.XLOOKUP(T405,'02效果表'!D:D,'02效果表'!E:E),0)+W405*MAX(_xlfn.XLOOKUP(V405,'02效果表'!D:D,'02效果表'!E:E),0)+Y405*MAX(_xlfn.XLOOKUP(X405,'02效果表'!D:D,'02效果表'!E:E),0)+AA405*MAX(_xlfn.XLOOKUP(Z405,'02效果表'!D:D,'02效果表'!E:E),0)+AC405*MAX(_xlfn.XLOOKUP(AB405,'02效果表'!D:D,'02效果表'!E:E),0)+AE405*MAX(_xlfn.XLOOKUP(AD405,'02效果表'!D:D,'02效果表'!E:E),0)),1)</f>
        <v>0</v>
      </c>
      <c r="H405" s="6"/>
      <c r="I405" s="6"/>
      <c r="J405" s="6"/>
      <c r="K405" s="6"/>
      <c r="L405" s="6"/>
      <c r="M405" s="6"/>
      <c r="N405" s="6"/>
      <c r="O405" s="6"/>
      <c r="P405" s="6"/>
      <c r="Q405" s="6"/>
      <c r="R405" s="6"/>
      <c r="S405" s="6"/>
      <c r="T405" s="6"/>
      <c r="U405" s="6"/>
      <c r="V405" s="6"/>
      <c r="W405" s="6"/>
      <c r="X405" s="6"/>
      <c r="Y405" s="6"/>
      <c r="Z405" s="6"/>
      <c r="AA405" s="6"/>
      <c r="AB405" s="6"/>
      <c r="AC405" s="6"/>
      <c r="AD405" s="6"/>
      <c r="AE405" s="6"/>
    </row>
    <row r="406" spans="1:31" x14ac:dyDescent="0.35">
      <c r="A406" s="6">
        <v>406</v>
      </c>
      <c r="B406" s="6" t="s">
        <v>6</v>
      </c>
      <c r="C406" s="10" t="s">
        <v>1</v>
      </c>
      <c r="D406" s="9" t="s">
        <v>1592</v>
      </c>
      <c r="E406" s="7">
        <f t="shared" si="13"/>
        <v>0</v>
      </c>
      <c r="F406" s="7">
        <f>-1*ROUND(1/6*(I406*IF(_xlfn.XLOOKUP(H406,'02效果表'!D:D,'02效果表'!E:E)&lt;0, _xlfn.XLOOKUP(H406,'02效果表'!D:D,'02效果表'!E:E), 0) +
K406*IF(_xlfn.XLOOKUP(J406,'02效果表'!D:D,'02效果表'!E:E)&lt;0, _xlfn.XLOOKUP(J406,'02效果表'!D:D,'02效果表'!E:E), 0) +
M406*IF(_xlfn.XLOOKUP(L406,'02效果表'!D:D,'02效果表'!E:E)&lt;0, _xlfn.XLOOKUP(L406,'02效果表'!D:D,'02效果表'!E:E), 0) +
O406*IF(_xlfn.XLOOKUP(N406,'02效果表'!D:D,'02效果表'!E:E)&lt;0, _xlfn.XLOOKUP(N406,'02效果表'!D:D,'02效果表'!E:E), 0) +
Q406*IF(_xlfn.XLOOKUP(P406,'02效果表'!D:D,'02效果表'!E:E)&lt;0, _xlfn.XLOOKUP(P406,'02效果表'!D:D,'02效果表'!E:E), 0) +
S406*IF(_xlfn.XLOOKUP(R406,'02效果表'!D:D,'02效果表'!E:E)&lt;0, _xlfn.XLOOKUP(R406,'02效果表'!D:D,'02效果表'!E:E), 0) +
U406*IF(_xlfn.XLOOKUP(T406,'02效果表'!D:D,'02效果表'!E:E)&lt;0, _xlfn.XLOOKUP(T406,'02效果表'!D:D,'02效果表'!E:E), 0) +
W406*IF(_xlfn.XLOOKUP(V406,'02效果表'!D:D,'02效果表'!E:E)&lt;0, _xlfn.XLOOKUP(V406,'02效果表'!D:D,'02效果表'!E:E), 0) +
Y406*IF(_xlfn.XLOOKUP(X406,'02效果表'!D:D,'02效果表'!E:E)&lt;0, _xlfn.XLOOKUP(X406,'02效果表'!D:D,'02效果表'!E:E), 0) +
AA406*IF(_xlfn.XLOOKUP(Z406,'02效果表'!D:D,'02效果表'!E:E)&lt;0, _xlfn.XLOOKUP(Z406,'02效果表'!D:D,'02效果表'!E:E), 0) +
AC406*IF(_xlfn.XLOOKUP(AB406,'02效果表'!D:D,'02效果表'!E:E)&lt;0, _xlfn.XLOOKUP(AB406,'02效果表'!D:D,'02效果表'!E:E), 0) +
AE406*IF(_xlfn.XLOOKUP(AD406,'02效果表'!D:D,'02效果表'!E:E)&lt;0, _xlfn.XLOOKUP(AD406,'02效果表'!D:D,'02效果表'!E:E), 0)), 1)</f>
        <v>0</v>
      </c>
      <c r="G406" s="7">
        <f>ROUND(1/6*(I406*MAX(_xlfn.XLOOKUP(H406,'02效果表'!D:D,'02效果表'!E:E),0)+K406*MAX(_xlfn.XLOOKUP(J406,'02效果表'!D:D,'02效果表'!E:E),0)+M406*MAX(_xlfn.XLOOKUP(L406,'02效果表'!D:D,'02效果表'!E:E),0)+O406*MAX(_xlfn.XLOOKUP(N406,'02效果表'!D:D,'02效果表'!E:E),0)+Q406*MAX(_xlfn.XLOOKUP(P406,'02效果表'!D:D,'02效果表'!E:E),0)+S406*MAX(_xlfn.XLOOKUP(R406,'02效果表'!D:D,'02效果表'!E:E),0)+U406*MAX(_xlfn.XLOOKUP(T406,'02效果表'!D:D,'02效果表'!E:E),0)+W406*MAX(_xlfn.XLOOKUP(V406,'02效果表'!D:D,'02效果表'!E:E),0)+Y406*MAX(_xlfn.XLOOKUP(X406,'02效果表'!D:D,'02效果表'!E:E),0)+AA406*MAX(_xlfn.XLOOKUP(Z406,'02效果表'!D:D,'02效果表'!E:E),0)+AC406*MAX(_xlfn.XLOOKUP(AB406,'02效果表'!D:D,'02效果表'!E:E),0)+AE406*MAX(_xlfn.XLOOKUP(AD406,'02效果表'!D:D,'02效果表'!E:E),0)),1)</f>
        <v>0</v>
      </c>
      <c r="H406" s="6"/>
      <c r="I406" s="6"/>
      <c r="J406" s="6"/>
      <c r="K406" s="6"/>
      <c r="L406" s="6"/>
      <c r="M406" s="6"/>
      <c r="N406" s="6"/>
      <c r="O406" s="6"/>
      <c r="P406" s="6"/>
      <c r="Q406" s="6"/>
      <c r="R406" s="6"/>
      <c r="S406" s="6"/>
      <c r="T406" s="6"/>
      <c r="U406" s="6"/>
      <c r="V406" s="6"/>
      <c r="W406" s="6"/>
      <c r="X406" s="6"/>
      <c r="Y406" s="6"/>
      <c r="Z406" s="6"/>
      <c r="AA406" s="6"/>
      <c r="AB406" s="6"/>
      <c r="AC406" s="6"/>
      <c r="AD406" s="6"/>
      <c r="AE406" s="6"/>
    </row>
    <row r="407" spans="1:31" x14ac:dyDescent="0.35">
      <c r="A407" s="6">
        <v>407</v>
      </c>
      <c r="B407" s="6" t="s">
        <v>6</v>
      </c>
      <c r="C407" s="10" t="s">
        <v>1</v>
      </c>
      <c r="D407" s="9" t="s">
        <v>1593</v>
      </c>
      <c r="E407" s="7">
        <f t="shared" si="13"/>
        <v>0</v>
      </c>
      <c r="F407" s="7">
        <f>-1*ROUND(1/6*(I407*IF(_xlfn.XLOOKUP(H407,'02效果表'!D:D,'02效果表'!E:E)&lt;0, _xlfn.XLOOKUP(H407,'02效果表'!D:D,'02效果表'!E:E), 0) +
K407*IF(_xlfn.XLOOKUP(J407,'02效果表'!D:D,'02效果表'!E:E)&lt;0, _xlfn.XLOOKUP(J407,'02效果表'!D:D,'02效果表'!E:E), 0) +
M407*IF(_xlfn.XLOOKUP(L407,'02效果表'!D:D,'02效果表'!E:E)&lt;0, _xlfn.XLOOKUP(L407,'02效果表'!D:D,'02效果表'!E:E), 0) +
O407*IF(_xlfn.XLOOKUP(N407,'02效果表'!D:D,'02效果表'!E:E)&lt;0, _xlfn.XLOOKUP(N407,'02效果表'!D:D,'02效果表'!E:E), 0) +
Q407*IF(_xlfn.XLOOKUP(P407,'02效果表'!D:D,'02效果表'!E:E)&lt;0, _xlfn.XLOOKUP(P407,'02效果表'!D:D,'02效果表'!E:E), 0) +
S407*IF(_xlfn.XLOOKUP(R407,'02效果表'!D:D,'02效果表'!E:E)&lt;0, _xlfn.XLOOKUP(R407,'02效果表'!D:D,'02效果表'!E:E), 0) +
U407*IF(_xlfn.XLOOKUP(T407,'02效果表'!D:D,'02效果表'!E:E)&lt;0, _xlfn.XLOOKUP(T407,'02效果表'!D:D,'02效果表'!E:E), 0) +
W407*IF(_xlfn.XLOOKUP(V407,'02效果表'!D:D,'02效果表'!E:E)&lt;0, _xlfn.XLOOKUP(V407,'02效果表'!D:D,'02效果表'!E:E), 0) +
Y407*IF(_xlfn.XLOOKUP(X407,'02效果表'!D:D,'02效果表'!E:E)&lt;0, _xlfn.XLOOKUP(X407,'02效果表'!D:D,'02效果表'!E:E), 0) +
AA407*IF(_xlfn.XLOOKUP(Z407,'02效果表'!D:D,'02效果表'!E:E)&lt;0, _xlfn.XLOOKUP(Z407,'02效果表'!D:D,'02效果表'!E:E), 0) +
AC407*IF(_xlfn.XLOOKUP(AB407,'02效果表'!D:D,'02效果表'!E:E)&lt;0, _xlfn.XLOOKUP(AB407,'02效果表'!D:D,'02效果表'!E:E), 0) +
AE407*IF(_xlfn.XLOOKUP(AD407,'02效果表'!D:D,'02效果表'!E:E)&lt;0, _xlfn.XLOOKUP(AD407,'02效果表'!D:D,'02效果表'!E:E), 0)), 1)</f>
        <v>0</v>
      </c>
      <c r="G407" s="7">
        <f>ROUND(1/6*(I407*MAX(_xlfn.XLOOKUP(H407,'02效果表'!D:D,'02效果表'!E:E),0)+K407*MAX(_xlfn.XLOOKUP(J407,'02效果表'!D:D,'02效果表'!E:E),0)+M407*MAX(_xlfn.XLOOKUP(L407,'02效果表'!D:D,'02效果表'!E:E),0)+O407*MAX(_xlfn.XLOOKUP(N407,'02效果表'!D:D,'02效果表'!E:E),0)+Q407*MAX(_xlfn.XLOOKUP(P407,'02效果表'!D:D,'02效果表'!E:E),0)+S407*MAX(_xlfn.XLOOKUP(R407,'02效果表'!D:D,'02效果表'!E:E),0)+U407*MAX(_xlfn.XLOOKUP(T407,'02效果表'!D:D,'02效果表'!E:E),0)+W407*MAX(_xlfn.XLOOKUP(V407,'02效果表'!D:D,'02效果表'!E:E),0)+Y407*MAX(_xlfn.XLOOKUP(X407,'02效果表'!D:D,'02效果表'!E:E),0)+AA407*MAX(_xlfn.XLOOKUP(Z407,'02效果表'!D:D,'02效果表'!E:E),0)+AC407*MAX(_xlfn.XLOOKUP(AB407,'02效果表'!D:D,'02效果表'!E:E),0)+AE407*MAX(_xlfn.XLOOKUP(AD407,'02效果表'!D:D,'02效果表'!E:E),0)),1)</f>
        <v>0</v>
      </c>
      <c r="H407" s="6"/>
      <c r="I407" s="6"/>
      <c r="J407" s="6"/>
      <c r="K407" s="6"/>
      <c r="L407" s="6"/>
      <c r="M407" s="6"/>
      <c r="N407" s="6"/>
      <c r="O407" s="6"/>
      <c r="P407" s="6"/>
      <c r="Q407" s="6"/>
      <c r="R407" s="6"/>
      <c r="S407" s="6"/>
      <c r="T407" s="6"/>
      <c r="U407" s="6"/>
      <c r="V407" s="6"/>
      <c r="W407" s="6"/>
      <c r="X407" s="6"/>
      <c r="Y407" s="6"/>
      <c r="Z407" s="6"/>
      <c r="AA407" s="6"/>
      <c r="AB407" s="6"/>
      <c r="AC407" s="6"/>
      <c r="AD407" s="6"/>
      <c r="AE407" s="6"/>
    </row>
    <row r="408" spans="1:31" x14ac:dyDescent="0.35">
      <c r="A408" s="6">
        <v>408</v>
      </c>
      <c r="B408" s="6" t="s">
        <v>6</v>
      </c>
      <c r="C408" s="10" t="s">
        <v>1</v>
      </c>
      <c r="D408" s="9" t="s">
        <v>1594</v>
      </c>
      <c r="E408" s="7">
        <f t="shared" si="13"/>
        <v>0</v>
      </c>
      <c r="F408" s="7">
        <f>-1*ROUND(1/6*(I408*IF(_xlfn.XLOOKUP(H408,'02效果表'!D:D,'02效果表'!E:E)&lt;0, _xlfn.XLOOKUP(H408,'02效果表'!D:D,'02效果表'!E:E), 0) +
K408*IF(_xlfn.XLOOKUP(J408,'02效果表'!D:D,'02效果表'!E:E)&lt;0, _xlfn.XLOOKUP(J408,'02效果表'!D:D,'02效果表'!E:E), 0) +
M408*IF(_xlfn.XLOOKUP(L408,'02效果表'!D:D,'02效果表'!E:E)&lt;0, _xlfn.XLOOKUP(L408,'02效果表'!D:D,'02效果表'!E:E), 0) +
O408*IF(_xlfn.XLOOKUP(N408,'02效果表'!D:D,'02效果表'!E:E)&lt;0, _xlfn.XLOOKUP(N408,'02效果表'!D:D,'02效果表'!E:E), 0) +
Q408*IF(_xlfn.XLOOKUP(P408,'02效果表'!D:D,'02效果表'!E:E)&lt;0, _xlfn.XLOOKUP(P408,'02效果表'!D:D,'02效果表'!E:E), 0) +
S408*IF(_xlfn.XLOOKUP(R408,'02效果表'!D:D,'02效果表'!E:E)&lt;0, _xlfn.XLOOKUP(R408,'02效果表'!D:D,'02效果表'!E:E), 0) +
U408*IF(_xlfn.XLOOKUP(T408,'02效果表'!D:D,'02效果表'!E:E)&lt;0, _xlfn.XLOOKUP(T408,'02效果表'!D:D,'02效果表'!E:E), 0) +
W408*IF(_xlfn.XLOOKUP(V408,'02效果表'!D:D,'02效果表'!E:E)&lt;0, _xlfn.XLOOKUP(V408,'02效果表'!D:D,'02效果表'!E:E), 0) +
Y408*IF(_xlfn.XLOOKUP(X408,'02效果表'!D:D,'02效果表'!E:E)&lt;0, _xlfn.XLOOKUP(X408,'02效果表'!D:D,'02效果表'!E:E), 0) +
AA408*IF(_xlfn.XLOOKUP(Z408,'02效果表'!D:D,'02效果表'!E:E)&lt;0, _xlfn.XLOOKUP(Z408,'02效果表'!D:D,'02效果表'!E:E), 0) +
AC408*IF(_xlfn.XLOOKUP(AB408,'02效果表'!D:D,'02效果表'!E:E)&lt;0, _xlfn.XLOOKUP(AB408,'02效果表'!D:D,'02效果表'!E:E), 0) +
AE408*IF(_xlfn.XLOOKUP(AD408,'02效果表'!D:D,'02效果表'!E:E)&lt;0, _xlfn.XLOOKUP(AD408,'02效果表'!D:D,'02效果表'!E:E), 0)), 1)</f>
        <v>0</v>
      </c>
      <c r="G408" s="7">
        <f>ROUND(1/6*(I408*MAX(_xlfn.XLOOKUP(H408,'02效果表'!D:D,'02效果表'!E:E),0)+K408*MAX(_xlfn.XLOOKUP(J408,'02效果表'!D:D,'02效果表'!E:E),0)+M408*MAX(_xlfn.XLOOKUP(L408,'02效果表'!D:D,'02效果表'!E:E),0)+O408*MAX(_xlfn.XLOOKUP(N408,'02效果表'!D:D,'02效果表'!E:E),0)+Q408*MAX(_xlfn.XLOOKUP(P408,'02效果表'!D:D,'02效果表'!E:E),0)+S408*MAX(_xlfn.XLOOKUP(R408,'02效果表'!D:D,'02效果表'!E:E),0)+U408*MAX(_xlfn.XLOOKUP(T408,'02效果表'!D:D,'02效果表'!E:E),0)+W408*MAX(_xlfn.XLOOKUP(V408,'02效果表'!D:D,'02效果表'!E:E),0)+Y408*MAX(_xlfn.XLOOKUP(X408,'02效果表'!D:D,'02效果表'!E:E),0)+AA408*MAX(_xlfn.XLOOKUP(Z408,'02效果表'!D:D,'02效果表'!E:E),0)+AC408*MAX(_xlfn.XLOOKUP(AB408,'02效果表'!D:D,'02效果表'!E:E),0)+AE408*MAX(_xlfn.XLOOKUP(AD408,'02效果表'!D:D,'02效果表'!E:E),0)),1)</f>
        <v>0</v>
      </c>
      <c r="H408" s="6"/>
      <c r="I408" s="6"/>
      <c r="J408" s="6"/>
      <c r="K408" s="6"/>
      <c r="L408" s="6"/>
      <c r="M408" s="6"/>
      <c r="N408" s="6"/>
      <c r="O408" s="6"/>
      <c r="P408" s="6"/>
      <c r="Q408" s="6"/>
      <c r="R408" s="6"/>
      <c r="S408" s="6"/>
      <c r="T408" s="6"/>
      <c r="U408" s="6"/>
      <c r="V408" s="6"/>
      <c r="W408" s="6"/>
      <c r="X408" s="6"/>
      <c r="Y408" s="6"/>
      <c r="Z408" s="6"/>
      <c r="AA408" s="6"/>
      <c r="AB408" s="6"/>
      <c r="AC408" s="6"/>
      <c r="AD408" s="6"/>
      <c r="AE408" s="6"/>
    </row>
    <row r="409" spans="1:31" x14ac:dyDescent="0.35">
      <c r="A409" s="6">
        <v>409</v>
      </c>
      <c r="B409" s="6" t="s">
        <v>6</v>
      </c>
      <c r="C409" s="10" t="s">
        <v>1</v>
      </c>
      <c r="D409" s="9" t="s">
        <v>1595</v>
      </c>
      <c r="E409" s="7">
        <f t="shared" si="13"/>
        <v>0</v>
      </c>
      <c r="F409" s="7">
        <f>-1*ROUND(1/6*(I409*IF(_xlfn.XLOOKUP(H409,'02效果表'!D:D,'02效果表'!E:E)&lt;0, _xlfn.XLOOKUP(H409,'02效果表'!D:D,'02效果表'!E:E), 0) +
K409*IF(_xlfn.XLOOKUP(J409,'02效果表'!D:D,'02效果表'!E:E)&lt;0, _xlfn.XLOOKUP(J409,'02效果表'!D:D,'02效果表'!E:E), 0) +
M409*IF(_xlfn.XLOOKUP(L409,'02效果表'!D:D,'02效果表'!E:E)&lt;0, _xlfn.XLOOKUP(L409,'02效果表'!D:D,'02效果表'!E:E), 0) +
O409*IF(_xlfn.XLOOKUP(N409,'02效果表'!D:D,'02效果表'!E:E)&lt;0, _xlfn.XLOOKUP(N409,'02效果表'!D:D,'02效果表'!E:E), 0) +
Q409*IF(_xlfn.XLOOKUP(P409,'02效果表'!D:D,'02效果表'!E:E)&lt;0, _xlfn.XLOOKUP(P409,'02效果表'!D:D,'02效果表'!E:E), 0) +
S409*IF(_xlfn.XLOOKUP(R409,'02效果表'!D:D,'02效果表'!E:E)&lt;0, _xlfn.XLOOKUP(R409,'02效果表'!D:D,'02效果表'!E:E), 0) +
U409*IF(_xlfn.XLOOKUP(T409,'02效果表'!D:D,'02效果表'!E:E)&lt;0, _xlfn.XLOOKUP(T409,'02效果表'!D:D,'02效果表'!E:E), 0) +
W409*IF(_xlfn.XLOOKUP(V409,'02效果表'!D:D,'02效果表'!E:E)&lt;0, _xlfn.XLOOKUP(V409,'02效果表'!D:D,'02效果表'!E:E), 0) +
Y409*IF(_xlfn.XLOOKUP(X409,'02效果表'!D:D,'02效果表'!E:E)&lt;0, _xlfn.XLOOKUP(X409,'02效果表'!D:D,'02效果表'!E:E), 0) +
AA409*IF(_xlfn.XLOOKUP(Z409,'02效果表'!D:D,'02效果表'!E:E)&lt;0, _xlfn.XLOOKUP(Z409,'02效果表'!D:D,'02效果表'!E:E), 0) +
AC409*IF(_xlfn.XLOOKUP(AB409,'02效果表'!D:D,'02效果表'!E:E)&lt;0, _xlfn.XLOOKUP(AB409,'02效果表'!D:D,'02效果表'!E:E), 0) +
AE409*IF(_xlfn.XLOOKUP(AD409,'02效果表'!D:D,'02效果表'!E:E)&lt;0, _xlfn.XLOOKUP(AD409,'02效果表'!D:D,'02效果表'!E:E), 0)), 1)</f>
        <v>0</v>
      </c>
      <c r="G409" s="7">
        <f>ROUND(1/6*(I409*MAX(_xlfn.XLOOKUP(H409,'02效果表'!D:D,'02效果表'!E:E),0)+K409*MAX(_xlfn.XLOOKUP(J409,'02效果表'!D:D,'02效果表'!E:E),0)+M409*MAX(_xlfn.XLOOKUP(L409,'02效果表'!D:D,'02效果表'!E:E),0)+O409*MAX(_xlfn.XLOOKUP(N409,'02效果表'!D:D,'02效果表'!E:E),0)+Q409*MAX(_xlfn.XLOOKUP(P409,'02效果表'!D:D,'02效果表'!E:E),0)+S409*MAX(_xlfn.XLOOKUP(R409,'02效果表'!D:D,'02效果表'!E:E),0)+U409*MAX(_xlfn.XLOOKUP(T409,'02效果表'!D:D,'02效果表'!E:E),0)+W409*MAX(_xlfn.XLOOKUP(V409,'02效果表'!D:D,'02效果表'!E:E),0)+Y409*MAX(_xlfn.XLOOKUP(X409,'02效果表'!D:D,'02效果表'!E:E),0)+AA409*MAX(_xlfn.XLOOKUP(Z409,'02效果表'!D:D,'02效果表'!E:E),0)+AC409*MAX(_xlfn.XLOOKUP(AB409,'02效果表'!D:D,'02效果表'!E:E),0)+AE409*MAX(_xlfn.XLOOKUP(AD409,'02效果表'!D:D,'02效果表'!E:E),0)),1)</f>
        <v>0</v>
      </c>
      <c r="H409" s="6"/>
      <c r="I409" s="6"/>
      <c r="J409" s="6"/>
      <c r="K409" s="6"/>
      <c r="L409" s="6"/>
      <c r="M409" s="6"/>
      <c r="N409" s="6"/>
      <c r="O409" s="6"/>
      <c r="P409" s="6"/>
      <c r="Q409" s="6"/>
      <c r="R409" s="6"/>
      <c r="S409" s="6"/>
      <c r="T409" s="6"/>
      <c r="U409" s="6"/>
      <c r="V409" s="6"/>
      <c r="W409" s="6"/>
      <c r="X409" s="6"/>
      <c r="Y409" s="6"/>
      <c r="Z409" s="6"/>
      <c r="AA409" s="6"/>
      <c r="AB409" s="6"/>
      <c r="AC409" s="6"/>
      <c r="AD409" s="6"/>
      <c r="AE409" s="6"/>
    </row>
    <row r="410" spans="1:31" x14ac:dyDescent="0.35">
      <c r="A410" s="6">
        <v>410</v>
      </c>
      <c r="B410" s="6" t="s">
        <v>6</v>
      </c>
      <c r="C410" s="10" t="s">
        <v>1</v>
      </c>
      <c r="D410" s="9" t="s">
        <v>1596</v>
      </c>
      <c r="E410" s="7">
        <f t="shared" si="13"/>
        <v>0</v>
      </c>
      <c r="F410" s="7">
        <f>-1*ROUND(1/6*(I410*IF(_xlfn.XLOOKUP(H410,'02效果表'!D:D,'02效果表'!E:E)&lt;0, _xlfn.XLOOKUP(H410,'02效果表'!D:D,'02效果表'!E:E), 0) +
K410*IF(_xlfn.XLOOKUP(J410,'02效果表'!D:D,'02效果表'!E:E)&lt;0, _xlfn.XLOOKUP(J410,'02效果表'!D:D,'02效果表'!E:E), 0) +
M410*IF(_xlfn.XLOOKUP(L410,'02效果表'!D:D,'02效果表'!E:E)&lt;0, _xlfn.XLOOKUP(L410,'02效果表'!D:D,'02效果表'!E:E), 0) +
O410*IF(_xlfn.XLOOKUP(N410,'02效果表'!D:D,'02效果表'!E:E)&lt;0, _xlfn.XLOOKUP(N410,'02效果表'!D:D,'02效果表'!E:E), 0) +
Q410*IF(_xlfn.XLOOKUP(P410,'02效果表'!D:D,'02效果表'!E:E)&lt;0, _xlfn.XLOOKUP(P410,'02效果表'!D:D,'02效果表'!E:E), 0) +
S410*IF(_xlfn.XLOOKUP(R410,'02效果表'!D:D,'02效果表'!E:E)&lt;0, _xlfn.XLOOKUP(R410,'02效果表'!D:D,'02效果表'!E:E), 0) +
U410*IF(_xlfn.XLOOKUP(T410,'02效果表'!D:D,'02效果表'!E:E)&lt;0, _xlfn.XLOOKUP(T410,'02效果表'!D:D,'02效果表'!E:E), 0) +
W410*IF(_xlfn.XLOOKUP(V410,'02效果表'!D:D,'02效果表'!E:E)&lt;0, _xlfn.XLOOKUP(V410,'02效果表'!D:D,'02效果表'!E:E), 0) +
Y410*IF(_xlfn.XLOOKUP(X410,'02效果表'!D:D,'02效果表'!E:E)&lt;0, _xlfn.XLOOKUP(X410,'02效果表'!D:D,'02效果表'!E:E), 0) +
AA410*IF(_xlfn.XLOOKUP(Z410,'02效果表'!D:D,'02效果表'!E:E)&lt;0, _xlfn.XLOOKUP(Z410,'02效果表'!D:D,'02效果表'!E:E), 0) +
AC410*IF(_xlfn.XLOOKUP(AB410,'02效果表'!D:D,'02效果表'!E:E)&lt;0, _xlfn.XLOOKUP(AB410,'02效果表'!D:D,'02效果表'!E:E), 0) +
AE410*IF(_xlfn.XLOOKUP(AD410,'02效果表'!D:D,'02效果表'!E:E)&lt;0, _xlfn.XLOOKUP(AD410,'02效果表'!D:D,'02效果表'!E:E), 0)), 1)</f>
        <v>0</v>
      </c>
      <c r="G410" s="7">
        <f>ROUND(1/6*(I410*MAX(_xlfn.XLOOKUP(H410,'02效果表'!D:D,'02效果表'!E:E),0)+K410*MAX(_xlfn.XLOOKUP(J410,'02效果表'!D:D,'02效果表'!E:E),0)+M410*MAX(_xlfn.XLOOKUP(L410,'02效果表'!D:D,'02效果表'!E:E),0)+O410*MAX(_xlfn.XLOOKUP(N410,'02效果表'!D:D,'02效果表'!E:E),0)+Q410*MAX(_xlfn.XLOOKUP(P410,'02效果表'!D:D,'02效果表'!E:E),0)+S410*MAX(_xlfn.XLOOKUP(R410,'02效果表'!D:D,'02效果表'!E:E),0)+U410*MAX(_xlfn.XLOOKUP(T410,'02效果表'!D:D,'02效果表'!E:E),0)+W410*MAX(_xlfn.XLOOKUP(V410,'02效果表'!D:D,'02效果表'!E:E),0)+Y410*MAX(_xlfn.XLOOKUP(X410,'02效果表'!D:D,'02效果表'!E:E),0)+AA410*MAX(_xlfn.XLOOKUP(Z410,'02效果表'!D:D,'02效果表'!E:E),0)+AC410*MAX(_xlfn.XLOOKUP(AB410,'02效果表'!D:D,'02效果表'!E:E),0)+AE410*MAX(_xlfn.XLOOKUP(AD410,'02效果表'!D:D,'02效果表'!E:E),0)),1)</f>
        <v>0</v>
      </c>
      <c r="H410" s="6"/>
      <c r="I410" s="6"/>
      <c r="J410" s="6"/>
      <c r="K410" s="6"/>
      <c r="L410" s="6"/>
      <c r="M410" s="6"/>
      <c r="N410" s="6"/>
      <c r="O410" s="6"/>
      <c r="P410" s="6"/>
      <c r="Q410" s="6"/>
      <c r="R410" s="6"/>
      <c r="S410" s="6"/>
      <c r="T410" s="6"/>
      <c r="U410" s="6"/>
      <c r="V410" s="6"/>
      <c r="W410" s="6"/>
      <c r="X410" s="6"/>
      <c r="Y410" s="6"/>
      <c r="Z410" s="6"/>
      <c r="AA410" s="6"/>
      <c r="AB410" s="6"/>
      <c r="AC410" s="6"/>
      <c r="AD410" s="6"/>
      <c r="AE410" s="6"/>
    </row>
    <row r="411" spans="1:31" x14ac:dyDescent="0.35">
      <c r="A411" s="6">
        <v>411</v>
      </c>
      <c r="B411" s="6" t="s">
        <v>6</v>
      </c>
      <c r="C411" s="10" t="s">
        <v>1</v>
      </c>
      <c r="D411" s="9" t="s">
        <v>1597</v>
      </c>
      <c r="E411" s="7">
        <f t="shared" si="13"/>
        <v>0</v>
      </c>
      <c r="F411" s="7">
        <f>-1*ROUND(1/6*(I411*IF(_xlfn.XLOOKUP(H411,'02效果表'!D:D,'02效果表'!E:E)&lt;0, _xlfn.XLOOKUP(H411,'02效果表'!D:D,'02效果表'!E:E), 0) +
K411*IF(_xlfn.XLOOKUP(J411,'02效果表'!D:D,'02效果表'!E:E)&lt;0, _xlfn.XLOOKUP(J411,'02效果表'!D:D,'02效果表'!E:E), 0) +
M411*IF(_xlfn.XLOOKUP(L411,'02效果表'!D:D,'02效果表'!E:E)&lt;0, _xlfn.XLOOKUP(L411,'02效果表'!D:D,'02效果表'!E:E), 0) +
O411*IF(_xlfn.XLOOKUP(N411,'02效果表'!D:D,'02效果表'!E:E)&lt;0, _xlfn.XLOOKUP(N411,'02效果表'!D:D,'02效果表'!E:E), 0) +
Q411*IF(_xlfn.XLOOKUP(P411,'02效果表'!D:D,'02效果表'!E:E)&lt;0, _xlfn.XLOOKUP(P411,'02效果表'!D:D,'02效果表'!E:E), 0) +
S411*IF(_xlfn.XLOOKUP(R411,'02效果表'!D:D,'02效果表'!E:E)&lt;0, _xlfn.XLOOKUP(R411,'02效果表'!D:D,'02效果表'!E:E), 0) +
U411*IF(_xlfn.XLOOKUP(T411,'02效果表'!D:D,'02效果表'!E:E)&lt;0, _xlfn.XLOOKUP(T411,'02效果表'!D:D,'02效果表'!E:E), 0) +
W411*IF(_xlfn.XLOOKUP(V411,'02效果表'!D:D,'02效果表'!E:E)&lt;0, _xlfn.XLOOKUP(V411,'02效果表'!D:D,'02效果表'!E:E), 0) +
Y411*IF(_xlfn.XLOOKUP(X411,'02效果表'!D:D,'02效果表'!E:E)&lt;0, _xlfn.XLOOKUP(X411,'02效果表'!D:D,'02效果表'!E:E), 0) +
AA411*IF(_xlfn.XLOOKUP(Z411,'02效果表'!D:D,'02效果表'!E:E)&lt;0, _xlfn.XLOOKUP(Z411,'02效果表'!D:D,'02效果表'!E:E), 0) +
AC411*IF(_xlfn.XLOOKUP(AB411,'02效果表'!D:D,'02效果表'!E:E)&lt;0, _xlfn.XLOOKUP(AB411,'02效果表'!D:D,'02效果表'!E:E), 0) +
AE411*IF(_xlfn.XLOOKUP(AD411,'02效果表'!D:D,'02效果表'!E:E)&lt;0, _xlfn.XLOOKUP(AD411,'02效果表'!D:D,'02效果表'!E:E), 0)), 1)</f>
        <v>0</v>
      </c>
      <c r="G411" s="7">
        <f>ROUND(1/6*(I411*MAX(_xlfn.XLOOKUP(H411,'02效果表'!D:D,'02效果表'!E:E),0)+K411*MAX(_xlfn.XLOOKUP(J411,'02效果表'!D:D,'02效果表'!E:E),0)+M411*MAX(_xlfn.XLOOKUP(L411,'02效果表'!D:D,'02效果表'!E:E),0)+O411*MAX(_xlfn.XLOOKUP(N411,'02效果表'!D:D,'02效果表'!E:E),0)+Q411*MAX(_xlfn.XLOOKUP(P411,'02效果表'!D:D,'02效果表'!E:E),0)+S411*MAX(_xlfn.XLOOKUP(R411,'02效果表'!D:D,'02效果表'!E:E),0)+U411*MAX(_xlfn.XLOOKUP(T411,'02效果表'!D:D,'02效果表'!E:E),0)+W411*MAX(_xlfn.XLOOKUP(V411,'02效果表'!D:D,'02效果表'!E:E),0)+Y411*MAX(_xlfn.XLOOKUP(X411,'02效果表'!D:D,'02效果表'!E:E),0)+AA411*MAX(_xlfn.XLOOKUP(Z411,'02效果表'!D:D,'02效果表'!E:E),0)+AC411*MAX(_xlfn.XLOOKUP(AB411,'02效果表'!D:D,'02效果表'!E:E),0)+AE411*MAX(_xlfn.XLOOKUP(AD411,'02效果表'!D:D,'02效果表'!E:E),0)),1)</f>
        <v>0</v>
      </c>
      <c r="H411" s="6"/>
      <c r="I411" s="6"/>
      <c r="J411" s="6"/>
      <c r="K411" s="6"/>
      <c r="L411" s="6"/>
      <c r="M411" s="6"/>
      <c r="N411" s="6"/>
      <c r="O411" s="6"/>
      <c r="P411" s="6"/>
      <c r="Q411" s="6"/>
      <c r="R411" s="6"/>
      <c r="S411" s="6"/>
      <c r="T411" s="6"/>
      <c r="U411" s="6"/>
      <c r="V411" s="6"/>
      <c r="W411" s="6"/>
      <c r="X411" s="6"/>
      <c r="Y411" s="6"/>
      <c r="Z411" s="6"/>
      <c r="AA411" s="6"/>
      <c r="AB411" s="6"/>
      <c r="AC411" s="6"/>
      <c r="AD411" s="6"/>
      <c r="AE411" s="6"/>
    </row>
    <row r="412" spans="1:31" x14ac:dyDescent="0.35">
      <c r="A412" s="6">
        <v>412</v>
      </c>
      <c r="B412" s="6" t="s">
        <v>6</v>
      </c>
      <c r="C412" s="10" t="s">
        <v>1</v>
      </c>
      <c r="D412" s="9" t="s">
        <v>1598</v>
      </c>
      <c r="E412" s="7">
        <f t="shared" si="13"/>
        <v>0</v>
      </c>
      <c r="F412" s="7">
        <f>-1*ROUND(1/6*(I412*IF(_xlfn.XLOOKUP(H412,'02效果表'!D:D,'02效果表'!E:E)&lt;0, _xlfn.XLOOKUP(H412,'02效果表'!D:D,'02效果表'!E:E), 0) +
K412*IF(_xlfn.XLOOKUP(J412,'02效果表'!D:D,'02效果表'!E:E)&lt;0, _xlfn.XLOOKUP(J412,'02效果表'!D:D,'02效果表'!E:E), 0) +
M412*IF(_xlfn.XLOOKUP(L412,'02效果表'!D:D,'02效果表'!E:E)&lt;0, _xlfn.XLOOKUP(L412,'02效果表'!D:D,'02效果表'!E:E), 0) +
O412*IF(_xlfn.XLOOKUP(N412,'02效果表'!D:D,'02效果表'!E:E)&lt;0, _xlfn.XLOOKUP(N412,'02效果表'!D:D,'02效果表'!E:E), 0) +
Q412*IF(_xlfn.XLOOKUP(P412,'02效果表'!D:D,'02效果表'!E:E)&lt;0, _xlfn.XLOOKUP(P412,'02效果表'!D:D,'02效果表'!E:E), 0) +
S412*IF(_xlfn.XLOOKUP(R412,'02效果表'!D:D,'02效果表'!E:E)&lt;0, _xlfn.XLOOKUP(R412,'02效果表'!D:D,'02效果表'!E:E), 0) +
U412*IF(_xlfn.XLOOKUP(T412,'02效果表'!D:D,'02效果表'!E:E)&lt;0, _xlfn.XLOOKUP(T412,'02效果表'!D:D,'02效果表'!E:E), 0) +
W412*IF(_xlfn.XLOOKUP(V412,'02效果表'!D:D,'02效果表'!E:E)&lt;0, _xlfn.XLOOKUP(V412,'02效果表'!D:D,'02效果表'!E:E), 0) +
Y412*IF(_xlfn.XLOOKUP(X412,'02效果表'!D:D,'02效果表'!E:E)&lt;0, _xlfn.XLOOKUP(X412,'02效果表'!D:D,'02效果表'!E:E), 0) +
AA412*IF(_xlfn.XLOOKUP(Z412,'02效果表'!D:D,'02效果表'!E:E)&lt;0, _xlfn.XLOOKUP(Z412,'02效果表'!D:D,'02效果表'!E:E), 0) +
AC412*IF(_xlfn.XLOOKUP(AB412,'02效果表'!D:D,'02效果表'!E:E)&lt;0, _xlfn.XLOOKUP(AB412,'02效果表'!D:D,'02效果表'!E:E), 0) +
AE412*IF(_xlfn.XLOOKUP(AD412,'02效果表'!D:D,'02效果表'!E:E)&lt;0, _xlfn.XLOOKUP(AD412,'02效果表'!D:D,'02效果表'!E:E), 0)), 1)</f>
        <v>0</v>
      </c>
      <c r="G412" s="7">
        <f>ROUND(1/6*(I412*MAX(_xlfn.XLOOKUP(H412,'02效果表'!D:D,'02效果表'!E:E),0)+K412*MAX(_xlfn.XLOOKUP(J412,'02效果表'!D:D,'02效果表'!E:E),0)+M412*MAX(_xlfn.XLOOKUP(L412,'02效果表'!D:D,'02效果表'!E:E),0)+O412*MAX(_xlfn.XLOOKUP(N412,'02效果表'!D:D,'02效果表'!E:E),0)+Q412*MAX(_xlfn.XLOOKUP(P412,'02效果表'!D:D,'02效果表'!E:E),0)+S412*MAX(_xlfn.XLOOKUP(R412,'02效果表'!D:D,'02效果表'!E:E),0)+U412*MAX(_xlfn.XLOOKUP(T412,'02效果表'!D:D,'02效果表'!E:E),0)+W412*MAX(_xlfn.XLOOKUP(V412,'02效果表'!D:D,'02效果表'!E:E),0)+Y412*MAX(_xlfn.XLOOKUP(X412,'02效果表'!D:D,'02效果表'!E:E),0)+AA412*MAX(_xlfn.XLOOKUP(Z412,'02效果表'!D:D,'02效果表'!E:E),0)+AC412*MAX(_xlfn.XLOOKUP(AB412,'02效果表'!D:D,'02效果表'!E:E),0)+AE412*MAX(_xlfn.XLOOKUP(AD412,'02效果表'!D:D,'02效果表'!E:E),0)),1)</f>
        <v>0</v>
      </c>
      <c r="H412" s="6"/>
      <c r="I412" s="6"/>
      <c r="J412" s="6"/>
      <c r="K412" s="6"/>
      <c r="L412" s="6"/>
      <c r="M412" s="6"/>
      <c r="N412" s="6"/>
      <c r="O412" s="6"/>
      <c r="P412" s="6"/>
      <c r="Q412" s="6"/>
      <c r="R412" s="6"/>
      <c r="S412" s="6"/>
      <c r="T412" s="6"/>
      <c r="U412" s="6"/>
      <c r="V412" s="6"/>
      <c r="W412" s="6"/>
      <c r="X412" s="6"/>
      <c r="Y412" s="6"/>
      <c r="Z412" s="6"/>
      <c r="AA412" s="6"/>
      <c r="AB412" s="6"/>
      <c r="AC412" s="6"/>
      <c r="AD412" s="6"/>
      <c r="AE412" s="6"/>
    </row>
    <row r="413" spans="1:31" x14ac:dyDescent="0.35">
      <c r="A413" s="6">
        <v>413</v>
      </c>
      <c r="B413" s="6" t="s">
        <v>6</v>
      </c>
      <c r="C413" s="10" t="s">
        <v>1</v>
      </c>
      <c r="D413" s="9" t="s">
        <v>1599</v>
      </c>
      <c r="E413" s="7">
        <f t="shared" si="13"/>
        <v>0</v>
      </c>
      <c r="F413" s="7">
        <f>-1*ROUND(1/6*(I413*IF(_xlfn.XLOOKUP(H413,'02效果表'!D:D,'02效果表'!E:E)&lt;0, _xlfn.XLOOKUP(H413,'02效果表'!D:D,'02效果表'!E:E), 0) +
K413*IF(_xlfn.XLOOKUP(J413,'02效果表'!D:D,'02效果表'!E:E)&lt;0, _xlfn.XLOOKUP(J413,'02效果表'!D:D,'02效果表'!E:E), 0) +
M413*IF(_xlfn.XLOOKUP(L413,'02效果表'!D:D,'02效果表'!E:E)&lt;0, _xlfn.XLOOKUP(L413,'02效果表'!D:D,'02效果表'!E:E), 0) +
O413*IF(_xlfn.XLOOKUP(N413,'02效果表'!D:D,'02效果表'!E:E)&lt;0, _xlfn.XLOOKUP(N413,'02效果表'!D:D,'02效果表'!E:E), 0) +
Q413*IF(_xlfn.XLOOKUP(P413,'02效果表'!D:D,'02效果表'!E:E)&lt;0, _xlfn.XLOOKUP(P413,'02效果表'!D:D,'02效果表'!E:E), 0) +
S413*IF(_xlfn.XLOOKUP(R413,'02效果表'!D:D,'02效果表'!E:E)&lt;0, _xlfn.XLOOKUP(R413,'02效果表'!D:D,'02效果表'!E:E), 0) +
U413*IF(_xlfn.XLOOKUP(T413,'02效果表'!D:D,'02效果表'!E:E)&lt;0, _xlfn.XLOOKUP(T413,'02效果表'!D:D,'02效果表'!E:E), 0) +
W413*IF(_xlfn.XLOOKUP(V413,'02效果表'!D:D,'02效果表'!E:E)&lt;0, _xlfn.XLOOKUP(V413,'02效果表'!D:D,'02效果表'!E:E), 0) +
Y413*IF(_xlfn.XLOOKUP(X413,'02效果表'!D:D,'02效果表'!E:E)&lt;0, _xlfn.XLOOKUP(X413,'02效果表'!D:D,'02效果表'!E:E), 0) +
AA413*IF(_xlfn.XLOOKUP(Z413,'02效果表'!D:D,'02效果表'!E:E)&lt;0, _xlfn.XLOOKUP(Z413,'02效果表'!D:D,'02效果表'!E:E), 0) +
AC413*IF(_xlfn.XLOOKUP(AB413,'02效果表'!D:D,'02效果表'!E:E)&lt;0, _xlfn.XLOOKUP(AB413,'02效果表'!D:D,'02效果表'!E:E), 0) +
AE413*IF(_xlfn.XLOOKUP(AD413,'02效果表'!D:D,'02效果表'!E:E)&lt;0, _xlfn.XLOOKUP(AD413,'02效果表'!D:D,'02效果表'!E:E), 0)), 1)</f>
        <v>0</v>
      </c>
      <c r="G413" s="7">
        <f>ROUND(1/6*(I413*MAX(_xlfn.XLOOKUP(H413,'02效果表'!D:D,'02效果表'!E:E),0)+K413*MAX(_xlfn.XLOOKUP(J413,'02效果表'!D:D,'02效果表'!E:E),0)+M413*MAX(_xlfn.XLOOKUP(L413,'02效果表'!D:D,'02效果表'!E:E),0)+O413*MAX(_xlfn.XLOOKUP(N413,'02效果表'!D:D,'02效果表'!E:E),0)+Q413*MAX(_xlfn.XLOOKUP(P413,'02效果表'!D:D,'02效果表'!E:E),0)+S413*MAX(_xlfn.XLOOKUP(R413,'02效果表'!D:D,'02效果表'!E:E),0)+U413*MAX(_xlfn.XLOOKUP(T413,'02效果表'!D:D,'02效果表'!E:E),0)+W413*MAX(_xlfn.XLOOKUP(V413,'02效果表'!D:D,'02效果表'!E:E),0)+Y413*MAX(_xlfn.XLOOKUP(X413,'02效果表'!D:D,'02效果表'!E:E),0)+AA413*MAX(_xlfn.XLOOKUP(Z413,'02效果表'!D:D,'02效果表'!E:E),0)+AC413*MAX(_xlfn.XLOOKUP(AB413,'02效果表'!D:D,'02效果表'!E:E),0)+AE413*MAX(_xlfn.XLOOKUP(AD413,'02效果表'!D:D,'02效果表'!E:E),0)),1)</f>
        <v>0</v>
      </c>
      <c r="H413" s="6"/>
      <c r="I413" s="6"/>
      <c r="J413" s="6"/>
      <c r="K413" s="6"/>
      <c r="L413" s="6"/>
      <c r="M413" s="6"/>
      <c r="N413" s="6"/>
      <c r="O413" s="6"/>
      <c r="P413" s="6"/>
      <c r="Q413" s="6"/>
      <c r="R413" s="6"/>
      <c r="S413" s="6"/>
      <c r="T413" s="6"/>
      <c r="U413" s="6"/>
      <c r="V413" s="6"/>
      <c r="W413" s="6"/>
      <c r="X413" s="6"/>
      <c r="Y413" s="6"/>
      <c r="Z413" s="6"/>
      <c r="AA413" s="6"/>
      <c r="AB413" s="6"/>
      <c r="AC413" s="6"/>
      <c r="AD413" s="6"/>
      <c r="AE413" s="6"/>
    </row>
    <row r="414" spans="1:31" x14ac:dyDescent="0.35">
      <c r="A414" s="6">
        <v>414</v>
      </c>
      <c r="B414" s="6" t="s">
        <v>6</v>
      </c>
      <c r="C414" s="10" t="s">
        <v>1</v>
      </c>
      <c r="D414" s="9" t="s">
        <v>1600</v>
      </c>
      <c r="E414" s="7">
        <f t="shared" si="13"/>
        <v>0</v>
      </c>
      <c r="F414" s="7">
        <f>-1*ROUND(1/6*(I414*IF(_xlfn.XLOOKUP(H414,'02效果表'!D:D,'02效果表'!E:E)&lt;0, _xlfn.XLOOKUP(H414,'02效果表'!D:D,'02效果表'!E:E), 0) +
K414*IF(_xlfn.XLOOKUP(J414,'02效果表'!D:D,'02效果表'!E:E)&lt;0, _xlfn.XLOOKUP(J414,'02效果表'!D:D,'02效果表'!E:E), 0) +
M414*IF(_xlfn.XLOOKUP(L414,'02效果表'!D:D,'02效果表'!E:E)&lt;0, _xlfn.XLOOKUP(L414,'02效果表'!D:D,'02效果表'!E:E), 0) +
O414*IF(_xlfn.XLOOKUP(N414,'02效果表'!D:D,'02效果表'!E:E)&lt;0, _xlfn.XLOOKUP(N414,'02效果表'!D:D,'02效果表'!E:E), 0) +
Q414*IF(_xlfn.XLOOKUP(P414,'02效果表'!D:D,'02效果表'!E:E)&lt;0, _xlfn.XLOOKUP(P414,'02效果表'!D:D,'02效果表'!E:E), 0) +
S414*IF(_xlfn.XLOOKUP(R414,'02效果表'!D:D,'02效果表'!E:E)&lt;0, _xlfn.XLOOKUP(R414,'02效果表'!D:D,'02效果表'!E:E), 0) +
U414*IF(_xlfn.XLOOKUP(T414,'02效果表'!D:D,'02效果表'!E:E)&lt;0, _xlfn.XLOOKUP(T414,'02效果表'!D:D,'02效果表'!E:E), 0) +
W414*IF(_xlfn.XLOOKUP(V414,'02效果表'!D:D,'02效果表'!E:E)&lt;0, _xlfn.XLOOKUP(V414,'02效果表'!D:D,'02效果表'!E:E), 0) +
Y414*IF(_xlfn.XLOOKUP(X414,'02效果表'!D:D,'02效果表'!E:E)&lt;0, _xlfn.XLOOKUP(X414,'02效果表'!D:D,'02效果表'!E:E), 0) +
AA414*IF(_xlfn.XLOOKUP(Z414,'02效果表'!D:D,'02效果表'!E:E)&lt;0, _xlfn.XLOOKUP(Z414,'02效果表'!D:D,'02效果表'!E:E), 0) +
AC414*IF(_xlfn.XLOOKUP(AB414,'02效果表'!D:D,'02效果表'!E:E)&lt;0, _xlfn.XLOOKUP(AB414,'02效果表'!D:D,'02效果表'!E:E), 0) +
AE414*IF(_xlfn.XLOOKUP(AD414,'02效果表'!D:D,'02效果表'!E:E)&lt;0, _xlfn.XLOOKUP(AD414,'02效果表'!D:D,'02效果表'!E:E), 0)), 1)</f>
        <v>0</v>
      </c>
      <c r="G414" s="7">
        <f>ROUND(1/6*(I414*MAX(_xlfn.XLOOKUP(H414,'02效果表'!D:D,'02效果表'!E:E),0)+K414*MAX(_xlfn.XLOOKUP(J414,'02效果表'!D:D,'02效果表'!E:E),0)+M414*MAX(_xlfn.XLOOKUP(L414,'02效果表'!D:D,'02效果表'!E:E),0)+O414*MAX(_xlfn.XLOOKUP(N414,'02效果表'!D:D,'02效果表'!E:E),0)+Q414*MAX(_xlfn.XLOOKUP(P414,'02效果表'!D:D,'02效果表'!E:E),0)+S414*MAX(_xlfn.XLOOKUP(R414,'02效果表'!D:D,'02效果表'!E:E),0)+U414*MAX(_xlfn.XLOOKUP(T414,'02效果表'!D:D,'02效果表'!E:E),0)+W414*MAX(_xlfn.XLOOKUP(V414,'02效果表'!D:D,'02效果表'!E:E),0)+Y414*MAX(_xlfn.XLOOKUP(X414,'02效果表'!D:D,'02效果表'!E:E),0)+AA414*MAX(_xlfn.XLOOKUP(Z414,'02效果表'!D:D,'02效果表'!E:E),0)+AC414*MAX(_xlfn.XLOOKUP(AB414,'02效果表'!D:D,'02效果表'!E:E),0)+AE414*MAX(_xlfn.XLOOKUP(AD414,'02效果表'!D:D,'02效果表'!E:E),0)),1)</f>
        <v>0</v>
      </c>
      <c r="H414" s="6"/>
      <c r="I414" s="6"/>
      <c r="J414" s="6"/>
      <c r="K414" s="6"/>
      <c r="L414" s="6"/>
      <c r="M414" s="6"/>
      <c r="N414" s="6"/>
      <c r="O414" s="6"/>
      <c r="P414" s="6"/>
      <c r="Q414" s="6"/>
      <c r="R414" s="6"/>
      <c r="S414" s="6"/>
      <c r="T414" s="6"/>
      <c r="U414" s="6"/>
      <c r="V414" s="6"/>
      <c r="W414" s="6"/>
      <c r="X414" s="6"/>
      <c r="Y414" s="6"/>
      <c r="Z414" s="6"/>
      <c r="AA414" s="6"/>
      <c r="AB414" s="6"/>
      <c r="AC414" s="6"/>
      <c r="AD414" s="6"/>
      <c r="AE414" s="6"/>
    </row>
    <row r="415" spans="1:31" x14ac:dyDescent="0.35">
      <c r="A415" s="6">
        <v>415</v>
      </c>
      <c r="B415" s="6" t="s">
        <v>6</v>
      </c>
      <c r="C415" s="10" t="s">
        <v>1</v>
      </c>
      <c r="D415" s="9" t="s">
        <v>1601</v>
      </c>
      <c r="E415" s="7">
        <f t="shared" si="13"/>
        <v>0</v>
      </c>
      <c r="F415" s="7">
        <f>-1*ROUND(1/6*(I415*IF(_xlfn.XLOOKUP(H415,'02效果表'!D:D,'02效果表'!E:E)&lt;0, _xlfn.XLOOKUP(H415,'02效果表'!D:D,'02效果表'!E:E), 0) +
K415*IF(_xlfn.XLOOKUP(J415,'02效果表'!D:D,'02效果表'!E:E)&lt;0, _xlfn.XLOOKUP(J415,'02效果表'!D:D,'02效果表'!E:E), 0) +
M415*IF(_xlfn.XLOOKUP(L415,'02效果表'!D:D,'02效果表'!E:E)&lt;0, _xlfn.XLOOKUP(L415,'02效果表'!D:D,'02效果表'!E:E), 0) +
O415*IF(_xlfn.XLOOKUP(N415,'02效果表'!D:D,'02效果表'!E:E)&lt;0, _xlfn.XLOOKUP(N415,'02效果表'!D:D,'02效果表'!E:E), 0) +
Q415*IF(_xlfn.XLOOKUP(P415,'02效果表'!D:D,'02效果表'!E:E)&lt;0, _xlfn.XLOOKUP(P415,'02效果表'!D:D,'02效果表'!E:E), 0) +
S415*IF(_xlfn.XLOOKUP(R415,'02效果表'!D:D,'02效果表'!E:E)&lt;0, _xlfn.XLOOKUP(R415,'02效果表'!D:D,'02效果表'!E:E), 0) +
U415*IF(_xlfn.XLOOKUP(T415,'02效果表'!D:D,'02效果表'!E:E)&lt;0, _xlfn.XLOOKUP(T415,'02效果表'!D:D,'02效果表'!E:E), 0) +
W415*IF(_xlfn.XLOOKUP(V415,'02效果表'!D:D,'02效果表'!E:E)&lt;0, _xlfn.XLOOKUP(V415,'02效果表'!D:D,'02效果表'!E:E), 0) +
Y415*IF(_xlfn.XLOOKUP(X415,'02效果表'!D:D,'02效果表'!E:E)&lt;0, _xlfn.XLOOKUP(X415,'02效果表'!D:D,'02效果表'!E:E), 0) +
AA415*IF(_xlfn.XLOOKUP(Z415,'02效果表'!D:D,'02效果表'!E:E)&lt;0, _xlfn.XLOOKUP(Z415,'02效果表'!D:D,'02效果表'!E:E), 0) +
AC415*IF(_xlfn.XLOOKUP(AB415,'02效果表'!D:D,'02效果表'!E:E)&lt;0, _xlfn.XLOOKUP(AB415,'02效果表'!D:D,'02效果表'!E:E), 0) +
AE415*IF(_xlfn.XLOOKUP(AD415,'02效果表'!D:D,'02效果表'!E:E)&lt;0, _xlfn.XLOOKUP(AD415,'02效果表'!D:D,'02效果表'!E:E), 0)), 1)</f>
        <v>0</v>
      </c>
      <c r="G415" s="7">
        <f>ROUND(1/6*(I415*MAX(_xlfn.XLOOKUP(H415,'02效果表'!D:D,'02效果表'!E:E),0)+K415*MAX(_xlfn.XLOOKUP(J415,'02效果表'!D:D,'02效果表'!E:E),0)+M415*MAX(_xlfn.XLOOKUP(L415,'02效果表'!D:D,'02效果表'!E:E),0)+O415*MAX(_xlfn.XLOOKUP(N415,'02效果表'!D:D,'02效果表'!E:E),0)+Q415*MAX(_xlfn.XLOOKUP(P415,'02效果表'!D:D,'02效果表'!E:E),0)+S415*MAX(_xlfn.XLOOKUP(R415,'02效果表'!D:D,'02效果表'!E:E),0)+U415*MAX(_xlfn.XLOOKUP(T415,'02效果表'!D:D,'02效果表'!E:E),0)+W415*MAX(_xlfn.XLOOKUP(V415,'02效果表'!D:D,'02效果表'!E:E),0)+Y415*MAX(_xlfn.XLOOKUP(X415,'02效果表'!D:D,'02效果表'!E:E),0)+AA415*MAX(_xlfn.XLOOKUP(Z415,'02效果表'!D:D,'02效果表'!E:E),0)+AC415*MAX(_xlfn.XLOOKUP(AB415,'02效果表'!D:D,'02效果表'!E:E),0)+AE415*MAX(_xlfn.XLOOKUP(AD415,'02效果表'!D:D,'02效果表'!E:E),0)),1)</f>
        <v>0</v>
      </c>
      <c r="H415" s="6"/>
      <c r="I415" s="6"/>
      <c r="J415" s="6"/>
      <c r="K415" s="6"/>
      <c r="L415" s="6"/>
      <c r="M415" s="6"/>
      <c r="N415" s="6"/>
      <c r="O415" s="6"/>
      <c r="P415" s="6"/>
      <c r="Q415" s="6"/>
      <c r="R415" s="6"/>
      <c r="S415" s="6"/>
      <c r="T415" s="6"/>
      <c r="U415" s="6"/>
      <c r="V415" s="6"/>
      <c r="W415" s="6"/>
      <c r="X415" s="6"/>
      <c r="Y415" s="6"/>
      <c r="Z415" s="6"/>
      <c r="AA415" s="6"/>
      <c r="AB415" s="6"/>
      <c r="AC415" s="6"/>
      <c r="AD415" s="6"/>
      <c r="AE415" s="6"/>
    </row>
    <row r="416" spans="1:31" x14ac:dyDescent="0.35">
      <c r="A416" s="6">
        <v>416</v>
      </c>
      <c r="B416" s="6" t="s">
        <v>6</v>
      </c>
      <c r="C416" s="10" t="s">
        <v>1</v>
      </c>
      <c r="D416" s="9" t="s">
        <v>1602</v>
      </c>
      <c r="E416" s="7">
        <f t="shared" si="13"/>
        <v>0</v>
      </c>
      <c r="F416" s="7">
        <f>-1*ROUND(1/6*(I416*IF(_xlfn.XLOOKUP(H416,'02效果表'!D:D,'02效果表'!E:E)&lt;0, _xlfn.XLOOKUP(H416,'02效果表'!D:D,'02效果表'!E:E), 0) +
K416*IF(_xlfn.XLOOKUP(J416,'02效果表'!D:D,'02效果表'!E:E)&lt;0, _xlfn.XLOOKUP(J416,'02效果表'!D:D,'02效果表'!E:E), 0) +
M416*IF(_xlfn.XLOOKUP(L416,'02效果表'!D:D,'02效果表'!E:E)&lt;0, _xlfn.XLOOKUP(L416,'02效果表'!D:D,'02效果表'!E:E), 0) +
O416*IF(_xlfn.XLOOKUP(N416,'02效果表'!D:D,'02效果表'!E:E)&lt;0, _xlfn.XLOOKUP(N416,'02效果表'!D:D,'02效果表'!E:E), 0) +
Q416*IF(_xlfn.XLOOKUP(P416,'02效果表'!D:D,'02效果表'!E:E)&lt;0, _xlfn.XLOOKUP(P416,'02效果表'!D:D,'02效果表'!E:E), 0) +
S416*IF(_xlfn.XLOOKUP(R416,'02效果表'!D:D,'02效果表'!E:E)&lt;0, _xlfn.XLOOKUP(R416,'02效果表'!D:D,'02效果表'!E:E), 0) +
U416*IF(_xlfn.XLOOKUP(T416,'02效果表'!D:D,'02效果表'!E:E)&lt;0, _xlfn.XLOOKUP(T416,'02效果表'!D:D,'02效果表'!E:E), 0) +
W416*IF(_xlfn.XLOOKUP(V416,'02效果表'!D:D,'02效果表'!E:E)&lt;0, _xlfn.XLOOKUP(V416,'02效果表'!D:D,'02效果表'!E:E), 0) +
Y416*IF(_xlfn.XLOOKUP(X416,'02效果表'!D:D,'02效果表'!E:E)&lt;0, _xlfn.XLOOKUP(X416,'02效果表'!D:D,'02效果表'!E:E), 0) +
AA416*IF(_xlfn.XLOOKUP(Z416,'02效果表'!D:D,'02效果表'!E:E)&lt;0, _xlfn.XLOOKUP(Z416,'02效果表'!D:D,'02效果表'!E:E), 0) +
AC416*IF(_xlfn.XLOOKUP(AB416,'02效果表'!D:D,'02效果表'!E:E)&lt;0, _xlfn.XLOOKUP(AB416,'02效果表'!D:D,'02效果表'!E:E), 0) +
AE416*IF(_xlfn.XLOOKUP(AD416,'02效果表'!D:D,'02效果表'!E:E)&lt;0, _xlfn.XLOOKUP(AD416,'02效果表'!D:D,'02效果表'!E:E), 0)), 1)</f>
        <v>0</v>
      </c>
      <c r="G416" s="7">
        <f>ROUND(1/6*(I416*MAX(_xlfn.XLOOKUP(H416,'02效果表'!D:D,'02效果表'!E:E),0)+K416*MAX(_xlfn.XLOOKUP(J416,'02效果表'!D:D,'02效果表'!E:E),0)+M416*MAX(_xlfn.XLOOKUP(L416,'02效果表'!D:D,'02效果表'!E:E),0)+O416*MAX(_xlfn.XLOOKUP(N416,'02效果表'!D:D,'02效果表'!E:E),0)+Q416*MAX(_xlfn.XLOOKUP(P416,'02效果表'!D:D,'02效果表'!E:E),0)+S416*MAX(_xlfn.XLOOKUP(R416,'02效果表'!D:D,'02效果表'!E:E),0)+U416*MAX(_xlfn.XLOOKUP(T416,'02效果表'!D:D,'02效果表'!E:E),0)+W416*MAX(_xlfn.XLOOKUP(V416,'02效果表'!D:D,'02效果表'!E:E),0)+Y416*MAX(_xlfn.XLOOKUP(X416,'02效果表'!D:D,'02效果表'!E:E),0)+AA416*MAX(_xlfn.XLOOKUP(Z416,'02效果表'!D:D,'02效果表'!E:E),0)+AC416*MAX(_xlfn.XLOOKUP(AB416,'02效果表'!D:D,'02效果表'!E:E),0)+AE416*MAX(_xlfn.XLOOKUP(AD416,'02效果表'!D:D,'02效果表'!E:E),0)),1)</f>
        <v>0</v>
      </c>
      <c r="H416" s="6"/>
      <c r="I416" s="6"/>
      <c r="J416" s="6"/>
      <c r="K416" s="6"/>
      <c r="L416" s="6"/>
      <c r="M416" s="6"/>
      <c r="N416" s="6"/>
      <c r="O416" s="6"/>
      <c r="P416" s="6"/>
      <c r="Q416" s="6"/>
      <c r="R416" s="6"/>
      <c r="S416" s="6"/>
      <c r="T416" s="6"/>
      <c r="U416" s="6"/>
      <c r="V416" s="6"/>
      <c r="W416" s="6"/>
      <c r="X416" s="6"/>
      <c r="Y416" s="6"/>
      <c r="Z416" s="6"/>
      <c r="AA416" s="6"/>
      <c r="AB416" s="6"/>
      <c r="AC416" s="6"/>
      <c r="AD416" s="6"/>
      <c r="AE416" s="6"/>
    </row>
    <row r="417" spans="1:31" x14ac:dyDescent="0.35">
      <c r="A417" s="6">
        <v>417</v>
      </c>
      <c r="B417" s="6" t="s">
        <v>6</v>
      </c>
      <c r="C417" s="10" t="s">
        <v>1</v>
      </c>
      <c r="D417" s="9" t="s">
        <v>1603</v>
      </c>
      <c r="E417" s="7">
        <f t="shared" si="13"/>
        <v>0</v>
      </c>
      <c r="F417" s="7">
        <f>-1*ROUND(1/6*(I417*IF(_xlfn.XLOOKUP(H417,'02效果表'!D:D,'02效果表'!E:E)&lt;0, _xlfn.XLOOKUP(H417,'02效果表'!D:D,'02效果表'!E:E), 0) +
K417*IF(_xlfn.XLOOKUP(J417,'02效果表'!D:D,'02效果表'!E:E)&lt;0, _xlfn.XLOOKUP(J417,'02效果表'!D:D,'02效果表'!E:E), 0) +
M417*IF(_xlfn.XLOOKUP(L417,'02效果表'!D:D,'02效果表'!E:E)&lt;0, _xlfn.XLOOKUP(L417,'02效果表'!D:D,'02效果表'!E:E), 0) +
O417*IF(_xlfn.XLOOKUP(N417,'02效果表'!D:D,'02效果表'!E:E)&lt;0, _xlfn.XLOOKUP(N417,'02效果表'!D:D,'02效果表'!E:E), 0) +
Q417*IF(_xlfn.XLOOKUP(P417,'02效果表'!D:D,'02效果表'!E:E)&lt;0, _xlfn.XLOOKUP(P417,'02效果表'!D:D,'02效果表'!E:E), 0) +
S417*IF(_xlfn.XLOOKUP(R417,'02效果表'!D:D,'02效果表'!E:E)&lt;0, _xlfn.XLOOKUP(R417,'02效果表'!D:D,'02效果表'!E:E), 0) +
U417*IF(_xlfn.XLOOKUP(T417,'02效果表'!D:D,'02效果表'!E:E)&lt;0, _xlfn.XLOOKUP(T417,'02效果表'!D:D,'02效果表'!E:E), 0) +
W417*IF(_xlfn.XLOOKUP(V417,'02效果表'!D:D,'02效果表'!E:E)&lt;0, _xlfn.XLOOKUP(V417,'02效果表'!D:D,'02效果表'!E:E), 0) +
Y417*IF(_xlfn.XLOOKUP(X417,'02效果表'!D:D,'02效果表'!E:E)&lt;0, _xlfn.XLOOKUP(X417,'02效果表'!D:D,'02效果表'!E:E), 0) +
AA417*IF(_xlfn.XLOOKUP(Z417,'02效果表'!D:D,'02效果表'!E:E)&lt;0, _xlfn.XLOOKUP(Z417,'02效果表'!D:D,'02效果表'!E:E), 0) +
AC417*IF(_xlfn.XLOOKUP(AB417,'02效果表'!D:D,'02效果表'!E:E)&lt;0, _xlfn.XLOOKUP(AB417,'02效果表'!D:D,'02效果表'!E:E), 0) +
AE417*IF(_xlfn.XLOOKUP(AD417,'02效果表'!D:D,'02效果表'!E:E)&lt;0, _xlfn.XLOOKUP(AD417,'02效果表'!D:D,'02效果表'!E:E), 0)), 1)</f>
        <v>0</v>
      </c>
      <c r="G417" s="7">
        <f>ROUND(1/6*(I417*MAX(_xlfn.XLOOKUP(H417,'02效果表'!D:D,'02效果表'!E:E),0)+K417*MAX(_xlfn.XLOOKUP(J417,'02效果表'!D:D,'02效果表'!E:E),0)+M417*MAX(_xlfn.XLOOKUP(L417,'02效果表'!D:D,'02效果表'!E:E),0)+O417*MAX(_xlfn.XLOOKUP(N417,'02效果表'!D:D,'02效果表'!E:E),0)+Q417*MAX(_xlfn.XLOOKUP(P417,'02效果表'!D:D,'02效果表'!E:E),0)+S417*MAX(_xlfn.XLOOKUP(R417,'02效果表'!D:D,'02效果表'!E:E),0)+U417*MAX(_xlfn.XLOOKUP(T417,'02效果表'!D:D,'02效果表'!E:E),0)+W417*MAX(_xlfn.XLOOKUP(V417,'02效果表'!D:D,'02效果表'!E:E),0)+Y417*MAX(_xlfn.XLOOKUP(X417,'02效果表'!D:D,'02效果表'!E:E),0)+AA417*MAX(_xlfn.XLOOKUP(Z417,'02效果表'!D:D,'02效果表'!E:E),0)+AC417*MAX(_xlfn.XLOOKUP(AB417,'02效果表'!D:D,'02效果表'!E:E),0)+AE417*MAX(_xlfn.XLOOKUP(AD417,'02效果表'!D:D,'02效果表'!E:E),0)),1)</f>
        <v>0</v>
      </c>
      <c r="H417" s="6"/>
      <c r="I417" s="6"/>
      <c r="J417" s="6"/>
      <c r="K417" s="6"/>
      <c r="L417" s="6"/>
      <c r="M417" s="6"/>
      <c r="N417" s="6"/>
      <c r="O417" s="6"/>
      <c r="P417" s="6"/>
      <c r="Q417" s="6"/>
      <c r="R417" s="6"/>
      <c r="S417" s="6"/>
      <c r="T417" s="6"/>
      <c r="U417" s="6"/>
      <c r="V417" s="6"/>
      <c r="W417" s="6"/>
      <c r="X417" s="6"/>
      <c r="Y417" s="6"/>
      <c r="Z417" s="6"/>
      <c r="AA417" s="6"/>
      <c r="AB417" s="6"/>
      <c r="AC417" s="6"/>
      <c r="AD417" s="6"/>
      <c r="AE417" s="6"/>
    </row>
    <row r="418" spans="1:31" x14ac:dyDescent="0.35">
      <c r="A418" s="6">
        <v>418</v>
      </c>
      <c r="B418" s="6" t="s">
        <v>6</v>
      </c>
      <c r="C418" s="10" t="s">
        <v>1</v>
      </c>
      <c r="D418" s="9"/>
      <c r="E418" s="7">
        <f t="shared" si="13"/>
        <v>0</v>
      </c>
      <c r="F418" s="7">
        <f>-1*ROUND(1/6*(I418*IF(_xlfn.XLOOKUP(H418,'02效果表'!D:D,'02效果表'!E:E)&lt;0, _xlfn.XLOOKUP(H418,'02效果表'!D:D,'02效果表'!E:E), 0) +
K418*IF(_xlfn.XLOOKUP(J418,'02效果表'!D:D,'02效果表'!E:E)&lt;0, _xlfn.XLOOKUP(J418,'02效果表'!D:D,'02效果表'!E:E), 0) +
M418*IF(_xlfn.XLOOKUP(L418,'02效果表'!D:D,'02效果表'!E:E)&lt;0, _xlfn.XLOOKUP(L418,'02效果表'!D:D,'02效果表'!E:E), 0) +
O418*IF(_xlfn.XLOOKUP(N418,'02效果表'!D:D,'02效果表'!E:E)&lt;0, _xlfn.XLOOKUP(N418,'02效果表'!D:D,'02效果表'!E:E), 0) +
Q418*IF(_xlfn.XLOOKUP(P418,'02效果表'!D:D,'02效果表'!E:E)&lt;0, _xlfn.XLOOKUP(P418,'02效果表'!D:D,'02效果表'!E:E), 0) +
S418*IF(_xlfn.XLOOKUP(R418,'02效果表'!D:D,'02效果表'!E:E)&lt;0, _xlfn.XLOOKUP(R418,'02效果表'!D:D,'02效果表'!E:E), 0) +
U418*IF(_xlfn.XLOOKUP(T418,'02效果表'!D:D,'02效果表'!E:E)&lt;0, _xlfn.XLOOKUP(T418,'02效果表'!D:D,'02效果表'!E:E), 0) +
W418*IF(_xlfn.XLOOKUP(V418,'02效果表'!D:D,'02效果表'!E:E)&lt;0, _xlfn.XLOOKUP(V418,'02效果表'!D:D,'02效果表'!E:E), 0) +
Y418*IF(_xlfn.XLOOKUP(X418,'02效果表'!D:D,'02效果表'!E:E)&lt;0, _xlfn.XLOOKUP(X418,'02效果表'!D:D,'02效果表'!E:E), 0) +
AA418*IF(_xlfn.XLOOKUP(Z418,'02效果表'!D:D,'02效果表'!E:E)&lt;0, _xlfn.XLOOKUP(Z418,'02效果表'!D:D,'02效果表'!E:E), 0) +
AC418*IF(_xlfn.XLOOKUP(AB418,'02效果表'!D:D,'02效果表'!E:E)&lt;0, _xlfn.XLOOKUP(AB418,'02效果表'!D:D,'02效果表'!E:E), 0) +
AE418*IF(_xlfn.XLOOKUP(AD418,'02效果表'!D:D,'02效果表'!E:E)&lt;0, _xlfn.XLOOKUP(AD418,'02效果表'!D:D,'02效果表'!E:E), 0)), 1)</f>
        <v>0</v>
      </c>
      <c r="G418" s="7">
        <f>ROUND(1/6*(I418*MAX(_xlfn.XLOOKUP(H418,'02效果表'!D:D,'02效果表'!E:E),0)+K418*MAX(_xlfn.XLOOKUP(J418,'02效果表'!D:D,'02效果表'!E:E),0)+M418*MAX(_xlfn.XLOOKUP(L418,'02效果表'!D:D,'02效果表'!E:E),0)+O418*MAX(_xlfn.XLOOKUP(N418,'02效果表'!D:D,'02效果表'!E:E),0)+Q418*MAX(_xlfn.XLOOKUP(P418,'02效果表'!D:D,'02效果表'!E:E),0)+S418*MAX(_xlfn.XLOOKUP(R418,'02效果表'!D:D,'02效果表'!E:E),0)+U418*MAX(_xlfn.XLOOKUP(T418,'02效果表'!D:D,'02效果表'!E:E),0)+W418*MAX(_xlfn.XLOOKUP(V418,'02效果表'!D:D,'02效果表'!E:E),0)+Y418*MAX(_xlfn.XLOOKUP(X418,'02效果表'!D:D,'02效果表'!E:E),0)+AA418*MAX(_xlfn.XLOOKUP(Z418,'02效果表'!D:D,'02效果表'!E:E),0)+AC418*MAX(_xlfn.XLOOKUP(AB418,'02效果表'!D:D,'02效果表'!E:E),0)+AE418*MAX(_xlfn.XLOOKUP(AD418,'02效果表'!D:D,'02效果表'!E:E),0)),1)</f>
        <v>0</v>
      </c>
      <c r="H418" s="6"/>
      <c r="I418" s="6"/>
      <c r="J418" s="6"/>
      <c r="K418" s="6"/>
      <c r="L418" s="6"/>
      <c r="M418" s="6"/>
      <c r="N418" s="6"/>
      <c r="O418" s="6"/>
      <c r="P418" s="6"/>
      <c r="Q418" s="6"/>
      <c r="R418" s="6"/>
      <c r="S418" s="6"/>
      <c r="T418" s="6"/>
      <c r="U418" s="6"/>
      <c r="V418" s="6"/>
      <c r="W418" s="6"/>
      <c r="X418" s="6"/>
      <c r="Y418" s="6"/>
      <c r="Z418" s="6"/>
      <c r="AA418" s="6"/>
      <c r="AB418" s="6"/>
      <c r="AC418" s="6"/>
      <c r="AD418" s="6"/>
      <c r="AE418" s="6"/>
    </row>
    <row r="419" spans="1:31" x14ac:dyDescent="0.35">
      <c r="A419" s="6">
        <v>419</v>
      </c>
      <c r="B419" s="6" t="s">
        <v>6</v>
      </c>
      <c r="C419" s="10" t="s">
        <v>1</v>
      </c>
      <c r="D419" s="9"/>
      <c r="E419" s="7">
        <f t="shared" si="13"/>
        <v>0</v>
      </c>
      <c r="F419" s="7">
        <f>-1*ROUND(1/6*(I419*IF(_xlfn.XLOOKUP(H419,'02效果表'!D:D,'02效果表'!E:E)&lt;0, _xlfn.XLOOKUP(H419,'02效果表'!D:D,'02效果表'!E:E), 0) +
K419*IF(_xlfn.XLOOKUP(J419,'02效果表'!D:D,'02效果表'!E:E)&lt;0, _xlfn.XLOOKUP(J419,'02效果表'!D:D,'02效果表'!E:E), 0) +
M419*IF(_xlfn.XLOOKUP(L419,'02效果表'!D:D,'02效果表'!E:E)&lt;0, _xlfn.XLOOKUP(L419,'02效果表'!D:D,'02效果表'!E:E), 0) +
O419*IF(_xlfn.XLOOKUP(N419,'02效果表'!D:D,'02效果表'!E:E)&lt;0, _xlfn.XLOOKUP(N419,'02效果表'!D:D,'02效果表'!E:E), 0) +
Q419*IF(_xlfn.XLOOKUP(P419,'02效果表'!D:D,'02效果表'!E:E)&lt;0, _xlfn.XLOOKUP(P419,'02效果表'!D:D,'02效果表'!E:E), 0) +
S419*IF(_xlfn.XLOOKUP(R419,'02效果表'!D:D,'02效果表'!E:E)&lt;0, _xlfn.XLOOKUP(R419,'02效果表'!D:D,'02效果表'!E:E), 0) +
U419*IF(_xlfn.XLOOKUP(T419,'02效果表'!D:D,'02效果表'!E:E)&lt;0, _xlfn.XLOOKUP(T419,'02效果表'!D:D,'02效果表'!E:E), 0) +
W419*IF(_xlfn.XLOOKUP(V419,'02效果表'!D:D,'02效果表'!E:E)&lt;0, _xlfn.XLOOKUP(V419,'02效果表'!D:D,'02效果表'!E:E), 0) +
Y419*IF(_xlfn.XLOOKUP(X419,'02效果表'!D:D,'02效果表'!E:E)&lt;0, _xlfn.XLOOKUP(X419,'02效果表'!D:D,'02效果表'!E:E), 0) +
AA419*IF(_xlfn.XLOOKUP(Z419,'02效果表'!D:D,'02效果表'!E:E)&lt;0, _xlfn.XLOOKUP(Z419,'02效果表'!D:D,'02效果表'!E:E), 0) +
AC419*IF(_xlfn.XLOOKUP(AB419,'02效果表'!D:D,'02效果表'!E:E)&lt;0, _xlfn.XLOOKUP(AB419,'02效果表'!D:D,'02效果表'!E:E), 0) +
AE419*IF(_xlfn.XLOOKUP(AD419,'02效果表'!D:D,'02效果表'!E:E)&lt;0, _xlfn.XLOOKUP(AD419,'02效果表'!D:D,'02效果表'!E:E), 0)), 1)</f>
        <v>0</v>
      </c>
      <c r="G419" s="7">
        <f>ROUND(1/6*(I419*MAX(_xlfn.XLOOKUP(H419,'02效果表'!D:D,'02效果表'!E:E),0)+K419*MAX(_xlfn.XLOOKUP(J419,'02效果表'!D:D,'02效果表'!E:E),0)+M419*MAX(_xlfn.XLOOKUP(L419,'02效果表'!D:D,'02效果表'!E:E),0)+O419*MAX(_xlfn.XLOOKUP(N419,'02效果表'!D:D,'02效果表'!E:E),0)+Q419*MAX(_xlfn.XLOOKUP(P419,'02效果表'!D:D,'02效果表'!E:E),0)+S419*MAX(_xlfn.XLOOKUP(R419,'02效果表'!D:D,'02效果表'!E:E),0)+U419*MAX(_xlfn.XLOOKUP(T419,'02效果表'!D:D,'02效果表'!E:E),0)+W419*MAX(_xlfn.XLOOKUP(V419,'02效果表'!D:D,'02效果表'!E:E),0)+Y419*MAX(_xlfn.XLOOKUP(X419,'02效果表'!D:D,'02效果表'!E:E),0)+AA419*MAX(_xlfn.XLOOKUP(Z419,'02效果表'!D:D,'02效果表'!E:E),0)+AC419*MAX(_xlfn.XLOOKUP(AB419,'02效果表'!D:D,'02效果表'!E:E),0)+AE419*MAX(_xlfn.XLOOKUP(AD419,'02效果表'!D:D,'02效果表'!E:E),0)),1)</f>
        <v>0</v>
      </c>
      <c r="H419" s="6"/>
      <c r="I419" s="6"/>
      <c r="J419" s="6"/>
      <c r="K419" s="6"/>
      <c r="L419" s="6"/>
      <c r="M419" s="6"/>
      <c r="N419" s="6"/>
      <c r="O419" s="6"/>
      <c r="P419" s="6"/>
      <c r="Q419" s="6"/>
      <c r="R419" s="6"/>
      <c r="S419" s="6"/>
      <c r="T419" s="6"/>
      <c r="U419" s="6"/>
      <c r="V419" s="6"/>
      <c r="W419" s="6"/>
      <c r="X419" s="6"/>
      <c r="Y419" s="6"/>
      <c r="Z419" s="6"/>
      <c r="AA419" s="6"/>
      <c r="AB419" s="6"/>
      <c r="AC419" s="6"/>
      <c r="AD419" s="6"/>
      <c r="AE419" s="6"/>
    </row>
    <row r="420" spans="1:31" x14ac:dyDescent="0.35">
      <c r="A420" s="6">
        <v>420</v>
      </c>
      <c r="B420" s="6" t="s">
        <v>6</v>
      </c>
      <c r="C420" s="10" t="s">
        <v>1</v>
      </c>
      <c r="D420" s="9"/>
      <c r="E420" s="7">
        <f t="shared" si="13"/>
        <v>0</v>
      </c>
      <c r="F420" s="7">
        <f>-1*ROUND(1/6*(I420*IF(_xlfn.XLOOKUP(H420,'02效果表'!D:D,'02效果表'!E:E)&lt;0, _xlfn.XLOOKUP(H420,'02效果表'!D:D,'02效果表'!E:E), 0) +
K420*IF(_xlfn.XLOOKUP(J420,'02效果表'!D:D,'02效果表'!E:E)&lt;0, _xlfn.XLOOKUP(J420,'02效果表'!D:D,'02效果表'!E:E), 0) +
M420*IF(_xlfn.XLOOKUP(L420,'02效果表'!D:D,'02效果表'!E:E)&lt;0, _xlfn.XLOOKUP(L420,'02效果表'!D:D,'02效果表'!E:E), 0) +
O420*IF(_xlfn.XLOOKUP(N420,'02效果表'!D:D,'02效果表'!E:E)&lt;0, _xlfn.XLOOKUP(N420,'02效果表'!D:D,'02效果表'!E:E), 0) +
Q420*IF(_xlfn.XLOOKUP(P420,'02效果表'!D:D,'02效果表'!E:E)&lt;0, _xlfn.XLOOKUP(P420,'02效果表'!D:D,'02效果表'!E:E), 0) +
S420*IF(_xlfn.XLOOKUP(R420,'02效果表'!D:D,'02效果表'!E:E)&lt;0, _xlfn.XLOOKUP(R420,'02效果表'!D:D,'02效果表'!E:E), 0) +
U420*IF(_xlfn.XLOOKUP(T420,'02效果表'!D:D,'02效果表'!E:E)&lt;0, _xlfn.XLOOKUP(T420,'02效果表'!D:D,'02效果表'!E:E), 0) +
W420*IF(_xlfn.XLOOKUP(V420,'02效果表'!D:D,'02效果表'!E:E)&lt;0, _xlfn.XLOOKUP(V420,'02效果表'!D:D,'02效果表'!E:E), 0) +
Y420*IF(_xlfn.XLOOKUP(X420,'02效果表'!D:D,'02效果表'!E:E)&lt;0, _xlfn.XLOOKUP(X420,'02效果表'!D:D,'02效果表'!E:E), 0) +
AA420*IF(_xlfn.XLOOKUP(Z420,'02效果表'!D:D,'02效果表'!E:E)&lt;0, _xlfn.XLOOKUP(Z420,'02效果表'!D:D,'02效果表'!E:E), 0) +
AC420*IF(_xlfn.XLOOKUP(AB420,'02效果表'!D:D,'02效果表'!E:E)&lt;0, _xlfn.XLOOKUP(AB420,'02效果表'!D:D,'02效果表'!E:E), 0) +
AE420*IF(_xlfn.XLOOKUP(AD420,'02效果表'!D:D,'02效果表'!E:E)&lt;0, _xlfn.XLOOKUP(AD420,'02效果表'!D:D,'02效果表'!E:E), 0)), 1)</f>
        <v>0</v>
      </c>
      <c r="G420" s="7">
        <f>ROUND(1/6*(I420*MAX(_xlfn.XLOOKUP(H420,'02效果表'!D:D,'02效果表'!E:E),0)+K420*MAX(_xlfn.XLOOKUP(J420,'02效果表'!D:D,'02效果表'!E:E),0)+M420*MAX(_xlfn.XLOOKUP(L420,'02效果表'!D:D,'02效果表'!E:E),0)+O420*MAX(_xlfn.XLOOKUP(N420,'02效果表'!D:D,'02效果表'!E:E),0)+Q420*MAX(_xlfn.XLOOKUP(P420,'02效果表'!D:D,'02效果表'!E:E),0)+S420*MAX(_xlfn.XLOOKUP(R420,'02效果表'!D:D,'02效果表'!E:E),0)+U420*MAX(_xlfn.XLOOKUP(T420,'02效果表'!D:D,'02效果表'!E:E),0)+W420*MAX(_xlfn.XLOOKUP(V420,'02效果表'!D:D,'02效果表'!E:E),0)+Y420*MAX(_xlfn.XLOOKUP(X420,'02效果表'!D:D,'02效果表'!E:E),0)+AA420*MAX(_xlfn.XLOOKUP(Z420,'02效果表'!D:D,'02效果表'!E:E),0)+AC420*MAX(_xlfn.XLOOKUP(AB420,'02效果表'!D:D,'02效果表'!E:E),0)+AE420*MAX(_xlfn.XLOOKUP(AD420,'02效果表'!D:D,'02效果表'!E:E),0)),1)</f>
        <v>0</v>
      </c>
      <c r="H420" s="6"/>
      <c r="I420" s="6"/>
      <c r="J420" s="6"/>
      <c r="K420" s="6"/>
      <c r="L420" s="6"/>
      <c r="M420" s="6"/>
      <c r="N420" s="6"/>
      <c r="O420" s="6"/>
      <c r="P420" s="6"/>
      <c r="Q420" s="6"/>
      <c r="R420" s="6"/>
      <c r="S420" s="6"/>
      <c r="T420" s="6"/>
      <c r="U420" s="6"/>
      <c r="V420" s="6"/>
      <c r="W420" s="6"/>
      <c r="X420" s="6"/>
      <c r="Y420" s="6"/>
      <c r="Z420" s="6"/>
      <c r="AA420" s="6"/>
      <c r="AB420" s="6"/>
      <c r="AC420" s="6"/>
      <c r="AD420" s="6"/>
      <c r="AE420" s="6"/>
    </row>
    <row r="421" spans="1:31" x14ac:dyDescent="0.35">
      <c r="A421" s="6">
        <v>421</v>
      </c>
      <c r="B421" s="6" t="s">
        <v>6</v>
      </c>
      <c r="C421" s="10" t="s">
        <v>1</v>
      </c>
      <c r="D421" s="9"/>
      <c r="E421" s="7">
        <f t="shared" si="13"/>
        <v>0</v>
      </c>
      <c r="F421" s="7">
        <f>-1*ROUND(1/6*(I421*IF(_xlfn.XLOOKUP(H421,'02效果表'!D:D,'02效果表'!E:E)&lt;0, _xlfn.XLOOKUP(H421,'02效果表'!D:D,'02效果表'!E:E), 0) +
K421*IF(_xlfn.XLOOKUP(J421,'02效果表'!D:D,'02效果表'!E:E)&lt;0, _xlfn.XLOOKUP(J421,'02效果表'!D:D,'02效果表'!E:E), 0) +
M421*IF(_xlfn.XLOOKUP(L421,'02效果表'!D:D,'02效果表'!E:E)&lt;0, _xlfn.XLOOKUP(L421,'02效果表'!D:D,'02效果表'!E:E), 0) +
O421*IF(_xlfn.XLOOKUP(N421,'02效果表'!D:D,'02效果表'!E:E)&lt;0, _xlfn.XLOOKUP(N421,'02效果表'!D:D,'02效果表'!E:E), 0) +
Q421*IF(_xlfn.XLOOKUP(P421,'02效果表'!D:D,'02效果表'!E:E)&lt;0, _xlfn.XLOOKUP(P421,'02效果表'!D:D,'02效果表'!E:E), 0) +
S421*IF(_xlfn.XLOOKUP(R421,'02效果表'!D:D,'02效果表'!E:E)&lt;0, _xlfn.XLOOKUP(R421,'02效果表'!D:D,'02效果表'!E:E), 0) +
U421*IF(_xlfn.XLOOKUP(T421,'02效果表'!D:D,'02效果表'!E:E)&lt;0, _xlfn.XLOOKUP(T421,'02效果表'!D:D,'02效果表'!E:E), 0) +
W421*IF(_xlfn.XLOOKUP(V421,'02效果表'!D:D,'02效果表'!E:E)&lt;0, _xlfn.XLOOKUP(V421,'02效果表'!D:D,'02效果表'!E:E), 0) +
Y421*IF(_xlfn.XLOOKUP(X421,'02效果表'!D:D,'02效果表'!E:E)&lt;0, _xlfn.XLOOKUP(X421,'02效果表'!D:D,'02效果表'!E:E), 0) +
AA421*IF(_xlfn.XLOOKUP(Z421,'02效果表'!D:D,'02效果表'!E:E)&lt;0, _xlfn.XLOOKUP(Z421,'02效果表'!D:D,'02效果表'!E:E), 0) +
AC421*IF(_xlfn.XLOOKUP(AB421,'02效果表'!D:D,'02效果表'!E:E)&lt;0, _xlfn.XLOOKUP(AB421,'02效果表'!D:D,'02效果表'!E:E), 0) +
AE421*IF(_xlfn.XLOOKUP(AD421,'02效果表'!D:D,'02效果表'!E:E)&lt;0, _xlfn.XLOOKUP(AD421,'02效果表'!D:D,'02效果表'!E:E), 0)), 1)</f>
        <v>0</v>
      </c>
      <c r="G421" s="7">
        <f>ROUND(1/6*(I421*MAX(_xlfn.XLOOKUP(H421,'02效果表'!D:D,'02效果表'!E:E),0)+K421*MAX(_xlfn.XLOOKUP(J421,'02效果表'!D:D,'02效果表'!E:E),0)+M421*MAX(_xlfn.XLOOKUP(L421,'02效果表'!D:D,'02效果表'!E:E),0)+O421*MAX(_xlfn.XLOOKUP(N421,'02效果表'!D:D,'02效果表'!E:E),0)+Q421*MAX(_xlfn.XLOOKUP(P421,'02效果表'!D:D,'02效果表'!E:E),0)+S421*MAX(_xlfn.XLOOKUP(R421,'02效果表'!D:D,'02效果表'!E:E),0)+U421*MAX(_xlfn.XLOOKUP(T421,'02效果表'!D:D,'02效果表'!E:E),0)+W421*MAX(_xlfn.XLOOKUP(V421,'02效果表'!D:D,'02效果表'!E:E),0)+Y421*MAX(_xlfn.XLOOKUP(X421,'02效果表'!D:D,'02效果表'!E:E),0)+AA421*MAX(_xlfn.XLOOKUP(Z421,'02效果表'!D:D,'02效果表'!E:E),0)+AC421*MAX(_xlfn.XLOOKUP(AB421,'02效果表'!D:D,'02效果表'!E:E),0)+AE421*MAX(_xlfn.XLOOKUP(AD421,'02效果表'!D:D,'02效果表'!E:E),0)),1)</f>
        <v>0</v>
      </c>
      <c r="H421" s="6"/>
      <c r="I421" s="6"/>
      <c r="J421" s="6"/>
      <c r="K421" s="6"/>
      <c r="L421" s="6"/>
      <c r="M421" s="6"/>
      <c r="N421" s="6"/>
      <c r="O421" s="6"/>
      <c r="P421" s="6"/>
      <c r="Q421" s="6"/>
      <c r="R421" s="6"/>
      <c r="S421" s="6"/>
      <c r="T421" s="6"/>
      <c r="U421" s="6"/>
      <c r="V421" s="6"/>
      <c r="W421" s="6"/>
      <c r="X421" s="6"/>
      <c r="Y421" s="6"/>
      <c r="Z421" s="6"/>
      <c r="AA421" s="6"/>
      <c r="AB421" s="6"/>
      <c r="AC421" s="6"/>
      <c r="AD421" s="6"/>
      <c r="AE421" s="6"/>
    </row>
    <row r="422" spans="1:31" x14ac:dyDescent="0.35">
      <c r="A422" s="6">
        <v>422</v>
      </c>
      <c r="B422" s="6" t="s">
        <v>6</v>
      </c>
      <c r="C422" s="10" t="s">
        <v>1</v>
      </c>
      <c r="D422" s="9"/>
      <c r="E422" s="7">
        <f t="shared" si="13"/>
        <v>0</v>
      </c>
      <c r="F422" s="7">
        <f>-1*ROUND(1/6*(I422*IF(_xlfn.XLOOKUP(H422,'02效果表'!D:D,'02效果表'!E:E)&lt;0, _xlfn.XLOOKUP(H422,'02效果表'!D:D,'02效果表'!E:E), 0) +
K422*IF(_xlfn.XLOOKUP(J422,'02效果表'!D:D,'02效果表'!E:E)&lt;0, _xlfn.XLOOKUP(J422,'02效果表'!D:D,'02效果表'!E:E), 0) +
M422*IF(_xlfn.XLOOKUP(L422,'02效果表'!D:D,'02效果表'!E:E)&lt;0, _xlfn.XLOOKUP(L422,'02效果表'!D:D,'02效果表'!E:E), 0) +
O422*IF(_xlfn.XLOOKUP(N422,'02效果表'!D:D,'02效果表'!E:E)&lt;0, _xlfn.XLOOKUP(N422,'02效果表'!D:D,'02效果表'!E:E), 0) +
Q422*IF(_xlfn.XLOOKUP(P422,'02效果表'!D:D,'02效果表'!E:E)&lt;0, _xlfn.XLOOKUP(P422,'02效果表'!D:D,'02效果表'!E:E), 0) +
S422*IF(_xlfn.XLOOKUP(R422,'02效果表'!D:D,'02效果表'!E:E)&lt;0, _xlfn.XLOOKUP(R422,'02效果表'!D:D,'02效果表'!E:E), 0) +
U422*IF(_xlfn.XLOOKUP(T422,'02效果表'!D:D,'02效果表'!E:E)&lt;0, _xlfn.XLOOKUP(T422,'02效果表'!D:D,'02效果表'!E:E), 0) +
W422*IF(_xlfn.XLOOKUP(V422,'02效果表'!D:D,'02效果表'!E:E)&lt;0, _xlfn.XLOOKUP(V422,'02效果表'!D:D,'02效果表'!E:E), 0) +
Y422*IF(_xlfn.XLOOKUP(X422,'02效果表'!D:D,'02效果表'!E:E)&lt;0, _xlfn.XLOOKUP(X422,'02效果表'!D:D,'02效果表'!E:E), 0) +
AA422*IF(_xlfn.XLOOKUP(Z422,'02效果表'!D:D,'02效果表'!E:E)&lt;0, _xlfn.XLOOKUP(Z422,'02效果表'!D:D,'02效果表'!E:E), 0) +
AC422*IF(_xlfn.XLOOKUP(AB422,'02效果表'!D:D,'02效果表'!E:E)&lt;0, _xlfn.XLOOKUP(AB422,'02效果表'!D:D,'02效果表'!E:E), 0) +
AE422*IF(_xlfn.XLOOKUP(AD422,'02效果表'!D:D,'02效果表'!E:E)&lt;0, _xlfn.XLOOKUP(AD422,'02效果表'!D:D,'02效果表'!E:E), 0)), 1)</f>
        <v>0</v>
      </c>
      <c r="G422" s="7">
        <f>ROUND(1/6*(I422*MAX(_xlfn.XLOOKUP(H422,'02效果表'!D:D,'02效果表'!E:E),0)+K422*MAX(_xlfn.XLOOKUP(J422,'02效果表'!D:D,'02效果表'!E:E),0)+M422*MAX(_xlfn.XLOOKUP(L422,'02效果表'!D:D,'02效果表'!E:E),0)+O422*MAX(_xlfn.XLOOKUP(N422,'02效果表'!D:D,'02效果表'!E:E),0)+Q422*MAX(_xlfn.XLOOKUP(P422,'02效果表'!D:D,'02效果表'!E:E),0)+S422*MAX(_xlfn.XLOOKUP(R422,'02效果表'!D:D,'02效果表'!E:E),0)+U422*MAX(_xlfn.XLOOKUP(T422,'02效果表'!D:D,'02效果表'!E:E),0)+W422*MAX(_xlfn.XLOOKUP(V422,'02效果表'!D:D,'02效果表'!E:E),0)+Y422*MAX(_xlfn.XLOOKUP(X422,'02效果表'!D:D,'02效果表'!E:E),0)+AA422*MAX(_xlfn.XLOOKUP(Z422,'02效果表'!D:D,'02效果表'!E:E),0)+AC422*MAX(_xlfn.XLOOKUP(AB422,'02效果表'!D:D,'02效果表'!E:E),0)+AE422*MAX(_xlfn.XLOOKUP(AD422,'02效果表'!D:D,'02效果表'!E:E),0)),1)</f>
        <v>0</v>
      </c>
      <c r="H422" s="6"/>
      <c r="I422" s="6"/>
      <c r="J422" s="6"/>
      <c r="K422" s="6"/>
      <c r="L422" s="6"/>
      <c r="M422" s="6"/>
      <c r="N422" s="6"/>
      <c r="O422" s="6"/>
      <c r="P422" s="6"/>
      <c r="Q422" s="6"/>
      <c r="R422" s="6"/>
      <c r="S422" s="6"/>
      <c r="T422" s="6"/>
      <c r="U422" s="6"/>
      <c r="V422" s="6"/>
      <c r="W422" s="6"/>
      <c r="X422" s="6"/>
      <c r="Y422" s="6"/>
      <c r="Z422" s="6"/>
      <c r="AA422" s="6"/>
      <c r="AB422" s="6"/>
      <c r="AC422" s="6"/>
      <c r="AD422" s="6"/>
      <c r="AE422" s="6"/>
    </row>
    <row r="423" spans="1:31" x14ac:dyDescent="0.35">
      <c r="A423" s="6">
        <v>423</v>
      </c>
      <c r="B423" s="6" t="s">
        <v>6</v>
      </c>
      <c r="C423" s="10" t="s">
        <v>1</v>
      </c>
      <c r="D423" s="9"/>
      <c r="E423" s="7">
        <f t="shared" si="13"/>
        <v>0</v>
      </c>
      <c r="F423" s="7">
        <f>-1*ROUND(1/6*(I423*IF(_xlfn.XLOOKUP(H423,'02效果表'!D:D,'02效果表'!E:E)&lt;0, _xlfn.XLOOKUP(H423,'02效果表'!D:D,'02效果表'!E:E), 0) +
K423*IF(_xlfn.XLOOKUP(J423,'02效果表'!D:D,'02效果表'!E:E)&lt;0, _xlfn.XLOOKUP(J423,'02效果表'!D:D,'02效果表'!E:E), 0) +
M423*IF(_xlfn.XLOOKUP(L423,'02效果表'!D:D,'02效果表'!E:E)&lt;0, _xlfn.XLOOKUP(L423,'02效果表'!D:D,'02效果表'!E:E), 0) +
O423*IF(_xlfn.XLOOKUP(N423,'02效果表'!D:D,'02效果表'!E:E)&lt;0, _xlfn.XLOOKUP(N423,'02效果表'!D:D,'02效果表'!E:E), 0) +
Q423*IF(_xlfn.XLOOKUP(P423,'02效果表'!D:D,'02效果表'!E:E)&lt;0, _xlfn.XLOOKUP(P423,'02效果表'!D:D,'02效果表'!E:E), 0) +
S423*IF(_xlfn.XLOOKUP(R423,'02效果表'!D:D,'02效果表'!E:E)&lt;0, _xlfn.XLOOKUP(R423,'02效果表'!D:D,'02效果表'!E:E), 0) +
U423*IF(_xlfn.XLOOKUP(T423,'02效果表'!D:D,'02效果表'!E:E)&lt;0, _xlfn.XLOOKUP(T423,'02效果表'!D:D,'02效果表'!E:E), 0) +
W423*IF(_xlfn.XLOOKUP(V423,'02效果表'!D:D,'02效果表'!E:E)&lt;0, _xlfn.XLOOKUP(V423,'02效果表'!D:D,'02效果表'!E:E), 0) +
Y423*IF(_xlfn.XLOOKUP(X423,'02效果表'!D:D,'02效果表'!E:E)&lt;0, _xlfn.XLOOKUP(X423,'02效果表'!D:D,'02效果表'!E:E), 0) +
AA423*IF(_xlfn.XLOOKUP(Z423,'02效果表'!D:D,'02效果表'!E:E)&lt;0, _xlfn.XLOOKUP(Z423,'02效果表'!D:D,'02效果表'!E:E), 0) +
AC423*IF(_xlfn.XLOOKUP(AB423,'02效果表'!D:D,'02效果表'!E:E)&lt;0, _xlfn.XLOOKUP(AB423,'02效果表'!D:D,'02效果表'!E:E), 0) +
AE423*IF(_xlfn.XLOOKUP(AD423,'02效果表'!D:D,'02效果表'!E:E)&lt;0, _xlfn.XLOOKUP(AD423,'02效果表'!D:D,'02效果表'!E:E), 0)), 1)</f>
        <v>0</v>
      </c>
      <c r="G423" s="7">
        <f>ROUND(1/6*(I423*MAX(_xlfn.XLOOKUP(H423,'02效果表'!D:D,'02效果表'!E:E),0)+K423*MAX(_xlfn.XLOOKUP(J423,'02效果表'!D:D,'02效果表'!E:E),0)+M423*MAX(_xlfn.XLOOKUP(L423,'02效果表'!D:D,'02效果表'!E:E),0)+O423*MAX(_xlfn.XLOOKUP(N423,'02效果表'!D:D,'02效果表'!E:E),0)+Q423*MAX(_xlfn.XLOOKUP(P423,'02效果表'!D:D,'02效果表'!E:E),0)+S423*MAX(_xlfn.XLOOKUP(R423,'02效果表'!D:D,'02效果表'!E:E),0)+U423*MAX(_xlfn.XLOOKUP(T423,'02效果表'!D:D,'02效果表'!E:E),0)+W423*MAX(_xlfn.XLOOKUP(V423,'02效果表'!D:D,'02效果表'!E:E),0)+Y423*MAX(_xlfn.XLOOKUP(X423,'02效果表'!D:D,'02效果表'!E:E),0)+AA423*MAX(_xlfn.XLOOKUP(Z423,'02效果表'!D:D,'02效果表'!E:E),0)+AC423*MAX(_xlfn.XLOOKUP(AB423,'02效果表'!D:D,'02效果表'!E:E),0)+AE423*MAX(_xlfn.XLOOKUP(AD423,'02效果表'!D:D,'02效果表'!E:E),0)),1)</f>
        <v>0</v>
      </c>
      <c r="H423" s="6"/>
      <c r="I423" s="6"/>
      <c r="J423" s="6"/>
      <c r="K423" s="6"/>
      <c r="L423" s="6"/>
      <c r="M423" s="6"/>
      <c r="N423" s="6"/>
      <c r="O423" s="6"/>
      <c r="P423" s="6"/>
      <c r="Q423" s="6"/>
      <c r="R423" s="6"/>
      <c r="S423" s="6"/>
      <c r="T423" s="6"/>
      <c r="U423" s="6"/>
      <c r="V423" s="6"/>
      <c r="W423" s="6"/>
      <c r="X423" s="6"/>
      <c r="Y423" s="6"/>
      <c r="Z423" s="6"/>
      <c r="AA423" s="6"/>
      <c r="AB423" s="6"/>
      <c r="AC423" s="6"/>
      <c r="AD423" s="6"/>
      <c r="AE423" s="6"/>
    </row>
    <row r="424" spans="1:31" x14ac:dyDescent="0.35">
      <c r="A424" s="6">
        <v>424</v>
      </c>
      <c r="B424" s="6" t="s">
        <v>6</v>
      </c>
      <c r="C424" s="10" t="s">
        <v>1</v>
      </c>
      <c r="D424" s="9"/>
      <c r="E424" s="7">
        <f t="shared" si="13"/>
        <v>0</v>
      </c>
      <c r="F424" s="7">
        <f>-1*ROUND(1/6*(I424*IF(_xlfn.XLOOKUP(H424,'02效果表'!D:D,'02效果表'!E:E)&lt;0, _xlfn.XLOOKUP(H424,'02效果表'!D:D,'02效果表'!E:E), 0) +
K424*IF(_xlfn.XLOOKUP(J424,'02效果表'!D:D,'02效果表'!E:E)&lt;0, _xlfn.XLOOKUP(J424,'02效果表'!D:D,'02效果表'!E:E), 0) +
M424*IF(_xlfn.XLOOKUP(L424,'02效果表'!D:D,'02效果表'!E:E)&lt;0, _xlfn.XLOOKUP(L424,'02效果表'!D:D,'02效果表'!E:E), 0) +
O424*IF(_xlfn.XLOOKUP(N424,'02效果表'!D:D,'02效果表'!E:E)&lt;0, _xlfn.XLOOKUP(N424,'02效果表'!D:D,'02效果表'!E:E), 0) +
Q424*IF(_xlfn.XLOOKUP(P424,'02效果表'!D:D,'02效果表'!E:E)&lt;0, _xlfn.XLOOKUP(P424,'02效果表'!D:D,'02效果表'!E:E), 0) +
S424*IF(_xlfn.XLOOKUP(R424,'02效果表'!D:D,'02效果表'!E:E)&lt;0, _xlfn.XLOOKUP(R424,'02效果表'!D:D,'02效果表'!E:E), 0) +
U424*IF(_xlfn.XLOOKUP(T424,'02效果表'!D:D,'02效果表'!E:E)&lt;0, _xlfn.XLOOKUP(T424,'02效果表'!D:D,'02效果表'!E:E), 0) +
W424*IF(_xlfn.XLOOKUP(V424,'02效果表'!D:D,'02效果表'!E:E)&lt;0, _xlfn.XLOOKUP(V424,'02效果表'!D:D,'02效果表'!E:E), 0) +
Y424*IF(_xlfn.XLOOKUP(X424,'02效果表'!D:D,'02效果表'!E:E)&lt;0, _xlfn.XLOOKUP(X424,'02效果表'!D:D,'02效果表'!E:E), 0) +
AA424*IF(_xlfn.XLOOKUP(Z424,'02效果表'!D:D,'02效果表'!E:E)&lt;0, _xlfn.XLOOKUP(Z424,'02效果表'!D:D,'02效果表'!E:E), 0) +
AC424*IF(_xlfn.XLOOKUP(AB424,'02效果表'!D:D,'02效果表'!E:E)&lt;0, _xlfn.XLOOKUP(AB424,'02效果表'!D:D,'02效果表'!E:E), 0) +
AE424*IF(_xlfn.XLOOKUP(AD424,'02效果表'!D:D,'02效果表'!E:E)&lt;0, _xlfn.XLOOKUP(AD424,'02效果表'!D:D,'02效果表'!E:E), 0)), 1)</f>
        <v>0</v>
      </c>
      <c r="G424" s="7">
        <f>ROUND(1/6*(I424*MAX(_xlfn.XLOOKUP(H424,'02效果表'!D:D,'02效果表'!E:E),0)+K424*MAX(_xlfn.XLOOKUP(J424,'02效果表'!D:D,'02效果表'!E:E),0)+M424*MAX(_xlfn.XLOOKUP(L424,'02效果表'!D:D,'02效果表'!E:E),0)+O424*MAX(_xlfn.XLOOKUP(N424,'02效果表'!D:D,'02效果表'!E:E),0)+Q424*MAX(_xlfn.XLOOKUP(P424,'02效果表'!D:D,'02效果表'!E:E),0)+S424*MAX(_xlfn.XLOOKUP(R424,'02效果表'!D:D,'02效果表'!E:E),0)+U424*MAX(_xlfn.XLOOKUP(T424,'02效果表'!D:D,'02效果表'!E:E),0)+W424*MAX(_xlfn.XLOOKUP(V424,'02效果表'!D:D,'02效果表'!E:E),0)+Y424*MAX(_xlfn.XLOOKUP(X424,'02效果表'!D:D,'02效果表'!E:E),0)+AA424*MAX(_xlfn.XLOOKUP(Z424,'02效果表'!D:D,'02效果表'!E:E),0)+AC424*MAX(_xlfn.XLOOKUP(AB424,'02效果表'!D:D,'02效果表'!E:E),0)+AE424*MAX(_xlfn.XLOOKUP(AD424,'02效果表'!D:D,'02效果表'!E:E),0)),1)</f>
        <v>0</v>
      </c>
      <c r="H424" s="6"/>
      <c r="I424" s="6"/>
      <c r="J424" s="6"/>
      <c r="K424" s="6"/>
      <c r="L424" s="6"/>
      <c r="M424" s="6"/>
      <c r="N424" s="6"/>
      <c r="O424" s="6"/>
      <c r="P424" s="6"/>
      <c r="Q424" s="6"/>
      <c r="R424" s="6"/>
      <c r="S424" s="6"/>
      <c r="T424" s="6"/>
      <c r="U424" s="6"/>
      <c r="V424" s="6"/>
      <c r="W424" s="6"/>
      <c r="X424" s="6"/>
      <c r="Y424" s="6"/>
      <c r="Z424" s="6"/>
      <c r="AA424" s="6"/>
      <c r="AB424" s="6"/>
      <c r="AC424" s="6"/>
      <c r="AD424" s="6"/>
      <c r="AE424" s="6"/>
    </row>
    <row r="425" spans="1:31" x14ac:dyDescent="0.35">
      <c r="A425" s="6">
        <v>425</v>
      </c>
      <c r="B425" s="6" t="s">
        <v>6</v>
      </c>
      <c r="C425" s="10" t="s">
        <v>2</v>
      </c>
      <c r="D425" s="9" t="s">
        <v>1604</v>
      </c>
      <c r="E425" s="7">
        <f t="shared" si="13"/>
        <v>0</v>
      </c>
      <c r="F425" s="7">
        <f>-1*ROUND(1/6*(I425*IF(_xlfn.XLOOKUP(H425,'02效果表'!D:D,'02效果表'!E:E)&lt;0, _xlfn.XLOOKUP(H425,'02效果表'!D:D,'02效果表'!E:E), 0) +
K425*IF(_xlfn.XLOOKUP(J425,'02效果表'!D:D,'02效果表'!E:E)&lt;0, _xlfn.XLOOKUP(J425,'02效果表'!D:D,'02效果表'!E:E), 0) +
M425*IF(_xlfn.XLOOKUP(L425,'02效果表'!D:D,'02效果表'!E:E)&lt;0, _xlfn.XLOOKUP(L425,'02效果表'!D:D,'02效果表'!E:E), 0) +
O425*IF(_xlfn.XLOOKUP(N425,'02效果表'!D:D,'02效果表'!E:E)&lt;0, _xlfn.XLOOKUP(N425,'02效果表'!D:D,'02效果表'!E:E), 0) +
Q425*IF(_xlfn.XLOOKUP(P425,'02效果表'!D:D,'02效果表'!E:E)&lt;0, _xlfn.XLOOKUP(P425,'02效果表'!D:D,'02效果表'!E:E), 0) +
S425*IF(_xlfn.XLOOKUP(R425,'02效果表'!D:D,'02效果表'!E:E)&lt;0, _xlfn.XLOOKUP(R425,'02效果表'!D:D,'02效果表'!E:E), 0) +
U425*IF(_xlfn.XLOOKUP(T425,'02效果表'!D:D,'02效果表'!E:E)&lt;0, _xlfn.XLOOKUP(T425,'02效果表'!D:D,'02效果表'!E:E), 0) +
W425*IF(_xlfn.XLOOKUP(V425,'02效果表'!D:D,'02效果表'!E:E)&lt;0, _xlfn.XLOOKUP(V425,'02效果表'!D:D,'02效果表'!E:E), 0) +
Y425*IF(_xlfn.XLOOKUP(X425,'02效果表'!D:D,'02效果表'!E:E)&lt;0, _xlfn.XLOOKUP(X425,'02效果表'!D:D,'02效果表'!E:E), 0) +
AA425*IF(_xlfn.XLOOKUP(Z425,'02效果表'!D:D,'02效果表'!E:E)&lt;0, _xlfn.XLOOKUP(Z425,'02效果表'!D:D,'02效果表'!E:E), 0) +
AC425*IF(_xlfn.XLOOKUP(AB425,'02效果表'!D:D,'02效果表'!E:E)&lt;0, _xlfn.XLOOKUP(AB425,'02效果表'!D:D,'02效果表'!E:E), 0) +
AE425*IF(_xlfn.XLOOKUP(AD425,'02效果表'!D:D,'02效果表'!E:E)&lt;0, _xlfn.XLOOKUP(AD425,'02效果表'!D:D,'02效果表'!E:E), 0)), 1)</f>
        <v>0</v>
      </c>
      <c r="G425" s="7">
        <f>ROUND(1/6*(I425*MAX(_xlfn.XLOOKUP(H425,'02效果表'!D:D,'02效果表'!E:E),0)+K425*MAX(_xlfn.XLOOKUP(J425,'02效果表'!D:D,'02效果表'!E:E),0)+M425*MAX(_xlfn.XLOOKUP(L425,'02效果表'!D:D,'02效果表'!E:E),0)+O425*MAX(_xlfn.XLOOKUP(N425,'02效果表'!D:D,'02效果表'!E:E),0)+Q425*MAX(_xlfn.XLOOKUP(P425,'02效果表'!D:D,'02效果表'!E:E),0)+S425*MAX(_xlfn.XLOOKUP(R425,'02效果表'!D:D,'02效果表'!E:E),0)+U425*MAX(_xlfn.XLOOKUP(T425,'02效果表'!D:D,'02效果表'!E:E),0)+W425*MAX(_xlfn.XLOOKUP(V425,'02效果表'!D:D,'02效果表'!E:E),0)+Y425*MAX(_xlfn.XLOOKUP(X425,'02效果表'!D:D,'02效果表'!E:E),0)+AA425*MAX(_xlfn.XLOOKUP(Z425,'02效果表'!D:D,'02效果表'!E:E),0)+AC425*MAX(_xlfn.XLOOKUP(AB425,'02效果表'!D:D,'02效果表'!E:E),0)+AE425*MAX(_xlfn.XLOOKUP(AD425,'02效果表'!D:D,'02效果表'!E:E),0)),1)</f>
        <v>0</v>
      </c>
      <c r="H425" s="6"/>
      <c r="I425" s="6"/>
      <c r="J425" s="6"/>
      <c r="K425" s="6"/>
      <c r="L425" s="6"/>
      <c r="M425" s="6"/>
      <c r="N425" s="6"/>
      <c r="O425" s="6"/>
      <c r="P425" s="6"/>
      <c r="Q425" s="6"/>
      <c r="R425" s="6"/>
      <c r="S425" s="6"/>
      <c r="T425" s="6"/>
      <c r="U425" s="6"/>
      <c r="V425" s="6"/>
      <c r="W425" s="6"/>
      <c r="X425" s="6"/>
      <c r="Y425" s="6"/>
      <c r="Z425" s="6"/>
      <c r="AA425" s="6"/>
      <c r="AB425" s="6"/>
      <c r="AC425" s="6"/>
      <c r="AD425" s="6"/>
      <c r="AE425" s="6"/>
    </row>
    <row r="426" spans="1:31" x14ac:dyDescent="0.35">
      <c r="A426" s="6">
        <v>426</v>
      </c>
      <c r="B426" s="6" t="s">
        <v>6</v>
      </c>
      <c r="C426" s="10" t="s">
        <v>2</v>
      </c>
      <c r="D426" s="9" t="s">
        <v>1605</v>
      </c>
      <c r="E426" s="7">
        <f t="shared" si="13"/>
        <v>0</v>
      </c>
      <c r="F426" s="7">
        <f>-1*ROUND(1/6*(I426*IF(_xlfn.XLOOKUP(H426,'02效果表'!D:D,'02效果表'!E:E)&lt;0, _xlfn.XLOOKUP(H426,'02效果表'!D:D,'02效果表'!E:E), 0) +
K426*IF(_xlfn.XLOOKUP(J426,'02效果表'!D:D,'02效果表'!E:E)&lt;0, _xlfn.XLOOKUP(J426,'02效果表'!D:D,'02效果表'!E:E), 0) +
M426*IF(_xlfn.XLOOKUP(L426,'02效果表'!D:D,'02效果表'!E:E)&lt;0, _xlfn.XLOOKUP(L426,'02效果表'!D:D,'02效果表'!E:E), 0) +
O426*IF(_xlfn.XLOOKUP(N426,'02效果表'!D:D,'02效果表'!E:E)&lt;0, _xlfn.XLOOKUP(N426,'02效果表'!D:D,'02效果表'!E:E), 0) +
Q426*IF(_xlfn.XLOOKUP(P426,'02效果表'!D:D,'02效果表'!E:E)&lt;0, _xlfn.XLOOKUP(P426,'02效果表'!D:D,'02效果表'!E:E), 0) +
S426*IF(_xlfn.XLOOKUP(R426,'02效果表'!D:D,'02效果表'!E:E)&lt;0, _xlfn.XLOOKUP(R426,'02效果表'!D:D,'02效果表'!E:E), 0) +
U426*IF(_xlfn.XLOOKUP(T426,'02效果表'!D:D,'02效果表'!E:E)&lt;0, _xlfn.XLOOKUP(T426,'02效果表'!D:D,'02效果表'!E:E), 0) +
W426*IF(_xlfn.XLOOKUP(V426,'02效果表'!D:D,'02效果表'!E:E)&lt;0, _xlfn.XLOOKUP(V426,'02效果表'!D:D,'02效果表'!E:E), 0) +
Y426*IF(_xlfn.XLOOKUP(X426,'02效果表'!D:D,'02效果表'!E:E)&lt;0, _xlfn.XLOOKUP(X426,'02效果表'!D:D,'02效果表'!E:E), 0) +
AA426*IF(_xlfn.XLOOKUP(Z426,'02效果表'!D:D,'02效果表'!E:E)&lt;0, _xlfn.XLOOKUP(Z426,'02效果表'!D:D,'02效果表'!E:E), 0) +
AC426*IF(_xlfn.XLOOKUP(AB426,'02效果表'!D:D,'02效果表'!E:E)&lt;0, _xlfn.XLOOKUP(AB426,'02效果表'!D:D,'02效果表'!E:E), 0) +
AE426*IF(_xlfn.XLOOKUP(AD426,'02效果表'!D:D,'02效果表'!E:E)&lt;0, _xlfn.XLOOKUP(AD426,'02效果表'!D:D,'02效果表'!E:E), 0)), 1)</f>
        <v>0</v>
      </c>
      <c r="G426" s="7">
        <f>ROUND(1/6*(I426*MAX(_xlfn.XLOOKUP(H426,'02效果表'!D:D,'02效果表'!E:E),0)+K426*MAX(_xlfn.XLOOKUP(J426,'02效果表'!D:D,'02效果表'!E:E),0)+M426*MAX(_xlfn.XLOOKUP(L426,'02效果表'!D:D,'02效果表'!E:E),0)+O426*MAX(_xlfn.XLOOKUP(N426,'02效果表'!D:D,'02效果表'!E:E),0)+Q426*MAX(_xlfn.XLOOKUP(P426,'02效果表'!D:D,'02效果表'!E:E),0)+S426*MAX(_xlfn.XLOOKUP(R426,'02效果表'!D:D,'02效果表'!E:E),0)+U426*MAX(_xlfn.XLOOKUP(T426,'02效果表'!D:D,'02效果表'!E:E),0)+W426*MAX(_xlfn.XLOOKUP(V426,'02效果表'!D:D,'02效果表'!E:E),0)+Y426*MAX(_xlfn.XLOOKUP(X426,'02效果表'!D:D,'02效果表'!E:E),0)+AA426*MAX(_xlfn.XLOOKUP(Z426,'02效果表'!D:D,'02效果表'!E:E),0)+AC426*MAX(_xlfn.XLOOKUP(AB426,'02效果表'!D:D,'02效果表'!E:E),0)+AE426*MAX(_xlfn.XLOOKUP(AD426,'02效果表'!D:D,'02效果表'!E:E),0)),1)</f>
        <v>0</v>
      </c>
      <c r="H426" s="6"/>
      <c r="I426" s="6"/>
      <c r="J426" s="6"/>
      <c r="K426" s="6"/>
      <c r="L426" s="6"/>
      <c r="M426" s="6"/>
      <c r="N426" s="6"/>
      <c r="O426" s="6"/>
      <c r="P426" s="6"/>
      <c r="Q426" s="6"/>
      <c r="R426" s="6"/>
      <c r="S426" s="6"/>
      <c r="T426" s="6"/>
      <c r="U426" s="6"/>
      <c r="V426" s="6"/>
      <c r="W426" s="6"/>
      <c r="X426" s="6"/>
      <c r="Y426" s="6"/>
      <c r="Z426" s="6"/>
      <c r="AA426" s="6"/>
      <c r="AB426" s="6"/>
      <c r="AC426" s="6"/>
      <c r="AD426" s="6"/>
      <c r="AE426" s="6"/>
    </row>
    <row r="427" spans="1:31" x14ac:dyDescent="0.35">
      <c r="A427" s="6">
        <v>427</v>
      </c>
      <c r="B427" s="6" t="s">
        <v>6</v>
      </c>
      <c r="C427" s="10" t="s">
        <v>2</v>
      </c>
      <c r="D427" s="9" t="s">
        <v>1606</v>
      </c>
      <c r="E427" s="7">
        <f t="shared" si="13"/>
        <v>0</v>
      </c>
      <c r="F427" s="7">
        <f>-1*ROUND(1/6*(I427*IF(_xlfn.XLOOKUP(H427,'02效果表'!D:D,'02效果表'!E:E)&lt;0, _xlfn.XLOOKUP(H427,'02效果表'!D:D,'02效果表'!E:E), 0) +
K427*IF(_xlfn.XLOOKUP(J427,'02效果表'!D:D,'02效果表'!E:E)&lt;0, _xlfn.XLOOKUP(J427,'02效果表'!D:D,'02效果表'!E:E), 0) +
M427*IF(_xlfn.XLOOKUP(L427,'02效果表'!D:D,'02效果表'!E:E)&lt;0, _xlfn.XLOOKUP(L427,'02效果表'!D:D,'02效果表'!E:E), 0) +
O427*IF(_xlfn.XLOOKUP(N427,'02效果表'!D:D,'02效果表'!E:E)&lt;0, _xlfn.XLOOKUP(N427,'02效果表'!D:D,'02效果表'!E:E), 0) +
Q427*IF(_xlfn.XLOOKUP(P427,'02效果表'!D:D,'02效果表'!E:E)&lt;0, _xlfn.XLOOKUP(P427,'02效果表'!D:D,'02效果表'!E:E), 0) +
S427*IF(_xlfn.XLOOKUP(R427,'02效果表'!D:D,'02效果表'!E:E)&lt;0, _xlfn.XLOOKUP(R427,'02效果表'!D:D,'02效果表'!E:E), 0) +
U427*IF(_xlfn.XLOOKUP(T427,'02效果表'!D:D,'02效果表'!E:E)&lt;0, _xlfn.XLOOKUP(T427,'02效果表'!D:D,'02效果表'!E:E), 0) +
W427*IF(_xlfn.XLOOKUP(V427,'02效果表'!D:D,'02效果表'!E:E)&lt;0, _xlfn.XLOOKUP(V427,'02效果表'!D:D,'02效果表'!E:E), 0) +
Y427*IF(_xlfn.XLOOKUP(X427,'02效果表'!D:D,'02效果表'!E:E)&lt;0, _xlfn.XLOOKUP(X427,'02效果表'!D:D,'02效果表'!E:E), 0) +
AA427*IF(_xlfn.XLOOKUP(Z427,'02效果表'!D:D,'02效果表'!E:E)&lt;0, _xlfn.XLOOKUP(Z427,'02效果表'!D:D,'02效果表'!E:E), 0) +
AC427*IF(_xlfn.XLOOKUP(AB427,'02效果表'!D:D,'02效果表'!E:E)&lt;0, _xlfn.XLOOKUP(AB427,'02效果表'!D:D,'02效果表'!E:E), 0) +
AE427*IF(_xlfn.XLOOKUP(AD427,'02效果表'!D:D,'02效果表'!E:E)&lt;0, _xlfn.XLOOKUP(AD427,'02效果表'!D:D,'02效果表'!E:E), 0)), 1)</f>
        <v>0</v>
      </c>
      <c r="G427" s="7">
        <f>ROUND(1/6*(I427*MAX(_xlfn.XLOOKUP(H427,'02效果表'!D:D,'02效果表'!E:E),0)+K427*MAX(_xlfn.XLOOKUP(J427,'02效果表'!D:D,'02效果表'!E:E),0)+M427*MAX(_xlfn.XLOOKUP(L427,'02效果表'!D:D,'02效果表'!E:E),0)+O427*MAX(_xlfn.XLOOKUP(N427,'02效果表'!D:D,'02效果表'!E:E),0)+Q427*MAX(_xlfn.XLOOKUP(P427,'02效果表'!D:D,'02效果表'!E:E),0)+S427*MAX(_xlfn.XLOOKUP(R427,'02效果表'!D:D,'02效果表'!E:E),0)+U427*MAX(_xlfn.XLOOKUP(T427,'02效果表'!D:D,'02效果表'!E:E),0)+W427*MAX(_xlfn.XLOOKUP(V427,'02效果表'!D:D,'02效果表'!E:E),0)+Y427*MAX(_xlfn.XLOOKUP(X427,'02效果表'!D:D,'02效果表'!E:E),0)+AA427*MAX(_xlfn.XLOOKUP(Z427,'02效果表'!D:D,'02效果表'!E:E),0)+AC427*MAX(_xlfn.XLOOKUP(AB427,'02效果表'!D:D,'02效果表'!E:E),0)+AE427*MAX(_xlfn.XLOOKUP(AD427,'02效果表'!D:D,'02效果表'!E:E),0)),1)</f>
        <v>0</v>
      </c>
      <c r="H427" s="6"/>
      <c r="I427" s="6"/>
      <c r="J427" s="6"/>
      <c r="K427" s="6"/>
      <c r="L427" s="6"/>
      <c r="M427" s="6"/>
      <c r="N427" s="6"/>
      <c r="O427" s="6"/>
      <c r="P427" s="6"/>
      <c r="Q427" s="6"/>
      <c r="R427" s="6"/>
      <c r="S427" s="6"/>
      <c r="T427" s="6"/>
      <c r="U427" s="6"/>
      <c r="V427" s="6"/>
      <c r="W427" s="6"/>
      <c r="X427" s="6"/>
      <c r="Y427" s="6"/>
      <c r="Z427" s="6"/>
      <c r="AA427" s="6"/>
      <c r="AB427" s="6"/>
      <c r="AC427" s="6"/>
      <c r="AD427" s="6"/>
      <c r="AE427" s="6"/>
    </row>
    <row r="428" spans="1:31" x14ac:dyDescent="0.35">
      <c r="A428" s="6">
        <v>428</v>
      </c>
      <c r="B428" s="6" t="s">
        <v>6</v>
      </c>
      <c r="C428" s="10" t="s">
        <v>2</v>
      </c>
      <c r="D428" s="9" t="s">
        <v>1607</v>
      </c>
      <c r="E428" s="7">
        <f t="shared" si="13"/>
        <v>0</v>
      </c>
      <c r="F428" s="7">
        <f>-1*ROUND(1/6*(I428*IF(_xlfn.XLOOKUP(H428,'02效果表'!D:D,'02效果表'!E:E)&lt;0, _xlfn.XLOOKUP(H428,'02效果表'!D:D,'02效果表'!E:E), 0) +
K428*IF(_xlfn.XLOOKUP(J428,'02效果表'!D:D,'02效果表'!E:E)&lt;0, _xlfn.XLOOKUP(J428,'02效果表'!D:D,'02效果表'!E:E), 0) +
M428*IF(_xlfn.XLOOKUP(L428,'02效果表'!D:D,'02效果表'!E:E)&lt;0, _xlfn.XLOOKUP(L428,'02效果表'!D:D,'02效果表'!E:E), 0) +
O428*IF(_xlfn.XLOOKUP(N428,'02效果表'!D:D,'02效果表'!E:E)&lt;0, _xlfn.XLOOKUP(N428,'02效果表'!D:D,'02效果表'!E:E), 0) +
Q428*IF(_xlfn.XLOOKUP(P428,'02效果表'!D:D,'02效果表'!E:E)&lt;0, _xlfn.XLOOKUP(P428,'02效果表'!D:D,'02效果表'!E:E), 0) +
S428*IF(_xlfn.XLOOKUP(R428,'02效果表'!D:D,'02效果表'!E:E)&lt;0, _xlfn.XLOOKUP(R428,'02效果表'!D:D,'02效果表'!E:E), 0) +
U428*IF(_xlfn.XLOOKUP(T428,'02效果表'!D:D,'02效果表'!E:E)&lt;0, _xlfn.XLOOKUP(T428,'02效果表'!D:D,'02效果表'!E:E), 0) +
W428*IF(_xlfn.XLOOKUP(V428,'02效果表'!D:D,'02效果表'!E:E)&lt;0, _xlfn.XLOOKUP(V428,'02效果表'!D:D,'02效果表'!E:E), 0) +
Y428*IF(_xlfn.XLOOKUP(X428,'02效果表'!D:D,'02效果表'!E:E)&lt;0, _xlfn.XLOOKUP(X428,'02效果表'!D:D,'02效果表'!E:E), 0) +
AA428*IF(_xlfn.XLOOKUP(Z428,'02效果表'!D:D,'02效果表'!E:E)&lt;0, _xlfn.XLOOKUP(Z428,'02效果表'!D:D,'02效果表'!E:E), 0) +
AC428*IF(_xlfn.XLOOKUP(AB428,'02效果表'!D:D,'02效果表'!E:E)&lt;0, _xlfn.XLOOKUP(AB428,'02效果表'!D:D,'02效果表'!E:E), 0) +
AE428*IF(_xlfn.XLOOKUP(AD428,'02效果表'!D:D,'02效果表'!E:E)&lt;0, _xlfn.XLOOKUP(AD428,'02效果表'!D:D,'02效果表'!E:E), 0)), 1)</f>
        <v>0</v>
      </c>
      <c r="G428" s="7">
        <f>ROUND(1/6*(I428*MAX(_xlfn.XLOOKUP(H428,'02效果表'!D:D,'02效果表'!E:E),0)+K428*MAX(_xlfn.XLOOKUP(J428,'02效果表'!D:D,'02效果表'!E:E),0)+M428*MAX(_xlfn.XLOOKUP(L428,'02效果表'!D:D,'02效果表'!E:E),0)+O428*MAX(_xlfn.XLOOKUP(N428,'02效果表'!D:D,'02效果表'!E:E),0)+Q428*MAX(_xlfn.XLOOKUP(P428,'02效果表'!D:D,'02效果表'!E:E),0)+S428*MAX(_xlfn.XLOOKUP(R428,'02效果表'!D:D,'02效果表'!E:E),0)+U428*MAX(_xlfn.XLOOKUP(T428,'02效果表'!D:D,'02效果表'!E:E),0)+W428*MAX(_xlfn.XLOOKUP(V428,'02效果表'!D:D,'02效果表'!E:E),0)+Y428*MAX(_xlfn.XLOOKUP(X428,'02效果表'!D:D,'02效果表'!E:E),0)+AA428*MAX(_xlfn.XLOOKUP(Z428,'02效果表'!D:D,'02效果表'!E:E),0)+AC428*MAX(_xlfn.XLOOKUP(AB428,'02效果表'!D:D,'02效果表'!E:E),0)+AE428*MAX(_xlfn.XLOOKUP(AD428,'02效果表'!D:D,'02效果表'!E:E),0)),1)</f>
        <v>0</v>
      </c>
      <c r="H428" s="6"/>
      <c r="I428" s="6"/>
      <c r="J428" s="6"/>
      <c r="K428" s="6"/>
      <c r="L428" s="6"/>
      <c r="M428" s="6"/>
      <c r="N428" s="6"/>
      <c r="O428" s="6"/>
      <c r="P428" s="6"/>
      <c r="Q428" s="6"/>
      <c r="R428" s="6"/>
      <c r="S428" s="6"/>
      <c r="T428" s="6"/>
      <c r="U428" s="6"/>
      <c r="V428" s="6"/>
      <c r="W428" s="6"/>
      <c r="X428" s="6"/>
      <c r="Y428" s="6"/>
      <c r="Z428" s="6"/>
      <c r="AA428" s="6"/>
      <c r="AB428" s="6"/>
      <c r="AC428" s="6"/>
      <c r="AD428" s="6"/>
      <c r="AE428" s="6"/>
    </row>
    <row r="429" spans="1:31" x14ac:dyDescent="0.35">
      <c r="A429" s="6">
        <v>429</v>
      </c>
      <c r="B429" s="6" t="s">
        <v>6</v>
      </c>
      <c r="C429" s="10" t="s">
        <v>2</v>
      </c>
      <c r="D429" s="9" t="s">
        <v>1608</v>
      </c>
      <c r="E429" s="7">
        <f t="shared" si="13"/>
        <v>0</v>
      </c>
      <c r="F429" s="7">
        <f>-1*ROUND(1/6*(I429*IF(_xlfn.XLOOKUP(H429,'02效果表'!D:D,'02效果表'!E:E)&lt;0, _xlfn.XLOOKUP(H429,'02效果表'!D:D,'02效果表'!E:E), 0) +
K429*IF(_xlfn.XLOOKUP(J429,'02效果表'!D:D,'02效果表'!E:E)&lt;0, _xlfn.XLOOKUP(J429,'02效果表'!D:D,'02效果表'!E:E), 0) +
M429*IF(_xlfn.XLOOKUP(L429,'02效果表'!D:D,'02效果表'!E:E)&lt;0, _xlfn.XLOOKUP(L429,'02效果表'!D:D,'02效果表'!E:E), 0) +
O429*IF(_xlfn.XLOOKUP(N429,'02效果表'!D:D,'02效果表'!E:E)&lt;0, _xlfn.XLOOKUP(N429,'02效果表'!D:D,'02效果表'!E:E), 0) +
Q429*IF(_xlfn.XLOOKUP(P429,'02效果表'!D:D,'02效果表'!E:E)&lt;0, _xlfn.XLOOKUP(P429,'02效果表'!D:D,'02效果表'!E:E), 0) +
S429*IF(_xlfn.XLOOKUP(R429,'02效果表'!D:D,'02效果表'!E:E)&lt;0, _xlfn.XLOOKUP(R429,'02效果表'!D:D,'02效果表'!E:E), 0) +
U429*IF(_xlfn.XLOOKUP(T429,'02效果表'!D:D,'02效果表'!E:E)&lt;0, _xlfn.XLOOKUP(T429,'02效果表'!D:D,'02效果表'!E:E), 0) +
W429*IF(_xlfn.XLOOKUP(V429,'02效果表'!D:D,'02效果表'!E:E)&lt;0, _xlfn.XLOOKUP(V429,'02效果表'!D:D,'02效果表'!E:E), 0) +
Y429*IF(_xlfn.XLOOKUP(X429,'02效果表'!D:D,'02效果表'!E:E)&lt;0, _xlfn.XLOOKUP(X429,'02效果表'!D:D,'02效果表'!E:E), 0) +
AA429*IF(_xlfn.XLOOKUP(Z429,'02效果表'!D:D,'02效果表'!E:E)&lt;0, _xlfn.XLOOKUP(Z429,'02效果表'!D:D,'02效果表'!E:E), 0) +
AC429*IF(_xlfn.XLOOKUP(AB429,'02效果表'!D:D,'02效果表'!E:E)&lt;0, _xlfn.XLOOKUP(AB429,'02效果表'!D:D,'02效果表'!E:E), 0) +
AE429*IF(_xlfn.XLOOKUP(AD429,'02效果表'!D:D,'02效果表'!E:E)&lt;0, _xlfn.XLOOKUP(AD429,'02效果表'!D:D,'02效果表'!E:E), 0)), 1)</f>
        <v>0</v>
      </c>
      <c r="G429" s="7">
        <f>ROUND(1/6*(I429*MAX(_xlfn.XLOOKUP(H429,'02效果表'!D:D,'02效果表'!E:E),0)+K429*MAX(_xlfn.XLOOKUP(J429,'02效果表'!D:D,'02效果表'!E:E),0)+M429*MAX(_xlfn.XLOOKUP(L429,'02效果表'!D:D,'02效果表'!E:E),0)+O429*MAX(_xlfn.XLOOKUP(N429,'02效果表'!D:D,'02效果表'!E:E),0)+Q429*MAX(_xlfn.XLOOKUP(P429,'02效果表'!D:D,'02效果表'!E:E),0)+S429*MAX(_xlfn.XLOOKUP(R429,'02效果表'!D:D,'02效果表'!E:E),0)+U429*MAX(_xlfn.XLOOKUP(T429,'02效果表'!D:D,'02效果表'!E:E),0)+W429*MAX(_xlfn.XLOOKUP(V429,'02效果表'!D:D,'02效果表'!E:E),0)+Y429*MAX(_xlfn.XLOOKUP(X429,'02效果表'!D:D,'02效果表'!E:E),0)+AA429*MAX(_xlfn.XLOOKUP(Z429,'02效果表'!D:D,'02效果表'!E:E),0)+AC429*MAX(_xlfn.XLOOKUP(AB429,'02效果表'!D:D,'02效果表'!E:E),0)+AE429*MAX(_xlfn.XLOOKUP(AD429,'02效果表'!D:D,'02效果表'!E:E),0)),1)</f>
        <v>0</v>
      </c>
      <c r="H429" s="6"/>
      <c r="I429" s="6"/>
      <c r="J429" s="6"/>
      <c r="K429" s="6"/>
      <c r="L429" s="6"/>
      <c r="M429" s="6"/>
      <c r="N429" s="6"/>
      <c r="O429" s="6"/>
      <c r="P429" s="6"/>
      <c r="Q429" s="6"/>
      <c r="R429" s="6"/>
      <c r="S429" s="6"/>
      <c r="T429" s="6"/>
      <c r="U429" s="6"/>
      <c r="V429" s="6"/>
      <c r="W429" s="6"/>
      <c r="X429" s="6"/>
      <c r="Y429" s="6"/>
      <c r="Z429" s="6"/>
      <c r="AA429" s="6"/>
      <c r="AB429" s="6"/>
      <c r="AC429" s="6"/>
      <c r="AD429" s="6"/>
      <c r="AE429" s="6"/>
    </row>
    <row r="430" spans="1:31" x14ac:dyDescent="0.35">
      <c r="A430" s="6">
        <v>430</v>
      </c>
      <c r="B430" s="6" t="s">
        <v>6</v>
      </c>
      <c r="C430" s="10" t="s">
        <v>2</v>
      </c>
      <c r="D430" s="9" t="s">
        <v>1609</v>
      </c>
      <c r="E430" s="7">
        <f t="shared" si="13"/>
        <v>0</v>
      </c>
      <c r="F430" s="7">
        <f>-1*ROUND(1/6*(I430*IF(_xlfn.XLOOKUP(H430,'02效果表'!D:D,'02效果表'!E:E)&lt;0, _xlfn.XLOOKUP(H430,'02效果表'!D:D,'02效果表'!E:E), 0) +
K430*IF(_xlfn.XLOOKUP(J430,'02效果表'!D:D,'02效果表'!E:E)&lt;0, _xlfn.XLOOKUP(J430,'02效果表'!D:D,'02效果表'!E:E), 0) +
M430*IF(_xlfn.XLOOKUP(L430,'02效果表'!D:D,'02效果表'!E:E)&lt;0, _xlfn.XLOOKUP(L430,'02效果表'!D:D,'02效果表'!E:E), 0) +
O430*IF(_xlfn.XLOOKUP(N430,'02效果表'!D:D,'02效果表'!E:E)&lt;0, _xlfn.XLOOKUP(N430,'02效果表'!D:D,'02效果表'!E:E), 0) +
Q430*IF(_xlfn.XLOOKUP(P430,'02效果表'!D:D,'02效果表'!E:E)&lt;0, _xlfn.XLOOKUP(P430,'02效果表'!D:D,'02效果表'!E:E), 0) +
S430*IF(_xlfn.XLOOKUP(R430,'02效果表'!D:D,'02效果表'!E:E)&lt;0, _xlfn.XLOOKUP(R430,'02效果表'!D:D,'02效果表'!E:E), 0) +
U430*IF(_xlfn.XLOOKUP(T430,'02效果表'!D:D,'02效果表'!E:E)&lt;0, _xlfn.XLOOKUP(T430,'02效果表'!D:D,'02效果表'!E:E), 0) +
W430*IF(_xlfn.XLOOKUP(V430,'02效果表'!D:D,'02效果表'!E:E)&lt;0, _xlfn.XLOOKUP(V430,'02效果表'!D:D,'02效果表'!E:E), 0) +
Y430*IF(_xlfn.XLOOKUP(X430,'02效果表'!D:D,'02效果表'!E:E)&lt;0, _xlfn.XLOOKUP(X430,'02效果表'!D:D,'02效果表'!E:E), 0) +
AA430*IF(_xlfn.XLOOKUP(Z430,'02效果表'!D:D,'02效果表'!E:E)&lt;0, _xlfn.XLOOKUP(Z430,'02效果表'!D:D,'02效果表'!E:E), 0) +
AC430*IF(_xlfn.XLOOKUP(AB430,'02效果表'!D:D,'02效果表'!E:E)&lt;0, _xlfn.XLOOKUP(AB430,'02效果表'!D:D,'02效果表'!E:E), 0) +
AE430*IF(_xlfn.XLOOKUP(AD430,'02效果表'!D:D,'02效果表'!E:E)&lt;0, _xlfn.XLOOKUP(AD430,'02效果表'!D:D,'02效果表'!E:E), 0)), 1)</f>
        <v>0</v>
      </c>
      <c r="G430" s="7">
        <f>ROUND(1/6*(I430*MAX(_xlfn.XLOOKUP(H430,'02效果表'!D:D,'02效果表'!E:E),0)+K430*MAX(_xlfn.XLOOKUP(J430,'02效果表'!D:D,'02效果表'!E:E),0)+M430*MAX(_xlfn.XLOOKUP(L430,'02效果表'!D:D,'02效果表'!E:E),0)+O430*MAX(_xlfn.XLOOKUP(N430,'02效果表'!D:D,'02效果表'!E:E),0)+Q430*MAX(_xlfn.XLOOKUP(P430,'02效果表'!D:D,'02效果表'!E:E),0)+S430*MAX(_xlfn.XLOOKUP(R430,'02效果表'!D:D,'02效果表'!E:E),0)+U430*MAX(_xlfn.XLOOKUP(T430,'02效果表'!D:D,'02效果表'!E:E),0)+W430*MAX(_xlfn.XLOOKUP(V430,'02效果表'!D:D,'02效果表'!E:E),0)+Y430*MAX(_xlfn.XLOOKUP(X430,'02效果表'!D:D,'02效果表'!E:E),0)+AA430*MAX(_xlfn.XLOOKUP(Z430,'02效果表'!D:D,'02效果表'!E:E),0)+AC430*MAX(_xlfn.XLOOKUP(AB430,'02效果表'!D:D,'02效果表'!E:E),0)+AE430*MAX(_xlfn.XLOOKUP(AD430,'02效果表'!D:D,'02效果表'!E:E),0)),1)</f>
        <v>0</v>
      </c>
      <c r="H430" s="6"/>
      <c r="I430" s="6"/>
      <c r="J430" s="6"/>
      <c r="K430" s="6"/>
      <c r="L430" s="6"/>
      <c r="M430" s="6"/>
      <c r="N430" s="6"/>
      <c r="O430" s="6"/>
      <c r="P430" s="6"/>
      <c r="Q430" s="6"/>
      <c r="R430" s="6"/>
      <c r="S430" s="6"/>
      <c r="T430" s="6"/>
      <c r="U430" s="6"/>
      <c r="V430" s="6"/>
      <c r="W430" s="6"/>
      <c r="X430" s="6"/>
      <c r="Y430" s="6"/>
      <c r="Z430" s="6"/>
      <c r="AA430" s="6"/>
      <c r="AB430" s="6"/>
      <c r="AC430" s="6"/>
      <c r="AD430" s="6"/>
      <c r="AE430" s="6"/>
    </row>
    <row r="431" spans="1:31" x14ac:dyDescent="0.35">
      <c r="A431" s="6">
        <v>431</v>
      </c>
      <c r="B431" s="6" t="s">
        <v>6</v>
      </c>
      <c r="C431" s="10" t="s">
        <v>2</v>
      </c>
      <c r="D431" s="9" t="s">
        <v>1610</v>
      </c>
      <c r="E431" s="7">
        <f t="shared" si="13"/>
        <v>0</v>
      </c>
      <c r="F431" s="7">
        <f>-1*ROUND(1/6*(I431*IF(_xlfn.XLOOKUP(H431,'02效果表'!D:D,'02效果表'!E:E)&lt;0, _xlfn.XLOOKUP(H431,'02效果表'!D:D,'02效果表'!E:E), 0) +
K431*IF(_xlfn.XLOOKUP(J431,'02效果表'!D:D,'02效果表'!E:E)&lt;0, _xlfn.XLOOKUP(J431,'02效果表'!D:D,'02效果表'!E:E), 0) +
M431*IF(_xlfn.XLOOKUP(L431,'02效果表'!D:D,'02效果表'!E:E)&lt;0, _xlfn.XLOOKUP(L431,'02效果表'!D:D,'02效果表'!E:E), 0) +
O431*IF(_xlfn.XLOOKUP(N431,'02效果表'!D:D,'02效果表'!E:E)&lt;0, _xlfn.XLOOKUP(N431,'02效果表'!D:D,'02效果表'!E:E), 0) +
Q431*IF(_xlfn.XLOOKUP(P431,'02效果表'!D:D,'02效果表'!E:E)&lt;0, _xlfn.XLOOKUP(P431,'02效果表'!D:D,'02效果表'!E:E), 0) +
S431*IF(_xlfn.XLOOKUP(R431,'02效果表'!D:D,'02效果表'!E:E)&lt;0, _xlfn.XLOOKUP(R431,'02效果表'!D:D,'02效果表'!E:E), 0) +
U431*IF(_xlfn.XLOOKUP(T431,'02效果表'!D:D,'02效果表'!E:E)&lt;0, _xlfn.XLOOKUP(T431,'02效果表'!D:D,'02效果表'!E:E), 0) +
W431*IF(_xlfn.XLOOKUP(V431,'02效果表'!D:D,'02效果表'!E:E)&lt;0, _xlfn.XLOOKUP(V431,'02效果表'!D:D,'02效果表'!E:E), 0) +
Y431*IF(_xlfn.XLOOKUP(X431,'02效果表'!D:D,'02效果表'!E:E)&lt;0, _xlfn.XLOOKUP(X431,'02效果表'!D:D,'02效果表'!E:E), 0) +
AA431*IF(_xlfn.XLOOKUP(Z431,'02效果表'!D:D,'02效果表'!E:E)&lt;0, _xlfn.XLOOKUP(Z431,'02效果表'!D:D,'02效果表'!E:E), 0) +
AC431*IF(_xlfn.XLOOKUP(AB431,'02效果表'!D:D,'02效果表'!E:E)&lt;0, _xlfn.XLOOKUP(AB431,'02效果表'!D:D,'02效果表'!E:E), 0) +
AE431*IF(_xlfn.XLOOKUP(AD431,'02效果表'!D:D,'02效果表'!E:E)&lt;0, _xlfn.XLOOKUP(AD431,'02效果表'!D:D,'02效果表'!E:E), 0)), 1)</f>
        <v>0</v>
      </c>
      <c r="G431" s="7">
        <f>ROUND(1/6*(I431*MAX(_xlfn.XLOOKUP(H431,'02效果表'!D:D,'02效果表'!E:E),0)+K431*MAX(_xlfn.XLOOKUP(J431,'02效果表'!D:D,'02效果表'!E:E),0)+M431*MAX(_xlfn.XLOOKUP(L431,'02效果表'!D:D,'02效果表'!E:E),0)+O431*MAX(_xlfn.XLOOKUP(N431,'02效果表'!D:D,'02效果表'!E:E),0)+Q431*MAX(_xlfn.XLOOKUP(P431,'02效果表'!D:D,'02效果表'!E:E),0)+S431*MAX(_xlfn.XLOOKUP(R431,'02效果表'!D:D,'02效果表'!E:E),0)+U431*MAX(_xlfn.XLOOKUP(T431,'02效果表'!D:D,'02效果表'!E:E),0)+W431*MAX(_xlfn.XLOOKUP(V431,'02效果表'!D:D,'02效果表'!E:E),0)+Y431*MAX(_xlfn.XLOOKUP(X431,'02效果表'!D:D,'02效果表'!E:E),0)+AA431*MAX(_xlfn.XLOOKUP(Z431,'02效果表'!D:D,'02效果表'!E:E),0)+AC431*MAX(_xlfn.XLOOKUP(AB431,'02效果表'!D:D,'02效果表'!E:E),0)+AE431*MAX(_xlfn.XLOOKUP(AD431,'02效果表'!D:D,'02效果表'!E:E),0)),1)</f>
        <v>0</v>
      </c>
      <c r="H431" s="6"/>
      <c r="I431" s="6"/>
      <c r="J431" s="6"/>
      <c r="K431" s="6"/>
      <c r="L431" s="6"/>
      <c r="M431" s="6"/>
      <c r="N431" s="6"/>
      <c r="O431" s="6"/>
      <c r="P431" s="6"/>
      <c r="Q431" s="6"/>
      <c r="R431" s="6"/>
      <c r="S431" s="6"/>
      <c r="T431" s="6"/>
      <c r="U431" s="6"/>
      <c r="V431" s="6"/>
      <c r="W431" s="6"/>
      <c r="X431" s="6"/>
      <c r="Y431" s="6"/>
      <c r="Z431" s="6"/>
      <c r="AA431" s="6"/>
      <c r="AB431" s="6"/>
      <c r="AC431" s="6"/>
      <c r="AD431" s="6"/>
      <c r="AE431" s="6"/>
    </row>
    <row r="432" spans="1:31" x14ac:dyDescent="0.35">
      <c r="A432" s="6">
        <v>432</v>
      </c>
      <c r="B432" s="6" t="s">
        <v>6</v>
      </c>
      <c r="C432" s="10" t="s">
        <v>2</v>
      </c>
      <c r="D432" s="9" t="s">
        <v>1611</v>
      </c>
      <c r="E432" s="7">
        <f t="shared" si="13"/>
        <v>0</v>
      </c>
      <c r="F432" s="7">
        <f>-1*ROUND(1/6*(I432*IF(_xlfn.XLOOKUP(H432,'02效果表'!D:D,'02效果表'!E:E)&lt;0, _xlfn.XLOOKUP(H432,'02效果表'!D:D,'02效果表'!E:E), 0) +
K432*IF(_xlfn.XLOOKUP(J432,'02效果表'!D:D,'02效果表'!E:E)&lt;0, _xlfn.XLOOKUP(J432,'02效果表'!D:D,'02效果表'!E:E), 0) +
M432*IF(_xlfn.XLOOKUP(L432,'02效果表'!D:D,'02效果表'!E:E)&lt;0, _xlfn.XLOOKUP(L432,'02效果表'!D:D,'02效果表'!E:E), 0) +
O432*IF(_xlfn.XLOOKUP(N432,'02效果表'!D:D,'02效果表'!E:E)&lt;0, _xlfn.XLOOKUP(N432,'02效果表'!D:D,'02效果表'!E:E), 0) +
Q432*IF(_xlfn.XLOOKUP(P432,'02效果表'!D:D,'02效果表'!E:E)&lt;0, _xlfn.XLOOKUP(P432,'02效果表'!D:D,'02效果表'!E:E), 0) +
S432*IF(_xlfn.XLOOKUP(R432,'02效果表'!D:D,'02效果表'!E:E)&lt;0, _xlfn.XLOOKUP(R432,'02效果表'!D:D,'02效果表'!E:E), 0) +
U432*IF(_xlfn.XLOOKUP(T432,'02效果表'!D:D,'02效果表'!E:E)&lt;0, _xlfn.XLOOKUP(T432,'02效果表'!D:D,'02效果表'!E:E), 0) +
W432*IF(_xlfn.XLOOKUP(V432,'02效果表'!D:D,'02效果表'!E:E)&lt;0, _xlfn.XLOOKUP(V432,'02效果表'!D:D,'02效果表'!E:E), 0) +
Y432*IF(_xlfn.XLOOKUP(X432,'02效果表'!D:D,'02效果表'!E:E)&lt;0, _xlfn.XLOOKUP(X432,'02效果表'!D:D,'02效果表'!E:E), 0) +
AA432*IF(_xlfn.XLOOKUP(Z432,'02效果表'!D:D,'02效果表'!E:E)&lt;0, _xlfn.XLOOKUP(Z432,'02效果表'!D:D,'02效果表'!E:E), 0) +
AC432*IF(_xlfn.XLOOKUP(AB432,'02效果表'!D:D,'02效果表'!E:E)&lt;0, _xlfn.XLOOKUP(AB432,'02效果表'!D:D,'02效果表'!E:E), 0) +
AE432*IF(_xlfn.XLOOKUP(AD432,'02效果表'!D:D,'02效果表'!E:E)&lt;0, _xlfn.XLOOKUP(AD432,'02效果表'!D:D,'02效果表'!E:E), 0)), 1)</f>
        <v>0</v>
      </c>
      <c r="G432" s="7">
        <f>ROUND(1/6*(I432*MAX(_xlfn.XLOOKUP(H432,'02效果表'!D:D,'02效果表'!E:E),0)+K432*MAX(_xlfn.XLOOKUP(J432,'02效果表'!D:D,'02效果表'!E:E),0)+M432*MAX(_xlfn.XLOOKUP(L432,'02效果表'!D:D,'02效果表'!E:E),0)+O432*MAX(_xlfn.XLOOKUP(N432,'02效果表'!D:D,'02效果表'!E:E),0)+Q432*MAX(_xlfn.XLOOKUP(P432,'02效果表'!D:D,'02效果表'!E:E),0)+S432*MAX(_xlfn.XLOOKUP(R432,'02效果表'!D:D,'02效果表'!E:E),0)+U432*MAX(_xlfn.XLOOKUP(T432,'02效果表'!D:D,'02效果表'!E:E),0)+W432*MAX(_xlfn.XLOOKUP(V432,'02效果表'!D:D,'02效果表'!E:E),0)+Y432*MAX(_xlfn.XLOOKUP(X432,'02效果表'!D:D,'02效果表'!E:E),0)+AA432*MAX(_xlfn.XLOOKUP(Z432,'02效果表'!D:D,'02效果表'!E:E),0)+AC432*MAX(_xlfn.XLOOKUP(AB432,'02效果表'!D:D,'02效果表'!E:E),0)+AE432*MAX(_xlfn.XLOOKUP(AD432,'02效果表'!D:D,'02效果表'!E:E),0)),1)</f>
        <v>0</v>
      </c>
      <c r="H432" s="6"/>
      <c r="I432" s="6"/>
      <c r="J432" s="6"/>
      <c r="K432" s="6"/>
      <c r="L432" s="6"/>
      <c r="M432" s="6"/>
      <c r="N432" s="6"/>
      <c r="O432" s="6"/>
      <c r="P432" s="6"/>
      <c r="Q432" s="6"/>
      <c r="R432" s="6"/>
      <c r="S432" s="6"/>
      <c r="T432" s="6"/>
      <c r="U432" s="6"/>
      <c r="V432" s="6"/>
      <c r="W432" s="6"/>
      <c r="X432" s="6"/>
      <c r="Y432" s="6"/>
      <c r="Z432" s="6"/>
      <c r="AA432" s="6"/>
      <c r="AB432" s="6"/>
      <c r="AC432" s="6"/>
      <c r="AD432" s="6"/>
      <c r="AE432" s="6"/>
    </row>
    <row r="433" spans="1:31" x14ac:dyDescent="0.35">
      <c r="A433" s="6">
        <v>433</v>
      </c>
      <c r="B433" s="6" t="s">
        <v>6</v>
      </c>
      <c r="C433" s="10" t="s">
        <v>2</v>
      </c>
      <c r="D433" s="9" t="s">
        <v>1612</v>
      </c>
      <c r="E433" s="7">
        <f t="shared" si="13"/>
        <v>0</v>
      </c>
      <c r="F433" s="7">
        <f>-1*ROUND(1/6*(I433*IF(_xlfn.XLOOKUP(H433,'02效果表'!D:D,'02效果表'!E:E)&lt;0, _xlfn.XLOOKUP(H433,'02效果表'!D:D,'02效果表'!E:E), 0) +
K433*IF(_xlfn.XLOOKUP(J433,'02效果表'!D:D,'02效果表'!E:E)&lt;0, _xlfn.XLOOKUP(J433,'02效果表'!D:D,'02效果表'!E:E), 0) +
M433*IF(_xlfn.XLOOKUP(L433,'02效果表'!D:D,'02效果表'!E:E)&lt;0, _xlfn.XLOOKUP(L433,'02效果表'!D:D,'02效果表'!E:E), 0) +
O433*IF(_xlfn.XLOOKUP(N433,'02效果表'!D:D,'02效果表'!E:E)&lt;0, _xlfn.XLOOKUP(N433,'02效果表'!D:D,'02效果表'!E:E), 0) +
Q433*IF(_xlfn.XLOOKUP(P433,'02效果表'!D:D,'02效果表'!E:E)&lt;0, _xlfn.XLOOKUP(P433,'02效果表'!D:D,'02效果表'!E:E), 0) +
S433*IF(_xlfn.XLOOKUP(R433,'02效果表'!D:D,'02效果表'!E:E)&lt;0, _xlfn.XLOOKUP(R433,'02效果表'!D:D,'02效果表'!E:E), 0) +
U433*IF(_xlfn.XLOOKUP(T433,'02效果表'!D:D,'02效果表'!E:E)&lt;0, _xlfn.XLOOKUP(T433,'02效果表'!D:D,'02效果表'!E:E), 0) +
W433*IF(_xlfn.XLOOKUP(V433,'02效果表'!D:D,'02效果表'!E:E)&lt;0, _xlfn.XLOOKUP(V433,'02效果表'!D:D,'02效果表'!E:E), 0) +
Y433*IF(_xlfn.XLOOKUP(X433,'02效果表'!D:D,'02效果表'!E:E)&lt;0, _xlfn.XLOOKUP(X433,'02效果表'!D:D,'02效果表'!E:E), 0) +
AA433*IF(_xlfn.XLOOKUP(Z433,'02效果表'!D:D,'02效果表'!E:E)&lt;0, _xlfn.XLOOKUP(Z433,'02效果表'!D:D,'02效果表'!E:E), 0) +
AC433*IF(_xlfn.XLOOKUP(AB433,'02效果表'!D:D,'02效果表'!E:E)&lt;0, _xlfn.XLOOKUP(AB433,'02效果表'!D:D,'02效果表'!E:E), 0) +
AE433*IF(_xlfn.XLOOKUP(AD433,'02效果表'!D:D,'02效果表'!E:E)&lt;0, _xlfn.XLOOKUP(AD433,'02效果表'!D:D,'02效果表'!E:E), 0)), 1)</f>
        <v>0</v>
      </c>
      <c r="G433" s="7">
        <f>ROUND(1/6*(I433*MAX(_xlfn.XLOOKUP(H433,'02效果表'!D:D,'02效果表'!E:E),0)+K433*MAX(_xlfn.XLOOKUP(J433,'02效果表'!D:D,'02效果表'!E:E),0)+M433*MAX(_xlfn.XLOOKUP(L433,'02效果表'!D:D,'02效果表'!E:E),0)+O433*MAX(_xlfn.XLOOKUP(N433,'02效果表'!D:D,'02效果表'!E:E),0)+Q433*MAX(_xlfn.XLOOKUP(P433,'02效果表'!D:D,'02效果表'!E:E),0)+S433*MAX(_xlfn.XLOOKUP(R433,'02效果表'!D:D,'02效果表'!E:E),0)+U433*MAX(_xlfn.XLOOKUP(T433,'02效果表'!D:D,'02效果表'!E:E),0)+W433*MAX(_xlfn.XLOOKUP(V433,'02效果表'!D:D,'02效果表'!E:E),0)+Y433*MAX(_xlfn.XLOOKUP(X433,'02效果表'!D:D,'02效果表'!E:E),0)+AA433*MAX(_xlfn.XLOOKUP(Z433,'02效果表'!D:D,'02效果表'!E:E),0)+AC433*MAX(_xlfn.XLOOKUP(AB433,'02效果表'!D:D,'02效果表'!E:E),0)+AE433*MAX(_xlfn.XLOOKUP(AD433,'02效果表'!D:D,'02效果表'!E:E),0)),1)</f>
        <v>0</v>
      </c>
      <c r="H433" s="6"/>
      <c r="I433" s="6"/>
      <c r="J433" s="6"/>
      <c r="K433" s="6"/>
      <c r="L433" s="6"/>
      <c r="M433" s="6"/>
      <c r="N433" s="6"/>
      <c r="O433" s="6"/>
      <c r="P433" s="6"/>
      <c r="Q433" s="6"/>
      <c r="R433" s="6"/>
      <c r="S433" s="6"/>
      <c r="T433" s="6"/>
      <c r="U433" s="6"/>
      <c r="V433" s="6"/>
      <c r="W433" s="6"/>
      <c r="X433" s="6"/>
      <c r="Y433" s="6"/>
      <c r="Z433" s="6"/>
      <c r="AA433" s="6"/>
      <c r="AB433" s="6"/>
      <c r="AC433" s="6"/>
      <c r="AD433" s="6"/>
      <c r="AE433" s="6"/>
    </row>
    <row r="434" spans="1:31" x14ac:dyDescent="0.35">
      <c r="A434" s="6">
        <v>434</v>
      </c>
      <c r="B434" s="6" t="s">
        <v>6</v>
      </c>
      <c r="C434" s="10" t="s">
        <v>2</v>
      </c>
      <c r="D434" s="9" t="s">
        <v>1613</v>
      </c>
      <c r="E434" s="7">
        <f t="shared" si="13"/>
        <v>0</v>
      </c>
      <c r="F434" s="7">
        <f>-1*ROUND(1/6*(I434*IF(_xlfn.XLOOKUP(H434,'02效果表'!D:D,'02效果表'!E:E)&lt;0, _xlfn.XLOOKUP(H434,'02效果表'!D:D,'02效果表'!E:E), 0) +
K434*IF(_xlfn.XLOOKUP(J434,'02效果表'!D:D,'02效果表'!E:E)&lt;0, _xlfn.XLOOKUP(J434,'02效果表'!D:D,'02效果表'!E:E), 0) +
M434*IF(_xlfn.XLOOKUP(L434,'02效果表'!D:D,'02效果表'!E:E)&lt;0, _xlfn.XLOOKUP(L434,'02效果表'!D:D,'02效果表'!E:E), 0) +
O434*IF(_xlfn.XLOOKUP(N434,'02效果表'!D:D,'02效果表'!E:E)&lt;0, _xlfn.XLOOKUP(N434,'02效果表'!D:D,'02效果表'!E:E), 0) +
Q434*IF(_xlfn.XLOOKUP(P434,'02效果表'!D:D,'02效果表'!E:E)&lt;0, _xlfn.XLOOKUP(P434,'02效果表'!D:D,'02效果表'!E:E), 0) +
S434*IF(_xlfn.XLOOKUP(R434,'02效果表'!D:D,'02效果表'!E:E)&lt;0, _xlfn.XLOOKUP(R434,'02效果表'!D:D,'02效果表'!E:E), 0) +
U434*IF(_xlfn.XLOOKUP(T434,'02效果表'!D:D,'02效果表'!E:E)&lt;0, _xlfn.XLOOKUP(T434,'02效果表'!D:D,'02效果表'!E:E), 0) +
W434*IF(_xlfn.XLOOKUP(V434,'02效果表'!D:D,'02效果表'!E:E)&lt;0, _xlfn.XLOOKUP(V434,'02效果表'!D:D,'02效果表'!E:E), 0) +
Y434*IF(_xlfn.XLOOKUP(X434,'02效果表'!D:D,'02效果表'!E:E)&lt;0, _xlfn.XLOOKUP(X434,'02效果表'!D:D,'02效果表'!E:E), 0) +
AA434*IF(_xlfn.XLOOKUP(Z434,'02效果表'!D:D,'02效果表'!E:E)&lt;0, _xlfn.XLOOKUP(Z434,'02效果表'!D:D,'02效果表'!E:E), 0) +
AC434*IF(_xlfn.XLOOKUP(AB434,'02效果表'!D:D,'02效果表'!E:E)&lt;0, _xlfn.XLOOKUP(AB434,'02效果表'!D:D,'02效果表'!E:E), 0) +
AE434*IF(_xlfn.XLOOKUP(AD434,'02效果表'!D:D,'02效果表'!E:E)&lt;0, _xlfn.XLOOKUP(AD434,'02效果表'!D:D,'02效果表'!E:E), 0)), 1)</f>
        <v>0</v>
      </c>
      <c r="G434" s="7">
        <f>ROUND(1/6*(I434*MAX(_xlfn.XLOOKUP(H434,'02效果表'!D:D,'02效果表'!E:E),0)+K434*MAX(_xlfn.XLOOKUP(J434,'02效果表'!D:D,'02效果表'!E:E),0)+M434*MAX(_xlfn.XLOOKUP(L434,'02效果表'!D:D,'02效果表'!E:E),0)+O434*MAX(_xlfn.XLOOKUP(N434,'02效果表'!D:D,'02效果表'!E:E),0)+Q434*MAX(_xlfn.XLOOKUP(P434,'02效果表'!D:D,'02效果表'!E:E),0)+S434*MAX(_xlfn.XLOOKUP(R434,'02效果表'!D:D,'02效果表'!E:E),0)+U434*MAX(_xlfn.XLOOKUP(T434,'02效果表'!D:D,'02效果表'!E:E),0)+W434*MAX(_xlfn.XLOOKUP(V434,'02效果表'!D:D,'02效果表'!E:E),0)+Y434*MAX(_xlfn.XLOOKUP(X434,'02效果表'!D:D,'02效果表'!E:E),0)+AA434*MAX(_xlfn.XLOOKUP(Z434,'02效果表'!D:D,'02效果表'!E:E),0)+AC434*MAX(_xlfn.XLOOKUP(AB434,'02效果表'!D:D,'02效果表'!E:E),0)+AE434*MAX(_xlfn.XLOOKUP(AD434,'02效果表'!D:D,'02效果表'!E:E),0)),1)</f>
        <v>0</v>
      </c>
      <c r="H434" s="6"/>
      <c r="I434" s="6"/>
      <c r="J434" s="6"/>
      <c r="K434" s="6"/>
      <c r="L434" s="6"/>
      <c r="M434" s="6"/>
      <c r="N434" s="6"/>
      <c r="O434" s="6"/>
      <c r="P434" s="6"/>
      <c r="Q434" s="6"/>
      <c r="R434" s="6"/>
      <c r="S434" s="6"/>
      <c r="T434" s="6"/>
      <c r="U434" s="6"/>
      <c r="V434" s="6"/>
      <c r="W434" s="6"/>
      <c r="X434" s="6"/>
      <c r="Y434" s="6"/>
      <c r="Z434" s="6"/>
      <c r="AA434" s="6"/>
      <c r="AB434" s="6"/>
      <c r="AC434" s="6"/>
      <c r="AD434" s="6"/>
      <c r="AE434" s="6"/>
    </row>
    <row r="435" spans="1:31" x14ac:dyDescent="0.35">
      <c r="A435" s="6">
        <v>435</v>
      </c>
      <c r="B435" s="6" t="s">
        <v>6</v>
      </c>
      <c r="C435" s="10" t="s">
        <v>2</v>
      </c>
      <c r="D435" s="9" t="s">
        <v>1614</v>
      </c>
      <c r="E435" s="7">
        <f t="shared" si="13"/>
        <v>0</v>
      </c>
      <c r="F435" s="7">
        <f>-1*ROUND(1/6*(I435*IF(_xlfn.XLOOKUP(H435,'02效果表'!D:D,'02效果表'!E:E)&lt;0, _xlfn.XLOOKUP(H435,'02效果表'!D:D,'02效果表'!E:E), 0) +
K435*IF(_xlfn.XLOOKUP(J435,'02效果表'!D:D,'02效果表'!E:E)&lt;0, _xlfn.XLOOKUP(J435,'02效果表'!D:D,'02效果表'!E:E), 0) +
M435*IF(_xlfn.XLOOKUP(L435,'02效果表'!D:D,'02效果表'!E:E)&lt;0, _xlfn.XLOOKUP(L435,'02效果表'!D:D,'02效果表'!E:E), 0) +
O435*IF(_xlfn.XLOOKUP(N435,'02效果表'!D:D,'02效果表'!E:E)&lt;0, _xlfn.XLOOKUP(N435,'02效果表'!D:D,'02效果表'!E:E), 0) +
Q435*IF(_xlfn.XLOOKUP(P435,'02效果表'!D:D,'02效果表'!E:E)&lt;0, _xlfn.XLOOKUP(P435,'02效果表'!D:D,'02效果表'!E:E), 0) +
S435*IF(_xlfn.XLOOKUP(R435,'02效果表'!D:D,'02效果表'!E:E)&lt;0, _xlfn.XLOOKUP(R435,'02效果表'!D:D,'02效果表'!E:E), 0) +
U435*IF(_xlfn.XLOOKUP(T435,'02效果表'!D:D,'02效果表'!E:E)&lt;0, _xlfn.XLOOKUP(T435,'02效果表'!D:D,'02效果表'!E:E), 0) +
W435*IF(_xlfn.XLOOKUP(V435,'02效果表'!D:D,'02效果表'!E:E)&lt;0, _xlfn.XLOOKUP(V435,'02效果表'!D:D,'02效果表'!E:E), 0) +
Y435*IF(_xlfn.XLOOKUP(X435,'02效果表'!D:D,'02效果表'!E:E)&lt;0, _xlfn.XLOOKUP(X435,'02效果表'!D:D,'02效果表'!E:E), 0) +
AA435*IF(_xlfn.XLOOKUP(Z435,'02效果表'!D:D,'02效果表'!E:E)&lt;0, _xlfn.XLOOKUP(Z435,'02效果表'!D:D,'02效果表'!E:E), 0) +
AC435*IF(_xlfn.XLOOKUP(AB435,'02效果表'!D:D,'02效果表'!E:E)&lt;0, _xlfn.XLOOKUP(AB435,'02效果表'!D:D,'02效果表'!E:E), 0) +
AE435*IF(_xlfn.XLOOKUP(AD435,'02效果表'!D:D,'02效果表'!E:E)&lt;0, _xlfn.XLOOKUP(AD435,'02效果表'!D:D,'02效果表'!E:E), 0)), 1)</f>
        <v>0</v>
      </c>
      <c r="G435" s="7">
        <f>ROUND(1/6*(I435*MAX(_xlfn.XLOOKUP(H435,'02效果表'!D:D,'02效果表'!E:E),0)+K435*MAX(_xlfn.XLOOKUP(J435,'02效果表'!D:D,'02效果表'!E:E),0)+M435*MAX(_xlfn.XLOOKUP(L435,'02效果表'!D:D,'02效果表'!E:E),0)+O435*MAX(_xlfn.XLOOKUP(N435,'02效果表'!D:D,'02效果表'!E:E),0)+Q435*MAX(_xlfn.XLOOKUP(P435,'02效果表'!D:D,'02效果表'!E:E),0)+S435*MAX(_xlfn.XLOOKUP(R435,'02效果表'!D:D,'02效果表'!E:E),0)+U435*MAX(_xlfn.XLOOKUP(T435,'02效果表'!D:D,'02效果表'!E:E),0)+W435*MAX(_xlfn.XLOOKUP(V435,'02效果表'!D:D,'02效果表'!E:E),0)+Y435*MAX(_xlfn.XLOOKUP(X435,'02效果表'!D:D,'02效果表'!E:E),0)+AA435*MAX(_xlfn.XLOOKUP(Z435,'02效果表'!D:D,'02效果表'!E:E),0)+AC435*MAX(_xlfn.XLOOKUP(AB435,'02效果表'!D:D,'02效果表'!E:E),0)+AE435*MAX(_xlfn.XLOOKUP(AD435,'02效果表'!D:D,'02效果表'!E:E),0)),1)</f>
        <v>0</v>
      </c>
      <c r="H435" s="6"/>
      <c r="I435" s="6"/>
      <c r="J435" s="6"/>
      <c r="K435" s="6"/>
      <c r="L435" s="6"/>
      <c r="M435" s="6"/>
      <c r="N435" s="6"/>
      <c r="O435" s="6"/>
      <c r="P435" s="6"/>
      <c r="Q435" s="6"/>
      <c r="R435" s="6"/>
      <c r="S435" s="6"/>
      <c r="T435" s="6"/>
      <c r="U435" s="6"/>
      <c r="V435" s="6"/>
      <c r="W435" s="6"/>
      <c r="X435" s="6"/>
      <c r="Y435" s="6"/>
      <c r="Z435" s="6"/>
      <c r="AA435" s="6"/>
      <c r="AB435" s="6"/>
      <c r="AC435" s="6"/>
      <c r="AD435" s="6"/>
      <c r="AE435" s="6"/>
    </row>
    <row r="436" spans="1:31" x14ac:dyDescent="0.35">
      <c r="A436" s="6">
        <v>436</v>
      </c>
      <c r="B436" s="6" t="s">
        <v>6</v>
      </c>
      <c r="C436" s="10" t="s">
        <v>2</v>
      </c>
      <c r="D436" s="9" t="s">
        <v>1615</v>
      </c>
      <c r="E436" s="7">
        <f t="shared" si="13"/>
        <v>0</v>
      </c>
      <c r="F436" s="7">
        <f>-1*ROUND(1/6*(I436*IF(_xlfn.XLOOKUP(H436,'02效果表'!D:D,'02效果表'!E:E)&lt;0, _xlfn.XLOOKUP(H436,'02效果表'!D:D,'02效果表'!E:E), 0) +
K436*IF(_xlfn.XLOOKUP(J436,'02效果表'!D:D,'02效果表'!E:E)&lt;0, _xlfn.XLOOKUP(J436,'02效果表'!D:D,'02效果表'!E:E), 0) +
M436*IF(_xlfn.XLOOKUP(L436,'02效果表'!D:D,'02效果表'!E:E)&lt;0, _xlfn.XLOOKUP(L436,'02效果表'!D:D,'02效果表'!E:E), 0) +
O436*IF(_xlfn.XLOOKUP(N436,'02效果表'!D:D,'02效果表'!E:E)&lt;0, _xlfn.XLOOKUP(N436,'02效果表'!D:D,'02效果表'!E:E), 0) +
Q436*IF(_xlfn.XLOOKUP(P436,'02效果表'!D:D,'02效果表'!E:E)&lt;0, _xlfn.XLOOKUP(P436,'02效果表'!D:D,'02效果表'!E:E), 0) +
S436*IF(_xlfn.XLOOKUP(R436,'02效果表'!D:D,'02效果表'!E:E)&lt;0, _xlfn.XLOOKUP(R436,'02效果表'!D:D,'02效果表'!E:E), 0) +
U436*IF(_xlfn.XLOOKUP(T436,'02效果表'!D:D,'02效果表'!E:E)&lt;0, _xlfn.XLOOKUP(T436,'02效果表'!D:D,'02效果表'!E:E), 0) +
W436*IF(_xlfn.XLOOKUP(V436,'02效果表'!D:D,'02效果表'!E:E)&lt;0, _xlfn.XLOOKUP(V436,'02效果表'!D:D,'02效果表'!E:E), 0) +
Y436*IF(_xlfn.XLOOKUP(X436,'02效果表'!D:D,'02效果表'!E:E)&lt;0, _xlfn.XLOOKUP(X436,'02效果表'!D:D,'02效果表'!E:E), 0) +
AA436*IF(_xlfn.XLOOKUP(Z436,'02效果表'!D:D,'02效果表'!E:E)&lt;0, _xlfn.XLOOKUP(Z436,'02效果表'!D:D,'02效果表'!E:E), 0) +
AC436*IF(_xlfn.XLOOKUP(AB436,'02效果表'!D:D,'02效果表'!E:E)&lt;0, _xlfn.XLOOKUP(AB436,'02效果表'!D:D,'02效果表'!E:E), 0) +
AE436*IF(_xlfn.XLOOKUP(AD436,'02效果表'!D:D,'02效果表'!E:E)&lt;0, _xlfn.XLOOKUP(AD436,'02效果表'!D:D,'02效果表'!E:E), 0)), 1)</f>
        <v>0</v>
      </c>
      <c r="G436" s="7">
        <f>ROUND(1/6*(I436*MAX(_xlfn.XLOOKUP(H436,'02效果表'!D:D,'02效果表'!E:E),0)+K436*MAX(_xlfn.XLOOKUP(J436,'02效果表'!D:D,'02效果表'!E:E),0)+M436*MAX(_xlfn.XLOOKUP(L436,'02效果表'!D:D,'02效果表'!E:E),0)+O436*MAX(_xlfn.XLOOKUP(N436,'02效果表'!D:D,'02效果表'!E:E),0)+Q436*MAX(_xlfn.XLOOKUP(P436,'02效果表'!D:D,'02效果表'!E:E),0)+S436*MAX(_xlfn.XLOOKUP(R436,'02效果表'!D:D,'02效果表'!E:E),0)+U436*MAX(_xlfn.XLOOKUP(T436,'02效果表'!D:D,'02效果表'!E:E),0)+W436*MAX(_xlfn.XLOOKUP(V436,'02效果表'!D:D,'02效果表'!E:E),0)+Y436*MAX(_xlfn.XLOOKUP(X436,'02效果表'!D:D,'02效果表'!E:E),0)+AA436*MAX(_xlfn.XLOOKUP(Z436,'02效果表'!D:D,'02效果表'!E:E),0)+AC436*MAX(_xlfn.XLOOKUP(AB436,'02效果表'!D:D,'02效果表'!E:E),0)+AE436*MAX(_xlfn.XLOOKUP(AD436,'02效果表'!D:D,'02效果表'!E:E),0)),1)</f>
        <v>0</v>
      </c>
      <c r="H436" s="6"/>
      <c r="I436" s="6"/>
      <c r="J436" s="6"/>
      <c r="K436" s="6"/>
      <c r="L436" s="6"/>
      <c r="M436" s="6"/>
      <c r="N436" s="6"/>
      <c r="O436" s="6"/>
      <c r="P436" s="6"/>
      <c r="Q436" s="6"/>
      <c r="R436" s="6"/>
      <c r="S436" s="6"/>
      <c r="T436" s="6"/>
      <c r="U436" s="6"/>
      <c r="V436" s="6"/>
      <c r="W436" s="6"/>
      <c r="X436" s="6"/>
      <c r="Y436" s="6"/>
      <c r="Z436" s="6"/>
      <c r="AA436" s="6"/>
      <c r="AB436" s="6"/>
      <c r="AC436" s="6"/>
      <c r="AD436" s="6"/>
      <c r="AE436" s="6"/>
    </row>
    <row r="437" spans="1:31" x14ac:dyDescent="0.35">
      <c r="A437" s="6">
        <v>437</v>
      </c>
      <c r="B437" s="6" t="s">
        <v>6</v>
      </c>
      <c r="C437" s="10" t="s">
        <v>2</v>
      </c>
      <c r="D437" s="9" t="s">
        <v>1616</v>
      </c>
      <c r="E437" s="7">
        <f t="shared" si="13"/>
        <v>0</v>
      </c>
      <c r="F437" s="7">
        <f>-1*ROUND(1/6*(I437*IF(_xlfn.XLOOKUP(H437,'02效果表'!D:D,'02效果表'!E:E)&lt;0, _xlfn.XLOOKUP(H437,'02效果表'!D:D,'02效果表'!E:E), 0) +
K437*IF(_xlfn.XLOOKUP(J437,'02效果表'!D:D,'02效果表'!E:E)&lt;0, _xlfn.XLOOKUP(J437,'02效果表'!D:D,'02效果表'!E:E), 0) +
M437*IF(_xlfn.XLOOKUP(L437,'02效果表'!D:D,'02效果表'!E:E)&lt;0, _xlfn.XLOOKUP(L437,'02效果表'!D:D,'02效果表'!E:E), 0) +
O437*IF(_xlfn.XLOOKUP(N437,'02效果表'!D:D,'02效果表'!E:E)&lt;0, _xlfn.XLOOKUP(N437,'02效果表'!D:D,'02效果表'!E:E), 0) +
Q437*IF(_xlfn.XLOOKUP(P437,'02效果表'!D:D,'02效果表'!E:E)&lt;0, _xlfn.XLOOKUP(P437,'02效果表'!D:D,'02效果表'!E:E), 0) +
S437*IF(_xlfn.XLOOKUP(R437,'02效果表'!D:D,'02效果表'!E:E)&lt;0, _xlfn.XLOOKUP(R437,'02效果表'!D:D,'02效果表'!E:E), 0) +
U437*IF(_xlfn.XLOOKUP(T437,'02效果表'!D:D,'02效果表'!E:E)&lt;0, _xlfn.XLOOKUP(T437,'02效果表'!D:D,'02效果表'!E:E), 0) +
W437*IF(_xlfn.XLOOKUP(V437,'02效果表'!D:D,'02效果表'!E:E)&lt;0, _xlfn.XLOOKUP(V437,'02效果表'!D:D,'02效果表'!E:E), 0) +
Y437*IF(_xlfn.XLOOKUP(X437,'02效果表'!D:D,'02效果表'!E:E)&lt;0, _xlfn.XLOOKUP(X437,'02效果表'!D:D,'02效果表'!E:E), 0) +
AA437*IF(_xlfn.XLOOKUP(Z437,'02效果表'!D:D,'02效果表'!E:E)&lt;0, _xlfn.XLOOKUP(Z437,'02效果表'!D:D,'02效果表'!E:E), 0) +
AC437*IF(_xlfn.XLOOKUP(AB437,'02效果表'!D:D,'02效果表'!E:E)&lt;0, _xlfn.XLOOKUP(AB437,'02效果表'!D:D,'02效果表'!E:E), 0) +
AE437*IF(_xlfn.XLOOKUP(AD437,'02效果表'!D:D,'02效果表'!E:E)&lt;0, _xlfn.XLOOKUP(AD437,'02效果表'!D:D,'02效果表'!E:E), 0)), 1)</f>
        <v>0</v>
      </c>
      <c r="G437" s="7">
        <f>ROUND(1/6*(I437*MAX(_xlfn.XLOOKUP(H437,'02效果表'!D:D,'02效果表'!E:E),0)+K437*MAX(_xlfn.XLOOKUP(J437,'02效果表'!D:D,'02效果表'!E:E),0)+M437*MAX(_xlfn.XLOOKUP(L437,'02效果表'!D:D,'02效果表'!E:E),0)+O437*MAX(_xlfn.XLOOKUP(N437,'02效果表'!D:D,'02效果表'!E:E),0)+Q437*MAX(_xlfn.XLOOKUP(P437,'02效果表'!D:D,'02效果表'!E:E),0)+S437*MAX(_xlfn.XLOOKUP(R437,'02效果表'!D:D,'02效果表'!E:E),0)+U437*MAX(_xlfn.XLOOKUP(T437,'02效果表'!D:D,'02效果表'!E:E),0)+W437*MAX(_xlfn.XLOOKUP(V437,'02效果表'!D:D,'02效果表'!E:E),0)+Y437*MAX(_xlfn.XLOOKUP(X437,'02效果表'!D:D,'02效果表'!E:E),0)+AA437*MAX(_xlfn.XLOOKUP(Z437,'02效果表'!D:D,'02效果表'!E:E),0)+AC437*MAX(_xlfn.XLOOKUP(AB437,'02效果表'!D:D,'02效果表'!E:E),0)+AE437*MAX(_xlfn.XLOOKUP(AD437,'02效果表'!D:D,'02效果表'!E:E),0)),1)</f>
        <v>0</v>
      </c>
      <c r="H437" s="6"/>
      <c r="I437" s="6"/>
      <c r="J437" s="6"/>
      <c r="K437" s="6"/>
      <c r="L437" s="6"/>
      <c r="M437" s="6"/>
      <c r="N437" s="6"/>
      <c r="O437" s="6"/>
      <c r="P437" s="6"/>
      <c r="Q437" s="6"/>
      <c r="R437" s="6"/>
      <c r="S437" s="6"/>
      <c r="T437" s="6"/>
      <c r="U437" s="6"/>
      <c r="V437" s="6"/>
      <c r="W437" s="6"/>
      <c r="X437" s="6"/>
      <c r="Y437" s="6"/>
      <c r="Z437" s="6"/>
      <c r="AA437" s="6"/>
      <c r="AB437" s="6"/>
      <c r="AC437" s="6"/>
      <c r="AD437" s="6"/>
      <c r="AE437" s="6"/>
    </row>
    <row r="438" spans="1:31" x14ac:dyDescent="0.35">
      <c r="A438" s="6">
        <v>438</v>
      </c>
      <c r="B438" s="6" t="s">
        <v>6</v>
      </c>
      <c r="C438" s="10" t="s">
        <v>2</v>
      </c>
      <c r="D438" s="9" t="s">
        <v>1617</v>
      </c>
      <c r="E438" s="7">
        <f t="shared" si="13"/>
        <v>0</v>
      </c>
      <c r="F438" s="7">
        <f>-1*ROUND(1/6*(I438*IF(_xlfn.XLOOKUP(H438,'02效果表'!D:D,'02效果表'!E:E)&lt;0, _xlfn.XLOOKUP(H438,'02效果表'!D:D,'02效果表'!E:E), 0) +
K438*IF(_xlfn.XLOOKUP(J438,'02效果表'!D:D,'02效果表'!E:E)&lt;0, _xlfn.XLOOKUP(J438,'02效果表'!D:D,'02效果表'!E:E), 0) +
M438*IF(_xlfn.XLOOKUP(L438,'02效果表'!D:D,'02效果表'!E:E)&lt;0, _xlfn.XLOOKUP(L438,'02效果表'!D:D,'02效果表'!E:E), 0) +
O438*IF(_xlfn.XLOOKUP(N438,'02效果表'!D:D,'02效果表'!E:E)&lt;0, _xlfn.XLOOKUP(N438,'02效果表'!D:D,'02效果表'!E:E), 0) +
Q438*IF(_xlfn.XLOOKUP(P438,'02效果表'!D:D,'02效果表'!E:E)&lt;0, _xlfn.XLOOKUP(P438,'02效果表'!D:D,'02效果表'!E:E), 0) +
S438*IF(_xlfn.XLOOKUP(R438,'02效果表'!D:D,'02效果表'!E:E)&lt;0, _xlfn.XLOOKUP(R438,'02效果表'!D:D,'02效果表'!E:E), 0) +
U438*IF(_xlfn.XLOOKUP(T438,'02效果表'!D:D,'02效果表'!E:E)&lt;0, _xlfn.XLOOKUP(T438,'02效果表'!D:D,'02效果表'!E:E), 0) +
W438*IF(_xlfn.XLOOKUP(V438,'02效果表'!D:D,'02效果表'!E:E)&lt;0, _xlfn.XLOOKUP(V438,'02效果表'!D:D,'02效果表'!E:E), 0) +
Y438*IF(_xlfn.XLOOKUP(X438,'02效果表'!D:D,'02效果表'!E:E)&lt;0, _xlfn.XLOOKUP(X438,'02效果表'!D:D,'02效果表'!E:E), 0) +
AA438*IF(_xlfn.XLOOKUP(Z438,'02效果表'!D:D,'02效果表'!E:E)&lt;0, _xlfn.XLOOKUP(Z438,'02效果表'!D:D,'02效果表'!E:E), 0) +
AC438*IF(_xlfn.XLOOKUP(AB438,'02效果表'!D:D,'02效果表'!E:E)&lt;0, _xlfn.XLOOKUP(AB438,'02效果表'!D:D,'02效果表'!E:E), 0) +
AE438*IF(_xlfn.XLOOKUP(AD438,'02效果表'!D:D,'02效果表'!E:E)&lt;0, _xlfn.XLOOKUP(AD438,'02效果表'!D:D,'02效果表'!E:E), 0)), 1)</f>
        <v>0</v>
      </c>
      <c r="G438" s="7">
        <f>ROUND(1/6*(I438*MAX(_xlfn.XLOOKUP(H438,'02效果表'!D:D,'02效果表'!E:E),0)+K438*MAX(_xlfn.XLOOKUP(J438,'02效果表'!D:D,'02效果表'!E:E),0)+M438*MAX(_xlfn.XLOOKUP(L438,'02效果表'!D:D,'02效果表'!E:E),0)+O438*MAX(_xlfn.XLOOKUP(N438,'02效果表'!D:D,'02效果表'!E:E),0)+Q438*MAX(_xlfn.XLOOKUP(P438,'02效果表'!D:D,'02效果表'!E:E),0)+S438*MAX(_xlfn.XLOOKUP(R438,'02效果表'!D:D,'02效果表'!E:E),0)+U438*MAX(_xlfn.XLOOKUP(T438,'02效果表'!D:D,'02效果表'!E:E),0)+W438*MAX(_xlfn.XLOOKUP(V438,'02效果表'!D:D,'02效果表'!E:E),0)+Y438*MAX(_xlfn.XLOOKUP(X438,'02效果表'!D:D,'02效果表'!E:E),0)+AA438*MAX(_xlfn.XLOOKUP(Z438,'02效果表'!D:D,'02效果表'!E:E),0)+AC438*MAX(_xlfn.XLOOKUP(AB438,'02效果表'!D:D,'02效果表'!E:E),0)+AE438*MAX(_xlfn.XLOOKUP(AD438,'02效果表'!D:D,'02效果表'!E:E),0)),1)</f>
        <v>0</v>
      </c>
      <c r="H438" s="6"/>
      <c r="I438" s="6"/>
      <c r="J438" s="6"/>
      <c r="K438" s="6"/>
      <c r="L438" s="6"/>
      <c r="M438" s="6"/>
      <c r="N438" s="6"/>
      <c r="O438" s="6"/>
      <c r="P438" s="6"/>
      <c r="Q438" s="6"/>
      <c r="R438" s="6"/>
      <c r="S438" s="6"/>
      <c r="T438" s="6"/>
      <c r="U438" s="6"/>
      <c r="V438" s="6"/>
      <c r="W438" s="6"/>
      <c r="X438" s="6"/>
      <c r="Y438" s="6"/>
      <c r="Z438" s="6"/>
      <c r="AA438" s="6"/>
      <c r="AB438" s="6"/>
      <c r="AC438" s="6"/>
      <c r="AD438" s="6"/>
      <c r="AE438" s="6"/>
    </row>
    <row r="439" spans="1:31" x14ac:dyDescent="0.35">
      <c r="A439" s="6">
        <v>439</v>
      </c>
      <c r="B439" s="6" t="s">
        <v>6</v>
      </c>
      <c r="C439" s="10" t="s">
        <v>2</v>
      </c>
      <c r="D439" s="9" t="s">
        <v>1618</v>
      </c>
      <c r="E439" s="7">
        <f t="shared" si="13"/>
        <v>0</v>
      </c>
      <c r="F439" s="7">
        <f>-1*ROUND(1/6*(I439*IF(_xlfn.XLOOKUP(H439,'02效果表'!D:D,'02效果表'!E:E)&lt;0, _xlfn.XLOOKUP(H439,'02效果表'!D:D,'02效果表'!E:E), 0) +
K439*IF(_xlfn.XLOOKUP(J439,'02效果表'!D:D,'02效果表'!E:E)&lt;0, _xlfn.XLOOKUP(J439,'02效果表'!D:D,'02效果表'!E:E), 0) +
M439*IF(_xlfn.XLOOKUP(L439,'02效果表'!D:D,'02效果表'!E:E)&lt;0, _xlfn.XLOOKUP(L439,'02效果表'!D:D,'02效果表'!E:E), 0) +
O439*IF(_xlfn.XLOOKUP(N439,'02效果表'!D:D,'02效果表'!E:E)&lt;0, _xlfn.XLOOKUP(N439,'02效果表'!D:D,'02效果表'!E:E), 0) +
Q439*IF(_xlfn.XLOOKUP(P439,'02效果表'!D:D,'02效果表'!E:E)&lt;0, _xlfn.XLOOKUP(P439,'02效果表'!D:D,'02效果表'!E:E), 0) +
S439*IF(_xlfn.XLOOKUP(R439,'02效果表'!D:D,'02效果表'!E:E)&lt;0, _xlfn.XLOOKUP(R439,'02效果表'!D:D,'02效果表'!E:E), 0) +
U439*IF(_xlfn.XLOOKUP(T439,'02效果表'!D:D,'02效果表'!E:E)&lt;0, _xlfn.XLOOKUP(T439,'02效果表'!D:D,'02效果表'!E:E), 0) +
W439*IF(_xlfn.XLOOKUP(V439,'02效果表'!D:D,'02效果表'!E:E)&lt;0, _xlfn.XLOOKUP(V439,'02效果表'!D:D,'02效果表'!E:E), 0) +
Y439*IF(_xlfn.XLOOKUP(X439,'02效果表'!D:D,'02效果表'!E:E)&lt;0, _xlfn.XLOOKUP(X439,'02效果表'!D:D,'02效果表'!E:E), 0) +
AA439*IF(_xlfn.XLOOKUP(Z439,'02效果表'!D:D,'02效果表'!E:E)&lt;0, _xlfn.XLOOKUP(Z439,'02效果表'!D:D,'02效果表'!E:E), 0) +
AC439*IF(_xlfn.XLOOKUP(AB439,'02效果表'!D:D,'02效果表'!E:E)&lt;0, _xlfn.XLOOKUP(AB439,'02效果表'!D:D,'02效果表'!E:E), 0) +
AE439*IF(_xlfn.XLOOKUP(AD439,'02效果表'!D:D,'02效果表'!E:E)&lt;0, _xlfn.XLOOKUP(AD439,'02效果表'!D:D,'02效果表'!E:E), 0)), 1)</f>
        <v>0</v>
      </c>
      <c r="G439" s="7">
        <f>ROUND(1/6*(I439*MAX(_xlfn.XLOOKUP(H439,'02效果表'!D:D,'02效果表'!E:E),0)+K439*MAX(_xlfn.XLOOKUP(J439,'02效果表'!D:D,'02效果表'!E:E),0)+M439*MAX(_xlfn.XLOOKUP(L439,'02效果表'!D:D,'02效果表'!E:E),0)+O439*MAX(_xlfn.XLOOKUP(N439,'02效果表'!D:D,'02效果表'!E:E),0)+Q439*MAX(_xlfn.XLOOKUP(P439,'02效果表'!D:D,'02效果表'!E:E),0)+S439*MAX(_xlfn.XLOOKUP(R439,'02效果表'!D:D,'02效果表'!E:E),0)+U439*MAX(_xlfn.XLOOKUP(T439,'02效果表'!D:D,'02效果表'!E:E),0)+W439*MAX(_xlfn.XLOOKUP(V439,'02效果表'!D:D,'02效果表'!E:E),0)+Y439*MAX(_xlfn.XLOOKUP(X439,'02效果表'!D:D,'02效果表'!E:E),0)+AA439*MAX(_xlfn.XLOOKUP(Z439,'02效果表'!D:D,'02效果表'!E:E),0)+AC439*MAX(_xlfn.XLOOKUP(AB439,'02效果表'!D:D,'02效果表'!E:E),0)+AE439*MAX(_xlfn.XLOOKUP(AD439,'02效果表'!D:D,'02效果表'!E:E),0)),1)</f>
        <v>0</v>
      </c>
      <c r="H439" s="6"/>
      <c r="I439" s="6"/>
      <c r="J439" s="6"/>
      <c r="K439" s="6"/>
      <c r="L439" s="6"/>
      <c r="M439" s="6"/>
      <c r="N439" s="6"/>
      <c r="O439" s="6"/>
      <c r="P439" s="6"/>
      <c r="Q439" s="6"/>
      <c r="R439" s="6"/>
      <c r="S439" s="6"/>
      <c r="T439" s="6"/>
      <c r="U439" s="6"/>
      <c r="V439" s="6"/>
      <c r="W439" s="6"/>
      <c r="X439" s="6"/>
      <c r="Y439" s="6"/>
      <c r="Z439" s="6"/>
      <c r="AA439" s="6"/>
      <c r="AB439" s="6"/>
      <c r="AC439" s="6"/>
      <c r="AD439" s="6"/>
      <c r="AE439" s="6"/>
    </row>
    <row r="440" spans="1:31" x14ac:dyDescent="0.35">
      <c r="A440" s="6">
        <v>440</v>
      </c>
      <c r="B440" s="6" t="s">
        <v>6</v>
      </c>
      <c r="C440" s="10" t="s">
        <v>2</v>
      </c>
      <c r="D440" s="9" t="s">
        <v>1619</v>
      </c>
      <c r="E440" s="7">
        <f t="shared" si="13"/>
        <v>0</v>
      </c>
      <c r="F440" s="7">
        <f>-1*ROUND(1/6*(I440*IF(_xlfn.XLOOKUP(H440,'02效果表'!D:D,'02效果表'!E:E)&lt;0, _xlfn.XLOOKUP(H440,'02效果表'!D:D,'02效果表'!E:E), 0) +
K440*IF(_xlfn.XLOOKUP(J440,'02效果表'!D:D,'02效果表'!E:E)&lt;0, _xlfn.XLOOKUP(J440,'02效果表'!D:D,'02效果表'!E:E), 0) +
M440*IF(_xlfn.XLOOKUP(L440,'02效果表'!D:D,'02效果表'!E:E)&lt;0, _xlfn.XLOOKUP(L440,'02效果表'!D:D,'02效果表'!E:E), 0) +
O440*IF(_xlfn.XLOOKUP(N440,'02效果表'!D:D,'02效果表'!E:E)&lt;0, _xlfn.XLOOKUP(N440,'02效果表'!D:D,'02效果表'!E:E), 0) +
Q440*IF(_xlfn.XLOOKUP(P440,'02效果表'!D:D,'02效果表'!E:E)&lt;0, _xlfn.XLOOKUP(P440,'02效果表'!D:D,'02效果表'!E:E), 0) +
S440*IF(_xlfn.XLOOKUP(R440,'02效果表'!D:D,'02效果表'!E:E)&lt;0, _xlfn.XLOOKUP(R440,'02效果表'!D:D,'02效果表'!E:E), 0) +
U440*IF(_xlfn.XLOOKUP(T440,'02效果表'!D:D,'02效果表'!E:E)&lt;0, _xlfn.XLOOKUP(T440,'02效果表'!D:D,'02效果表'!E:E), 0) +
W440*IF(_xlfn.XLOOKUP(V440,'02效果表'!D:D,'02效果表'!E:E)&lt;0, _xlfn.XLOOKUP(V440,'02效果表'!D:D,'02效果表'!E:E), 0) +
Y440*IF(_xlfn.XLOOKUP(X440,'02效果表'!D:D,'02效果表'!E:E)&lt;0, _xlfn.XLOOKUP(X440,'02效果表'!D:D,'02效果表'!E:E), 0) +
AA440*IF(_xlfn.XLOOKUP(Z440,'02效果表'!D:D,'02效果表'!E:E)&lt;0, _xlfn.XLOOKUP(Z440,'02效果表'!D:D,'02效果表'!E:E), 0) +
AC440*IF(_xlfn.XLOOKUP(AB440,'02效果表'!D:D,'02效果表'!E:E)&lt;0, _xlfn.XLOOKUP(AB440,'02效果表'!D:D,'02效果表'!E:E), 0) +
AE440*IF(_xlfn.XLOOKUP(AD440,'02效果表'!D:D,'02效果表'!E:E)&lt;0, _xlfn.XLOOKUP(AD440,'02效果表'!D:D,'02效果表'!E:E), 0)), 1)</f>
        <v>0</v>
      </c>
      <c r="G440" s="7">
        <f>ROUND(1/6*(I440*MAX(_xlfn.XLOOKUP(H440,'02效果表'!D:D,'02效果表'!E:E),0)+K440*MAX(_xlfn.XLOOKUP(J440,'02效果表'!D:D,'02效果表'!E:E),0)+M440*MAX(_xlfn.XLOOKUP(L440,'02效果表'!D:D,'02效果表'!E:E),0)+O440*MAX(_xlfn.XLOOKUP(N440,'02效果表'!D:D,'02效果表'!E:E),0)+Q440*MAX(_xlfn.XLOOKUP(P440,'02效果表'!D:D,'02效果表'!E:E),0)+S440*MAX(_xlfn.XLOOKUP(R440,'02效果表'!D:D,'02效果表'!E:E),0)+U440*MAX(_xlfn.XLOOKUP(T440,'02效果表'!D:D,'02效果表'!E:E),0)+W440*MAX(_xlfn.XLOOKUP(V440,'02效果表'!D:D,'02效果表'!E:E),0)+Y440*MAX(_xlfn.XLOOKUP(X440,'02效果表'!D:D,'02效果表'!E:E),0)+AA440*MAX(_xlfn.XLOOKUP(Z440,'02效果表'!D:D,'02效果表'!E:E),0)+AC440*MAX(_xlfn.XLOOKUP(AB440,'02效果表'!D:D,'02效果表'!E:E),0)+AE440*MAX(_xlfn.XLOOKUP(AD440,'02效果表'!D:D,'02效果表'!E:E),0)),1)</f>
        <v>0</v>
      </c>
      <c r="H440" s="6"/>
      <c r="I440" s="6"/>
      <c r="J440" s="6"/>
      <c r="K440" s="6"/>
      <c r="L440" s="6"/>
      <c r="M440" s="6"/>
      <c r="N440" s="6"/>
      <c r="O440" s="6"/>
      <c r="P440" s="6"/>
      <c r="Q440" s="6"/>
      <c r="R440" s="6"/>
      <c r="S440" s="6"/>
      <c r="T440" s="6"/>
      <c r="U440" s="6"/>
      <c r="V440" s="6"/>
      <c r="W440" s="6"/>
      <c r="X440" s="6"/>
      <c r="Y440" s="6"/>
      <c r="Z440" s="6"/>
      <c r="AA440" s="6"/>
      <c r="AB440" s="6"/>
      <c r="AC440" s="6"/>
      <c r="AD440" s="6"/>
      <c r="AE440" s="6"/>
    </row>
    <row r="441" spans="1:31" x14ac:dyDescent="0.35">
      <c r="A441" s="6">
        <v>441</v>
      </c>
      <c r="B441" s="6" t="s">
        <v>6</v>
      </c>
      <c r="C441" s="10" t="s">
        <v>2</v>
      </c>
      <c r="D441" s="9" t="s">
        <v>1620</v>
      </c>
      <c r="E441" s="7">
        <f t="shared" si="13"/>
        <v>0</v>
      </c>
      <c r="F441" s="7">
        <f>-1*ROUND(1/6*(I441*IF(_xlfn.XLOOKUP(H441,'02效果表'!D:D,'02效果表'!E:E)&lt;0, _xlfn.XLOOKUP(H441,'02效果表'!D:D,'02效果表'!E:E), 0) +
K441*IF(_xlfn.XLOOKUP(J441,'02效果表'!D:D,'02效果表'!E:E)&lt;0, _xlfn.XLOOKUP(J441,'02效果表'!D:D,'02效果表'!E:E), 0) +
M441*IF(_xlfn.XLOOKUP(L441,'02效果表'!D:D,'02效果表'!E:E)&lt;0, _xlfn.XLOOKUP(L441,'02效果表'!D:D,'02效果表'!E:E), 0) +
O441*IF(_xlfn.XLOOKUP(N441,'02效果表'!D:D,'02效果表'!E:E)&lt;0, _xlfn.XLOOKUP(N441,'02效果表'!D:D,'02效果表'!E:E), 0) +
Q441*IF(_xlfn.XLOOKUP(P441,'02效果表'!D:D,'02效果表'!E:E)&lt;0, _xlfn.XLOOKUP(P441,'02效果表'!D:D,'02效果表'!E:E), 0) +
S441*IF(_xlfn.XLOOKUP(R441,'02效果表'!D:D,'02效果表'!E:E)&lt;0, _xlfn.XLOOKUP(R441,'02效果表'!D:D,'02效果表'!E:E), 0) +
U441*IF(_xlfn.XLOOKUP(T441,'02效果表'!D:D,'02效果表'!E:E)&lt;0, _xlfn.XLOOKUP(T441,'02效果表'!D:D,'02效果表'!E:E), 0) +
W441*IF(_xlfn.XLOOKUP(V441,'02效果表'!D:D,'02效果表'!E:E)&lt;0, _xlfn.XLOOKUP(V441,'02效果表'!D:D,'02效果表'!E:E), 0) +
Y441*IF(_xlfn.XLOOKUP(X441,'02效果表'!D:D,'02效果表'!E:E)&lt;0, _xlfn.XLOOKUP(X441,'02效果表'!D:D,'02效果表'!E:E), 0) +
AA441*IF(_xlfn.XLOOKUP(Z441,'02效果表'!D:D,'02效果表'!E:E)&lt;0, _xlfn.XLOOKUP(Z441,'02效果表'!D:D,'02效果表'!E:E), 0) +
AC441*IF(_xlfn.XLOOKUP(AB441,'02效果表'!D:D,'02效果表'!E:E)&lt;0, _xlfn.XLOOKUP(AB441,'02效果表'!D:D,'02效果表'!E:E), 0) +
AE441*IF(_xlfn.XLOOKUP(AD441,'02效果表'!D:D,'02效果表'!E:E)&lt;0, _xlfn.XLOOKUP(AD441,'02效果表'!D:D,'02效果表'!E:E), 0)), 1)</f>
        <v>0</v>
      </c>
      <c r="G441" s="7">
        <f>ROUND(1/6*(I441*MAX(_xlfn.XLOOKUP(H441,'02效果表'!D:D,'02效果表'!E:E),0)+K441*MAX(_xlfn.XLOOKUP(J441,'02效果表'!D:D,'02效果表'!E:E),0)+M441*MAX(_xlfn.XLOOKUP(L441,'02效果表'!D:D,'02效果表'!E:E),0)+O441*MAX(_xlfn.XLOOKUP(N441,'02效果表'!D:D,'02效果表'!E:E),0)+Q441*MAX(_xlfn.XLOOKUP(P441,'02效果表'!D:D,'02效果表'!E:E),0)+S441*MAX(_xlfn.XLOOKUP(R441,'02效果表'!D:D,'02效果表'!E:E),0)+U441*MAX(_xlfn.XLOOKUP(T441,'02效果表'!D:D,'02效果表'!E:E),0)+W441*MAX(_xlfn.XLOOKUP(V441,'02效果表'!D:D,'02效果表'!E:E),0)+Y441*MAX(_xlfn.XLOOKUP(X441,'02效果表'!D:D,'02效果表'!E:E),0)+AA441*MAX(_xlfn.XLOOKUP(Z441,'02效果表'!D:D,'02效果表'!E:E),0)+AC441*MAX(_xlfn.XLOOKUP(AB441,'02效果表'!D:D,'02效果表'!E:E),0)+AE441*MAX(_xlfn.XLOOKUP(AD441,'02效果表'!D:D,'02效果表'!E:E),0)),1)</f>
        <v>0</v>
      </c>
      <c r="H441" s="6"/>
      <c r="I441" s="6"/>
      <c r="J441" s="6"/>
      <c r="K441" s="6"/>
      <c r="L441" s="6"/>
      <c r="M441" s="6"/>
      <c r="N441" s="6"/>
      <c r="O441" s="6"/>
      <c r="P441" s="6"/>
      <c r="Q441" s="6"/>
      <c r="R441" s="6"/>
      <c r="S441" s="6"/>
      <c r="T441" s="6"/>
      <c r="U441" s="6"/>
      <c r="V441" s="6"/>
      <c r="W441" s="6"/>
      <c r="X441" s="6"/>
      <c r="Y441" s="6"/>
      <c r="Z441" s="6"/>
      <c r="AA441" s="6"/>
      <c r="AB441" s="6"/>
      <c r="AC441" s="6"/>
      <c r="AD441" s="6"/>
      <c r="AE441" s="6"/>
    </row>
    <row r="442" spans="1:31" x14ac:dyDescent="0.35">
      <c r="A442" s="6">
        <v>442</v>
      </c>
      <c r="B442" s="6" t="s">
        <v>6</v>
      </c>
      <c r="C442" s="10" t="s">
        <v>2</v>
      </c>
      <c r="D442" s="9" t="s">
        <v>1621</v>
      </c>
      <c r="E442" s="7">
        <f t="shared" si="13"/>
        <v>0</v>
      </c>
      <c r="F442" s="7">
        <f>-1*ROUND(1/6*(I442*IF(_xlfn.XLOOKUP(H442,'02效果表'!D:D,'02效果表'!E:E)&lt;0, _xlfn.XLOOKUP(H442,'02效果表'!D:D,'02效果表'!E:E), 0) +
K442*IF(_xlfn.XLOOKUP(J442,'02效果表'!D:D,'02效果表'!E:E)&lt;0, _xlfn.XLOOKUP(J442,'02效果表'!D:D,'02效果表'!E:E), 0) +
M442*IF(_xlfn.XLOOKUP(L442,'02效果表'!D:D,'02效果表'!E:E)&lt;0, _xlfn.XLOOKUP(L442,'02效果表'!D:D,'02效果表'!E:E), 0) +
O442*IF(_xlfn.XLOOKUP(N442,'02效果表'!D:D,'02效果表'!E:E)&lt;0, _xlfn.XLOOKUP(N442,'02效果表'!D:D,'02效果表'!E:E), 0) +
Q442*IF(_xlfn.XLOOKUP(P442,'02效果表'!D:D,'02效果表'!E:E)&lt;0, _xlfn.XLOOKUP(P442,'02效果表'!D:D,'02效果表'!E:E), 0) +
S442*IF(_xlfn.XLOOKUP(R442,'02效果表'!D:D,'02效果表'!E:E)&lt;0, _xlfn.XLOOKUP(R442,'02效果表'!D:D,'02效果表'!E:E), 0) +
U442*IF(_xlfn.XLOOKUP(T442,'02效果表'!D:D,'02效果表'!E:E)&lt;0, _xlfn.XLOOKUP(T442,'02效果表'!D:D,'02效果表'!E:E), 0) +
W442*IF(_xlfn.XLOOKUP(V442,'02效果表'!D:D,'02效果表'!E:E)&lt;0, _xlfn.XLOOKUP(V442,'02效果表'!D:D,'02效果表'!E:E), 0) +
Y442*IF(_xlfn.XLOOKUP(X442,'02效果表'!D:D,'02效果表'!E:E)&lt;0, _xlfn.XLOOKUP(X442,'02效果表'!D:D,'02效果表'!E:E), 0) +
AA442*IF(_xlfn.XLOOKUP(Z442,'02效果表'!D:D,'02效果表'!E:E)&lt;0, _xlfn.XLOOKUP(Z442,'02效果表'!D:D,'02效果表'!E:E), 0) +
AC442*IF(_xlfn.XLOOKUP(AB442,'02效果表'!D:D,'02效果表'!E:E)&lt;0, _xlfn.XLOOKUP(AB442,'02效果表'!D:D,'02效果表'!E:E), 0) +
AE442*IF(_xlfn.XLOOKUP(AD442,'02效果表'!D:D,'02效果表'!E:E)&lt;0, _xlfn.XLOOKUP(AD442,'02效果表'!D:D,'02效果表'!E:E), 0)), 1)</f>
        <v>0</v>
      </c>
      <c r="G442" s="7">
        <f>ROUND(1/6*(I442*MAX(_xlfn.XLOOKUP(H442,'02效果表'!D:D,'02效果表'!E:E),0)+K442*MAX(_xlfn.XLOOKUP(J442,'02效果表'!D:D,'02效果表'!E:E),0)+M442*MAX(_xlfn.XLOOKUP(L442,'02效果表'!D:D,'02效果表'!E:E),0)+O442*MAX(_xlfn.XLOOKUP(N442,'02效果表'!D:D,'02效果表'!E:E),0)+Q442*MAX(_xlfn.XLOOKUP(P442,'02效果表'!D:D,'02效果表'!E:E),0)+S442*MAX(_xlfn.XLOOKUP(R442,'02效果表'!D:D,'02效果表'!E:E),0)+U442*MAX(_xlfn.XLOOKUP(T442,'02效果表'!D:D,'02效果表'!E:E),0)+W442*MAX(_xlfn.XLOOKUP(V442,'02效果表'!D:D,'02效果表'!E:E),0)+Y442*MAX(_xlfn.XLOOKUP(X442,'02效果表'!D:D,'02效果表'!E:E),0)+AA442*MAX(_xlfn.XLOOKUP(Z442,'02效果表'!D:D,'02效果表'!E:E),0)+AC442*MAX(_xlfn.XLOOKUP(AB442,'02效果表'!D:D,'02效果表'!E:E),0)+AE442*MAX(_xlfn.XLOOKUP(AD442,'02效果表'!D:D,'02效果表'!E:E),0)),1)</f>
        <v>0</v>
      </c>
      <c r="H442" s="6"/>
      <c r="I442" s="6"/>
      <c r="J442" s="6"/>
      <c r="K442" s="6"/>
      <c r="L442" s="6"/>
      <c r="M442" s="6"/>
      <c r="N442" s="6"/>
      <c r="O442" s="6"/>
      <c r="P442" s="6"/>
      <c r="Q442" s="6"/>
      <c r="R442" s="6"/>
      <c r="S442" s="6"/>
      <c r="T442" s="6"/>
      <c r="U442" s="6"/>
      <c r="V442" s="6"/>
      <c r="W442" s="6"/>
      <c r="X442" s="6"/>
      <c r="Y442" s="6"/>
      <c r="Z442" s="6"/>
      <c r="AA442" s="6"/>
      <c r="AB442" s="6"/>
      <c r="AC442" s="6"/>
      <c r="AD442" s="6"/>
      <c r="AE442" s="6"/>
    </row>
    <row r="443" spans="1:31" x14ac:dyDescent="0.35">
      <c r="A443" s="6">
        <v>443</v>
      </c>
      <c r="B443" s="6" t="s">
        <v>6</v>
      </c>
      <c r="C443" s="10" t="s">
        <v>2</v>
      </c>
      <c r="D443" s="9" t="s">
        <v>1622</v>
      </c>
      <c r="E443" s="7">
        <f t="shared" si="13"/>
        <v>0</v>
      </c>
      <c r="F443" s="7">
        <f>-1*ROUND(1/6*(I443*IF(_xlfn.XLOOKUP(H443,'02效果表'!D:D,'02效果表'!E:E)&lt;0, _xlfn.XLOOKUP(H443,'02效果表'!D:D,'02效果表'!E:E), 0) +
K443*IF(_xlfn.XLOOKUP(J443,'02效果表'!D:D,'02效果表'!E:E)&lt;0, _xlfn.XLOOKUP(J443,'02效果表'!D:D,'02效果表'!E:E), 0) +
M443*IF(_xlfn.XLOOKUP(L443,'02效果表'!D:D,'02效果表'!E:E)&lt;0, _xlfn.XLOOKUP(L443,'02效果表'!D:D,'02效果表'!E:E), 0) +
O443*IF(_xlfn.XLOOKUP(N443,'02效果表'!D:D,'02效果表'!E:E)&lt;0, _xlfn.XLOOKUP(N443,'02效果表'!D:D,'02效果表'!E:E), 0) +
Q443*IF(_xlfn.XLOOKUP(P443,'02效果表'!D:D,'02效果表'!E:E)&lt;0, _xlfn.XLOOKUP(P443,'02效果表'!D:D,'02效果表'!E:E), 0) +
S443*IF(_xlfn.XLOOKUP(R443,'02效果表'!D:D,'02效果表'!E:E)&lt;0, _xlfn.XLOOKUP(R443,'02效果表'!D:D,'02效果表'!E:E), 0) +
U443*IF(_xlfn.XLOOKUP(T443,'02效果表'!D:D,'02效果表'!E:E)&lt;0, _xlfn.XLOOKUP(T443,'02效果表'!D:D,'02效果表'!E:E), 0) +
W443*IF(_xlfn.XLOOKUP(V443,'02效果表'!D:D,'02效果表'!E:E)&lt;0, _xlfn.XLOOKUP(V443,'02效果表'!D:D,'02效果表'!E:E), 0) +
Y443*IF(_xlfn.XLOOKUP(X443,'02效果表'!D:D,'02效果表'!E:E)&lt;0, _xlfn.XLOOKUP(X443,'02效果表'!D:D,'02效果表'!E:E), 0) +
AA443*IF(_xlfn.XLOOKUP(Z443,'02效果表'!D:D,'02效果表'!E:E)&lt;0, _xlfn.XLOOKUP(Z443,'02效果表'!D:D,'02效果表'!E:E), 0) +
AC443*IF(_xlfn.XLOOKUP(AB443,'02效果表'!D:D,'02效果表'!E:E)&lt;0, _xlfn.XLOOKUP(AB443,'02效果表'!D:D,'02效果表'!E:E), 0) +
AE443*IF(_xlfn.XLOOKUP(AD443,'02效果表'!D:D,'02效果表'!E:E)&lt;0, _xlfn.XLOOKUP(AD443,'02效果表'!D:D,'02效果表'!E:E), 0)), 1)</f>
        <v>0</v>
      </c>
      <c r="G443" s="7">
        <f>ROUND(1/6*(I443*MAX(_xlfn.XLOOKUP(H443,'02效果表'!D:D,'02效果表'!E:E),0)+K443*MAX(_xlfn.XLOOKUP(J443,'02效果表'!D:D,'02效果表'!E:E),0)+M443*MAX(_xlfn.XLOOKUP(L443,'02效果表'!D:D,'02效果表'!E:E),0)+O443*MAX(_xlfn.XLOOKUP(N443,'02效果表'!D:D,'02效果表'!E:E),0)+Q443*MAX(_xlfn.XLOOKUP(P443,'02效果表'!D:D,'02效果表'!E:E),0)+S443*MAX(_xlfn.XLOOKUP(R443,'02效果表'!D:D,'02效果表'!E:E),0)+U443*MAX(_xlfn.XLOOKUP(T443,'02效果表'!D:D,'02效果表'!E:E),0)+W443*MAX(_xlfn.XLOOKUP(V443,'02效果表'!D:D,'02效果表'!E:E),0)+Y443*MAX(_xlfn.XLOOKUP(X443,'02效果表'!D:D,'02效果表'!E:E),0)+AA443*MAX(_xlfn.XLOOKUP(Z443,'02效果表'!D:D,'02效果表'!E:E),0)+AC443*MAX(_xlfn.XLOOKUP(AB443,'02效果表'!D:D,'02效果表'!E:E),0)+AE443*MAX(_xlfn.XLOOKUP(AD443,'02效果表'!D:D,'02效果表'!E:E),0)),1)</f>
        <v>0</v>
      </c>
      <c r="H443" s="6"/>
      <c r="I443" s="6"/>
      <c r="J443" s="6"/>
      <c r="K443" s="6"/>
      <c r="L443" s="6"/>
      <c r="M443" s="6"/>
      <c r="N443" s="6"/>
      <c r="O443" s="6"/>
      <c r="P443" s="6"/>
      <c r="Q443" s="6"/>
      <c r="R443" s="6"/>
      <c r="S443" s="6"/>
      <c r="T443" s="6"/>
      <c r="U443" s="6"/>
      <c r="V443" s="6"/>
      <c r="W443" s="6"/>
      <c r="X443" s="6"/>
      <c r="Y443" s="6"/>
      <c r="Z443" s="6"/>
      <c r="AA443" s="6"/>
      <c r="AB443" s="6"/>
      <c r="AC443" s="6"/>
      <c r="AD443" s="6"/>
      <c r="AE443" s="6"/>
    </row>
    <row r="444" spans="1:31" x14ac:dyDescent="0.35">
      <c r="A444" s="6">
        <v>444</v>
      </c>
      <c r="B444" s="6" t="s">
        <v>6</v>
      </c>
      <c r="C444" s="10" t="s">
        <v>2</v>
      </c>
      <c r="D444" s="9" t="s">
        <v>1623</v>
      </c>
      <c r="E444" s="7">
        <f t="shared" si="13"/>
        <v>0</v>
      </c>
      <c r="F444" s="7">
        <f>-1*ROUND(1/6*(I444*IF(_xlfn.XLOOKUP(H444,'02效果表'!D:D,'02效果表'!E:E)&lt;0, _xlfn.XLOOKUP(H444,'02效果表'!D:D,'02效果表'!E:E), 0) +
K444*IF(_xlfn.XLOOKUP(J444,'02效果表'!D:D,'02效果表'!E:E)&lt;0, _xlfn.XLOOKUP(J444,'02效果表'!D:D,'02效果表'!E:E), 0) +
M444*IF(_xlfn.XLOOKUP(L444,'02效果表'!D:D,'02效果表'!E:E)&lt;0, _xlfn.XLOOKUP(L444,'02效果表'!D:D,'02效果表'!E:E), 0) +
O444*IF(_xlfn.XLOOKUP(N444,'02效果表'!D:D,'02效果表'!E:E)&lt;0, _xlfn.XLOOKUP(N444,'02效果表'!D:D,'02效果表'!E:E), 0) +
Q444*IF(_xlfn.XLOOKUP(P444,'02效果表'!D:D,'02效果表'!E:E)&lt;0, _xlfn.XLOOKUP(P444,'02效果表'!D:D,'02效果表'!E:E), 0) +
S444*IF(_xlfn.XLOOKUP(R444,'02效果表'!D:D,'02效果表'!E:E)&lt;0, _xlfn.XLOOKUP(R444,'02效果表'!D:D,'02效果表'!E:E), 0) +
U444*IF(_xlfn.XLOOKUP(T444,'02效果表'!D:D,'02效果表'!E:E)&lt;0, _xlfn.XLOOKUP(T444,'02效果表'!D:D,'02效果表'!E:E), 0) +
W444*IF(_xlfn.XLOOKUP(V444,'02效果表'!D:D,'02效果表'!E:E)&lt;0, _xlfn.XLOOKUP(V444,'02效果表'!D:D,'02效果表'!E:E), 0) +
Y444*IF(_xlfn.XLOOKUP(X444,'02效果表'!D:D,'02效果表'!E:E)&lt;0, _xlfn.XLOOKUP(X444,'02效果表'!D:D,'02效果表'!E:E), 0) +
AA444*IF(_xlfn.XLOOKUP(Z444,'02效果表'!D:D,'02效果表'!E:E)&lt;0, _xlfn.XLOOKUP(Z444,'02效果表'!D:D,'02效果表'!E:E), 0) +
AC444*IF(_xlfn.XLOOKUP(AB444,'02效果表'!D:D,'02效果表'!E:E)&lt;0, _xlfn.XLOOKUP(AB444,'02效果表'!D:D,'02效果表'!E:E), 0) +
AE444*IF(_xlfn.XLOOKUP(AD444,'02效果表'!D:D,'02效果表'!E:E)&lt;0, _xlfn.XLOOKUP(AD444,'02效果表'!D:D,'02效果表'!E:E), 0)), 1)</f>
        <v>0</v>
      </c>
      <c r="G444" s="7">
        <f>ROUND(1/6*(I444*MAX(_xlfn.XLOOKUP(H444,'02效果表'!D:D,'02效果表'!E:E),0)+K444*MAX(_xlfn.XLOOKUP(J444,'02效果表'!D:D,'02效果表'!E:E),0)+M444*MAX(_xlfn.XLOOKUP(L444,'02效果表'!D:D,'02效果表'!E:E),0)+O444*MAX(_xlfn.XLOOKUP(N444,'02效果表'!D:D,'02效果表'!E:E),0)+Q444*MAX(_xlfn.XLOOKUP(P444,'02效果表'!D:D,'02效果表'!E:E),0)+S444*MAX(_xlfn.XLOOKUP(R444,'02效果表'!D:D,'02效果表'!E:E),0)+U444*MAX(_xlfn.XLOOKUP(T444,'02效果表'!D:D,'02效果表'!E:E),0)+W444*MAX(_xlfn.XLOOKUP(V444,'02效果表'!D:D,'02效果表'!E:E),0)+Y444*MAX(_xlfn.XLOOKUP(X444,'02效果表'!D:D,'02效果表'!E:E),0)+AA444*MAX(_xlfn.XLOOKUP(Z444,'02效果表'!D:D,'02效果表'!E:E),0)+AC444*MAX(_xlfn.XLOOKUP(AB444,'02效果表'!D:D,'02效果表'!E:E),0)+AE444*MAX(_xlfn.XLOOKUP(AD444,'02效果表'!D:D,'02效果表'!E:E),0)),1)</f>
        <v>0</v>
      </c>
      <c r="H444" s="6"/>
      <c r="I444" s="6"/>
      <c r="J444" s="6"/>
      <c r="K444" s="6"/>
      <c r="L444" s="6"/>
      <c r="M444" s="6"/>
      <c r="N444" s="6"/>
      <c r="O444" s="6"/>
      <c r="P444" s="6"/>
      <c r="Q444" s="6"/>
      <c r="R444" s="6"/>
      <c r="S444" s="6"/>
      <c r="T444" s="6"/>
      <c r="U444" s="6"/>
      <c r="V444" s="6"/>
      <c r="W444" s="6"/>
      <c r="X444" s="6"/>
      <c r="Y444" s="6"/>
      <c r="Z444" s="6"/>
      <c r="AA444" s="6"/>
      <c r="AB444" s="6"/>
      <c r="AC444" s="6"/>
      <c r="AD444" s="6"/>
      <c r="AE444" s="6"/>
    </row>
    <row r="445" spans="1:31" x14ac:dyDescent="0.35">
      <c r="A445" s="6">
        <v>445</v>
      </c>
      <c r="B445" s="6" t="s">
        <v>6</v>
      </c>
      <c r="C445" s="10" t="s">
        <v>2</v>
      </c>
      <c r="D445" s="9"/>
      <c r="E445" s="7">
        <f t="shared" si="13"/>
        <v>0</v>
      </c>
      <c r="F445" s="7">
        <f>-1*ROUND(1/6*(I445*IF(_xlfn.XLOOKUP(H445,'02效果表'!D:D,'02效果表'!E:E)&lt;0, _xlfn.XLOOKUP(H445,'02效果表'!D:D,'02效果表'!E:E), 0) +
K445*IF(_xlfn.XLOOKUP(J445,'02效果表'!D:D,'02效果表'!E:E)&lt;0, _xlfn.XLOOKUP(J445,'02效果表'!D:D,'02效果表'!E:E), 0) +
M445*IF(_xlfn.XLOOKUP(L445,'02效果表'!D:D,'02效果表'!E:E)&lt;0, _xlfn.XLOOKUP(L445,'02效果表'!D:D,'02效果表'!E:E), 0) +
O445*IF(_xlfn.XLOOKUP(N445,'02效果表'!D:D,'02效果表'!E:E)&lt;0, _xlfn.XLOOKUP(N445,'02效果表'!D:D,'02效果表'!E:E), 0) +
Q445*IF(_xlfn.XLOOKUP(P445,'02效果表'!D:D,'02效果表'!E:E)&lt;0, _xlfn.XLOOKUP(P445,'02效果表'!D:D,'02效果表'!E:E), 0) +
S445*IF(_xlfn.XLOOKUP(R445,'02效果表'!D:D,'02效果表'!E:E)&lt;0, _xlfn.XLOOKUP(R445,'02效果表'!D:D,'02效果表'!E:E), 0) +
U445*IF(_xlfn.XLOOKUP(T445,'02效果表'!D:D,'02效果表'!E:E)&lt;0, _xlfn.XLOOKUP(T445,'02效果表'!D:D,'02效果表'!E:E), 0) +
W445*IF(_xlfn.XLOOKUP(V445,'02效果表'!D:D,'02效果表'!E:E)&lt;0, _xlfn.XLOOKUP(V445,'02效果表'!D:D,'02效果表'!E:E), 0) +
Y445*IF(_xlfn.XLOOKUP(X445,'02效果表'!D:D,'02效果表'!E:E)&lt;0, _xlfn.XLOOKUP(X445,'02效果表'!D:D,'02效果表'!E:E), 0) +
AA445*IF(_xlfn.XLOOKUP(Z445,'02效果表'!D:D,'02效果表'!E:E)&lt;0, _xlfn.XLOOKUP(Z445,'02效果表'!D:D,'02效果表'!E:E), 0) +
AC445*IF(_xlfn.XLOOKUP(AB445,'02效果表'!D:D,'02效果表'!E:E)&lt;0, _xlfn.XLOOKUP(AB445,'02效果表'!D:D,'02效果表'!E:E), 0) +
AE445*IF(_xlfn.XLOOKUP(AD445,'02效果表'!D:D,'02效果表'!E:E)&lt;0, _xlfn.XLOOKUP(AD445,'02效果表'!D:D,'02效果表'!E:E), 0)), 1)</f>
        <v>0</v>
      </c>
      <c r="G445" s="7">
        <f>ROUND(1/6*(I445*MAX(_xlfn.XLOOKUP(H445,'02效果表'!D:D,'02效果表'!E:E),0)+K445*MAX(_xlfn.XLOOKUP(J445,'02效果表'!D:D,'02效果表'!E:E),0)+M445*MAX(_xlfn.XLOOKUP(L445,'02效果表'!D:D,'02效果表'!E:E),0)+O445*MAX(_xlfn.XLOOKUP(N445,'02效果表'!D:D,'02效果表'!E:E),0)+Q445*MAX(_xlfn.XLOOKUP(P445,'02效果表'!D:D,'02效果表'!E:E),0)+S445*MAX(_xlfn.XLOOKUP(R445,'02效果表'!D:D,'02效果表'!E:E),0)+U445*MAX(_xlfn.XLOOKUP(T445,'02效果表'!D:D,'02效果表'!E:E),0)+W445*MAX(_xlfn.XLOOKUP(V445,'02效果表'!D:D,'02效果表'!E:E),0)+Y445*MAX(_xlfn.XLOOKUP(X445,'02效果表'!D:D,'02效果表'!E:E),0)+AA445*MAX(_xlfn.XLOOKUP(Z445,'02效果表'!D:D,'02效果表'!E:E),0)+AC445*MAX(_xlfn.XLOOKUP(AB445,'02效果表'!D:D,'02效果表'!E:E),0)+AE445*MAX(_xlfn.XLOOKUP(AD445,'02效果表'!D:D,'02效果表'!E:E),0)),1)</f>
        <v>0</v>
      </c>
      <c r="H445" s="6"/>
      <c r="I445" s="6"/>
      <c r="J445" s="6"/>
      <c r="K445" s="6"/>
      <c r="L445" s="6"/>
      <c r="M445" s="6"/>
      <c r="N445" s="6"/>
      <c r="O445" s="6"/>
      <c r="P445" s="6"/>
      <c r="Q445" s="6"/>
      <c r="R445" s="6"/>
      <c r="S445" s="6"/>
      <c r="T445" s="6"/>
      <c r="U445" s="6"/>
      <c r="V445" s="6"/>
      <c r="W445" s="6"/>
      <c r="X445" s="6"/>
      <c r="Y445" s="6"/>
      <c r="Z445" s="6"/>
      <c r="AA445" s="6"/>
      <c r="AB445" s="6"/>
      <c r="AC445" s="6"/>
      <c r="AD445" s="6"/>
      <c r="AE445" s="6"/>
    </row>
    <row r="446" spans="1:31" x14ac:dyDescent="0.35">
      <c r="A446" s="6">
        <v>446</v>
      </c>
      <c r="B446" s="6" t="s">
        <v>6</v>
      </c>
      <c r="C446" s="10" t="s">
        <v>2</v>
      </c>
      <c r="D446" s="9"/>
      <c r="E446" s="7">
        <f t="shared" si="13"/>
        <v>0</v>
      </c>
      <c r="F446" s="7">
        <f>-1*ROUND(1/6*(I446*IF(_xlfn.XLOOKUP(H446,'02效果表'!D:D,'02效果表'!E:E)&lt;0, _xlfn.XLOOKUP(H446,'02效果表'!D:D,'02效果表'!E:E), 0) +
K446*IF(_xlfn.XLOOKUP(J446,'02效果表'!D:D,'02效果表'!E:E)&lt;0, _xlfn.XLOOKUP(J446,'02效果表'!D:D,'02效果表'!E:E), 0) +
M446*IF(_xlfn.XLOOKUP(L446,'02效果表'!D:D,'02效果表'!E:E)&lt;0, _xlfn.XLOOKUP(L446,'02效果表'!D:D,'02效果表'!E:E), 0) +
O446*IF(_xlfn.XLOOKUP(N446,'02效果表'!D:D,'02效果表'!E:E)&lt;0, _xlfn.XLOOKUP(N446,'02效果表'!D:D,'02效果表'!E:E), 0) +
Q446*IF(_xlfn.XLOOKUP(P446,'02效果表'!D:D,'02效果表'!E:E)&lt;0, _xlfn.XLOOKUP(P446,'02效果表'!D:D,'02效果表'!E:E), 0) +
S446*IF(_xlfn.XLOOKUP(R446,'02效果表'!D:D,'02效果表'!E:E)&lt;0, _xlfn.XLOOKUP(R446,'02效果表'!D:D,'02效果表'!E:E), 0) +
U446*IF(_xlfn.XLOOKUP(T446,'02效果表'!D:D,'02效果表'!E:E)&lt;0, _xlfn.XLOOKUP(T446,'02效果表'!D:D,'02效果表'!E:E), 0) +
W446*IF(_xlfn.XLOOKUP(V446,'02效果表'!D:D,'02效果表'!E:E)&lt;0, _xlfn.XLOOKUP(V446,'02效果表'!D:D,'02效果表'!E:E), 0) +
Y446*IF(_xlfn.XLOOKUP(X446,'02效果表'!D:D,'02效果表'!E:E)&lt;0, _xlfn.XLOOKUP(X446,'02效果表'!D:D,'02效果表'!E:E), 0) +
AA446*IF(_xlfn.XLOOKUP(Z446,'02效果表'!D:D,'02效果表'!E:E)&lt;0, _xlfn.XLOOKUP(Z446,'02效果表'!D:D,'02效果表'!E:E), 0) +
AC446*IF(_xlfn.XLOOKUP(AB446,'02效果表'!D:D,'02效果表'!E:E)&lt;0, _xlfn.XLOOKUP(AB446,'02效果表'!D:D,'02效果表'!E:E), 0) +
AE446*IF(_xlfn.XLOOKUP(AD446,'02效果表'!D:D,'02效果表'!E:E)&lt;0, _xlfn.XLOOKUP(AD446,'02效果表'!D:D,'02效果表'!E:E), 0)), 1)</f>
        <v>0</v>
      </c>
      <c r="G446" s="7">
        <f>ROUND(1/6*(I446*MAX(_xlfn.XLOOKUP(H446,'02效果表'!D:D,'02效果表'!E:E),0)+K446*MAX(_xlfn.XLOOKUP(J446,'02效果表'!D:D,'02效果表'!E:E),0)+M446*MAX(_xlfn.XLOOKUP(L446,'02效果表'!D:D,'02效果表'!E:E),0)+O446*MAX(_xlfn.XLOOKUP(N446,'02效果表'!D:D,'02效果表'!E:E),0)+Q446*MAX(_xlfn.XLOOKUP(P446,'02效果表'!D:D,'02效果表'!E:E),0)+S446*MAX(_xlfn.XLOOKUP(R446,'02效果表'!D:D,'02效果表'!E:E),0)+U446*MAX(_xlfn.XLOOKUP(T446,'02效果表'!D:D,'02效果表'!E:E),0)+W446*MAX(_xlfn.XLOOKUP(V446,'02效果表'!D:D,'02效果表'!E:E),0)+Y446*MAX(_xlfn.XLOOKUP(X446,'02效果表'!D:D,'02效果表'!E:E),0)+AA446*MAX(_xlfn.XLOOKUP(Z446,'02效果表'!D:D,'02效果表'!E:E),0)+AC446*MAX(_xlfn.XLOOKUP(AB446,'02效果表'!D:D,'02效果表'!E:E),0)+AE446*MAX(_xlfn.XLOOKUP(AD446,'02效果表'!D:D,'02效果表'!E:E),0)),1)</f>
        <v>0</v>
      </c>
      <c r="H446" s="6"/>
      <c r="I446" s="6"/>
      <c r="J446" s="6"/>
      <c r="K446" s="6"/>
      <c r="L446" s="6"/>
      <c r="M446" s="6"/>
      <c r="N446" s="6"/>
      <c r="O446" s="6"/>
      <c r="P446" s="6"/>
      <c r="Q446" s="6"/>
      <c r="R446" s="6"/>
      <c r="S446" s="6"/>
      <c r="T446" s="6"/>
      <c r="U446" s="6"/>
      <c r="V446" s="6"/>
      <c r="W446" s="6"/>
      <c r="X446" s="6"/>
      <c r="Y446" s="6"/>
      <c r="Z446" s="6"/>
      <c r="AA446" s="6"/>
      <c r="AB446" s="6"/>
      <c r="AC446" s="6"/>
      <c r="AD446" s="6"/>
      <c r="AE446" s="6"/>
    </row>
    <row r="447" spans="1:31" x14ac:dyDescent="0.35">
      <c r="A447" s="6">
        <v>447</v>
      </c>
      <c r="B447" s="6" t="s">
        <v>6</v>
      </c>
      <c r="C447" s="10" t="s">
        <v>2</v>
      </c>
      <c r="D447" s="9"/>
      <c r="E447" s="7">
        <f t="shared" si="13"/>
        <v>0</v>
      </c>
      <c r="F447" s="7">
        <f>-1*ROUND(1/6*(I447*IF(_xlfn.XLOOKUP(H447,'02效果表'!D:D,'02效果表'!E:E)&lt;0, _xlfn.XLOOKUP(H447,'02效果表'!D:D,'02效果表'!E:E), 0) +
K447*IF(_xlfn.XLOOKUP(J447,'02效果表'!D:D,'02效果表'!E:E)&lt;0, _xlfn.XLOOKUP(J447,'02效果表'!D:D,'02效果表'!E:E), 0) +
M447*IF(_xlfn.XLOOKUP(L447,'02效果表'!D:D,'02效果表'!E:E)&lt;0, _xlfn.XLOOKUP(L447,'02效果表'!D:D,'02效果表'!E:E), 0) +
O447*IF(_xlfn.XLOOKUP(N447,'02效果表'!D:D,'02效果表'!E:E)&lt;0, _xlfn.XLOOKUP(N447,'02效果表'!D:D,'02效果表'!E:E), 0) +
Q447*IF(_xlfn.XLOOKUP(P447,'02效果表'!D:D,'02效果表'!E:E)&lt;0, _xlfn.XLOOKUP(P447,'02效果表'!D:D,'02效果表'!E:E), 0) +
S447*IF(_xlfn.XLOOKUP(R447,'02效果表'!D:D,'02效果表'!E:E)&lt;0, _xlfn.XLOOKUP(R447,'02效果表'!D:D,'02效果表'!E:E), 0) +
U447*IF(_xlfn.XLOOKUP(T447,'02效果表'!D:D,'02效果表'!E:E)&lt;0, _xlfn.XLOOKUP(T447,'02效果表'!D:D,'02效果表'!E:E), 0) +
W447*IF(_xlfn.XLOOKUP(V447,'02效果表'!D:D,'02效果表'!E:E)&lt;0, _xlfn.XLOOKUP(V447,'02效果表'!D:D,'02效果表'!E:E), 0) +
Y447*IF(_xlfn.XLOOKUP(X447,'02效果表'!D:D,'02效果表'!E:E)&lt;0, _xlfn.XLOOKUP(X447,'02效果表'!D:D,'02效果表'!E:E), 0) +
AA447*IF(_xlfn.XLOOKUP(Z447,'02效果表'!D:D,'02效果表'!E:E)&lt;0, _xlfn.XLOOKUP(Z447,'02效果表'!D:D,'02效果表'!E:E), 0) +
AC447*IF(_xlfn.XLOOKUP(AB447,'02效果表'!D:D,'02效果表'!E:E)&lt;0, _xlfn.XLOOKUP(AB447,'02效果表'!D:D,'02效果表'!E:E), 0) +
AE447*IF(_xlfn.XLOOKUP(AD447,'02效果表'!D:D,'02效果表'!E:E)&lt;0, _xlfn.XLOOKUP(AD447,'02效果表'!D:D,'02效果表'!E:E), 0)), 1)</f>
        <v>0</v>
      </c>
      <c r="G447" s="7">
        <f>ROUND(1/6*(I447*MAX(_xlfn.XLOOKUP(H447,'02效果表'!D:D,'02效果表'!E:E),0)+K447*MAX(_xlfn.XLOOKUP(J447,'02效果表'!D:D,'02效果表'!E:E),0)+M447*MAX(_xlfn.XLOOKUP(L447,'02效果表'!D:D,'02效果表'!E:E),0)+O447*MAX(_xlfn.XLOOKUP(N447,'02效果表'!D:D,'02效果表'!E:E),0)+Q447*MAX(_xlfn.XLOOKUP(P447,'02效果表'!D:D,'02效果表'!E:E),0)+S447*MAX(_xlfn.XLOOKUP(R447,'02效果表'!D:D,'02效果表'!E:E),0)+U447*MAX(_xlfn.XLOOKUP(T447,'02效果表'!D:D,'02效果表'!E:E),0)+W447*MAX(_xlfn.XLOOKUP(V447,'02效果表'!D:D,'02效果表'!E:E),0)+Y447*MAX(_xlfn.XLOOKUP(X447,'02效果表'!D:D,'02效果表'!E:E),0)+AA447*MAX(_xlfn.XLOOKUP(Z447,'02效果表'!D:D,'02效果表'!E:E),0)+AC447*MAX(_xlfn.XLOOKUP(AB447,'02效果表'!D:D,'02效果表'!E:E),0)+AE447*MAX(_xlfn.XLOOKUP(AD447,'02效果表'!D:D,'02效果表'!E:E),0)),1)</f>
        <v>0</v>
      </c>
      <c r="H447" s="6"/>
      <c r="I447" s="6"/>
      <c r="J447" s="6"/>
      <c r="K447" s="6"/>
      <c r="L447" s="6"/>
      <c r="M447" s="6"/>
      <c r="N447" s="6"/>
      <c r="O447" s="6"/>
      <c r="P447" s="6"/>
      <c r="Q447" s="6"/>
      <c r="R447" s="6"/>
      <c r="S447" s="6"/>
      <c r="T447" s="6"/>
      <c r="U447" s="6"/>
      <c r="V447" s="6"/>
      <c r="W447" s="6"/>
      <c r="X447" s="6"/>
      <c r="Y447" s="6"/>
      <c r="Z447" s="6"/>
      <c r="AA447" s="6"/>
      <c r="AB447" s="6"/>
      <c r="AC447" s="6"/>
      <c r="AD447" s="6"/>
      <c r="AE447" s="6"/>
    </row>
    <row r="448" spans="1:31" x14ac:dyDescent="0.35">
      <c r="A448" s="6">
        <v>448</v>
      </c>
      <c r="B448" s="6" t="s">
        <v>6</v>
      </c>
      <c r="C448" s="10" t="s">
        <v>2</v>
      </c>
      <c r="D448" s="9"/>
      <c r="E448" s="7">
        <f t="shared" si="13"/>
        <v>0</v>
      </c>
      <c r="F448" s="7">
        <f>-1*ROUND(1/6*(I448*IF(_xlfn.XLOOKUP(H448,'02效果表'!D:D,'02效果表'!E:E)&lt;0, _xlfn.XLOOKUP(H448,'02效果表'!D:D,'02效果表'!E:E), 0) +
K448*IF(_xlfn.XLOOKUP(J448,'02效果表'!D:D,'02效果表'!E:E)&lt;0, _xlfn.XLOOKUP(J448,'02效果表'!D:D,'02效果表'!E:E), 0) +
M448*IF(_xlfn.XLOOKUP(L448,'02效果表'!D:D,'02效果表'!E:E)&lt;0, _xlfn.XLOOKUP(L448,'02效果表'!D:D,'02效果表'!E:E), 0) +
O448*IF(_xlfn.XLOOKUP(N448,'02效果表'!D:D,'02效果表'!E:E)&lt;0, _xlfn.XLOOKUP(N448,'02效果表'!D:D,'02效果表'!E:E), 0) +
Q448*IF(_xlfn.XLOOKUP(P448,'02效果表'!D:D,'02效果表'!E:E)&lt;0, _xlfn.XLOOKUP(P448,'02效果表'!D:D,'02效果表'!E:E), 0) +
S448*IF(_xlfn.XLOOKUP(R448,'02效果表'!D:D,'02效果表'!E:E)&lt;0, _xlfn.XLOOKUP(R448,'02效果表'!D:D,'02效果表'!E:E), 0) +
U448*IF(_xlfn.XLOOKUP(T448,'02效果表'!D:D,'02效果表'!E:E)&lt;0, _xlfn.XLOOKUP(T448,'02效果表'!D:D,'02效果表'!E:E), 0) +
W448*IF(_xlfn.XLOOKUP(V448,'02效果表'!D:D,'02效果表'!E:E)&lt;0, _xlfn.XLOOKUP(V448,'02效果表'!D:D,'02效果表'!E:E), 0) +
Y448*IF(_xlfn.XLOOKUP(X448,'02效果表'!D:D,'02效果表'!E:E)&lt;0, _xlfn.XLOOKUP(X448,'02效果表'!D:D,'02效果表'!E:E), 0) +
AA448*IF(_xlfn.XLOOKUP(Z448,'02效果表'!D:D,'02效果表'!E:E)&lt;0, _xlfn.XLOOKUP(Z448,'02效果表'!D:D,'02效果表'!E:E), 0) +
AC448*IF(_xlfn.XLOOKUP(AB448,'02效果表'!D:D,'02效果表'!E:E)&lt;0, _xlfn.XLOOKUP(AB448,'02效果表'!D:D,'02效果表'!E:E), 0) +
AE448*IF(_xlfn.XLOOKUP(AD448,'02效果表'!D:D,'02效果表'!E:E)&lt;0, _xlfn.XLOOKUP(AD448,'02效果表'!D:D,'02效果表'!E:E), 0)), 1)</f>
        <v>0</v>
      </c>
      <c r="G448" s="7">
        <f>ROUND(1/6*(I448*MAX(_xlfn.XLOOKUP(H448,'02效果表'!D:D,'02效果表'!E:E),0)+K448*MAX(_xlfn.XLOOKUP(J448,'02效果表'!D:D,'02效果表'!E:E),0)+M448*MAX(_xlfn.XLOOKUP(L448,'02效果表'!D:D,'02效果表'!E:E),0)+O448*MAX(_xlfn.XLOOKUP(N448,'02效果表'!D:D,'02效果表'!E:E),0)+Q448*MAX(_xlfn.XLOOKUP(P448,'02效果表'!D:D,'02效果表'!E:E),0)+S448*MAX(_xlfn.XLOOKUP(R448,'02效果表'!D:D,'02效果表'!E:E),0)+U448*MAX(_xlfn.XLOOKUP(T448,'02效果表'!D:D,'02效果表'!E:E),0)+W448*MAX(_xlfn.XLOOKUP(V448,'02效果表'!D:D,'02效果表'!E:E),0)+Y448*MAX(_xlfn.XLOOKUP(X448,'02效果表'!D:D,'02效果表'!E:E),0)+AA448*MAX(_xlfn.XLOOKUP(Z448,'02效果表'!D:D,'02效果表'!E:E),0)+AC448*MAX(_xlfn.XLOOKUP(AB448,'02效果表'!D:D,'02效果表'!E:E),0)+AE448*MAX(_xlfn.XLOOKUP(AD448,'02效果表'!D:D,'02效果表'!E:E),0)),1)</f>
        <v>0</v>
      </c>
      <c r="H448" s="6"/>
      <c r="I448" s="6"/>
      <c r="J448" s="6"/>
      <c r="K448" s="6"/>
      <c r="L448" s="6"/>
      <c r="M448" s="6"/>
      <c r="N448" s="6"/>
      <c r="O448" s="6"/>
      <c r="P448" s="6"/>
      <c r="Q448" s="6"/>
      <c r="R448" s="6"/>
      <c r="S448" s="6"/>
      <c r="T448" s="6"/>
      <c r="U448" s="6"/>
      <c r="V448" s="6"/>
      <c r="W448" s="6"/>
      <c r="X448" s="6"/>
      <c r="Y448" s="6"/>
      <c r="Z448" s="6"/>
      <c r="AA448" s="6"/>
      <c r="AB448" s="6"/>
      <c r="AC448" s="6"/>
      <c r="AD448" s="6"/>
      <c r="AE448" s="6"/>
    </row>
    <row r="449" spans="1:31" x14ac:dyDescent="0.35">
      <c r="A449" s="6">
        <v>449</v>
      </c>
      <c r="B449" s="6" t="s">
        <v>6</v>
      </c>
      <c r="C449" s="10" t="s">
        <v>2</v>
      </c>
      <c r="D449" s="9"/>
      <c r="E449" s="7">
        <f t="shared" si="13"/>
        <v>0</v>
      </c>
      <c r="F449" s="7">
        <f>-1*ROUND(1/6*(I449*IF(_xlfn.XLOOKUP(H449,'02效果表'!D:D,'02效果表'!E:E)&lt;0, _xlfn.XLOOKUP(H449,'02效果表'!D:D,'02效果表'!E:E), 0) +
K449*IF(_xlfn.XLOOKUP(J449,'02效果表'!D:D,'02效果表'!E:E)&lt;0, _xlfn.XLOOKUP(J449,'02效果表'!D:D,'02效果表'!E:E), 0) +
M449*IF(_xlfn.XLOOKUP(L449,'02效果表'!D:D,'02效果表'!E:E)&lt;0, _xlfn.XLOOKUP(L449,'02效果表'!D:D,'02效果表'!E:E), 0) +
O449*IF(_xlfn.XLOOKUP(N449,'02效果表'!D:D,'02效果表'!E:E)&lt;0, _xlfn.XLOOKUP(N449,'02效果表'!D:D,'02效果表'!E:E), 0) +
Q449*IF(_xlfn.XLOOKUP(P449,'02效果表'!D:D,'02效果表'!E:E)&lt;0, _xlfn.XLOOKUP(P449,'02效果表'!D:D,'02效果表'!E:E), 0) +
S449*IF(_xlfn.XLOOKUP(R449,'02效果表'!D:D,'02效果表'!E:E)&lt;0, _xlfn.XLOOKUP(R449,'02效果表'!D:D,'02效果表'!E:E), 0) +
U449*IF(_xlfn.XLOOKUP(T449,'02效果表'!D:D,'02效果表'!E:E)&lt;0, _xlfn.XLOOKUP(T449,'02效果表'!D:D,'02效果表'!E:E), 0) +
W449*IF(_xlfn.XLOOKUP(V449,'02效果表'!D:D,'02效果表'!E:E)&lt;0, _xlfn.XLOOKUP(V449,'02效果表'!D:D,'02效果表'!E:E), 0) +
Y449*IF(_xlfn.XLOOKUP(X449,'02效果表'!D:D,'02效果表'!E:E)&lt;0, _xlfn.XLOOKUP(X449,'02效果表'!D:D,'02效果表'!E:E), 0) +
AA449*IF(_xlfn.XLOOKUP(Z449,'02效果表'!D:D,'02效果表'!E:E)&lt;0, _xlfn.XLOOKUP(Z449,'02效果表'!D:D,'02效果表'!E:E), 0) +
AC449*IF(_xlfn.XLOOKUP(AB449,'02效果表'!D:D,'02效果表'!E:E)&lt;0, _xlfn.XLOOKUP(AB449,'02效果表'!D:D,'02效果表'!E:E), 0) +
AE449*IF(_xlfn.XLOOKUP(AD449,'02效果表'!D:D,'02效果表'!E:E)&lt;0, _xlfn.XLOOKUP(AD449,'02效果表'!D:D,'02效果表'!E:E), 0)), 1)</f>
        <v>0</v>
      </c>
      <c r="G449" s="7">
        <f>ROUND(1/6*(I449*MAX(_xlfn.XLOOKUP(H449,'02效果表'!D:D,'02效果表'!E:E),0)+K449*MAX(_xlfn.XLOOKUP(J449,'02效果表'!D:D,'02效果表'!E:E),0)+M449*MAX(_xlfn.XLOOKUP(L449,'02效果表'!D:D,'02效果表'!E:E),0)+O449*MAX(_xlfn.XLOOKUP(N449,'02效果表'!D:D,'02效果表'!E:E),0)+Q449*MAX(_xlfn.XLOOKUP(P449,'02效果表'!D:D,'02效果表'!E:E),0)+S449*MAX(_xlfn.XLOOKUP(R449,'02效果表'!D:D,'02效果表'!E:E),0)+U449*MAX(_xlfn.XLOOKUP(T449,'02效果表'!D:D,'02效果表'!E:E),0)+W449*MAX(_xlfn.XLOOKUP(V449,'02效果表'!D:D,'02效果表'!E:E),0)+Y449*MAX(_xlfn.XLOOKUP(X449,'02效果表'!D:D,'02效果表'!E:E),0)+AA449*MAX(_xlfn.XLOOKUP(Z449,'02效果表'!D:D,'02效果表'!E:E),0)+AC449*MAX(_xlfn.XLOOKUP(AB449,'02效果表'!D:D,'02效果表'!E:E),0)+AE449*MAX(_xlfn.XLOOKUP(AD449,'02效果表'!D:D,'02效果表'!E:E),0)),1)</f>
        <v>0</v>
      </c>
      <c r="H449" s="6"/>
      <c r="I449" s="6"/>
      <c r="J449" s="6"/>
      <c r="K449" s="6"/>
      <c r="L449" s="6"/>
      <c r="M449" s="6"/>
      <c r="N449" s="6"/>
      <c r="O449" s="6"/>
      <c r="P449" s="6"/>
      <c r="Q449" s="6"/>
      <c r="R449" s="6"/>
      <c r="S449" s="6"/>
      <c r="T449" s="6"/>
      <c r="U449" s="6"/>
      <c r="V449" s="6"/>
      <c r="W449" s="6"/>
      <c r="X449" s="6"/>
      <c r="Y449" s="6"/>
      <c r="Z449" s="6"/>
      <c r="AA449" s="6"/>
      <c r="AB449" s="6"/>
      <c r="AC449" s="6"/>
      <c r="AD449" s="6"/>
      <c r="AE449" s="6"/>
    </row>
    <row r="450" spans="1:31" x14ac:dyDescent="0.35">
      <c r="A450" s="6">
        <v>450</v>
      </c>
      <c r="B450" s="6" t="s">
        <v>6</v>
      </c>
      <c r="C450" s="10" t="s">
        <v>2</v>
      </c>
      <c r="D450" s="9"/>
      <c r="E450" s="7">
        <f t="shared" ref="E450:E513" si="14">ROUND(G450-F450,0)</f>
        <v>0</v>
      </c>
      <c r="F450" s="7">
        <f>-1*ROUND(1/6*(I450*IF(_xlfn.XLOOKUP(H450,'02效果表'!D:D,'02效果表'!E:E)&lt;0, _xlfn.XLOOKUP(H450,'02效果表'!D:D,'02效果表'!E:E), 0) +
K450*IF(_xlfn.XLOOKUP(J450,'02效果表'!D:D,'02效果表'!E:E)&lt;0, _xlfn.XLOOKUP(J450,'02效果表'!D:D,'02效果表'!E:E), 0) +
M450*IF(_xlfn.XLOOKUP(L450,'02效果表'!D:D,'02效果表'!E:E)&lt;0, _xlfn.XLOOKUP(L450,'02效果表'!D:D,'02效果表'!E:E), 0) +
O450*IF(_xlfn.XLOOKUP(N450,'02效果表'!D:D,'02效果表'!E:E)&lt;0, _xlfn.XLOOKUP(N450,'02效果表'!D:D,'02效果表'!E:E), 0) +
Q450*IF(_xlfn.XLOOKUP(P450,'02效果表'!D:D,'02效果表'!E:E)&lt;0, _xlfn.XLOOKUP(P450,'02效果表'!D:D,'02效果表'!E:E), 0) +
S450*IF(_xlfn.XLOOKUP(R450,'02效果表'!D:D,'02效果表'!E:E)&lt;0, _xlfn.XLOOKUP(R450,'02效果表'!D:D,'02效果表'!E:E), 0) +
U450*IF(_xlfn.XLOOKUP(T450,'02效果表'!D:D,'02效果表'!E:E)&lt;0, _xlfn.XLOOKUP(T450,'02效果表'!D:D,'02效果表'!E:E), 0) +
W450*IF(_xlfn.XLOOKUP(V450,'02效果表'!D:D,'02效果表'!E:E)&lt;0, _xlfn.XLOOKUP(V450,'02效果表'!D:D,'02效果表'!E:E), 0) +
Y450*IF(_xlfn.XLOOKUP(X450,'02效果表'!D:D,'02效果表'!E:E)&lt;0, _xlfn.XLOOKUP(X450,'02效果表'!D:D,'02效果表'!E:E), 0) +
AA450*IF(_xlfn.XLOOKUP(Z450,'02效果表'!D:D,'02效果表'!E:E)&lt;0, _xlfn.XLOOKUP(Z450,'02效果表'!D:D,'02效果表'!E:E), 0) +
AC450*IF(_xlfn.XLOOKUP(AB450,'02效果表'!D:D,'02效果表'!E:E)&lt;0, _xlfn.XLOOKUP(AB450,'02效果表'!D:D,'02效果表'!E:E), 0) +
AE450*IF(_xlfn.XLOOKUP(AD450,'02效果表'!D:D,'02效果表'!E:E)&lt;0, _xlfn.XLOOKUP(AD450,'02效果表'!D:D,'02效果表'!E:E), 0)), 1)</f>
        <v>0</v>
      </c>
      <c r="G450" s="7">
        <f>ROUND(1/6*(I450*MAX(_xlfn.XLOOKUP(H450,'02效果表'!D:D,'02效果表'!E:E),0)+K450*MAX(_xlfn.XLOOKUP(J450,'02效果表'!D:D,'02效果表'!E:E),0)+M450*MAX(_xlfn.XLOOKUP(L450,'02效果表'!D:D,'02效果表'!E:E),0)+O450*MAX(_xlfn.XLOOKUP(N450,'02效果表'!D:D,'02效果表'!E:E),0)+Q450*MAX(_xlfn.XLOOKUP(P450,'02效果表'!D:D,'02效果表'!E:E),0)+S450*MAX(_xlfn.XLOOKUP(R450,'02效果表'!D:D,'02效果表'!E:E),0)+U450*MAX(_xlfn.XLOOKUP(T450,'02效果表'!D:D,'02效果表'!E:E),0)+W450*MAX(_xlfn.XLOOKUP(V450,'02效果表'!D:D,'02效果表'!E:E),0)+Y450*MAX(_xlfn.XLOOKUP(X450,'02效果表'!D:D,'02效果表'!E:E),0)+AA450*MAX(_xlfn.XLOOKUP(Z450,'02效果表'!D:D,'02效果表'!E:E),0)+AC450*MAX(_xlfn.XLOOKUP(AB450,'02效果表'!D:D,'02效果表'!E:E),0)+AE450*MAX(_xlfn.XLOOKUP(AD450,'02效果表'!D:D,'02效果表'!E:E),0)),1)</f>
        <v>0</v>
      </c>
      <c r="H450" s="6"/>
      <c r="I450" s="6"/>
      <c r="J450" s="6"/>
      <c r="K450" s="6"/>
      <c r="L450" s="6"/>
      <c r="M450" s="6"/>
      <c r="N450" s="6"/>
      <c r="O450" s="6"/>
      <c r="P450" s="6"/>
      <c r="Q450" s="6"/>
      <c r="R450" s="6"/>
      <c r="S450" s="6"/>
      <c r="T450" s="6"/>
      <c r="U450" s="6"/>
      <c r="V450" s="6"/>
      <c r="W450" s="6"/>
      <c r="X450" s="6"/>
      <c r="Y450" s="6"/>
      <c r="Z450" s="6"/>
      <c r="AA450" s="6"/>
      <c r="AB450" s="6"/>
      <c r="AC450" s="6"/>
      <c r="AD450" s="6"/>
      <c r="AE450" s="6"/>
    </row>
    <row r="451" spans="1:31" x14ac:dyDescent="0.35">
      <c r="A451" s="6">
        <v>451</v>
      </c>
      <c r="B451" s="6" t="s">
        <v>6</v>
      </c>
      <c r="C451" s="10" t="s">
        <v>2</v>
      </c>
      <c r="D451" s="9"/>
      <c r="E451" s="7">
        <f t="shared" si="14"/>
        <v>0</v>
      </c>
      <c r="F451" s="7">
        <f>-1*ROUND(1/6*(I451*IF(_xlfn.XLOOKUP(H451,'02效果表'!D:D,'02效果表'!E:E)&lt;0, _xlfn.XLOOKUP(H451,'02效果表'!D:D,'02效果表'!E:E), 0) +
K451*IF(_xlfn.XLOOKUP(J451,'02效果表'!D:D,'02效果表'!E:E)&lt;0, _xlfn.XLOOKUP(J451,'02效果表'!D:D,'02效果表'!E:E), 0) +
M451*IF(_xlfn.XLOOKUP(L451,'02效果表'!D:D,'02效果表'!E:E)&lt;0, _xlfn.XLOOKUP(L451,'02效果表'!D:D,'02效果表'!E:E), 0) +
O451*IF(_xlfn.XLOOKUP(N451,'02效果表'!D:D,'02效果表'!E:E)&lt;0, _xlfn.XLOOKUP(N451,'02效果表'!D:D,'02效果表'!E:E), 0) +
Q451*IF(_xlfn.XLOOKUP(P451,'02效果表'!D:D,'02效果表'!E:E)&lt;0, _xlfn.XLOOKUP(P451,'02效果表'!D:D,'02效果表'!E:E), 0) +
S451*IF(_xlfn.XLOOKUP(R451,'02效果表'!D:D,'02效果表'!E:E)&lt;0, _xlfn.XLOOKUP(R451,'02效果表'!D:D,'02效果表'!E:E), 0) +
U451*IF(_xlfn.XLOOKUP(T451,'02效果表'!D:D,'02效果表'!E:E)&lt;0, _xlfn.XLOOKUP(T451,'02效果表'!D:D,'02效果表'!E:E), 0) +
W451*IF(_xlfn.XLOOKUP(V451,'02效果表'!D:D,'02效果表'!E:E)&lt;0, _xlfn.XLOOKUP(V451,'02效果表'!D:D,'02效果表'!E:E), 0) +
Y451*IF(_xlfn.XLOOKUP(X451,'02效果表'!D:D,'02效果表'!E:E)&lt;0, _xlfn.XLOOKUP(X451,'02效果表'!D:D,'02效果表'!E:E), 0) +
AA451*IF(_xlfn.XLOOKUP(Z451,'02效果表'!D:D,'02效果表'!E:E)&lt;0, _xlfn.XLOOKUP(Z451,'02效果表'!D:D,'02效果表'!E:E), 0) +
AC451*IF(_xlfn.XLOOKUP(AB451,'02效果表'!D:D,'02效果表'!E:E)&lt;0, _xlfn.XLOOKUP(AB451,'02效果表'!D:D,'02效果表'!E:E), 0) +
AE451*IF(_xlfn.XLOOKUP(AD451,'02效果表'!D:D,'02效果表'!E:E)&lt;0, _xlfn.XLOOKUP(AD451,'02效果表'!D:D,'02效果表'!E:E), 0)), 1)</f>
        <v>0</v>
      </c>
      <c r="G451" s="7">
        <f>ROUND(1/6*(I451*MAX(_xlfn.XLOOKUP(H451,'02效果表'!D:D,'02效果表'!E:E),0)+K451*MAX(_xlfn.XLOOKUP(J451,'02效果表'!D:D,'02效果表'!E:E),0)+M451*MAX(_xlfn.XLOOKUP(L451,'02效果表'!D:D,'02效果表'!E:E),0)+O451*MAX(_xlfn.XLOOKUP(N451,'02效果表'!D:D,'02效果表'!E:E),0)+Q451*MAX(_xlfn.XLOOKUP(P451,'02效果表'!D:D,'02效果表'!E:E),0)+S451*MAX(_xlfn.XLOOKUP(R451,'02效果表'!D:D,'02效果表'!E:E),0)+U451*MAX(_xlfn.XLOOKUP(T451,'02效果表'!D:D,'02效果表'!E:E),0)+W451*MAX(_xlfn.XLOOKUP(V451,'02效果表'!D:D,'02效果表'!E:E),0)+Y451*MAX(_xlfn.XLOOKUP(X451,'02效果表'!D:D,'02效果表'!E:E),0)+AA451*MAX(_xlfn.XLOOKUP(Z451,'02效果表'!D:D,'02效果表'!E:E),0)+AC451*MAX(_xlfn.XLOOKUP(AB451,'02效果表'!D:D,'02效果表'!E:E),0)+AE451*MAX(_xlfn.XLOOKUP(AD451,'02效果表'!D:D,'02效果表'!E:E),0)),1)</f>
        <v>0</v>
      </c>
      <c r="H451" s="6"/>
      <c r="I451" s="6"/>
      <c r="J451" s="6"/>
      <c r="K451" s="6"/>
      <c r="L451" s="6"/>
      <c r="M451" s="6"/>
      <c r="N451" s="6"/>
      <c r="O451" s="6"/>
      <c r="P451" s="6"/>
      <c r="Q451" s="6"/>
      <c r="R451" s="6"/>
      <c r="S451" s="6"/>
      <c r="T451" s="6"/>
      <c r="U451" s="6"/>
      <c r="V451" s="6"/>
      <c r="W451" s="6"/>
      <c r="X451" s="6"/>
      <c r="Y451" s="6"/>
      <c r="Z451" s="6"/>
      <c r="AA451" s="6"/>
      <c r="AB451" s="6"/>
      <c r="AC451" s="6"/>
      <c r="AD451" s="6"/>
      <c r="AE451" s="6"/>
    </row>
    <row r="452" spans="1:31" x14ac:dyDescent="0.35">
      <c r="A452" s="6">
        <v>452</v>
      </c>
      <c r="B452" s="6" t="s">
        <v>6</v>
      </c>
      <c r="C452" s="10" t="s">
        <v>2</v>
      </c>
      <c r="D452" s="9"/>
      <c r="E452" s="7">
        <f t="shared" si="14"/>
        <v>0</v>
      </c>
      <c r="F452" s="7">
        <f>-1*ROUND(1/6*(I452*IF(_xlfn.XLOOKUP(H452,'02效果表'!D:D,'02效果表'!E:E)&lt;0, _xlfn.XLOOKUP(H452,'02效果表'!D:D,'02效果表'!E:E), 0) +
K452*IF(_xlfn.XLOOKUP(J452,'02效果表'!D:D,'02效果表'!E:E)&lt;0, _xlfn.XLOOKUP(J452,'02效果表'!D:D,'02效果表'!E:E), 0) +
M452*IF(_xlfn.XLOOKUP(L452,'02效果表'!D:D,'02效果表'!E:E)&lt;0, _xlfn.XLOOKUP(L452,'02效果表'!D:D,'02效果表'!E:E), 0) +
O452*IF(_xlfn.XLOOKUP(N452,'02效果表'!D:D,'02效果表'!E:E)&lt;0, _xlfn.XLOOKUP(N452,'02效果表'!D:D,'02效果表'!E:E), 0) +
Q452*IF(_xlfn.XLOOKUP(P452,'02效果表'!D:D,'02效果表'!E:E)&lt;0, _xlfn.XLOOKUP(P452,'02效果表'!D:D,'02效果表'!E:E), 0) +
S452*IF(_xlfn.XLOOKUP(R452,'02效果表'!D:D,'02效果表'!E:E)&lt;0, _xlfn.XLOOKUP(R452,'02效果表'!D:D,'02效果表'!E:E), 0) +
U452*IF(_xlfn.XLOOKUP(T452,'02效果表'!D:D,'02效果表'!E:E)&lt;0, _xlfn.XLOOKUP(T452,'02效果表'!D:D,'02效果表'!E:E), 0) +
W452*IF(_xlfn.XLOOKUP(V452,'02效果表'!D:D,'02效果表'!E:E)&lt;0, _xlfn.XLOOKUP(V452,'02效果表'!D:D,'02效果表'!E:E), 0) +
Y452*IF(_xlfn.XLOOKUP(X452,'02效果表'!D:D,'02效果表'!E:E)&lt;0, _xlfn.XLOOKUP(X452,'02效果表'!D:D,'02效果表'!E:E), 0) +
AA452*IF(_xlfn.XLOOKUP(Z452,'02效果表'!D:D,'02效果表'!E:E)&lt;0, _xlfn.XLOOKUP(Z452,'02效果表'!D:D,'02效果表'!E:E), 0) +
AC452*IF(_xlfn.XLOOKUP(AB452,'02效果表'!D:D,'02效果表'!E:E)&lt;0, _xlfn.XLOOKUP(AB452,'02效果表'!D:D,'02效果表'!E:E), 0) +
AE452*IF(_xlfn.XLOOKUP(AD452,'02效果表'!D:D,'02效果表'!E:E)&lt;0, _xlfn.XLOOKUP(AD452,'02效果表'!D:D,'02效果表'!E:E), 0)), 1)</f>
        <v>0</v>
      </c>
      <c r="G452" s="7">
        <f>ROUND(1/6*(I452*MAX(_xlfn.XLOOKUP(H452,'02效果表'!D:D,'02效果表'!E:E),0)+K452*MAX(_xlfn.XLOOKUP(J452,'02效果表'!D:D,'02效果表'!E:E),0)+M452*MAX(_xlfn.XLOOKUP(L452,'02效果表'!D:D,'02效果表'!E:E),0)+O452*MAX(_xlfn.XLOOKUP(N452,'02效果表'!D:D,'02效果表'!E:E),0)+Q452*MAX(_xlfn.XLOOKUP(P452,'02效果表'!D:D,'02效果表'!E:E),0)+S452*MAX(_xlfn.XLOOKUP(R452,'02效果表'!D:D,'02效果表'!E:E),0)+U452*MAX(_xlfn.XLOOKUP(T452,'02效果表'!D:D,'02效果表'!E:E),0)+W452*MAX(_xlfn.XLOOKUP(V452,'02效果表'!D:D,'02效果表'!E:E),0)+Y452*MAX(_xlfn.XLOOKUP(X452,'02效果表'!D:D,'02效果表'!E:E),0)+AA452*MAX(_xlfn.XLOOKUP(Z452,'02效果表'!D:D,'02效果表'!E:E),0)+AC452*MAX(_xlfn.XLOOKUP(AB452,'02效果表'!D:D,'02效果表'!E:E),0)+AE452*MAX(_xlfn.XLOOKUP(AD452,'02效果表'!D:D,'02效果表'!E:E),0)),1)</f>
        <v>0</v>
      </c>
      <c r="H452" s="6"/>
      <c r="I452" s="6"/>
      <c r="J452" s="6"/>
      <c r="K452" s="6"/>
      <c r="L452" s="6"/>
      <c r="M452" s="6"/>
      <c r="N452" s="6"/>
      <c r="O452" s="6"/>
      <c r="P452" s="6"/>
      <c r="Q452" s="6"/>
      <c r="R452" s="6"/>
      <c r="S452" s="6"/>
      <c r="T452" s="6"/>
      <c r="U452" s="6"/>
      <c r="V452" s="6"/>
      <c r="W452" s="6"/>
      <c r="X452" s="6"/>
      <c r="Y452" s="6"/>
      <c r="Z452" s="6"/>
      <c r="AA452" s="6"/>
      <c r="AB452" s="6"/>
      <c r="AC452" s="6"/>
      <c r="AD452" s="6"/>
      <c r="AE452" s="6"/>
    </row>
    <row r="453" spans="1:31" x14ac:dyDescent="0.35">
      <c r="A453" s="6">
        <v>453</v>
      </c>
      <c r="B453" s="6" t="s">
        <v>6</v>
      </c>
      <c r="C453" s="10" t="s">
        <v>2</v>
      </c>
      <c r="D453" s="9"/>
      <c r="E453" s="7">
        <f t="shared" si="14"/>
        <v>0</v>
      </c>
      <c r="F453" s="7">
        <f>-1*ROUND(1/6*(I453*IF(_xlfn.XLOOKUP(H453,'02效果表'!D:D,'02效果表'!E:E)&lt;0, _xlfn.XLOOKUP(H453,'02效果表'!D:D,'02效果表'!E:E), 0) +
K453*IF(_xlfn.XLOOKUP(J453,'02效果表'!D:D,'02效果表'!E:E)&lt;0, _xlfn.XLOOKUP(J453,'02效果表'!D:D,'02效果表'!E:E), 0) +
M453*IF(_xlfn.XLOOKUP(L453,'02效果表'!D:D,'02效果表'!E:E)&lt;0, _xlfn.XLOOKUP(L453,'02效果表'!D:D,'02效果表'!E:E), 0) +
O453*IF(_xlfn.XLOOKUP(N453,'02效果表'!D:D,'02效果表'!E:E)&lt;0, _xlfn.XLOOKUP(N453,'02效果表'!D:D,'02效果表'!E:E), 0) +
Q453*IF(_xlfn.XLOOKUP(P453,'02效果表'!D:D,'02效果表'!E:E)&lt;0, _xlfn.XLOOKUP(P453,'02效果表'!D:D,'02效果表'!E:E), 0) +
S453*IF(_xlfn.XLOOKUP(R453,'02效果表'!D:D,'02效果表'!E:E)&lt;0, _xlfn.XLOOKUP(R453,'02效果表'!D:D,'02效果表'!E:E), 0) +
U453*IF(_xlfn.XLOOKUP(T453,'02效果表'!D:D,'02效果表'!E:E)&lt;0, _xlfn.XLOOKUP(T453,'02效果表'!D:D,'02效果表'!E:E), 0) +
W453*IF(_xlfn.XLOOKUP(V453,'02效果表'!D:D,'02效果表'!E:E)&lt;0, _xlfn.XLOOKUP(V453,'02效果表'!D:D,'02效果表'!E:E), 0) +
Y453*IF(_xlfn.XLOOKUP(X453,'02效果表'!D:D,'02效果表'!E:E)&lt;0, _xlfn.XLOOKUP(X453,'02效果表'!D:D,'02效果表'!E:E), 0) +
AA453*IF(_xlfn.XLOOKUP(Z453,'02效果表'!D:D,'02效果表'!E:E)&lt;0, _xlfn.XLOOKUP(Z453,'02效果表'!D:D,'02效果表'!E:E), 0) +
AC453*IF(_xlfn.XLOOKUP(AB453,'02效果表'!D:D,'02效果表'!E:E)&lt;0, _xlfn.XLOOKUP(AB453,'02效果表'!D:D,'02效果表'!E:E), 0) +
AE453*IF(_xlfn.XLOOKUP(AD453,'02效果表'!D:D,'02效果表'!E:E)&lt;0, _xlfn.XLOOKUP(AD453,'02效果表'!D:D,'02效果表'!E:E), 0)), 1)</f>
        <v>0</v>
      </c>
      <c r="G453" s="7">
        <f>ROUND(1/6*(I453*MAX(_xlfn.XLOOKUP(H453,'02效果表'!D:D,'02效果表'!E:E),0)+K453*MAX(_xlfn.XLOOKUP(J453,'02效果表'!D:D,'02效果表'!E:E),0)+M453*MAX(_xlfn.XLOOKUP(L453,'02效果表'!D:D,'02效果表'!E:E),0)+O453*MAX(_xlfn.XLOOKUP(N453,'02效果表'!D:D,'02效果表'!E:E),0)+Q453*MAX(_xlfn.XLOOKUP(P453,'02效果表'!D:D,'02效果表'!E:E),0)+S453*MAX(_xlfn.XLOOKUP(R453,'02效果表'!D:D,'02效果表'!E:E),0)+U453*MAX(_xlfn.XLOOKUP(T453,'02效果表'!D:D,'02效果表'!E:E),0)+W453*MAX(_xlfn.XLOOKUP(V453,'02效果表'!D:D,'02效果表'!E:E),0)+Y453*MAX(_xlfn.XLOOKUP(X453,'02效果表'!D:D,'02效果表'!E:E),0)+AA453*MAX(_xlfn.XLOOKUP(Z453,'02效果表'!D:D,'02效果表'!E:E),0)+AC453*MAX(_xlfn.XLOOKUP(AB453,'02效果表'!D:D,'02效果表'!E:E),0)+AE453*MAX(_xlfn.XLOOKUP(AD453,'02效果表'!D:D,'02效果表'!E:E),0)),1)</f>
        <v>0</v>
      </c>
      <c r="H453" s="6"/>
      <c r="I453" s="6"/>
      <c r="J453" s="6"/>
      <c r="K453" s="6"/>
      <c r="L453" s="6"/>
      <c r="M453" s="6"/>
      <c r="N453" s="6"/>
      <c r="O453" s="6"/>
      <c r="P453" s="6"/>
      <c r="Q453" s="6"/>
      <c r="R453" s="6"/>
      <c r="S453" s="6"/>
      <c r="T453" s="6"/>
      <c r="U453" s="6"/>
      <c r="V453" s="6"/>
      <c r="W453" s="6"/>
      <c r="X453" s="6"/>
      <c r="Y453" s="6"/>
      <c r="Z453" s="6"/>
      <c r="AA453" s="6"/>
      <c r="AB453" s="6"/>
      <c r="AC453" s="6"/>
      <c r="AD453" s="6"/>
      <c r="AE453" s="6"/>
    </row>
    <row r="454" spans="1:31" x14ac:dyDescent="0.35">
      <c r="A454" s="6">
        <v>454</v>
      </c>
      <c r="B454" s="6" t="s">
        <v>6</v>
      </c>
      <c r="C454" s="10" t="s">
        <v>2</v>
      </c>
      <c r="D454" s="9"/>
      <c r="E454" s="7">
        <f t="shared" si="14"/>
        <v>0</v>
      </c>
      <c r="F454" s="7">
        <f>-1*ROUND(1/6*(I454*IF(_xlfn.XLOOKUP(H454,'02效果表'!D:D,'02效果表'!E:E)&lt;0, _xlfn.XLOOKUP(H454,'02效果表'!D:D,'02效果表'!E:E), 0) +
K454*IF(_xlfn.XLOOKUP(J454,'02效果表'!D:D,'02效果表'!E:E)&lt;0, _xlfn.XLOOKUP(J454,'02效果表'!D:D,'02效果表'!E:E), 0) +
M454*IF(_xlfn.XLOOKUP(L454,'02效果表'!D:D,'02效果表'!E:E)&lt;0, _xlfn.XLOOKUP(L454,'02效果表'!D:D,'02效果表'!E:E), 0) +
O454*IF(_xlfn.XLOOKUP(N454,'02效果表'!D:D,'02效果表'!E:E)&lt;0, _xlfn.XLOOKUP(N454,'02效果表'!D:D,'02效果表'!E:E), 0) +
Q454*IF(_xlfn.XLOOKUP(P454,'02效果表'!D:D,'02效果表'!E:E)&lt;0, _xlfn.XLOOKUP(P454,'02效果表'!D:D,'02效果表'!E:E), 0) +
S454*IF(_xlfn.XLOOKUP(R454,'02效果表'!D:D,'02效果表'!E:E)&lt;0, _xlfn.XLOOKUP(R454,'02效果表'!D:D,'02效果表'!E:E), 0) +
U454*IF(_xlfn.XLOOKUP(T454,'02效果表'!D:D,'02效果表'!E:E)&lt;0, _xlfn.XLOOKUP(T454,'02效果表'!D:D,'02效果表'!E:E), 0) +
W454*IF(_xlfn.XLOOKUP(V454,'02效果表'!D:D,'02效果表'!E:E)&lt;0, _xlfn.XLOOKUP(V454,'02效果表'!D:D,'02效果表'!E:E), 0) +
Y454*IF(_xlfn.XLOOKUP(X454,'02效果表'!D:D,'02效果表'!E:E)&lt;0, _xlfn.XLOOKUP(X454,'02效果表'!D:D,'02效果表'!E:E), 0) +
AA454*IF(_xlfn.XLOOKUP(Z454,'02效果表'!D:D,'02效果表'!E:E)&lt;0, _xlfn.XLOOKUP(Z454,'02效果表'!D:D,'02效果表'!E:E), 0) +
AC454*IF(_xlfn.XLOOKUP(AB454,'02效果表'!D:D,'02效果表'!E:E)&lt;0, _xlfn.XLOOKUP(AB454,'02效果表'!D:D,'02效果表'!E:E), 0) +
AE454*IF(_xlfn.XLOOKUP(AD454,'02效果表'!D:D,'02效果表'!E:E)&lt;0, _xlfn.XLOOKUP(AD454,'02效果表'!D:D,'02效果表'!E:E), 0)), 1)</f>
        <v>0</v>
      </c>
      <c r="G454" s="7">
        <f>ROUND(1/6*(I454*MAX(_xlfn.XLOOKUP(H454,'02效果表'!D:D,'02效果表'!E:E),0)+K454*MAX(_xlfn.XLOOKUP(J454,'02效果表'!D:D,'02效果表'!E:E),0)+M454*MAX(_xlfn.XLOOKUP(L454,'02效果表'!D:D,'02效果表'!E:E),0)+O454*MAX(_xlfn.XLOOKUP(N454,'02效果表'!D:D,'02效果表'!E:E),0)+Q454*MAX(_xlfn.XLOOKUP(P454,'02效果表'!D:D,'02效果表'!E:E),0)+S454*MAX(_xlfn.XLOOKUP(R454,'02效果表'!D:D,'02效果表'!E:E),0)+U454*MAX(_xlfn.XLOOKUP(T454,'02效果表'!D:D,'02效果表'!E:E),0)+W454*MAX(_xlfn.XLOOKUP(V454,'02效果表'!D:D,'02效果表'!E:E),0)+Y454*MAX(_xlfn.XLOOKUP(X454,'02效果表'!D:D,'02效果表'!E:E),0)+AA454*MAX(_xlfn.XLOOKUP(Z454,'02效果表'!D:D,'02效果表'!E:E),0)+AC454*MAX(_xlfn.XLOOKUP(AB454,'02效果表'!D:D,'02效果表'!E:E),0)+AE454*MAX(_xlfn.XLOOKUP(AD454,'02效果表'!D:D,'02效果表'!E:E),0)),1)</f>
        <v>0</v>
      </c>
      <c r="H454" s="6"/>
      <c r="I454" s="6"/>
      <c r="J454" s="6"/>
      <c r="K454" s="6"/>
      <c r="L454" s="6"/>
      <c r="M454" s="6"/>
      <c r="N454" s="6"/>
      <c r="O454" s="6"/>
      <c r="P454" s="6"/>
      <c r="Q454" s="6"/>
      <c r="R454" s="6"/>
      <c r="S454" s="6"/>
      <c r="T454" s="6"/>
      <c r="U454" s="6"/>
      <c r="V454" s="6"/>
      <c r="W454" s="6"/>
      <c r="X454" s="6"/>
      <c r="Y454" s="6"/>
      <c r="Z454" s="6"/>
      <c r="AA454" s="6"/>
      <c r="AB454" s="6"/>
      <c r="AC454" s="6"/>
      <c r="AD454" s="6"/>
      <c r="AE454" s="6"/>
    </row>
    <row r="455" spans="1:31" x14ac:dyDescent="0.35">
      <c r="A455" s="6">
        <v>455</v>
      </c>
      <c r="B455" s="6" t="s">
        <v>6</v>
      </c>
      <c r="C455" s="10" t="s">
        <v>2</v>
      </c>
      <c r="D455" s="9"/>
      <c r="E455" s="7">
        <f t="shared" si="14"/>
        <v>0</v>
      </c>
      <c r="F455" s="7">
        <f>-1*ROUND(1/6*(I455*IF(_xlfn.XLOOKUP(H455,'02效果表'!D:D,'02效果表'!E:E)&lt;0, _xlfn.XLOOKUP(H455,'02效果表'!D:D,'02效果表'!E:E), 0) +
K455*IF(_xlfn.XLOOKUP(J455,'02效果表'!D:D,'02效果表'!E:E)&lt;0, _xlfn.XLOOKUP(J455,'02效果表'!D:D,'02效果表'!E:E), 0) +
M455*IF(_xlfn.XLOOKUP(L455,'02效果表'!D:D,'02效果表'!E:E)&lt;0, _xlfn.XLOOKUP(L455,'02效果表'!D:D,'02效果表'!E:E), 0) +
O455*IF(_xlfn.XLOOKUP(N455,'02效果表'!D:D,'02效果表'!E:E)&lt;0, _xlfn.XLOOKUP(N455,'02效果表'!D:D,'02效果表'!E:E), 0) +
Q455*IF(_xlfn.XLOOKUP(P455,'02效果表'!D:D,'02效果表'!E:E)&lt;0, _xlfn.XLOOKUP(P455,'02效果表'!D:D,'02效果表'!E:E), 0) +
S455*IF(_xlfn.XLOOKUP(R455,'02效果表'!D:D,'02效果表'!E:E)&lt;0, _xlfn.XLOOKUP(R455,'02效果表'!D:D,'02效果表'!E:E), 0) +
U455*IF(_xlfn.XLOOKUP(T455,'02效果表'!D:D,'02效果表'!E:E)&lt;0, _xlfn.XLOOKUP(T455,'02效果表'!D:D,'02效果表'!E:E), 0) +
W455*IF(_xlfn.XLOOKUP(V455,'02效果表'!D:D,'02效果表'!E:E)&lt;0, _xlfn.XLOOKUP(V455,'02效果表'!D:D,'02效果表'!E:E), 0) +
Y455*IF(_xlfn.XLOOKUP(X455,'02效果表'!D:D,'02效果表'!E:E)&lt;0, _xlfn.XLOOKUP(X455,'02效果表'!D:D,'02效果表'!E:E), 0) +
AA455*IF(_xlfn.XLOOKUP(Z455,'02效果表'!D:D,'02效果表'!E:E)&lt;0, _xlfn.XLOOKUP(Z455,'02效果表'!D:D,'02效果表'!E:E), 0) +
AC455*IF(_xlfn.XLOOKUP(AB455,'02效果表'!D:D,'02效果表'!E:E)&lt;0, _xlfn.XLOOKUP(AB455,'02效果表'!D:D,'02效果表'!E:E), 0) +
AE455*IF(_xlfn.XLOOKUP(AD455,'02效果表'!D:D,'02效果表'!E:E)&lt;0, _xlfn.XLOOKUP(AD455,'02效果表'!D:D,'02效果表'!E:E), 0)), 1)</f>
        <v>0</v>
      </c>
      <c r="G455" s="7">
        <f>ROUND(1/6*(I455*MAX(_xlfn.XLOOKUP(H455,'02效果表'!D:D,'02效果表'!E:E),0)+K455*MAX(_xlfn.XLOOKUP(J455,'02效果表'!D:D,'02效果表'!E:E),0)+M455*MAX(_xlfn.XLOOKUP(L455,'02效果表'!D:D,'02效果表'!E:E),0)+O455*MAX(_xlfn.XLOOKUP(N455,'02效果表'!D:D,'02效果表'!E:E),0)+Q455*MAX(_xlfn.XLOOKUP(P455,'02效果表'!D:D,'02效果表'!E:E),0)+S455*MAX(_xlfn.XLOOKUP(R455,'02效果表'!D:D,'02效果表'!E:E),0)+U455*MAX(_xlfn.XLOOKUP(T455,'02效果表'!D:D,'02效果表'!E:E),0)+W455*MAX(_xlfn.XLOOKUP(V455,'02效果表'!D:D,'02效果表'!E:E),0)+Y455*MAX(_xlfn.XLOOKUP(X455,'02效果表'!D:D,'02效果表'!E:E),0)+AA455*MAX(_xlfn.XLOOKUP(Z455,'02效果表'!D:D,'02效果表'!E:E),0)+AC455*MAX(_xlfn.XLOOKUP(AB455,'02效果表'!D:D,'02效果表'!E:E),0)+AE455*MAX(_xlfn.XLOOKUP(AD455,'02效果表'!D:D,'02效果表'!E:E),0)),1)</f>
        <v>0</v>
      </c>
      <c r="H455" s="6"/>
      <c r="I455" s="6"/>
      <c r="J455" s="6"/>
      <c r="K455" s="6"/>
      <c r="L455" s="6"/>
      <c r="M455" s="6"/>
      <c r="N455" s="6"/>
      <c r="O455" s="6"/>
      <c r="P455" s="6"/>
      <c r="Q455" s="6"/>
      <c r="R455" s="6"/>
      <c r="S455" s="6"/>
      <c r="T455" s="6"/>
      <c r="U455" s="6"/>
      <c r="V455" s="6"/>
      <c r="W455" s="6"/>
      <c r="X455" s="6"/>
      <c r="Y455" s="6"/>
      <c r="Z455" s="6"/>
      <c r="AA455" s="6"/>
      <c r="AB455" s="6"/>
      <c r="AC455" s="6"/>
      <c r="AD455" s="6"/>
      <c r="AE455" s="6"/>
    </row>
    <row r="456" spans="1:31" x14ac:dyDescent="0.35">
      <c r="A456" s="6">
        <v>456</v>
      </c>
      <c r="B456" s="6" t="s">
        <v>6</v>
      </c>
      <c r="C456" s="10" t="s">
        <v>2</v>
      </c>
      <c r="D456" s="9"/>
      <c r="E456" s="7">
        <f t="shared" si="14"/>
        <v>0</v>
      </c>
      <c r="F456" s="7">
        <f>-1*ROUND(1/6*(I456*IF(_xlfn.XLOOKUP(H456,'02效果表'!D:D,'02效果表'!E:E)&lt;0, _xlfn.XLOOKUP(H456,'02效果表'!D:D,'02效果表'!E:E), 0) +
K456*IF(_xlfn.XLOOKUP(J456,'02效果表'!D:D,'02效果表'!E:E)&lt;0, _xlfn.XLOOKUP(J456,'02效果表'!D:D,'02效果表'!E:E), 0) +
M456*IF(_xlfn.XLOOKUP(L456,'02效果表'!D:D,'02效果表'!E:E)&lt;0, _xlfn.XLOOKUP(L456,'02效果表'!D:D,'02效果表'!E:E), 0) +
O456*IF(_xlfn.XLOOKUP(N456,'02效果表'!D:D,'02效果表'!E:E)&lt;0, _xlfn.XLOOKUP(N456,'02效果表'!D:D,'02效果表'!E:E), 0) +
Q456*IF(_xlfn.XLOOKUP(P456,'02效果表'!D:D,'02效果表'!E:E)&lt;0, _xlfn.XLOOKUP(P456,'02效果表'!D:D,'02效果表'!E:E), 0) +
S456*IF(_xlfn.XLOOKUP(R456,'02效果表'!D:D,'02效果表'!E:E)&lt;0, _xlfn.XLOOKUP(R456,'02效果表'!D:D,'02效果表'!E:E), 0) +
U456*IF(_xlfn.XLOOKUP(T456,'02效果表'!D:D,'02效果表'!E:E)&lt;0, _xlfn.XLOOKUP(T456,'02效果表'!D:D,'02效果表'!E:E), 0) +
W456*IF(_xlfn.XLOOKUP(V456,'02效果表'!D:D,'02效果表'!E:E)&lt;0, _xlfn.XLOOKUP(V456,'02效果表'!D:D,'02效果表'!E:E), 0) +
Y456*IF(_xlfn.XLOOKUP(X456,'02效果表'!D:D,'02效果表'!E:E)&lt;0, _xlfn.XLOOKUP(X456,'02效果表'!D:D,'02效果表'!E:E), 0) +
AA456*IF(_xlfn.XLOOKUP(Z456,'02效果表'!D:D,'02效果表'!E:E)&lt;0, _xlfn.XLOOKUP(Z456,'02效果表'!D:D,'02效果表'!E:E), 0) +
AC456*IF(_xlfn.XLOOKUP(AB456,'02效果表'!D:D,'02效果表'!E:E)&lt;0, _xlfn.XLOOKUP(AB456,'02效果表'!D:D,'02效果表'!E:E), 0) +
AE456*IF(_xlfn.XLOOKUP(AD456,'02效果表'!D:D,'02效果表'!E:E)&lt;0, _xlfn.XLOOKUP(AD456,'02效果表'!D:D,'02效果表'!E:E), 0)), 1)</f>
        <v>0</v>
      </c>
      <c r="G456" s="7">
        <f>ROUND(1/6*(I456*MAX(_xlfn.XLOOKUP(H456,'02效果表'!D:D,'02效果表'!E:E),0)+K456*MAX(_xlfn.XLOOKUP(J456,'02效果表'!D:D,'02效果表'!E:E),0)+M456*MAX(_xlfn.XLOOKUP(L456,'02效果表'!D:D,'02效果表'!E:E),0)+O456*MAX(_xlfn.XLOOKUP(N456,'02效果表'!D:D,'02效果表'!E:E),0)+Q456*MAX(_xlfn.XLOOKUP(P456,'02效果表'!D:D,'02效果表'!E:E),0)+S456*MAX(_xlfn.XLOOKUP(R456,'02效果表'!D:D,'02效果表'!E:E),0)+U456*MAX(_xlfn.XLOOKUP(T456,'02效果表'!D:D,'02效果表'!E:E),0)+W456*MAX(_xlfn.XLOOKUP(V456,'02效果表'!D:D,'02效果表'!E:E),0)+Y456*MAX(_xlfn.XLOOKUP(X456,'02效果表'!D:D,'02效果表'!E:E),0)+AA456*MAX(_xlfn.XLOOKUP(Z456,'02效果表'!D:D,'02效果表'!E:E),0)+AC456*MAX(_xlfn.XLOOKUP(AB456,'02效果表'!D:D,'02效果表'!E:E),0)+AE456*MAX(_xlfn.XLOOKUP(AD456,'02效果表'!D:D,'02效果表'!E:E),0)),1)</f>
        <v>0</v>
      </c>
      <c r="H456" s="6"/>
      <c r="I456" s="6"/>
      <c r="J456" s="6"/>
      <c r="K456" s="6"/>
      <c r="L456" s="6"/>
      <c r="M456" s="6"/>
      <c r="N456" s="6"/>
      <c r="O456" s="6"/>
      <c r="P456" s="6"/>
      <c r="Q456" s="6"/>
      <c r="R456" s="6"/>
      <c r="S456" s="6"/>
      <c r="T456" s="6"/>
      <c r="U456" s="6"/>
      <c r="V456" s="6"/>
      <c r="W456" s="6"/>
      <c r="X456" s="6"/>
      <c r="Y456" s="6"/>
      <c r="Z456" s="6"/>
      <c r="AA456" s="6"/>
      <c r="AB456" s="6"/>
      <c r="AC456" s="6"/>
      <c r="AD456" s="6"/>
      <c r="AE456" s="6"/>
    </row>
    <row r="457" spans="1:31" x14ac:dyDescent="0.35">
      <c r="A457" s="6">
        <v>457</v>
      </c>
      <c r="B457" s="6" t="s">
        <v>6</v>
      </c>
      <c r="C457" s="10" t="s">
        <v>2</v>
      </c>
      <c r="D457" s="9"/>
      <c r="E457" s="7">
        <f t="shared" si="14"/>
        <v>0</v>
      </c>
      <c r="F457" s="7">
        <f>-1*ROUND(1/6*(I457*IF(_xlfn.XLOOKUP(H457,'02效果表'!D:D,'02效果表'!E:E)&lt;0, _xlfn.XLOOKUP(H457,'02效果表'!D:D,'02效果表'!E:E), 0) +
K457*IF(_xlfn.XLOOKUP(J457,'02效果表'!D:D,'02效果表'!E:E)&lt;0, _xlfn.XLOOKUP(J457,'02效果表'!D:D,'02效果表'!E:E), 0) +
M457*IF(_xlfn.XLOOKUP(L457,'02效果表'!D:D,'02效果表'!E:E)&lt;0, _xlfn.XLOOKUP(L457,'02效果表'!D:D,'02效果表'!E:E), 0) +
O457*IF(_xlfn.XLOOKUP(N457,'02效果表'!D:D,'02效果表'!E:E)&lt;0, _xlfn.XLOOKUP(N457,'02效果表'!D:D,'02效果表'!E:E), 0) +
Q457*IF(_xlfn.XLOOKUP(P457,'02效果表'!D:D,'02效果表'!E:E)&lt;0, _xlfn.XLOOKUP(P457,'02效果表'!D:D,'02效果表'!E:E), 0) +
S457*IF(_xlfn.XLOOKUP(R457,'02效果表'!D:D,'02效果表'!E:E)&lt;0, _xlfn.XLOOKUP(R457,'02效果表'!D:D,'02效果表'!E:E), 0) +
U457*IF(_xlfn.XLOOKUP(T457,'02效果表'!D:D,'02效果表'!E:E)&lt;0, _xlfn.XLOOKUP(T457,'02效果表'!D:D,'02效果表'!E:E), 0) +
W457*IF(_xlfn.XLOOKUP(V457,'02效果表'!D:D,'02效果表'!E:E)&lt;0, _xlfn.XLOOKUP(V457,'02效果表'!D:D,'02效果表'!E:E), 0) +
Y457*IF(_xlfn.XLOOKUP(X457,'02效果表'!D:D,'02效果表'!E:E)&lt;0, _xlfn.XLOOKUP(X457,'02效果表'!D:D,'02效果表'!E:E), 0) +
AA457*IF(_xlfn.XLOOKUP(Z457,'02效果表'!D:D,'02效果表'!E:E)&lt;0, _xlfn.XLOOKUP(Z457,'02效果表'!D:D,'02效果表'!E:E), 0) +
AC457*IF(_xlfn.XLOOKUP(AB457,'02效果表'!D:D,'02效果表'!E:E)&lt;0, _xlfn.XLOOKUP(AB457,'02效果表'!D:D,'02效果表'!E:E), 0) +
AE457*IF(_xlfn.XLOOKUP(AD457,'02效果表'!D:D,'02效果表'!E:E)&lt;0, _xlfn.XLOOKUP(AD457,'02效果表'!D:D,'02效果表'!E:E), 0)), 1)</f>
        <v>0</v>
      </c>
      <c r="G457" s="7">
        <f>ROUND(1/6*(I457*MAX(_xlfn.XLOOKUP(H457,'02效果表'!D:D,'02效果表'!E:E),0)+K457*MAX(_xlfn.XLOOKUP(J457,'02效果表'!D:D,'02效果表'!E:E),0)+M457*MAX(_xlfn.XLOOKUP(L457,'02效果表'!D:D,'02效果表'!E:E),0)+O457*MAX(_xlfn.XLOOKUP(N457,'02效果表'!D:D,'02效果表'!E:E),0)+Q457*MAX(_xlfn.XLOOKUP(P457,'02效果表'!D:D,'02效果表'!E:E),0)+S457*MAX(_xlfn.XLOOKUP(R457,'02效果表'!D:D,'02效果表'!E:E),0)+U457*MAX(_xlfn.XLOOKUP(T457,'02效果表'!D:D,'02效果表'!E:E),0)+W457*MAX(_xlfn.XLOOKUP(V457,'02效果表'!D:D,'02效果表'!E:E),0)+Y457*MAX(_xlfn.XLOOKUP(X457,'02效果表'!D:D,'02效果表'!E:E),0)+AA457*MAX(_xlfn.XLOOKUP(Z457,'02效果表'!D:D,'02效果表'!E:E),0)+AC457*MAX(_xlfn.XLOOKUP(AB457,'02效果表'!D:D,'02效果表'!E:E),0)+AE457*MAX(_xlfn.XLOOKUP(AD457,'02效果表'!D:D,'02效果表'!E:E),0)),1)</f>
        <v>0</v>
      </c>
      <c r="H457" s="6"/>
      <c r="I457" s="6"/>
      <c r="J457" s="6"/>
      <c r="K457" s="6"/>
      <c r="L457" s="6"/>
      <c r="M457" s="6"/>
      <c r="N457" s="6"/>
      <c r="O457" s="6"/>
      <c r="P457" s="6"/>
      <c r="Q457" s="6"/>
      <c r="R457" s="6"/>
      <c r="S457" s="6"/>
      <c r="T457" s="6"/>
      <c r="U457" s="6"/>
      <c r="V457" s="6"/>
      <c r="W457" s="6"/>
      <c r="X457" s="6"/>
      <c r="Y457" s="6"/>
      <c r="Z457" s="6"/>
      <c r="AA457" s="6"/>
      <c r="AB457" s="6"/>
      <c r="AC457" s="6"/>
      <c r="AD457" s="6"/>
      <c r="AE457" s="6"/>
    </row>
    <row r="458" spans="1:31" x14ac:dyDescent="0.35">
      <c r="A458" s="6">
        <v>458</v>
      </c>
      <c r="B458" s="6" t="s">
        <v>6</v>
      </c>
      <c r="C458" s="10" t="s">
        <v>2</v>
      </c>
      <c r="D458" s="9"/>
      <c r="E458" s="7">
        <f t="shared" si="14"/>
        <v>0</v>
      </c>
      <c r="F458" s="7">
        <f>-1*ROUND(1/6*(I458*IF(_xlfn.XLOOKUP(H458,'02效果表'!D:D,'02效果表'!E:E)&lt;0, _xlfn.XLOOKUP(H458,'02效果表'!D:D,'02效果表'!E:E), 0) +
K458*IF(_xlfn.XLOOKUP(J458,'02效果表'!D:D,'02效果表'!E:E)&lt;0, _xlfn.XLOOKUP(J458,'02效果表'!D:D,'02效果表'!E:E), 0) +
M458*IF(_xlfn.XLOOKUP(L458,'02效果表'!D:D,'02效果表'!E:E)&lt;0, _xlfn.XLOOKUP(L458,'02效果表'!D:D,'02效果表'!E:E), 0) +
O458*IF(_xlfn.XLOOKUP(N458,'02效果表'!D:D,'02效果表'!E:E)&lt;0, _xlfn.XLOOKUP(N458,'02效果表'!D:D,'02效果表'!E:E), 0) +
Q458*IF(_xlfn.XLOOKUP(P458,'02效果表'!D:D,'02效果表'!E:E)&lt;0, _xlfn.XLOOKUP(P458,'02效果表'!D:D,'02效果表'!E:E), 0) +
S458*IF(_xlfn.XLOOKUP(R458,'02效果表'!D:D,'02效果表'!E:E)&lt;0, _xlfn.XLOOKUP(R458,'02效果表'!D:D,'02效果表'!E:E), 0) +
U458*IF(_xlfn.XLOOKUP(T458,'02效果表'!D:D,'02效果表'!E:E)&lt;0, _xlfn.XLOOKUP(T458,'02效果表'!D:D,'02效果表'!E:E), 0) +
W458*IF(_xlfn.XLOOKUP(V458,'02效果表'!D:D,'02效果表'!E:E)&lt;0, _xlfn.XLOOKUP(V458,'02效果表'!D:D,'02效果表'!E:E), 0) +
Y458*IF(_xlfn.XLOOKUP(X458,'02效果表'!D:D,'02效果表'!E:E)&lt;0, _xlfn.XLOOKUP(X458,'02效果表'!D:D,'02效果表'!E:E), 0) +
AA458*IF(_xlfn.XLOOKUP(Z458,'02效果表'!D:D,'02效果表'!E:E)&lt;0, _xlfn.XLOOKUP(Z458,'02效果表'!D:D,'02效果表'!E:E), 0) +
AC458*IF(_xlfn.XLOOKUP(AB458,'02效果表'!D:D,'02效果表'!E:E)&lt;0, _xlfn.XLOOKUP(AB458,'02效果表'!D:D,'02效果表'!E:E), 0) +
AE458*IF(_xlfn.XLOOKUP(AD458,'02效果表'!D:D,'02效果表'!E:E)&lt;0, _xlfn.XLOOKUP(AD458,'02效果表'!D:D,'02效果表'!E:E), 0)), 1)</f>
        <v>0</v>
      </c>
      <c r="G458" s="7">
        <f>ROUND(1/6*(I458*MAX(_xlfn.XLOOKUP(H458,'02效果表'!D:D,'02效果表'!E:E),0)+K458*MAX(_xlfn.XLOOKUP(J458,'02效果表'!D:D,'02效果表'!E:E),0)+M458*MAX(_xlfn.XLOOKUP(L458,'02效果表'!D:D,'02效果表'!E:E),0)+O458*MAX(_xlfn.XLOOKUP(N458,'02效果表'!D:D,'02效果表'!E:E),0)+Q458*MAX(_xlfn.XLOOKUP(P458,'02效果表'!D:D,'02效果表'!E:E),0)+S458*MAX(_xlfn.XLOOKUP(R458,'02效果表'!D:D,'02效果表'!E:E),0)+U458*MAX(_xlfn.XLOOKUP(T458,'02效果表'!D:D,'02效果表'!E:E),0)+W458*MAX(_xlfn.XLOOKUP(V458,'02效果表'!D:D,'02效果表'!E:E),0)+Y458*MAX(_xlfn.XLOOKUP(X458,'02效果表'!D:D,'02效果表'!E:E),0)+AA458*MAX(_xlfn.XLOOKUP(Z458,'02效果表'!D:D,'02效果表'!E:E),0)+AC458*MAX(_xlfn.XLOOKUP(AB458,'02效果表'!D:D,'02效果表'!E:E),0)+AE458*MAX(_xlfn.XLOOKUP(AD458,'02效果表'!D:D,'02效果表'!E:E),0)),1)</f>
        <v>0</v>
      </c>
      <c r="H458" s="6"/>
      <c r="I458" s="6"/>
      <c r="J458" s="6"/>
      <c r="K458" s="6"/>
      <c r="L458" s="6"/>
      <c r="M458" s="6"/>
      <c r="N458" s="6"/>
      <c r="O458" s="6"/>
      <c r="P458" s="6"/>
      <c r="Q458" s="6"/>
      <c r="R458" s="6"/>
      <c r="S458" s="6"/>
      <c r="T458" s="6"/>
      <c r="U458" s="6"/>
      <c r="V458" s="6"/>
      <c r="W458" s="6"/>
      <c r="X458" s="6"/>
      <c r="Y458" s="6"/>
      <c r="Z458" s="6"/>
      <c r="AA458" s="6"/>
      <c r="AB458" s="6"/>
      <c r="AC458" s="6"/>
      <c r="AD458" s="6"/>
      <c r="AE458" s="6"/>
    </row>
    <row r="459" spans="1:31" x14ac:dyDescent="0.35">
      <c r="A459" s="6">
        <v>459</v>
      </c>
      <c r="B459" s="6" t="s">
        <v>6</v>
      </c>
      <c r="C459" s="10" t="s">
        <v>2</v>
      </c>
      <c r="D459" s="9"/>
      <c r="E459" s="7">
        <f t="shared" si="14"/>
        <v>0</v>
      </c>
      <c r="F459" s="7">
        <f>-1*ROUND(1/6*(I459*IF(_xlfn.XLOOKUP(H459,'02效果表'!D:D,'02效果表'!E:E)&lt;0, _xlfn.XLOOKUP(H459,'02效果表'!D:D,'02效果表'!E:E), 0) +
K459*IF(_xlfn.XLOOKUP(J459,'02效果表'!D:D,'02效果表'!E:E)&lt;0, _xlfn.XLOOKUP(J459,'02效果表'!D:D,'02效果表'!E:E), 0) +
M459*IF(_xlfn.XLOOKUP(L459,'02效果表'!D:D,'02效果表'!E:E)&lt;0, _xlfn.XLOOKUP(L459,'02效果表'!D:D,'02效果表'!E:E), 0) +
O459*IF(_xlfn.XLOOKUP(N459,'02效果表'!D:D,'02效果表'!E:E)&lt;0, _xlfn.XLOOKUP(N459,'02效果表'!D:D,'02效果表'!E:E), 0) +
Q459*IF(_xlfn.XLOOKUP(P459,'02效果表'!D:D,'02效果表'!E:E)&lt;0, _xlfn.XLOOKUP(P459,'02效果表'!D:D,'02效果表'!E:E), 0) +
S459*IF(_xlfn.XLOOKUP(R459,'02效果表'!D:D,'02效果表'!E:E)&lt;0, _xlfn.XLOOKUP(R459,'02效果表'!D:D,'02效果表'!E:E), 0) +
U459*IF(_xlfn.XLOOKUP(T459,'02效果表'!D:D,'02效果表'!E:E)&lt;0, _xlfn.XLOOKUP(T459,'02效果表'!D:D,'02效果表'!E:E), 0) +
W459*IF(_xlfn.XLOOKUP(V459,'02效果表'!D:D,'02效果表'!E:E)&lt;0, _xlfn.XLOOKUP(V459,'02效果表'!D:D,'02效果表'!E:E), 0) +
Y459*IF(_xlfn.XLOOKUP(X459,'02效果表'!D:D,'02效果表'!E:E)&lt;0, _xlfn.XLOOKUP(X459,'02效果表'!D:D,'02效果表'!E:E), 0) +
AA459*IF(_xlfn.XLOOKUP(Z459,'02效果表'!D:D,'02效果表'!E:E)&lt;0, _xlfn.XLOOKUP(Z459,'02效果表'!D:D,'02效果表'!E:E), 0) +
AC459*IF(_xlfn.XLOOKUP(AB459,'02效果表'!D:D,'02效果表'!E:E)&lt;0, _xlfn.XLOOKUP(AB459,'02效果表'!D:D,'02效果表'!E:E), 0) +
AE459*IF(_xlfn.XLOOKUP(AD459,'02效果表'!D:D,'02效果表'!E:E)&lt;0, _xlfn.XLOOKUP(AD459,'02效果表'!D:D,'02效果表'!E:E), 0)), 1)</f>
        <v>0</v>
      </c>
      <c r="G459" s="7">
        <f>ROUND(1/6*(I459*MAX(_xlfn.XLOOKUP(H459,'02效果表'!D:D,'02效果表'!E:E),0)+K459*MAX(_xlfn.XLOOKUP(J459,'02效果表'!D:D,'02效果表'!E:E),0)+M459*MAX(_xlfn.XLOOKUP(L459,'02效果表'!D:D,'02效果表'!E:E),0)+O459*MAX(_xlfn.XLOOKUP(N459,'02效果表'!D:D,'02效果表'!E:E),0)+Q459*MAX(_xlfn.XLOOKUP(P459,'02效果表'!D:D,'02效果表'!E:E),0)+S459*MAX(_xlfn.XLOOKUP(R459,'02效果表'!D:D,'02效果表'!E:E),0)+U459*MAX(_xlfn.XLOOKUP(T459,'02效果表'!D:D,'02效果表'!E:E),0)+W459*MAX(_xlfn.XLOOKUP(V459,'02效果表'!D:D,'02效果表'!E:E),0)+Y459*MAX(_xlfn.XLOOKUP(X459,'02效果表'!D:D,'02效果表'!E:E),0)+AA459*MAX(_xlfn.XLOOKUP(Z459,'02效果表'!D:D,'02效果表'!E:E),0)+AC459*MAX(_xlfn.XLOOKUP(AB459,'02效果表'!D:D,'02效果表'!E:E),0)+AE459*MAX(_xlfn.XLOOKUP(AD459,'02效果表'!D:D,'02效果表'!E:E),0)),1)</f>
        <v>0</v>
      </c>
      <c r="H459" s="6"/>
      <c r="I459" s="6"/>
      <c r="J459" s="6"/>
      <c r="K459" s="6"/>
      <c r="L459" s="6"/>
      <c r="M459" s="6"/>
      <c r="N459" s="6"/>
      <c r="O459" s="6"/>
      <c r="P459" s="6"/>
      <c r="Q459" s="6"/>
      <c r="R459" s="6"/>
      <c r="S459" s="6"/>
      <c r="T459" s="6"/>
      <c r="U459" s="6"/>
      <c r="V459" s="6"/>
      <c r="W459" s="6"/>
      <c r="X459" s="6"/>
      <c r="Y459" s="6"/>
      <c r="Z459" s="6"/>
      <c r="AA459" s="6"/>
      <c r="AB459" s="6"/>
      <c r="AC459" s="6"/>
      <c r="AD459" s="6"/>
      <c r="AE459" s="6"/>
    </row>
    <row r="460" spans="1:31" x14ac:dyDescent="0.35">
      <c r="A460" s="6">
        <v>460</v>
      </c>
      <c r="B460" s="6" t="s">
        <v>6</v>
      </c>
      <c r="C460" s="10" t="s">
        <v>16</v>
      </c>
      <c r="D460" s="9" t="s">
        <v>1624</v>
      </c>
      <c r="E460" s="7">
        <f t="shared" si="14"/>
        <v>0</v>
      </c>
      <c r="F460" s="7">
        <f>-1*ROUND(1/6*(I460*IF(_xlfn.XLOOKUP(H460,'02效果表'!D:D,'02效果表'!E:E)&lt;0, _xlfn.XLOOKUP(H460,'02效果表'!D:D,'02效果表'!E:E), 0) +
K460*IF(_xlfn.XLOOKUP(J460,'02效果表'!D:D,'02效果表'!E:E)&lt;0, _xlfn.XLOOKUP(J460,'02效果表'!D:D,'02效果表'!E:E), 0) +
M460*IF(_xlfn.XLOOKUP(L460,'02效果表'!D:D,'02效果表'!E:E)&lt;0, _xlfn.XLOOKUP(L460,'02效果表'!D:D,'02效果表'!E:E), 0) +
O460*IF(_xlfn.XLOOKUP(N460,'02效果表'!D:D,'02效果表'!E:E)&lt;0, _xlfn.XLOOKUP(N460,'02效果表'!D:D,'02效果表'!E:E), 0) +
Q460*IF(_xlfn.XLOOKUP(P460,'02效果表'!D:D,'02效果表'!E:E)&lt;0, _xlfn.XLOOKUP(P460,'02效果表'!D:D,'02效果表'!E:E), 0) +
S460*IF(_xlfn.XLOOKUP(R460,'02效果表'!D:D,'02效果表'!E:E)&lt;0, _xlfn.XLOOKUP(R460,'02效果表'!D:D,'02效果表'!E:E), 0) +
U460*IF(_xlfn.XLOOKUP(T460,'02效果表'!D:D,'02效果表'!E:E)&lt;0, _xlfn.XLOOKUP(T460,'02效果表'!D:D,'02效果表'!E:E), 0) +
W460*IF(_xlfn.XLOOKUP(V460,'02效果表'!D:D,'02效果表'!E:E)&lt;0, _xlfn.XLOOKUP(V460,'02效果表'!D:D,'02效果表'!E:E), 0) +
Y460*IF(_xlfn.XLOOKUP(X460,'02效果表'!D:D,'02效果表'!E:E)&lt;0, _xlfn.XLOOKUP(X460,'02效果表'!D:D,'02效果表'!E:E), 0) +
AA460*IF(_xlfn.XLOOKUP(Z460,'02效果表'!D:D,'02效果表'!E:E)&lt;0, _xlfn.XLOOKUP(Z460,'02效果表'!D:D,'02效果表'!E:E), 0) +
AC460*IF(_xlfn.XLOOKUP(AB460,'02效果表'!D:D,'02效果表'!E:E)&lt;0, _xlfn.XLOOKUP(AB460,'02效果表'!D:D,'02效果表'!E:E), 0) +
AE460*IF(_xlfn.XLOOKUP(AD460,'02效果表'!D:D,'02效果表'!E:E)&lt;0, _xlfn.XLOOKUP(AD460,'02效果表'!D:D,'02效果表'!E:E), 0)), 1)</f>
        <v>0</v>
      </c>
      <c r="G460" s="7">
        <f>ROUND(1/6*(I460*MAX(_xlfn.XLOOKUP(H460,'02效果表'!D:D,'02效果表'!E:E),0)+K460*MAX(_xlfn.XLOOKUP(J460,'02效果表'!D:D,'02效果表'!E:E),0)+M460*MAX(_xlfn.XLOOKUP(L460,'02效果表'!D:D,'02效果表'!E:E),0)+O460*MAX(_xlfn.XLOOKUP(N460,'02效果表'!D:D,'02效果表'!E:E),0)+Q460*MAX(_xlfn.XLOOKUP(P460,'02效果表'!D:D,'02效果表'!E:E),0)+S460*MAX(_xlfn.XLOOKUP(R460,'02效果表'!D:D,'02效果表'!E:E),0)+U460*MAX(_xlfn.XLOOKUP(T460,'02效果表'!D:D,'02效果表'!E:E),0)+W460*MAX(_xlfn.XLOOKUP(V460,'02效果表'!D:D,'02效果表'!E:E),0)+Y460*MAX(_xlfn.XLOOKUP(X460,'02效果表'!D:D,'02效果表'!E:E),0)+AA460*MAX(_xlfn.XLOOKUP(Z460,'02效果表'!D:D,'02效果表'!E:E),0)+AC460*MAX(_xlfn.XLOOKUP(AB460,'02效果表'!D:D,'02效果表'!E:E),0)+AE460*MAX(_xlfn.XLOOKUP(AD460,'02效果表'!D:D,'02效果表'!E:E),0)),1)</f>
        <v>0</v>
      </c>
      <c r="H460" s="6"/>
      <c r="I460" s="6"/>
      <c r="J460" s="6"/>
      <c r="K460" s="6"/>
      <c r="L460" s="6"/>
      <c r="M460" s="6"/>
      <c r="N460" s="6"/>
      <c r="O460" s="6"/>
      <c r="P460" s="6"/>
      <c r="Q460" s="6"/>
      <c r="R460" s="6"/>
      <c r="S460" s="6"/>
      <c r="T460" s="6"/>
      <c r="U460" s="6"/>
      <c r="V460" s="6"/>
      <c r="W460" s="6"/>
      <c r="X460" s="6"/>
      <c r="Y460" s="6"/>
      <c r="Z460" s="6"/>
      <c r="AA460" s="6"/>
      <c r="AB460" s="6"/>
      <c r="AC460" s="6"/>
      <c r="AD460" s="6"/>
      <c r="AE460" s="6"/>
    </row>
    <row r="461" spans="1:31" x14ac:dyDescent="0.35">
      <c r="A461" s="6">
        <v>461</v>
      </c>
      <c r="B461" s="6" t="s">
        <v>6</v>
      </c>
      <c r="C461" s="10" t="s">
        <v>16</v>
      </c>
      <c r="D461" s="9" t="s">
        <v>1625</v>
      </c>
      <c r="E461" s="7">
        <f t="shared" si="14"/>
        <v>0</v>
      </c>
      <c r="F461" s="7">
        <f>-1*ROUND(1/6*(I461*IF(_xlfn.XLOOKUP(H461,'02效果表'!D:D,'02效果表'!E:E)&lt;0, _xlfn.XLOOKUP(H461,'02效果表'!D:D,'02效果表'!E:E), 0) +
K461*IF(_xlfn.XLOOKUP(J461,'02效果表'!D:D,'02效果表'!E:E)&lt;0, _xlfn.XLOOKUP(J461,'02效果表'!D:D,'02效果表'!E:E), 0) +
M461*IF(_xlfn.XLOOKUP(L461,'02效果表'!D:D,'02效果表'!E:E)&lt;0, _xlfn.XLOOKUP(L461,'02效果表'!D:D,'02效果表'!E:E), 0) +
O461*IF(_xlfn.XLOOKUP(N461,'02效果表'!D:D,'02效果表'!E:E)&lt;0, _xlfn.XLOOKUP(N461,'02效果表'!D:D,'02效果表'!E:E), 0) +
Q461*IF(_xlfn.XLOOKUP(P461,'02效果表'!D:D,'02效果表'!E:E)&lt;0, _xlfn.XLOOKUP(P461,'02效果表'!D:D,'02效果表'!E:E), 0) +
S461*IF(_xlfn.XLOOKUP(R461,'02效果表'!D:D,'02效果表'!E:E)&lt;0, _xlfn.XLOOKUP(R461,'02效果表'!D:D,'02效果表'!E:E), 0) +
U461*IF(_xlfn.XLOOKUP(T461,'02效果表'!D:D,'02效果表'!E:E)&lt;0, _xlfn.XLOOKUP(T461,'02效果表'!D:D,'02效果表'!E:E), 0) +
W461*IF(_xlfn.XLOOKUP(V461,'02效果表'!D:D,'02效果表'!E:E)&lt;0, _xlfn.XLOOKUP(V461,'02效果表'!D:D,'02效果表'!E:E), 0) +
Y461*IF(_xlfn.XLOOKUP(X461,'02效果表'!D:D,'02效果表'!E:E)&lt;0, _xlfn.XLOOKUP(X461,'02效果表'!D:D,'02效果表'!E:E), 0) +
AA461*IF(_xlfn.XLOOKUP(Z461,'02效果表'!D:D,'02效果表'!E:E)&lt;0, _xlfn.XLOOKUP(Z461,'02效果表'!D:D,'02效果表'!E:E), 0) +
AC461*IF(_xlfn.XLOOKUP(AB461,'02效果表'!D:D,'02效果表'!E:E)&lt;0, _xlfn.XLOOKUP(AB461,'02效果表'!D:D,'02效果表'!E:E), 0) +
AE461*IF(_xlfn.XLOOKUP(AD461,'02效果表'!D:D,'02效果表'!E:E)&lt;0, _xlfn.XLOOKUP(AD461,'02效果表'!D:D,'02效果表'!E:E), 0)), 1)</f>
        <v>0</v>
      </c>
      <c r="G461" s="7">
        <f>ROUND(1/6*(I461*MAX(_xlfn.XLOOKUP(H461,'02效果表'!D:D,'02效果表'!E:E),0)+K461*MAX(_xlfn.XLOOKUP(J461,'02效果表'!D:D,'02效果表'!E:E),0)+M461*MAX(_xlfn.XLOOKUP(L461,'02效果表'!D:D,'02效果表'!E:E),0)+O461*MAX(_xlfn.XLOOKUP(N461,'02效果表'!D:D,'02效果表'!E:E),0)+Q461*MAX(_xlfn.XLOOKUP(P461,'02效果表'!D:D,'02效果表'!E:E),0)+S461*MAX(_xlfn.XLOOKUP(R461,'02效果表'!D:D,'02效果表'!E:E),0)+U461*MAX(_xlfn.XLOOKUP(T461,'02效果表'!D:D,'02效果表'!E:E),0)+W461*MAX(_xlfn.XLOOKUP(V461,'02效果表'!D:D,'02效果表'!E:E),0)+Y461*MAX(_xlfn.XLOOKUP(X461,'02效果表'!D:D,'02效果表'!E:E),0)+AA461*MAX(_xlfn.XLOOKUP(Z461,'02效果表'!D:D,'02效果表'!E:E),0)+AC461*MAX(_xlfn.XLOOKUP(AB461,'02效果表'!D:D,'02效果表'!E:E),0)+AE461*MAX(_xlfn.XLOOKUP(AD461,'02效果表'!D:D,'02效果表'!E:E),0)),1)</f>
        <v>0</v>
      </c>
      <c r="H461" s="6"/>
      <c r="I461" s="6"/>
      <c r="J461" s="6"/>
      <c r="K461" s="6"/>
      <c r="L461" s="6"/>
      <c r="M461" s="6"/>
      <c r="N461" s="6"/>
      <c r="O461" s="6"/>
      <c r="P461" s="6"/>
      <c r="Q461" s="6"/>
      <c r="R461" s="6"/>
      <c r="S461" s="6"/>
      <c r="T461" s="6"/>
      <c r="U461" s="6"/>
      <c r="V461" s="6"/>
      <c r="W461" s="6"/>
      <c r="X461" s="6"/>
      <c r="Y461" s="6"/>
      <c r="Z461" s="6"/>
      <c r="AA461" s="6"/>
      <c r="AB461" s="6"/>
      <c r="AC461" s="6"/>
      <c r="AD461" s="6"/>
      <c r="AE461" s="6"/>
    </row>
    <row r="462" spans="1:31" x14ac:dyDescent="0.35">
      <c r="A462" s="6">
        <v>462</v>
      </c>
      <c r="B462" s="6" t="s">
        <v>6</v>
      </c>
      <c r="C462" s="10" t="s">
        <v>16</v>
      </c>
      <c r="D462" s="9" t="s">
        <v>1626</v>
      </c>
      <c r="E462" s="7">
        <f t="shared" si="14"/>
        <v>0</v>
      </c>
      <c r="F462" s="7">
        <f>-1*ROUND(1/6*(I462*IF(_xlfn.XLOOKUP(H462,'02效果表'!D:D,'02效果表'!E:E)&lt;0, _xlfn.XLOOKUP(H462,'02效果表'!D:D,'02效果表'!E:E), 0) +
K462*IF(_xlfn.XLOOKUP(J462,'02效果表'!D:D,'02效果表'!E:E)&lt;0, _xlfn.XLOOKUP(J462,'02效果表'!D:D,'02效果表'!E:E), 0) +
M462*IF(_xlfn.XLOOKUP(L462,'02效果表'!D:D,'02效果表'!E:E)&lt;0, _xlfn.XLOOKUP(L462,'02效果表'!D:D,'02效果表'!E:E), 0) +
O462*IF(_xlfn.XLOOKUP(N462,'02效果表'!D:D,'02效果表'!E:E)&lt;0, _xlfn.XLOOKUP(N462,'02效果表'!D:D,'02效果表'!E:E), 0) +
Q462*IF(_xlfn.XLOOKUP(P462,'02效果表'!D:D,'02效果表'!E:E)&lt;0, _xlfn.XLOOKUP(P462,'02效果表'!D:D,'02效果表'!E:E), 0) +
S462*IF(_xlfn.XLOOKUP(R462,'02效果表'!D:D,'02效果表'!E:E)&lt;0, _xlfn.XLOOKUP(R462,'02效果表'!D:D,'02效果表'!E:E), 0) +
U462*IF(_xlfn.XLOOKUP(T462,'02效果表'!D:D,'02效果表'!E:E)&lt;0, _xlfn.XLOOKUP(T462,'02效果表'!D:D,'02效果表'!E:E), 0) +
W462*IF(_xlfn.XLOOKUP(V462,'02效果表'!D:D,'02效果表'!E:E)&lt;0, _xlfn.XLOOKUP(V462,'02效果表'!D:D,'02效果表'!E:E), 0) +
Y462*IF(_xlfn.XLOOKUP(X462,'02效果表'!D:D,'02效果表'!E:E)&lt;0, _xlfn.XLOOKUP(X462,'02效果表'!D:D,'02效果表'!E:E), 0) +
AA462*IF(_xlfn.XLOOKUP(Z462,'02效果表'!D:D,'02效果表'!E:E)&lt;0, _xlfn.XLOOKUP(Z462,'02效果表'!D:D,'02效果表'!E:E), 0) +
AC462*IF(_xlfn.XLOOKUP(AB462,'02效果表'!D:D,'02效果表'!E:E)&lt;0, _xlfn.XLOOKUP(AB462,'02效果表'!D:D,'02效果表'!E:E), 0) +
AE462*IF(_xlfn.XLOOKUP(AD462,'02效果表'!D:D,'02效果表'!E:E)&lt;0, _xlfn.XLOOKUP(AD462,'02效果表'!D:D,'02效果表'!E:E), 0)), 1)</f>
        <v>0</v>
      </c>
      <c r="G462" s="7">
        <f>ROUND(1/6*(I462*MAX(_xlfn.XLOOKUP(H462,'02效果表'!D:D,'02效果表'!E:E),0)+K462*MAX(_xlfn.XLOOKUP(J462,'02效果表'!D:D,'02效果表'!E:E),0)+M462*MAX(_xlfn.XLOOKUP(L462,'02效果表'!D:D,'02效果表'!E:E),0)+O462*MAX(_xlfn.XLOOKUP(N462,'02效果表'!D:D,'02效果表'!E:E),0)+Q462*MAX(_xlfn.XLOOKUP(P462,'02效果表'!D:D,'02效果表'!E:E),0)+S462*MAX(_xlfn.XLOOKUP(R462,'02效果表'!D:D,'02效果表'!E:E),0)+U462*MAX(_xlfn.XLOOKUP(T462,'02效果表'!D:D,'02效果表'!E:E),0)+W462*MAX(_xlfn.XLOOKUP(V462,'02效果表'!D:D,'02效果表'!E:E),0)+Y462*MAX(_xlfn.XLOOKUP(X462,'02效果表'!D:D,'02效果表'!E:E),0)+AA462*MAX(_xlfn.XLOOKUP(Z462,'02效果表'!D:D,'02效果表'!E:E),0)+AC462*MAX(_xlfn.XLOOKUP(AB462,'02效果表'!D:D,'02效果表'!E:E),0)+AE462*MAX(_xlfn.XLOOKUP(AD462,'02效果表'!D:D,'02效果表'!E:E),0)),1)</f>
        <v>0</v>
      </c>
      <c r="H462" s="6"/>
      <c r="I462" s="6"/>
      <c r="J462" s="6"/>
      <c r="K462" s="6"/>
      <c r="L462" s="6"/>
      <c r="M462" s="6"/>
      <c r="N462" s="6"/>
      <c r="O462" s="6"/>
      <c r="P462" s="6"/>
      <c r="Q462" s="6"/>
      <c r="R462" s="6"/>
      <c r="S462" s="6"/>
      <c r="T462" s="6"/>
      <c r="U462" s="6"/>
      <c r="V462" s="6"/>
      <c r="W462" s="6"/>
      <c r="X462" s="6"/>
      <c r="Y462" s="6"/>
      <c r="Z462" s="6"/>
      <c r="AA462" s="6"/>
      <c r="AB462" s="6"/>
      <c r="AC462" s="6"/>
      <c r="AD462" s="6"/>
      <c r="AE462" s="6"/>
    </row>
    <row r="463" spans="1:31" x14ac:dyDescent="0.35">
      <c r="A463" s="6">
        <v>463</v>
      </c>
      <c r="B463" s="6" t="s">
        <v>6</v>
      </c>
      <c r="C463" s="10" t="s">
        <v>16</v>
      </c>
      <c r="D463" s="9" t="s">
        <v>1627</v>
      </c>
      <c r="E463" s="7">
        <f t="shared" si="14"/>
        <v>0</v>
      </c>
      <c r="F463" s="7">
        <f>-1*ROUND(1/6*(I463*IF(_xlfn.XLOOKUP(H463,'02效果表'!D:D,'02效果表'!E:E)&lt;0, _xlfn.XLOOKUP(H463,'02效果表'!D:D,'02效果表'!E:E), 0) +
K463*IF(_xlfn.XLOOKUP(J463,'02效果表'!D:D,'02效果表'!E:E)&lt;0, _xlfn.XLOOKUP(J463,'02效果表'!D:D,'02效果表'!E:E), 0) +
M463*IF(_xlfn.XLOOKUP(L463,'02效果表'!D:D,'02效果表'!E:E)&lt;0, _xlfn.XLOOKUP(L463,'02效果表'!D:D,'02效果表'!E:E), 0) +
O463*IF(_xlfn.XLOOKUP(N463,'02效果表'!D:D,'02效果表'!E:E)&lt;0, _xlfn.XLOOKUP(N463,'02效果表'!D:D,'02效果表'!E:E), 0) +
Q463*IF(_xlfn.XLOOKUP(P463,'02效果表'!D:D,'02效果表'!E:E)&lt;0, _xlfn.XLOOKUP(P463,'02效果表'!D:D,'02效果表'!E:E), 0) +
S463*IF(_xlfn.XLOOKUP(R463,'02效果表'!D:D,'02效果表'!E:E)&lt;0, _xlfn.XLOOKUP(R463,'02效果表'!D:D,'02效果表'!E:E), 0) +
U463*IF(_xlfn.XLOOKUP(T463,'02效果表'!D:D,'02效果表'!E:E)&lt;0, _xlfn.XLOOKUP(T463,'02效果表'!D:D,'02效果表'!E:E), 0) +
W463*IF(_xlfn.XLOOKUP(V463,'02效果表'!D:D,'02效果表'!E:E)&lt;0, _xlfn.XLOOKUP(V463,'02效果表'!D:D,'02效果表'!E:E), 0) +
Y463*IF(_xlfn.XLOOKUP(X463,'02效果表'!D:D,'02效果表'!E:E)&lt;0, _xlfn.XLOOKUP(X463,'02效果表'!D:D,'02效果表'!E:E), 0) +
AA463*IF(_xlfn.XLOOKUP(Z463,'02效果表'!D:D,'02效果表'!E:E)&lt;0, _xlfn.XLOOKUP(Z463,'02效果表'!D:D,'02效果表'!E:E), 0) +
AC463*IF(_xlfn.XLOOKUP(AB463,'02效果表'!D:D,'02效果表'!E:E)&lt;0, _xlfn.XLOOKUP(AB463,'02效果表'!D:D,'02效果表'!E:E), 0) +
AE463*IF(_xlfn.XLOOKUP(AD463,'02效果表'!D:D,'02效果表'!E:E)&lt;0, _xlfn.XLOOKUP(AD463,'02效果表'!D:D,'02效果表'!E:E), 0)), 1)</f>
        <v>0</v>
      </c>
      <c r="G463" s="7">
        <f>ROUND(1/6*(I463*MAX(_xlfn.XLOOKUP(H463,'02效果表'!D:D,'02效果表'!E:E),0)+K463*MAX(_xlfn.XLOOKUP(J463,'02效果表'!D:D,'02效果表'!E:E),0)+M463*MAX(_xlfn.XLOOKUP(L463,'02效果表'!D:D,'02效果表'!E:E),0)+O463*MAX(_xlfn.XLOOKUP(N463,'02效果表'!D:D,'02效果表'!E:E),0)+Q463*MAX(_xlfn.XLOOKUP(P463,'02效果表'!D:D,'02效果表'!E:E),0)+S463*MAX(_xlfn.XLOOKUP(R463,'02效果表'!D:D,'02效果表'!E:E),0)+U463*MAX(_xlfn.XLOOKUP(T463,'02效果表'!D:D,'02效果表'!E:E),0)+W463*MAX(_xlfn.XLOOKUP(V463,'02效果表'!D:D,'02效果表'!E:E),0)+Y463*MAX(_xlfn.XLOOKUP(X463,'02效果表'!D:D,'02效果表'!E:E),0)+AA463*MAX(_xlfn.XLOOKUP(Z463,'02效果表'!D:D,'02效果表'!E:E),0)+AC463*MAX(_xlfn.XLOOKUP(AB463,'02效果表'!D:D,'02效果表'!E:E),0)+AE463*MAX(_xlfn.XLOOKUP(AD463,'02效果表'!D:D,'02效果表'!E:E),0)),1)</f>
        <v>0</v>
      </c>
      <c r="H463" s="6"/>
      <c r="I463" s="6"/>
      <c r="J463" s="6"/>
      <c r="K463" s="6"/>
      <c r="L463" s="6"/>
      <c r="M463" s="6"/>
      <c r="N463" s="6"/>
      <c r="O463" s="6"/>
      <c r="P463" s="6"/>
      <c r="Q463" s="6"/>
      <c r="R463" s="6"/>
      <c r="S463" s="6"/>
      <c r="T463" s="6"/>
      <c r="U463" s="6"/>
      <c r="V463" s="6"/>
      <c r="W463" s="6"/>
      <c r="X463" s="6"/>
      <c r="Y463" s="6"/>
      <c r="Z463" s="6"/>
      <c r="AA463" s="6"/>
      <c r="AB463" s="6"/>
      <c r="AC463" s="6"/>
      <c r="AD463" s="6"/>
      <c r="AE463" s="6"/>
    </row>
    <row r="464" spans="1:31" x14ac:dyDescent="0.35">
      <c r="A464" s="6">
        <v>464</v>
      </c>
      <c r="B464" s="6" t="s">
        <v>6</v>
      </c>
      <c r="C464" s="10" t="s">
        <v>16</v>
      </c>
      <c r="D464" s="9" t="s">
        <v>1628</v>
      </c>
      <c r="E464" s="7">
        <f t="shared" si="14"/>
        <v>0</v>
      </c>
      <c r="F464" s="7">
        <f>-1*ROUND(1/6*(I464*IF(_xlfn.XLOOKUP(H464,'02效果表'!D:D,'02效果表'!E:E)&lt;0, _xlfn.XLOOKUP(H464,'02效果表'!D:D,'02效果表'!E:E), 0) +
K464*IF(_xlfn.XLOOKUP(J464,'02效果表'!D:D,'02效果表'!E:E)&lt;0, _xlfn.XLOOKUP(J464,'02效果表'!D:D,'02效果表'!E:E), 0) +
M464*IF(_xlfn.XLOOKUP(L464,'02效果表'!D:D,'02效果表'!E:E)&lt;0, _xlfn.XLOOKUP(L464,'02效果表'!D:D,'02效果表'!E:E), 0) +
O464*IF(_xlfn.XLOOKUP(N464,'02效果表'!D:D,'02效果表'!E:E)&lt;0, _xlfn.XLOOKUP(N464,'02效果表'!D:D,'02效果表'!E:E), 0) +
Q464*IF(_xlfn.XLOOKUP(P464,'02效果表'!D:D,'02效果表'!E:E)&lt;0, _xlfn.XLOOKUP(P464,'02效果表'!D:D,'02效果表'!E:E), 0) +
S464*IF(_xlfn.XLOOKUP(R464,'02效果表'!D:D,'02效果表'!E:E)&lt;0, _xlfn.XLOOKUP(R464,'02效果表'!D:D,'02效果表'!E:E), 0) +
U464*IF(_xlfn.XLOOKUP(T464,'02效果表'!D:D,'02效果表'!E:E)&lt;0, _xlfn.XLOOKUP(T464,'02效果表'!D:D,'02效果表'!E:E), 0) +
W464*IF(_xlfn.XLOOKUP(V464,'02效果表'!D:D,'02效果表'!E:E)&lt;0, _xlfn.XLOOKUP(V464,'02效果表'!D:D,'02效果表'!E:E), 0) +
Y464*IF(_xlfn.XLOOKUP(X464,'02效果表'!D:D,'02效果表'!E:E)&lt;0, _xlfn.XLOOKUP(X464,'02效果表'!D:D,'02效果表'!E:E), 0) +
AA464*IF(_xlfn.XLOOKUP(Z464,'02效果表'!D:D,'02效果表'!E:E)&lt;0, _xlfn.XLOOKUP(Z464,'02效果表'!D:D,'02效果表'!E:E), 0) +
AC464*IF(_xlfn.XLOOKUP(AB464,'02效果表'!D:D,'02效果表'!E:E)&lt;0, _xlfn.XLOOKUP(AB464,'02效果表'!D:D,'02效果表'!E:E), 0) +
AE464*IF(_xlfn.XLOOKUP(AD464,'02效果表'!D:D,'02效果表'!E:E)&lt;0, _xlfn.XLOOKUP(AD464,'02效果表'!D:D,'02效果表'!E:E), 0)), 1)</f>
        <v>0</v>
      </c>
      <c r="G464" s="7">
        <f>ROUND(1/6*(I464*MAX(_xlfn.XLOOKUP(H464,'02效果表'!D:D,'02效果表'!E:E),0)+K464*MAX(_xlfn.XLOOKUP(J464,'02效果表'!D:D,'02效果表'!E:E),0)+M464*MAX(_xlfn.XLOOKUP(L464,'02效果表'!D:D,'02效果表'!E:E),0)+O464*MAX(_xlfn.XLOOKUP(N464,'02效果表'!D:D,'02效果表'!E:E),0)+Q464*MAX(_xlfn.XLOOKUP(P464,'02效果表'!D:D,'02效果表'!E:E),0)+S464*MAX(_xlfn.XLOOKUP(R464,'02效果表'!D:D,'02效果表'!E:E),0)+U464*MAX(_xlfn.XLOOKUP(T464,'02效果表'!D:D,'02效果表'!E:E),0)+W464*MAX(_xlfn.XLOOKUP(V464,'02效果表'!D:D,'02效果表'!E:E),0)+Y464*MAX(_xlfn.XLOOKUP(X464,'02效果表'!D:D,'02效果表'!E:E),0)+AA464*MAX(_xlfn.XLOOKUP(Z464,'02效果表'!D:D,'02效果表'!E:E),0)+AC464*MAX(_xlfn.XLOOKUP(AB464,'02效果表'!D:D,'02效果表'!E:E),0)+AE464*MAX(_xlfn.XLOOKUP(AD464,'02效果表'!D:D,'02效果表'!E:E),0)),1)</f>
        <v>0</v>
      </c>
      <c r="H464" s="6"/>
      <c r="I464" s="6"/>
      <c r="J464" s="6"/>
      <c r="K464" s="6"/>
      <c r="L464" s="6"/>
      <c r="M464" s="6"/>
      <c r="N464" s="6"/>
      <c r="O464" s="6"/>
      <c r="P464" s="6"/>
      <c r="Q464" s="6"/>
      <c r="R464" s="6"/>
      <c r="S464" s="6"/>
      <c r="T464" s="6"/>
      <c r="U464" s="6"/>
      <c r="V464" s="6"/>
      <c r="W464" s="6"/>
      <c r="X464" s="6"/>
      <c r="Y464" s="6"/>
      <c r="Z464" s="6"/>
      <c r="AA464" s="6"/>
      <c r="AB464" s="6"/>
      <c r="AC464" s="6"/>
      <c r="AD464" s="6"/>
      <c r="AE464" s="6"/>
    </row>
    <row r="465" spans="1:31" x14ac:dyDescent="0.35">
      <c r="A465" s="6">
        <v>465</v>
      </c>
      <c r="B465" s="6" t="s">
        <v>6</v>
      </c>
      <c r="C465" s="10" t="s">
        <v>16</v>
      </c>
      <c r="D465" s="9" t="s">
        <v>1629</v>
      </c>
      <c r="E465" s="7">
        <f t="shared" si="14"/>
        <v>0</v>
      </c>
      <c r="F465" s="7">
        <f>-1*ROUND(1/6*(I465*IF(_xlfn.XLOOKUP(H465,'02效果表'!D:D,'02效果表'!E:E)&lt;0, _xlfn.XLOOKUP(H465,'02效果表'!D:D,'02效果表'!E:E), 0) +
K465*IF(_xlfn.XLOOKUP(J465,'02效果表'!D:D,'02效果表'!E:E)&lt;0, _xlfn.XLOOKUP(J465,'02效果表'!D:D,'02效果表'!E:E), 0) +
M465*IF(_xlfn.XLOOKUP(L465,'02效果表'!D:D,'02效果表'!E:E)&lt;0, _xlfn.XLOOKUP(L465,'02效果表'!D:D,'02效果表'!E:E), 0) +
O465*IF(_xlfn.XLOOKUP(N465,'02效果表'!D:D,'02效果表'!E:E)&lt;0, _xlfn.XLOOKUP(N465,'02效果表'!D:D,'02效果表'!E:E), 0) +
Q465*IF(_xlfn.XLOOKUP(P465,'02效果表'!D:D,'02效果表'!E:E)&lt;0, _xlfn.XLOOKUP(P465,'02效果表'!D:D,'02效果表'!E:E), 0) +
S465*IF(_xlfn.XLOOKUP(R465,'02效果表'!D:D,'02效果表'!E:E)&lt;0, _xlfn.XLOOKUP(R465,'02效果表'!D:D,'02效果表'!E:E), 0) +
U465*IF(_xlfn.XLOOKUP(T465,'02效果表'!D:D,'02效果表'!E:E)&lt;0, _xlfn.XLOOKUP(T465,'02效果表'!D:D,'02效果表'!E:E), 0) +
W465*IF(_xlfn.XLOOKUP(V465,'02效果表'!D:D,'02效果表'!E:E)&lt;0, _xlfn.XLOOKUP(V465,'02效果表'!D:D,'02效果表'!E:E), 0) +
Y465*IF(_xlfn.XLOOKUP(X465,'02效果表'!D:D,'02效果表'!E:E)&lt;0, _xlfn.XLOOKUP(X465,'02效果表'!D:D,'02效果表'!E:E), 0) +
AA465*IF(_xlfn.XLOOKUP(Z465,'02效果表'!D:D,'02效果表'!E:E)&lt;0, _xlfn.XLOOKUP(Z465,'02效果表'!D:D,'02效果表'!E:E), 0) +
AC465*IF(_xlfn.XLOOKUP(AB465,'02效果表'!D:D,'02效果表'!E:E)&lt;0, _xlfn.XLOOKUP(AB465,'02效果表'!D:D,'02效果表'!E:E), 0) +
AE465*IF(_xlfn.XLOOKUP(AD465,'02效果表'!D:D,'02效果表'!E:E)&lt;0, _xlfn.XLOOKUP(AD465,'02效果表'!D:D,'02效果表'!E:E), 0)), 1)</f>
        <v>0</v>
      </c>
      <c r="G465" s="7">
        <f>ROUND(1/6*(I465*MAX(_xlfn.XLOOKUP(H465,'02效果表'!D:D,'02效果表'!E:E),0)+K465*MAX(_xlfn.XLOOKUP(J465,'02效果表'!D:D,'02效果表'!E:E),0)+M465*MAX(_xlfn.XLOOKUP(L465,'02效果表'!D:D,'02效果表'!E:E),0)+O465*MAX(_xlfn.XLOOKUP(N465,'02效果表'!D:D,'02效果表'!E:E),0)+Q465*MAX(_xlfn.XLOOKUP(P465,'02效果表'!D:D,'02效果表'!E:E),0)+S465*MAX(_xlfn.XLOOKUP(R465,'02效果表'!D:D,'02效果表'!E:E),0)+U465*MAX(_xlfn.XLOOKUP(T465,'02效果表'!D:D,'02效果表'!E:E),0)+W465*MAX(_xlfn.XLOOKUP(V465,'02效果表'!D:D,'02效果表'!E:E),0)+Y465*MAX(_xlfn.XLOOKUP(X465,'02效果表'!D:D,'02效果表'!E:E),0)+AA465*MAX(_xlfn.XLOOKUP(Z465,'02效果表'!D:D,'02效果表'!E:E),0)+AC465*MAX(_xlfn.XLOOKUP(AB465,'02效果表'!D:D,'02效果表'!E:E),0)+AE465*MAX(_xlfn.XLOOKUP(AD465,'02效果表'!D:D,'02效果表'!E:E),0)),1)</f>
        <v>0</v>
      </c>
      <c r="H465" s="6"/>
      <c r="I465" s="6"/>
      <c r="J465" s="6"/>
      <c r="K465" s="6"/>
      <c r="L465" s="6"/>
      <c r="M465" s="6"/>
      <c r="N465" s="6"/>
      <c r="O465" s="6"/>
      <c r="P465" s="6"/>
      <c r="Q465" s="6"/>
      <c r="R465" s="6"/>
      <c r="S465" s="6"/>
      <c r="T465" s="6"/>
      <c r="U465" s="6"/>
      <c r="V465" s="6"/>
      <c r="W465" s="6"/>
      <c r="X465" s="6"/>
      <c r="Y465" s="6"/>
      <c r="Z465" s="6"/>
      <c r="AA465" s="6"/>
      <c r="AB465" s="6"/>
      <c r="AC465" s="6"/>
      <c r="AD465" s="6"/>
      <c r="AE465" s="6"/>
    </row>
    <row r="466" spans="1:31" x14ac:dyDescent="0.35">
      <c r="A466" s="6">
        <v>466</v>
      </c>
      <c r="B466" s="6" t="s">
        <v>6</v>
      </c>
      <c r="C466" s="10" t="s">
        <v>16</v>
      </c>
      <c r="D466" s="9" t="s">
        <v>1630</v>
      </c>
      <c r="E466" s="7">
        <f t="shared" si="14"/>
        <v>0</v>
      </c>
      <c r="F466" s="7">
        <f>-1*ROUND(1/6*(I466*IF(_xlfn.XLOOKUP(H466,'02效果表'!D:D,'02效果表'!E:E)&lt;0, _xlfn.XLOOKUP(H466,'02效果表'!D:D,'02效果表'!E:E), 0) +
K466*IF(_xlfn.XLOOKUP(J466,'02效果表'!D:D,'02效果表'!E:E)&lt;0, _xlfn.XLOOKUP(J466,'02效果表'!D:D,'02效果表'!E:E), 0) +
M466*IF(_xlfn.XLOOKUP(L466,'02效果表'!D:D,'02效果表'!E:E)&lt;0, _xlfn.XLOOKUP(L466,'02效果表'!D:D,'02效果表'!E:E), 0) +
O466*IF(_xlfn.XLOOKUP(N466,'02效果表'!D:D,'02效果表'!E:E)&lt;0, _xlfn.XLOOKUP(N466,'02效果表'!D:D,'02效果表'!E:E), 0) +
Q466*IF(_xlfn.XLOOKUP(P466,'02效果表'!D:D,'02效果表'!E:E)&lt;0, _xlfn.XLOOKUP(P466,'02效果表'!D:D,'02效果表'!E:E), 0) +
S466*IF(_xlfn.XLOOKUP(R466,'02效果表'!D:D,'02效果表'!E:E)&lt;0, _xlfn.XLOOKUP(R466,'02效果表'!D:D,'02效果表'!E:E), 0) +
U466*IF(_xlfn.XLOOKUP(T466,'02效果表'!D:D,'02效果表'!E:E)&lt;0, _xlfn.XLOOKUP(T466,'02效果表'!D:D,'02效果表'!E:E), 0) +
W466*IF(_xlfn.XLOOKUP(V466,'02效果表'!D:D,'02效果表'!E:E)&lt;0, _xlfn.XLOOKUP(V466,'02效果表'!D:D,'02效果表'!E:E), 0) +
Y466*IF(_xlfn.XLOOKUP(X466,'02效果表'!D:D,'02效果表'!E:E)&lt;0, _xlfn.XLOOKUP(X466,'02效果表'!D:D,'02效果表'!E:E), 0) +
AA466*IF(_xlfn.XLOOKUP(Z466,'02效果表'!D:D,'02效果表'!E:E)&lt;0, _xlfn.XLOOKUP(Z466,'02效果表'!D:D,'02效果表'!E:E), 0) +
AC466*IF(_xlfn.XLOOKUP(AB466,'02效果表'!D:D,'02效果表'!E:E)&lt;0, _xlfn.XLOOKUP(AB466,'02效果表'!D:D,'02效果表'!E:E), 0) +
AE466*IF(_xlfn.XLOOKUP(AD466,'02效果表'!D:D,'02效果表'!E:E)&lt;0, _xlfn.XLOOKUP(AD466,'02效果表'!D:D,'02效果表'!E:E), 0)), 1)</f>
        <v>0</v>
      </c>
      <c r="G466" s="7">
        <f>ROUND(1/6*(I466*MAX(_xlfn.XLOOKUP(H466,'02效果表'!D:D,'02效果表'!E:E),0)+K466*MAX(_xlfn.XLOOKUP(J466,'02效果表'!D:D,'02效果表'!E:E),0)+M466*MAX(_xlfn.XLOOKUP(L466,'02效果表'!D:D,'02效果表'!E:E),0)+O466*MAX(_xlfn.XLOOKUP(N466,'02效果表'!D:D,'02效果表'!E:E),0)+Q466*MAX(_xlfn.XLOOKUP(P466,'02效果表'!D:D,'02效果表'!E:E),0)+S466*MAX(_xlfn.XLOOKUP(R466,'02效果表'!D:D,'02效果表'!E:E),0)+U466*MAX(_xlfn.XLOOKUP(T466,'02效果表'!D:D,'02效果表'!E:E),0)+W466*MAX(_xlfn.XLOOKUP(V466,'02效果表'!D:D,'02效果表'!E:E),0)+Y466*MAX(_xlfn.XLOOKUP(X466,'02效果表'!D:D,'02效果表'!E:E),0)+AA466*MAX(_xlfn.XLOOKUP(Z466,'02效果表'!D:D,'02效果表'!E:E),0)+AC466*MAX(_xlfn.XLOOKUP(AB466,'02效果表'!D:D,'02效果表'!E:E),0)+AE466*MAX(_xlfn.XLOOKUP(AD466,'02效果表'!D:D,'02效果表'!E:E),0)),1)</f>
        <v>0</v>
      </c>
      <c r="H466" s="6"/>
      <c r="I466" s="6"/>
      <c r="J466" s="6"/>
      <c r="K466" s="6"/>
      <c r="L466" s="6"/>
      <c r="M466" s="6"/>
      <c r="N466" s="6"/>
      <c r="O466" s="6"/>
      <c r="P466" s="6"/>
      <c r="Q466" s="6"/>
      <c r="R466" s="6"/>
      <c r="S466" s="6"/>
      <c r="T466" s="6"/>
      <c r="U466" s="6"/>
      <c r="V466" s="6"/>
      <c r="W466" s="6"/>
      <c r="X466" s="6"/>
      <c r="Y466" s="6"/>
      <c r="Z466" s="6"/>
      <c r="AA466" s="6"/>
      <c r="AB466" s="6"/>
      <c r="AC466" s="6"/>
      <c r="AD466" s="6"/>
      <c r="AE466" s="6"/>
    </row>
    <row r="467" spans="1:31" x14ac:dyDescent="0.35">
      <c r="A467" s="6">
        <v>467</v>
      </c>
      <c r="B467" s="6" t="s">
        <v>6</v>
      </c>
      <c r="C467" s="10" t="s">
        <v>16</v>
      </c>
      <c r="D467" s="9" t="s">
        <v>1631</v>
      </c>
      <c r="E467" s="7">
        <f t="shared" si="14"/>
        <v>0</v>
      </c>
      <c r="F467" s="7">
        <f>-1*ROUND(1/6*(I467*IF(_xlfn.XLOOKUP(H467,'02效果表'!D:D,'02效果表'!E:E)&lt;0, _xlfn.XLOOKUP(H467,'02效果表'!D:D,'02效果表'!E:E), 0) +
K467*IF(_xlfn.XLOOKUP(J467,'02效果表'!D:D,'02效果表'!E:E)&lt;0, _xlfn.XLOOKUP(J467,'02效果表'!D:D,'02效果表'!E:E), 0) +
M467*IF(_xlfn.XLOOKUP(L467,'02效果表'!D:D,'02效果表'!E:E)&lt;0, _xlfn.XLOOKUP(L467,'02效果表'!D:D,'02效果表'!E:E), 0) +
O467*IF(_xlfn.XLOOKUP(N467,'02效果表'!D:D,'02效果表'!E:E)&lt;0, _xlfn.XLOOKUP(N467,'02效果表'!D:D,'02效果表'!E:E), 0) +
Q467*IF(_xlfn.XLOOKUP(P467,'02效果表'!D:D,'02效果表'!E:E)&lt;0, _xlfn.XLOOKUP(P467,'02效果表'!D:D,'02效果表'!E:E), 0) +
S467*IF(_xlfn.XLOOKUP(R467,'02效果表'!D:D,'02效果表'!E:E)&lt;0, _xlfn.XLOOKUP(R467,'02效果表'!D:D,'02效果表'!E:E), 0) +
U467*IF(_xlfn.XLOOKUP(T467,'02效果表'!D:D,'02效果表'!E:E)&lt;0, _xlfn.XLOOKUP(T467,'02效果表'!D:D,'02效果表'!E:E), 0) +
W467*IF(_xlfn.XLOOKUP(V467,'02效果表'!D:D,'02效果表'!E:E)&lt;0, _xlfn.XLOOKUP(V467,'02效果表'!D:D,'02效果表'!E:E), 0) +
Y467*IF(_xlfn.XLOOKUP(X467,'02效果表'!D:D,'02效果表'!E:E)&lt;0, _xlfn.XLOOKUP(X467,'02效果表'!D:D,'02效果表'!E:E), 0) +
AA467*IF(_xlfn.XLOOKUP(Z467,'02效果表'!D:D,'02效果表'!E:E)&lt;0, _xlfn.XLOOKUP(Z467,'02效果表'!D:D,'02效果表'!E:E), 0) +
AC467*IF(_xlfn.XLOOKUP(AB467,'02效果表'!D:D,'02效果表'!E:E)&lt;0, _xlfn.XLOOKUP(AB467,'02效果表'!D:D,'02效果表'!E:E), 0) +
AE467*IF(_xlfn.XLOOKUP(AD467,'02效果表'!D:D,'02效果表'!E:E)&lt;0, _xlfn.XLOOKUP(AD467,'02效果表'!D:D,'02效果表'!E:E), 0)), 1)</f>
        <v>0</v>
      </c>
      <c r="G467" s="7">
        <f>ROUND(1/6*(I467*MAX(_xlfn.XLOOKUP(H467,'02效果表'!D:D,'02效果表'!E:E),0)+K467*MAX(_xlfn.XLOOKUP(J467,'02效果表'!D:D,'02效果表'!E:E),0)+M467*MAX(_xlfn.XLOOKUP(L467,'02效果表'!D:D,'02效果表'!E:E),0)+O467*MAX(_xlfn.XLOOKUP(N467,'02效果表'!D:D,'02效果表'!E:E),0)+Q467*MAX(_xlfn.XLOOKUP(P467,'02效果表'!D:D,'02效果表'!E:E),0)+S467*MAX(_xlfn.XLOOKUP(R467,'02效果表'!D:D,'02效果表'!E:E),0)+U467*MAX(_xlfn.XLOOKUP(T467,'02效果表'!D:D,'02效果表'!E:E),0)+W467*MAX(_xlfn.XLOOKUP(V467,'02效果表'!D:D,'02效果表'!E:E),0)+Y467*MAX(_xlfn.XLOOKUP(X467,'02效果表'!D:D,'02效果表'!E:E),0)+AA467*MAX(_xlfn.XLOOKUP(Z467,'02效果表'!D:D,'02效果表'!E:E),0)+AC467*MAX(_xlfn.XLOOKUP(AB467,'02效果表'!D:D,'02效果表'!E:E),0)+AE467*MAX(_xlfn.XLOOKUP(AD467,'02效果表'!D:D,'02效果表'!E:E),0)),1)</f>
        <v>0</v>
      </c>
      <c r="H467" s="6"/>
      <c r="I467" s="6"/>
      <c r="J467" s="6"/>
      <c r="K467" s="6"/>
      <c r="L467" s="6"/>
      <c r="M467" s="6"/>
      <c r="N467" s="6"/>
      <c r="O467" s="6"/>
      <c r="P467" s="6"/>
      <c r="Q467" s="6"/>
      <c r="R467" s="6"/>
      <c r="S467" s="6"/>
      <c r="T467" s="6"/>
      <c r="U467" s="6"/>
      <c r="V467" s="6"/>
      <c r="W467" s="6"/>
      <c r="X467" s="6"/>
      <c r="Y467" s="6"/>
      <c r="Z467" s="6"/>
      <c r="AA467" s="6"/>
      <c r="AB467" s="6"/>
      <c r="AC467" s="6"/>
      <c r="AD467" s="6"/>
      <c r="AE467" s="6"/>
    </row>
    <row r="468" spans="1:31" x14ac:dyDescent="0.35">
      <c r="A468" s="6">
        <v>468</v>
      </c>
      <c r="B468" s="6" t="s">
        <v>6</v>
      </c>
      <c r="C468" s="10" t="s">
        <v>16</v>
      </c>
      <c r="D468" s="9" t="s">
        <v>1632</v>
      </c>
      <c r="E468" s="7">
        <f t="shared" si="14"/>
        <v>0</v>
      </c>
      <c r="F468" s="7">
        <f>-1*ROUND(1/6*(I468*IF(_xlfn.XLOOKUP(H468,'02效果表'!D:D,'02效果表'!E:E)&lt;0, _xlfn.XLOOKUP(H468,'02效果表'!D:D,'02效果表'!E:E), 0) +
K468*IF(_xlfn.XLOOKUP(J468,'02效果表'!D:D,'02效果表'!E:E)&lt;0, _xlfn.XLOOKUP(J468,'02效果表'!D:D,'02效果表'!E:E), 0) +
M468*IF(_xlfn.XLOOKUP(L468,'02效果表'!D:D,'02效果表'!E:E)&lt;0, _xlfn.XLOOKUP(L468,'02效果表'!D:D,'02效果表'!E:E), 0) +
O468*IF(_xlfn.XLOOKUP(N468,'02效果表'!D:D,'02效果表'!E:E)&lt;0, _xlfn.XLOOKUP(N468,'02效果表'!D:D,'02效果表'!E:E), 0) +
Q468*IF(_xlfn.XLOOKUP(P468,'02效果表'!D:D,'02效果表'!E:E)&lt;0, _xlfn.XLOOKUP(P468,'02效果表'!D:D,'02效果表'!E:E), 0) +
S468*IF(_xlfn.XLOOKUP(R468,'02效果表'!D:D,'02效果表'!E:E)&lt;0, _xlfn.XLOOKUP(R468,'02效果表'!D:D,'02效果表'!E:E), 0) +
U468*IF(_xlfn.XLOOKUP(T468,'02效果表'!D:D,'02效果表'!E:E)&lt;0, _xlfn.XLOOKUP(T468,'02效果表'!D:D,'02效果表'!E:E), 0) +
W468*IF(_xlfn.XLOOKUP(V468,'02效果表'!D:D,'02效果表'!E:E)&lt;0, _xlfn.XLOOKUP(V468,'02效果表'!D:D,'02效果表'!E:E), 0) +
Y468*IF(_xlfn.XLOOKUP(X468,'02效果表'!D:D,'02效果表'!E:E)&lt;0, _xlfn.XLOOKUP(X468,'02效果表'!D:D,'02效果表'!E:E), 0) +
AA468*IF(_xlfn.XLOOKUP(Z468,'02效果表'!D:D,'02效果表'!E:E)&lt;0, _xlfn.XLOOKUP(Z468,'02效果表'!D:D,'02效果表'!E:E), 0) +
AC468*IF(_xlfn.XLOOKUP(AB468,'02效果表'!D:D,'02效果表'!E:E)&lt;0, _xlfn.XLOOKUP(AB468,'02效果表'!D:D,'02效果表'!E:E), 0) +
AE468*IF(_xlfn.XLOOKUP(AD468,'02效果表'!D:D,'02效果表'!E:E)&lt;0, _xlfn.XLOOKUP(AD468,'02效果表'!D:D,'02效果表'!E:E), 0)), 1)</f>
        <v>0</v>
      </c>
      <c r="G468" s="7">
        <f>ROUND(1/6*(I468*MAX(_xlfn.XLOOKUP(H468,'02效果表'!D:D,'02效果表'!E:E),0)+K468*MAX(_xlfn.XLOOKUP(J468,'02效果表'!D:D,'02效果表'!E:E),0)+M468*MAX(_xlfn.XLOOKUP(L468,'02效果表'!D:D,'02效果表'!E:E),0)+O468*MAX(_xlfn.XLOOKUP(N468,'02效果表'!D:D,'02效果表'!E:E),0)+Q468*MAX(_xlfn.XLOOKUP(P468,'02效果表'!D:D,'02效果表'!E:E),0)+S468*MAX(_xlfn.XLOOKUP(R468,'02效果表'!D:D,'02效果表'!E:E),0)+U468*MAX(_xlfn.XLOOKUP(T468,'02效果表'!D:D,'02效果表'!E:E),0)+W468*MAX(_xlfn.XLOOKUP(V468,'02效果表'!D:D,'02效果表'!E:E),0)+Y468*MAX(_xlfn.XLOOKUP(X468,'02效果表'!D:D,'02效果表'!E:E),0)+AA468*MAX(_xlfn.XLOOKUP(Z468,'02效果表'!D:D,'02效果表'!E:E),0)+AC468*MAX(_xlfn.XLOOKUP(AB468,'02效果表'!D:D,'02效果表'!E:E),0)+AE468*MAX(_xlfn.XLOOKUP(AD468,'02效果表'!D:D,'02效果表'!E:E),0)),1)</f>
        <v>0</v>
      </c>
      <c r="H468" s="6"/>
      <c r="I468" s="6"/>
      <c r="J468" s="6"/>
      <c r="K468" s="6"/>
      <c r="L468" s="6"/>
      <c r="M468" s="6"/>
      <c r="N468" s="6"/>
      <c r="O468" s="6"/>
      <c r="P468" s="6"/>
      <c r="Q468" s="6"/>
      <c r="R468" s="6"/>
      <c r="S468" s="6"/>
      <c r="T468" s="6"/>
      <c r="U468" s="6"/>
      <c r="V468" s="6"/>
      <c r="W468" s="6"/>
      <c r="X468" s="6"/>
      <c r="Y468" s="6"/>
      <c r="Z468" s="6"/>
      <c r="AA468" s="6"/>
      <c r="AB468" s="6"/>
      <c r="AC468" s="6"/>
      <c r="AD468" s="6"/>
      <c r="AE468" s="6"/>
    </row>
    <row r="469" spans="1:31" x14ac:dyDescent="0.35">
      <c r="A469" s="6">
        <v>469</v>
      </c>
      <c r="B469" s="6" t="s">
        <v>6</v>
      </c>
      <c r="C469" s="10" t="s">
        <v>16</v>
      </c>
      <c r="D469" s="9" t="s">
        <v>1633</v>
      </c>
      <c r="E469" s="7">
        <f t="shared" si="14"/>
        <v>0</v>
      </c>
      <c r="F469" s="7">
        <f>-1*ROUND(1/6*(I469*IF(_xlfn.XLOOKUP(H469,'02效果表'!D:D,'02效果表'!E:E)&lt;0, _xlfn.XLOOKUP(H469,'02效果表'!D:D,'02效果表'!E:E), 0) +
K469*IF(_xlfn.XLOOKUP(J469,'02效果表'!D:D,'02效果表'!E:E)&lt;0, _xlfn.XLOOKUP(J469,'02效果表'!D:D,'02效果表'!E:E), 0) +
M469*IF(_xlfn.XLOOKUP(L469,'02效果表'!D:D,'02效果表'!E:E)&lt;0, _xlfn.XLOOKUP(L469,'02效果表'!D:D,'02效果表'!E:E), 0) +
O469*IF(_xlfn.XLOOKUP(N469,'02效果表'!D:D,'02效果表'!E:E)&lt;0, _xlfn.XLOOKUP(N469,'02效果表'!D:D,'02效果表'!E:E), 0) +
Q469*IF(_xlfn.XLOOKUP(P469,'02效果表'!D:D,'02效果表'!E:E)&lt;0, _xlfn.XLOOKUP(P469,'02效果表'!D:D,'02效果表'!E:E), 0) +
S469*IF(_xlfn.XLOOKUP(R469,'02效果表'!D:D,'02效果表'!E:E)&lt;0, _xlfn.XLOOKUP(R469,'02效果表'!D:D,'02效果表'!E:E), 0) +
U469*IF(_xlfn.XLOOKUP(T469,'02效果表'!D:D,'02效果表'!E:E)&lt;0, _xlfn.XLOOKUP(T469,'02效果表'!D:D,'02效果表'!E:E), 0) +
W469*IF(_xlfn.XLOOKUP(V469,'02效果表'!D:D,'02效果表'!E:E)&lt;0, _xlfn.XLOOKUP(V469,'02效果表'!D:D,'02效果表'!E:E), 0) +
Y469*IF(_xlfn.XLOOKUP(X469,'02效果表'!D:D,'02效果表'!E:E)&lt;0, _xlfn.XLOOKUP(X469,'02效果表'!D:D,'02效果表'!E:E), 0) +
AA469*IF(_xlfn.XLOOKUP(Z469,'02效果表'!D:D,'02效果表'!E:E)&lt;0, _xlfn.XLOOKUP(Z469,'02效果表'!D:D,'02效果表'!E:E), 0) +
AC469*IF(_xlfn.XLOOKUP(AB469,'02效果表'!D:D,'02效果表'!E:E)&lt;0, _xlfn.XLOOKUP(AB469,'02效果表'!D:D,'02效果表'!E:E), 0) +
AE469*IF(_xlfn.XLOOKUP(AD469,'02效果表'!D:D,'02效果表'!E:E)&lt;0, _xlfn.XLOOKUP(AD469,'02效果表'!D:D,'02效果表'!E:E), 0)), 1)</f>
        <v>0</v>
      </c>
      <c r="G469" s="7">
        <f>ROUND(1/6*(I469*MAX(_xlfn.XLOOKUP(H469,'02效果表'!D:D,'02效果表'!E:E),0)+K469*MAX(_xlfn.XLOOKUP(J469,'02效果表'!D:D,'02效果表'!E:E),0)+M469*MAX(_xlfn.XLOOKUP(L469,'02效果表'!D:D,'02效果表'!E:E),0)+O469*MAX(_xlfn.XLOOKUP(N469,'02效果表'!D:D,'02效果表'!E:E),0)+Q469*MAX(_xlfn.XLOOKUP(P469,'02效果表'!D:D,'02效果表'!E:E),0)+S469*MAX(_xlfn.XLOOKUP(R469,'02效果表'!D:D,'02效果表'!E:E),0)+U469*MAX(_xlfn.XLOOKUP(T469,'02效果表'!D:D,'02效果表'!E:E),0)+W469*MAX(_xlfn.XLOOKUP(V469,'02效果表'!D:D,'02效果表'!E:E),0)+Y469*MAX(_xlfn.XLOOKUP(X469,'02效果表'!D:D,'02效果表'!E:E),0)+AA469*MAX(_xlfn.XLOOKUP(Z469,'02效果表'!D:D,'02效果表'!E:E),0)+AC469*MAX(_xlfn.XLOOKUP(AB469,'02效果表'!D:D,'02效果表'!E:E),0)+AE469*MAX(_xlfn.XLOOKUP(AD469,'02效果表'!D:D,'02效果表'!E:E),0)),1)</f>
        <v>0</v>
      </c>
      <c r="H469" s="6"/>
      <c r="I469" s="6"/>
      <c r="J469" s="6"/>
      <c r="K469" s="6"/>
      <c r="L469" s="6"/>
      <c r="M469" s="6"/>
      <c r="N469" s="6"/>
      <c r="O469" s="6"/>
      <c r="P469" s="6"/>
      <c r="Q469" s="6"/>
      <c r="R469" s="6"/>
      <c r="S469" s="6"/>
      <c r="T469" s="6"/>
      <c r="U469" s="6"/>
      <c r="V469" s="6"/>
      <c r="W469" s="6"/>
      <c r="X469" s="6"/>
      <c r="Y469" s="6"/>
      <c r="Z469" s="6"/>
      <c r="AA469" s="6"/>
      <c r="AB469" s="6"/>
      <c r="AC469" s="6"/>
      <c r="AD469" s="6"/>
      <c r="AE469" s="6"/>
    </row>
    <row r="470" spans="1:31" x14ac:dyDescent="0.35">
      <c r="A470" s="6">
        <v>470</v>
      </c>
      <c r="B470" s="6" t="s">
        <v>6</v>
      </c>
      <c r="C470" s="10" t="s">
        <v>16</v>
      </c>
      <c r="D470" s="9" t="s">
        <v>1634</v>
      </c>
      <c r="E470" s="7">
        <f t="shared" si="14"/>
        <v>0</v>
      </c>
      <c r="F470" s="7">
        <f>-1*ROUND(1/6*(I470*IF(_xlfn.XLOOKUP(H470,'02效果表'!D:D,'02效果表'!E:E)&lt;0, _xlfn.XLOOKUP(H470,'02效果表'!D:D,'02效果表'!E:E), 0) +
K470*IF(_xlfn.XLOOKUP(J470,'02效果表'!D:D,'02效果表'!E:E)&lt;0, _xlfn.XLOOKUP(J470,'02效果表'!D:D,'02效果表'!E:E), 0) +
M470*IF(_xlfn.XLOOKUP(L470,'02效果表'!D:D,'02效果表'!E:E)&lt;0, _xlfn.XLOOKUP(L470,'02效果表'!D:D,'02效果表'!E:E), 0) +
O470*IF(_xlfn.XLOOKUP(N470,'02效果表'!D:D,'02效果表'!E:E)&lt;0, _xlfn.XLOOKUP(N470,'02效果表'!D:D,'02效果表'!E:E), 0) +
Q470*IF(_xlfn.XLOOKUP(P470,'02效果表'!D:D,'02效果表'!E:E)&lt;0, _xlfn.XLOOKUP(P470,'02效果表'!D:D,'02效果表'!E:E), 0) +
S470*IF(_xlfn.XLOOKUP(R470,'02效果表'!D:D,'02效果表'!E:E)&lt;0, _xlfn.XLOOKUP(R470,'02效果表'!D:D,'02效果表'!E:E), 0) +
U470*IF(_xlfn.XLOOKUP(T470,'02效果表'!D:D,'02效果表'!E:E)&lt;0, _xlfn.XLOOKUP(T470,'02效果表'!D:D,'02效果表'!E:E), 0) +
W470*IF(_xlfn.XLOOKUP(V470,'02效果表'!D:D,'02效果表'!E:E)&lt;0, _xlfn.XLOOKUP(V470,'02效果表'!D:D,'02效果表'!E:E), 0) +
Y470*IF(_xlfn.XLOOKUP(X470,'02效果表'!D:D,'02效果表'!E:E)&lt;0, _xlfn.XLOOKUP(X470,'02效果表'!D:D,'02效果表'!E:E), 0) +
AA470*IF(_xlfn.XLOOKUP(Z470,'02效果表'!D:D,'02效果表'!E:E)&lt;0, _xlfn.XLOOKUP(Z470,'02效果表'!D:D,'02效果表'!E:E), 0) +
AC470*IF(_xlfn.XLOOKUP(AB470,'02效果表'!D:D,'02效果表'!E:E)&lt;0, _xlfn.XLOOKUP(AB470,'02效果表'!D:D,'02效果表'!E:E), 0) +
AE470*IF(_xlfn.XLOOKUP(AD470,'02效果表'!D:D,'02效果表'!E:E)&lt;0, _xlfn.XLOOKUP(AD470,'02效果表'!D:D,'02效果表'!E:E), 0)), 1)</f>
        <v>0</v>
      </c>
      <c r="G470" s="7">
        <f>ROUND(1/6*(I470*MAX(_xlfn.XLOOKUP(H470,'02效果表'!D:D,'02效果表'!E:E),0)+K470*MAX(_xlfn.XLOOKUP(J470,'02效果表'!D:D,'02效果表'!E:E),0)+M470*MAX(_xlfn.XLOOKUP(L470,'02效果表'!D:D,'02效果表'!E:E),0)+O470*MAX(_xlfn.XLOOKUP(N470,'02效果表'!D:D,'02效果表'!E:E),0)+Q470*MAX(_xlfn.XLOOKUP(P470,'02效果表'!D:D,'02效果表'!E:E),0)+S470*MAX(_xlfn.XLOOKUP(R470,'02效果表'!D:D,'02效果表'!E:E),0)+U470*MAX(_xlfn.XLOOKUP(T470,'02效果表'!D:D,'02效果表'!E:E),0)+W470*MAX(_xlfn.XLOOKUP(V470,'02效果表'!D:D,'02效果表'!E:E),0)+Y470*MAX(_xlfn.XLOOKUP(X470,'02效果表'!D:D,'02效果表'!E:E),0)+AA470*MAX(_xlfn.XLOOKUP(Z470,'02效果表'!D:D,'02效果表'!E:E),0)+AC470*MAX(_xlfn.XLOOKUP(AB470,'02效果表'!D:D,'02效果表'!E:E),0)+AE470*MAX(_xlfn.XLOOKUP(AD470,'02效果表'!D:D,'02效果表'!E:E),0)),1)</f>
        <v>0</v>
      </c>
      <c r="H470" s="6"/>
      <c r="I470" s="6"/>
      <c r="J470" s="6"/>
      <c r="K470" s="6"/>
      <c r="L470" s="6"/>
      <c r="M470" s="6"/>
      <c r="N470" s="6"/>
      <c r="O470" s="6"/>
      <c r="P470" s="6"/>
      <c r="Q470" s="6"/>
      <c r="R470" s="6"/>
      <c r="S470" s="6"/>
      <c r="T470" s="6"/>
      <c r="U470" s="6"/>
      <c r="V470" s="6"/>
      <c r="W470" s="6"/>
      <c r="X470" s="6"/>
      <c r="Y470" s="6"/>
      <c r="Z470" s="6"/>
      <c r="AA470" s="6"/>
      <c r="AB470" s="6"/>
      <c r="AC470" s="6"/>
      <c r="AD470" s="6"/>
      <c r="AE470" s="6"/>
    </row>
    <row r="471" spans="1:31" x14ac:dyDescent="0.35">
      <c r="A471" s="6">
        <v>471</v>
      </c>
      <c r="B471" s="6" t="s">
        <v>6</v>
      </c>
      <c r="C471" s="10" t="s">
        <v>16</v>
      </c>
      <c r="D471" s="9" t="s">
        <v>1635</v>
      </c>
      <c r="E471" s="7">
        <f t="shared" si="14"/>
        <v>0</v>
      </c>
      <c r="F471" s="7">
        <f>-1*ROUND(1/6*(I471*IF(_xlfn.XLOOKUP(H471,'02效果表'!D:D,'02效果表'!E:E)&lt;0, _xlfn.XLOOKUP(H471,'02效果表'!D:D,'02效果表'!E:E), 0) +
K471*IF(_xlfn.XLOOKUP(J471,'02效果表'!D:D,'02效果表'!E:E)&lt;0, _xlfn.XLOOKUP(J471,'02效果表'!D:D,'02效果表'!E:E), 0) +
M471*IF(_xlfn.XLOOKUP(L471,'02效果表'!D:D,'02效果表'!E:E)&lt;0, _xlfn.XLOOKUP(L471,'02效果表'!D:D,'02效果表'!E:E), 0) +
O471*IF(_xlfn.XLOOKUP(N471,'02效果表'!D:D,'02效果表'!E:E)&lt;0, _xlfn.XLOOKUP(N471,'02效果表'!D:D,'02效果表'!E:E), 0) +
Q471*IF(_xlfn.XLOOKUP(P471,'02效果表'!D:D,'02效果表'!E:E)&lt;0, _xlfn.XLOOKUP(P471,'02效果表'!D:D,'02效果表'!E:E), 0) +
S471*IF(_xlfn.XLOOKUP(R471,'02效果表'!D:D,'02效果表'!E:E)&lt;0, _xlfn.XLOOKUP(R471,'02效果表'!D:D,'02效果表'!E:E), 0) +
U471*IF(_xlfn.XLOOKUP(T471,'02效果表'!D:D,'02效果表'!E:E)&lt;0, _xlfn.XLOOKUP(T471,'02效果表'!D:D,'02效果表'!E:E), 0) +
W471*IF(_xlfn.XLOOKUP(V471,'02效果表'!D:D,'02效果表'!E:E)&lt;0, _xlfn.XLOOKUP(V471,'02效果表'!D:D,'02效果表'!E:E), 0) +
Y471*IF(_xlfn.XLOOKUP(X471,'02效果表'!D:D,'02效果表'!E:E)&lt;0, _xlfn.XLOOKUP(X471,'02效果表'!D:D,'02效果表'!E:E), 0) +
AA471*IF(_xlfn.XLOOKUP(Z471,'02效果表'!D:D,'02效果表'!E:E)&lt;0, _xlfn.XLOOKUP(Z471,'02效果表'!D:D,'02效果表'!E:E), 0) +
AC471*IF(_xlfn.XLOOKUP(AB471,'02效果表'!D:D,'02效果表'!E:E)&lt;0, _xlfn.XLOOKUP(AB471,'02效果表'!D:D,'02效果表'!E:E), 0) +
AE471*IF(_xlfn.XLOOKUP(AD471,'02效果表'!D:D,'02效果表'!E:E)&lt;0, _xlfn.XLOOKUP(AD471,'02效果表'!D:D,'02效果表'!E:E), 0)), 1)</f>
        <v>0</v>
      </c>
      <c r="G471" s="7">
        <f>ROUND(1/6*(I471*MAX(_xlfn.XLOOKUP(H471,'02效果表'!D:D,'02效果表'!E:E),0)+K471*MAX(_xlfn.XLOOKUP(J471,'02效果表'!D:D,'02效果表'!E:E),0)+M471*MAX(_xlfn.XLOOKUP(L471,'02效果表'!D:D,'02效果表'!E:E),0)+O471*MAX(_xlfn.XLOOKUP(N471,'02效果表'!D:D,'02效果表'!E:E),0)+Q471*MAX(_xlfn.XLOOKUP(P471,'02效果表'!D:D,'02效果表'!E:E),0)+S471*MAX(_xlfn.XLOOKUP(R471,'02效果表'!D:D,'02效果表'!E:E),0)+U471*MAX(_xlfn.XLOOKUP(T471,'02效果表'!D:D,'02效果表'!E:E),0)+W471*MAX(_xlfn.XLOOKUP(V471,'02效果表'!D:D,'02效果表'!E:E),0)+Y471*MAX(_xlfn.XLOOKUP(X471,'02效果表'!D:D,'02效果表'!E:E),0)+AA471*MAX(_xlfn.XLOOKUP(Z471,'02效果表'!D:D,'02效果表'!E:E),0)+AC471*MAX(_xlfn.XLOOKUP(AB471,'02效果表'!D:D,'02效果表'!E:E),0)+AE471*MAX(_xlfn.XLOOKUP(AD471,'02效果表'!D:D,'02效果表'!E:E),0)),1)</f>
        <v>0</v>
      </c>
      <c r="H471" s="6"/>
      <c r="I471" s="6"/>
      <c r="J471" s="6"/>
      <c r="K471" s="6"/>
      <c r="L471" s="6"/>
      <c r="M471" s="6"/>
      <c r="N471" s="6"/>
      <c r="O471" s="6"/>
      <c r="P471" s="6"/>
      <c r="Q471" s="6"/>
      <c r="R471" s="6"/>
      <c r="S471" s="6"/>
      <c r="T471" s="6"/>
      <c r="U471" s="6"/>
      <c r="V471" s="6"/>
      <c r="W471" s="6"/>
      <c r="X471" s="6"/>
      <c r="Y471" s="6"/>
      <c r="Z471" s="6"/>
      <c r="AA471" s="6"/>
      <c r="AB471" s="6"/>
      <c r="AC471" s="6"/>
      <c r="AD471" s="6"/>
      <c r="AE471" s="6"/>
    </row>
    <row r="472" spans="1:31" x14ac:dyDescent="0.35">
      <c r="A472" s="6">
        <v>472</v>
      </c>
      <c r="B472" s="6" t="s">
        <v>6</v>
      </c>
      <c r="C472" s="10" t="s">
        <v>16</v>
      </c>
      <c r="D472" s="9" t="s">
        <v>1636</v>
      </c>
      <c r="E472" s="7">
        <f t="shared" si="14"/>
        <v>0</v>
      </c>
      <c r="F472" s="7">
        <f>-1*ROUND(1/6*(I472*IF(_xlfn.XLOOKUP(H472,'02效果表'!D:D,'02效果表'!E:E)&lt;0, _xlfn.XLOOKUP(H472,'02效果表'!D:D,'02效果表'!E:E), 0) +
K472*IF(_xlfn.XLOOKUP(J472,'02效果表'!D:D,'02效果表'!E:E)&lt;0, _xlfn.XLOOKUP(J472,'02效果表'!D:D,'02效果表'!E:E), 0) +
M472*IF(_xlfn.XLOOKUP(L472,'02效果表'!D:D,'02效果表'!E:E)&lt;0, _xlfn.XLOOKUP(L472,'02效果表'!D:D,'02效果表'!E:E), 0) +
O472*IF(_xlfn.XLOOKUP(N472,'02效果表'!D:D,'02效果表'!E:E)&lt;0, _xlfn.XLOOKUP(N472,'02效果表'!D:D,'02效果表'!E:E), 0) +
Q472*IF(_xlfn.XLOOKUP(P472,'02效果表'!D:D,'02效果表'!E:E)&lt;0, _xlfn.XLOOKUP(P472,'02效果表'!D:D,'02效果表'!E:E), 0) +
S472*IF(_xlfn.XLOOKUP(R472,'02效果表'!D:D,'02效果表'!E:E)&lt;0, _xlfn.XLOOKUP(R472,'02效果表'!D:D,'02效果表'!E:E), 0) +
U472*IF(_xlfn.XLOOKUP(T472,'02效果表'!D:D,'02效果表'!E:E)&lt;0, _xlfn.XLOOKUP(T472,'02效果表'!D:D,'02效果表'!E:E), 0) +
W472*IF(_xlfn.XLOOKUP(V472,'02效果表'!D:D,'02效果表'!E:E)&lt;0, _xlfn.XLOOKUP(V472,'02效果表'!D:D,'02效果表'!E:E), 0) +
Y472*IF(_xlfn.XLOOKUP(X472,'02效果表'!D:D,'02效果表'!E:E)&lt;0, _xlfn.XLOOKUP(X472,'02效果表'!D:D,'02效果表'!E:E), 0) +
AA472*IF(_xlfn.XLOOKUP(Z472,'02效果表'!D:D,'02效果表'!E:E)&lt;0, _xlfn.XLOOKUP(Z472,'02效果表'!D:D,'02效果表'!E:E), 0) +
AC472*IF(_xlfn.XLOOKUP(AB472,'02效果表'!D:D,'02效果表'!E:E)&lt;0, _xlfn.XLOOKUP(AB472,'02效果表'!D:D,'02效果表'!E:E), 0) +
AE472*IF(_xlfn.XLOOKUP(AD472,'02效果表'!D:D,'02效果表'!E:E)&lt;0, _xlfn.XLOOKUP(AD472,'02效果表'!D:D,'02效果表'!E:E), 0)), 1)</f>
        <v>0</v>
      </c>
      <c r="G472" s="7">
        <f>ROUND(1/6*(I472*MAX(_xlfn.XLOOKUP(H472,'02效果表'!D:D,'02效果表'!E:E),0)+K472*MAX(_xlfn.XLOOKUP(J472,'02效果表'!D:D,'02效果表'!E:E),0)+M472*MAX(_xlfn.XLOOKUP(L472,'02效果表'!D:D,'02效果表'!E:E),0)+O472*MAX(_xlfn.XLOOKUP(N472,'02效果表'!D:D,'02效果表'!E:E),0)+Q472*MAX(_xlfn.XLOOKUP(P472,'02效果表'!D:D,'02效果表'!E:E),0)+S472*MAX(_xlfn.XLOOKUP(R472,'02效果表'!D:D,'02效果表'!E:E),0)+U472*MAX(_xlfn.XLOOKUP(T472,'02效果表'!D:D,'02效果表'!E:E),0)+W472*MAX(_xlfn.XLOOKUP(V472,'02效果表'!D:D,'02效果表'!E:E),0)+Y472*MAX(_xlfn.XLOOKUP(X472,'02效果表'!D:D,'02效果表'!E:E),0)+AA472*MAX(_xlfn.XLOOKUP(Z472,'02效果表'!D:D,'02效果表'!E:E),0)+AC472*MAX(_xlfn.XLOOKUP(AB472,'02效果表'!D:D,'02效果表'!E:E),0)+AE472*MAX(_xlfn.XLOOKUP(AD472,'02效果表'!D:D,'02效果表'!E:E),0)),1)</f>
        <v>0</v>
      </c>
      <c r="H472" s="6"/>
      <c r="I472" s="6"/>
      <c r="J472" s="6"/>
      <c r="K472" s="6"/>
      <c r="L472" s="6"/>
      <c r="M472" s="6"/>
      <c r="N472" s="6"/>
      <c r="O472" s="6"/>
      <c r="P472" s="6"/>
      <c r="Q472" s="6"/>
      <c r="R472" s="6"/>
      <c r="S472" s="6"/>
      <c r="T472" s="6"/>
      <c r="U472" s="6"/>
      <c r="V472" s="6"/>
      <c r="W472" s="6"/>
      <c r="X472" s="6"/>
      <c r="Y472" s="6"/>
      <c r="Z472" s="6"/>
      <c r="AA472" s="6"/>
      <c r="AB472" s="6"/>
      <c r="AC472" s="6"/>
      <c r="AD472" s="6"/>
      <c r="AE472" s="6"/>
    </row>
    <row r="473" spans="1:31" x14ac:dyDescent="0.35">
      <c r="A473" s="6">
        <v>473</v>
      </c>
      <c r="B473" s="6" t="s">
        <v>6</v>
      </c>
      <c r="C473" s="10" t="s">
        <v>16</v>
      </c>
      <c r="D473" s="9" t="s">
        <v>1637</v>
      </c>
      <c r="E473" s="7">
        <f t="shared" si="14"/>
        <v>0</v>
      </c>
      <c r="F473" s="7">
        <f>-1*ROUND(1/6*(I473*IF(_xlfn.XLOOKUP(H473,'02效果表'!D:D,'02效果表'!E:E)&lt;0, _xlfn.XLOOKUP(H473,'02效果表'!D:D,'02效果表'!E:E), 0) +
K473*IF(_xlfn.XLOOKUP(J473,'02效果表'!D:D,'02效果表'!E:E)&lt;0, _xlfn.XLOOKUP(J473,'02效果表'!D:D,'02效果表'!E:E), 0) +
M473*IF(_xlfn.XLOOKUP(L473,'02效果表'!D:D,'02效果表'!E:E)&lt;0, _xlfn.XLOOKUP(L473,'02效果表'!D:D,'02效果表'!E:E), 0) +
O473*IF(_xlfn.XLOOKUP(N473,'02效果表'!D:D,'02效果表'!E:E)&lt;0, _xlfn.XLOOKUP(N473,'02效果表'!D:D,'02效果表'!E:E), 0) +
Q473*IF(_xlfn.XLOOKUP(P473,'02效果表'!D:D,'02效果表'!E:E)&lt;0, _xlfn.XLOOKUP(P473,'02效果表'!D:D,'02效果表'!E:E), 0) +
S473*IF(_xlfn.XLOOKUP(R473,'02效果表'!D:D,'02效果表'!E:E)&lt;0, _xlfn.XLOOKUP(R473,'02效果表'!D:D,'02效果表'!E:E), 0) +
U473*IF(_xlfn.XLOOKUP(T473,'02效果表'!D:D,'02效果表'!E:E)&lt;0, _xlfn.XLOOKUP(T473,'02效果表'!D:D,'02效果表'!E:E), 0) +
W473*IF(_xlfn.XLOOKUP(V473,'02效果表'!D:D,'02效果表'!E:E)&lt;0, _xlfn.XLOOKUP(V473,'02效果表'!D:D,'02效果表'!E:E), 0) +
Y473*IF(_xlfn.XLOOKUP(X473,'02效果表'!D:D,'02效果表'!E:E)&lt;0, _xlfn.XLOOKUP(X473,'02效果表'!D:D,'02效果表'!E:E), 0) +
AA473*IF(_xlfn.XLOOKUP(Z473,'02效果表'!D:D,'02效果表'!E:E)&lt;0, _xlfn.XLOOKUP(Z473,'02效果表'!D:D,'02效果表'!E:E), 0) +
AC473*IF(_xlfn.XLOOKUP(AB473,'02效果表'!D:D,'02效果表'!E:E)&lt;0, _xlfn.XLOOKUP(AB473,'02效果表'!D:D,'02效果表'!E:E), 0) +
AE473*IF(_xlfn.XLOOKUP(AD473,'02效果表'!D:D,'02效果表'!E:E)&lt;0, _xlfn.XLOOKUP(AD473,'02效果表'!D:D,'02效果表'!E:E), 0)), 1)</f>
        <v>0</v>
      </c>
      <c r="G473" s="7">
        <f>ROUND(1/6*(I473*MAX(_xlfn.XLOOKUP(H473,'02效果表'!D:D,'02效果表'!E:E),0)+K473*MAX(_xlfn.XLOOKUP(J473,'02效果表'!D:D,'02效果表'!E:E),0)+M473*MAX(_xlfn.XLOOKUP(L473,'02效果表'!D:D,'02效果表'!E:E),0)+O473*MAX(_xlfn.XLOOKUP(N473,'02效果表'!D:D,'02效果表'!E:E),0)+Q473*MAX(_xlfn.XLOOKUP(P473,'02效果表'!D:D,'02效果表'!E:E),0)+S473*MAX(_xlfn.XLOOKUP(R473,'02效果表'!D:D,'02效果表'!E:E),0)+U473*MAX(_xlfn.XLOOKUP(T473,'02效果表'!D:D,'02效果表'!E:E),0)+W473*MAX(_xlfn.XLOOKUP(V473,'02效果表'!D:D,'02效果表'!E:E),0)+Y473*MAX(_xlfn.XLOOKUP(X473,'02效果表'!D:D,'02效果表'!E:E),0)+AA473*MAX(_xlfn.XLOOKUP(Z473,'02效果表'!D:D,'02效果表'!E:E),0)+AC473*MAX(_xlfn.XLOOKUP(AB473,'02效果表'!D:D,'02效果表'!E:E),0)+AE473*MAX(_xlfn.XLOOKUP(AD473,'02效果表'!D:D,'02效果表'!E:E),0)),1)</f>
        <v>0</v>
      </c>
      <c r="H473" s="6"/>
      <c r="I473" s="6"/>
      <c r="J473" s="6"/>
      <c r="K473" s="6"/>
      <c r="L473" s="6"/>
      <c r="M473" s="6"/>
      <c r="N473" s="6"/>
      <c r="O473" s="6"/>
      <c r="P473" s="6"/>
      <c r="Q473" s="6"/>
      <c r="R473" s="6"/>
      <c r="S473" s="6"/>
      <c r="T473" s="6"/>
      <c r="U473" s="6"/>
      <c r="V473" s="6"/>
      <c r="W473" s="6"/>
      <c r="X473" s="6"/>
      <c r="Y473" s="6"/>
      <c r="Z473" s="6"/>
      <c r="AA473" s="6"/>
      <c r="AB473" s="6"/>
      <c r="AC473" s="6"/>
      <c r="AD473" s="6"/>
      <c r="AE473" s="6"/>
    </row>
    <row r="474" spans="1:31" x14ac:dyDescent="0.35">
      <c r="A474" s="6">
        <v>474</v>
      </c>
      <c r="B474" s="6" t="s">
        <v>6</v>
      </c>
      <c r="C474" s="10" t="s">
        <v>16</v>
      </c>
      <c r="D474" s="9" t="s">
        <v>1638</v>
      </c>
      <c r="E474" s="7">
        <f t="shared" si="14"/>
        <v>0</v>
      </c>
      <c r="F474" s="7">
        <f>-1*ROUND(1/6*(I474*IF(_xlfn.XLOOKUP(H474,'02效果表'!D:D,'02效果表'!E:E)&lt;0, _xlfn.XLOOKUP(H474,'02效果表'!D:D,'02效果表'!E:E), 0) +
K474*IF(_xlfn.XLOOKUP(J474,'02效果表'!D:D,'02效果表'!E:E)&lt;0, _xlfn.XLOOKUP(J474,'02效果表'!D:D,'02效果表'!E:E), 0) +
M474*IF(_xlfn.XLOOKUP(L474,'02效果表'!D:D,'02效果表'!E:E)&lt;0, _xlfn.XLOOKUP(L474,'02效果表'!D:D,'02效果表'!E:E), 0) +
O474*IF(_xlfn.XLOOKUP(N474,'02效果表'!D:D,'02效果表'!E:E)&lt;0, _xlfn.XLOOKUP(N474,'02效果表'!D:D,'02效果表'!E:E), 0) +
Q474*IF(_xlfn.XLOOKUP(P474,'02效果表'!D:D,'02效果表'!E:E)&lt;0, _xlfn.XLOOKUP(P474,'02效果表'!D:D,'02效果表'!E:E), 0) +
S474*IF(_xlfn.XLOOKUP(R474,'02效果表'!D:D,'02效果表'!E:E)&lt;0, _xlfn.XLOOKUP(R474,'02效果表'!D:D,'02效果表'!E:E), 0) +
U474*IF(_xlfn.XLOOKUP(T474,'02效果表'!D:D,'02效果表'!E:E)&lt;0, _xlfn.XLOOKUP(T474,'02效果表'!D:D,'02效果表'!E:E), 0) +
W474*IF(_xlfn.XLOOKUP(V474,'02效果表'!D:D,'02效果表'!E:E)&lt;0, _xlfn.XLOOKUP(V474,'02效果表'!D:D,'02效果表'!E:E), 0) +
Y474*IF(_xlfn.XLOOKUP(X474,'02效果表'!D:D,'02效果表'!E:E)&lt;0, _xlfn.XLOOKUP(X474,'02效果表'!D:D,'02效果表'!E:E), 0) +
AA474*IF(_xlfn.XLOOKUP(Z474,'02效果表'!D:D,'02效果表'!E:E)&lt;0, _xlfn.XLOOKUP(Z474,'02效果表'!D:D,'02效果表'!E:E), 0) +
AC474*IF(_xlfn.XLOOKUP(AB474,'02效果表'!D:D,'02效果表'!E:E)&lt;0, _xlfn.XLOOKUP(AB474,'02效果表'!D:D,'02效果表'!E:E), 0) +
AE474*IF(_xlfn.XLOOKUP(AD474,'02效果表'!D:D,'02效果表'!E:E)&lt;0, _xlfn.XLOOKUP(AD474,'02效果表'!D:D,'02效果表'!E:E), 0)), 1)</f>
        <v>0</v>
      </c>
      <c r="G474" s="7">
        <f>ROUND(1/6*(I474*MAX(_xlfn.XLOOKUP(H474,'02效果表'!D:D,'02效果表'!E:E),0)+K474*MAX(_xlfn.XLOOKUP(J474,'02效果表'!D:D,'02效果表'!E:E),0)+M474*MAX(_xlfn.XLOOKUP(L474,'02效果表'!D:D,'02效果表'!E:E),0)+O474*MAX(_xlfn.XLOOKUP(N474,'02效果表'!D:D,'02效果表'!E:E),0)+Q474*MAX(_xlfn.XLOOKUP(P474,'02效果表'!D:D,'02效果表'!E:E),0)+S474*MAX(_xlfn.XLOOKUP(R474,'02效果表'!D:D,'02效果表'!E:E),0)+U474*MAX(_xlfn.XLOOKUP(T474,'02效果表'!D:D,'02效果表'!E:E),0)+W474*MAX(_xlfn.XLOOKUP(V474,'02效果表'!D:D,'02效果表'!E:E),0)+Y474*MAX(_xlfn.XLOOKUP(X474,'02效果表'!D:D,'02效果表'!E:E),0)+AA474*MAX(_xlfn.XLOOKUP(Z474,'02效果表'!D:D,'02效果表'!E:E),0)+AC474*MAX(_xlfn.XLOOKUP(AB474,'02效果表'!D:D,'02效果表'!E:E),0)+AE474*MAX(_xlfn.XLOOKUP(AD474,'02效果表'!D:D,'02效果表'!E:E),0)),1)</f>
        <v>0</v>
      </c>
      <c r="H474" s="6"/>
      <c r="I474" s="6"/>
      <c r="J474" s="6"/>
      <c r="K474" s="6"/>
      <c r="L474" s="6"/>
      <c r="M474" s="6"/>
      <c r="N474" s="6"/>
      <c r="O474" s="6"/>
      <c r="P474" s="6"/>
      <c r="Q474" s="6"/>
      <c r="R474" s="6"/>
      <c r="S474" s="6"/>
      <c r="T474" s="6"/>
      <c r="U474" s="6"/>
      <c r="V474" s="6"/>
      <c r="W474" s="6"/>
      <c r="X474" s="6"/>
      <c r="Y474" s="6"/>
      <c r="Z474" s="6"/>
      <c r="AA474" s="6"/>
      <c r="AB474" s="6"/>
      <c r="AC474" s="6"/>
      <c r="AD474" s="6"/>
      <c r="AE474" s="6"/>
    </row>
    <row r="475" spans="1:31" x14ac:dyDescent="0.35">
      <c r="A475" s="6">
        <v>475</v>
      </c>
      <c r="B475" s="6" t="s">
        <v>6</v>
      </c>
      <c r="C475" s="10" t="s">
        <v>16</v>
      </c>
      <c r="D475" s="9" t="s">
        <v>1639</v>
      </c>
      <c r="E475" s="7">
        <f t="shared" si="14"/>
        <v>0</v>
      </c>
      <c r="F475" s="7">
        <f>-1*ROUND(1/6*(I475*IF(_xlfn.XLOOKUP(H475,'02效果表'!D:D,'02效果表'!E:E)&lt;0, _xlfn.XLOOKUP(H475,'02效果表'!D:D,'02效果表'!E:E), 0) +
K475*IF(_xlfn.XLOOKUP(J475,'02效果表'!D:D,'02效果表'!E:E)&lt;0, _xlfn.XLOOKUP(J475,'02效果表'!D:D,'02效果表'!E:E), 0) +
M475*IF(_xlfn.XLOOKUP(L475,'02效果表'!D:D,'02效果表'!E:E)&lt;0, _xlfn.XLOOKUP(L475,'02效果表'!D:D,'02效果表'!E:E), 0) +
O475*IF(_xlfn.XLOOKUP(N475,'02效果表'!D:D,'02效果表'!E:E)&lt;0, _xlfn.XLOOKUP(N475,'02效果表'!D:D,'02效果表'!E:E), 0) +
Q475*IF(_xlfn.XLOOKUP(P475,'02效果表'!D:D,'02效果表'!E:E)&lt;0, _xlfn.XLOOKUP(P475,'02效果表'!D:D,'02效果表'!E:E), 0) +
S475*IF(_xlfn.XLOOKUP(R475,'02效果表'!D:D,'02效果表'!E:E)&lt;0, _xlfn.XLOOKUP(R475,'02效果表'!D:D,'02效果表'!E:E), 0) +
U475*IF(_xlfn.XLOOKUP(T475,'02效果表'!D:D,'02效果表'!E:E)&lt;0, _xlfn.XLOOKUP(T475,'02效果表'!D:D,'02效果表'!E:E), 0) +
W475*IF(_xlfn.XLOOKUP(V475,'02效果表'!D:D,'02效果表'!E:E)&lt;0, _xlfn.XLOOKUP(V475,'02效果表'!D:D,'02效果表'!E:E), 0) +
Y475*IF(_xlfn.XLOOKUP(X475,'02效果表'!D:D,'02效果表'!E:E)&lt;0, _xlfn.XLOOKUP(X475,'02效果表'!D:D,'02效果表'!E:E), 0) +
AA475*IF(_xlfn.XLOOKUP(Z475,'02效果表'!D:D,'02效果表'!E:E)&lt;0, _xlfn.XLOOKUP(Z475,'02效果表'!D:D,'02效果表'!E:E), 0) +
AC475*IF(_xlfn.XLOOKUP(AB475,'02效果表'!D:D,'02效果表'!E:E)&lt;0, _xlfn.XLOOKUP(AB475,'02效果表'!D:D,'02效果表'!E:E), 0) +
AE475*IF(_xlfn.XLOOKUP(AD475,'02效果表'!D:D,'02效果表'!E:E)&lt;0, _xlfn.XLOOKUP(AD475,'02效果表'!D:D,'02效果表'!E:E), 0)), 1)</f>
        <v>0</v>
      </c>
      <c r="G475" s="7">
        <f>ROUND(1/6*(I475*MAX(_xlfn.XLOOKUP(H475,'02效果表'!D:D,'02效果表'!E:E),0)+K475*MAX(_xlfn.XLOOKUP(J475,'02效果表'!D:D,'02效果表'!E:E),0)+M475*MAX(_xlfn.XLOOKUP(L475,'02效果表'!D:D,'02效果表'!E:E),0)+O475*MAX(_xlfn.XLOOKUP(N475,'02效果表'!D:D,'02效果表'!E:E),0)+Q475*MAX(_xlfn.XLOOKUP(P475,'02效果表'!D:D,'02效果表'!E:E),0)+S475*MAX(_xlfn.XLOOKUP(R475,'02效果表'!D:D,'02效果表'!E:E),0)+U475*MAX(_xlfn.XLOOKUP(T475,'02效果表'!D:D,'02效果表'!E:E),0)+W475*MAX(_xlfn.XLOOKUP(V475,'02效果表'!D:D,'02效果表'!E:E),0)+Y475*MAX(_xlfn.XLOOKUP(X475,'02效果表'!D:D,'02效果表'!E:E),0)+AA475*MAX(_xlfn.XLOOKUP(Z475,'02效果表'!D:D,'02效果表'!E:E),0)+AC475*MAX(_xlfn.XLOOKUP(AB475,'02效果表'!D:D,'02效果表'!E:E),0)+AE475*MAX(_xlfn.XLOOKUP(AD475,'02效果表'!D:D,'02效果表'!E:E),0)),1)</f>
        <v>0</v>
      </c>
      <c r="H475" s="6"/>
      <c r="I475" s="6"/>
      <c r="J475" s="6"/>
      <c r="K475" s="6"/>
      <c r="L475" s="6"/>
      <c r="M475" s="6"/>
      <c r="N475" s="6"/>
      <c r="O475" s="6"/>
      <c r="P475" s="6"/>
      <c r="Q475" s="6"/>
      <c r="R475" s="6"/>
      <c r="S475" s="6"/>
      <c r="T475" s="6"/>
      <c r="U475" s="6"/>
      <c r="V475" s="6"/>
      <c r="W475" s="6"/>
      <c r="X475" s="6"/>
      <c r="Y475" s="6"/>
      <c r="Z475" s="6"/>
      <c r="AA475" s="6"/>
      <c r="AB475" s="6"/>
      <c r="AC475" s="6"/>
      <c r="AD475" s="6"/>
      <c r="AE475" s="6"/>
    </row>
    <row r="476" spans="1:31" x14ac:dyDescent="0.35">
      <c r="A476" s="6">
        <v>476</v>
      </c>
      <c r="B476" s="6" t="s">
        <v>6</v>
      </c>
      <c r="C476" s="10" t="s">
        <v>16</v>
      </c>
      <c r="D476" s="9" t="s">
        <v>1640</v>
      </c>
      <c r="E476" s="7">
        <f t="shared" si="14"/>
        <v>0</v>
      </c>
      <c r="F476" s="7">
        <f>-1*ROUND(1/6*(I476*IF(_xlfn.XLOOKUP(H476,'02效果表'!D:D,'02效果表'!E:E)&lt;0, _xlfn.XLOOKUP(H476,'02效果表'!D:D,'02效果表'!E:E), 0) +
K476*IF(_xlfn.XLOOKUP(J476,'02效果表'!D:D,'02效果表'!E:E)&lt;0, _xlfn.XLOOKUP(J476,'02效果表'!D:D,'02效果表'!E:E), 0) +
M476*IF(_xlfn.XLOOKUP(L476,'02效果表'!D:D,'02效果表'!E:E)&lt;0, _xlfn.XLOOKUP(L476,'02效果表'!D:D,'02效果表'!E:E), 0) +
O476*IF(_xlfn.XLOOKUP(N476,'02效果表'!D:D,'02效果表'!E:E)&lt;0, _xlfn.XLOOKUP(N476,'02效果表'!D:D,'02效果表'!E:E), 0) +
Q476*IF(_xlfn.XLOOKUP(P476,'02效果表'!D:D,'02效果表'!E:E)&lt;0, _xlfn.XLOOKUP(P476,'02效果表'!D:D,'02效果表'!E:E), 0) +
S476*IF(_xlfn.XLOOKUP(R476,'02效果表'!D:D,'02效果表'!E:E)&lt;0, _xlfn.XLOOKUP(R476,'02效果表'!D:D,'02效果表'!E:E), 0) +
U476*IF(_xlfn.XLOOKUP(T476,'02效果表'!D:D,'02效果表'!E:E)&lt;0, _xlfn.XLOOKUP(T476,'02效果表'!D:D,'02效果表'!E:E), 0) +
W476*IF(_xlfn.XLOOKUP(V476,'02效果表'!D:D,'02效果表'!E:E)&lt;0, _xlfn.XLOOKUP(V476,'02效果表'!D:D,'02效果表'!E:E), 0) +
Y476*IF(_xlfn.XLOOKUP(X476,'02效果表'!D:D,'02效果表'!E:E)&lt;0, _xlfn.XLOOKUP(X476,'02效果表'!D:D,'02效果表'!E:E), 0) +
AA476*IF(_xlfn.XLOOKUP(Z476,'02效果表'!D:D,'02效果表'!E:E)&lt;0, _xlfn.XLOOKUP(Z476,'02效果表'!D:D,'02效果表'!E:E), 0) +
AC476*IF(_xlfn.XLOOKUP(AB476,'02效果表'!D:D,'02效果表'!E:E)&lt;0, _xlfn.XLOOKUP(AB476,'02效果表'!D:D,'02效果表'!E:E), 0) +
AE476*IF(_xlfn.XLOOKUP(AD476,'02效果表'!D:D,'02效果表'!E:E)&lt;0, _xlfn.XLOOKUP(AD476,'02效果表'!D:D,'02效果表'!E:E), 0)), 1)</f>
        <v>0</v>
      </c>
      <c r="G476" s="7">
        <f>ROUND(1/6*(I476*MAX(_xlfn.XLOOKUP(H476,'02效果表'!D:D,'02效果表'!E:E),0)+K476*MAX(_xlfn.XLOOKUP(J476,'02效果表'!D:D,'02效果表'!E:E),0)+M476*MAX(_xlfn.XLOOKUP(L476,'02效果表'!D:D,'02效果表'!E:E),0)+O476*MAX(_xlfn.XLOOKUP(N476,'02效果表'!D:D,'02效果表'!E:E),0)+Q476*MAX(_xlfn.XLOOKUP(P476,'02效果表'!D:D,'02效果表'!E:E),0)+S476*MAX(_xlfn.XLOOKUP(R476,'02效果表'!D:D,'02效果表'!E:E),0)+U476*MAX(_xlfn.XLOOKUP(T476,'02效果表'!D:D,'02效果表'!E:E),0)+W476*MAX(_xlfn.XLOOKUP(V476,'02效果表'!D:D,'02效果表'!E:E),0)+Y476*MAX(_xlfn.XLOOKUP(X476,'02效果表'!D:D,'02效果表'!E:E),0)+AA476*MAX(_xlfn.XLOOKUP(Z476,'02效果表'!D:D,'02效果表'!E:E),0)+AC476*MAX(_xlfn.XLOOKUP(AB476,'02效果表'!D:D,'02效果表'!E:E),0)+AE476*MAX(_xlfn.XLOOKUP(AD476,'02效果表'!D:D,'02效果表'!E:E),0)),1)</f>
        <v>0</v>
      </c>
      <c r="H476" s="6"/>
      <c r="I476" s="6"/>
      <c r="J476" s="6"/>
      <c r="K476" s="6"/>
      <c r="L476" s="6"/>
      <c r="M476" s="6"/>
      <c r="N476" s="6"/>
      <c r="O476" s="6"/>
      <c r="P476" s="6"/>
      <c r="Q476" s="6"/>
      <c r="R476" s="6"/>
      <c r="S476" s="6"/>
      <c r="T476" s="6"/>
      <c r="U476" s="6"/>
      <c r="V476" s="6"/>
      <c r="W476" s="6"/>
      <c r="X476" s="6"/>
      <c r="Y476" s="6"/>
      <c r="Z476" s="6"/>
      <c r="AA476" s="6"/>
      <c r="AB476" s="6"/>
      <c r="AC476" s="6"/>
      <c r="AD476" s="6"/>
      <c r="AE476" s="6"/>
    </row>
    <row r="477" spans="1:31" x14ac:dyDescent="0.35">
      <c r="A477" s="6">
        <v>477</v>
      </c>
      <c r="B477" s="6" t="s">
        <v>6</v>
      </c>
      <c r="C477" s="10" t="s">
        <v>16</v>
      </c>
      <c r="D477" s="9" t="s">
        <v>1641</v>
      </c>
      <c r="E477" s="7">
        <f t="shared" si="14"/>
        <v>0</v>
      </c>
      <c r="F477" s="7">
        <f>-1*ROUND(1/6*(I477*IF(_xlfn.XLOOKUP(H477,'02效果表'!D:D,'02效果表'!E:E)&lt;0, _xlfn.XLOOKUP(H477,'02效果表'!D:D,'02效果表'!E:E), 0) +
K477*IF(_xlfn.XLOOKUP(J477,'02效果表'!D:D,'02效果表'!E:E)&lt;0, _xlfn.XLOOKUP(J477,'02效果表'!D:D,'02效果表'!E:E), 0) +
M477*IF(_xlfn.XLOOKUP(L477,'02效果表'!D:D,'02效果表'!E:E)&lt;0, _xlfn.XLOOKUP(L477,'02效果表'!D:D,'02效果表'!E:E), 0) +
O477*IF(_xlfn.XLOOKUP(N477,'02效果表'!D:D,'02效果表'!E:E)&lt;0, _xlfn.XLOOKUP(N477,'02效果表'!D:D,'02效果表'!E:E), 0) +
Q477*IF(_xlfn.XLOOKUP(P477,'02效果表'!D:D,'02效果表'!E:E)&lt;0, _xlfn.XLOOKUP(P477,'02效果表'!D:D,'02效果表'!E:E), 0) +
S477*IF(_xlfn.XLOOKUP(R477,'02效果表'!D:D,'02效果表'!E:E)&lt;0, _xlfn.XLOOKUP(R477,'02效果表'!D:D,'02效果表'!E:E), 0) +
U477*IF(_xlfn.XLOOKUP(T477,'02效果表'!D:D,'02效果表'!E:E)&lt;0, _xlfn.XLOOKUP(T477,'02效果表'!D:D,'02效果表'!E:E), 0) +
W477*IF(_xlfn.XLOOKUP(V477,'02效果表'!D:D,'02效果表'!E:E)&lt;0, _xlfn.XLOOKUP(V477,'02效果表'!D:D,'02效果表'!E:E), 0) +
Y477*IF(_xlfn.XLOOKUP(X477,'02效果表'!D:D,'02效果表'!E:E)&lt;0, _xlfn.XLOOKUP(X477,'02效果表'!D:D,'02效果表'!E:E), 0) +
AA477*IF(_xlfn.XLOOKUP(Z477,'02效果表'!D:D,'02效果表'!E:E)&lt;0, _xlfn.XLOOKUP(Z477,'02效果表'!D:D,'02效果表'!E:E), 0) +
AC477*IF(_xlfn.XLOOKUP(AB477,'02效果表'!D:D,'02效果表'!E:E)&lt;0, _xlfn.XLOOKUP(AB477,'02效果表'!D:D,'02效果表'!E:E), 0) +
AE477*IF(_xlfn.XLOOKUP(AD477,'02效果表'!D:D,'02效果表'!E:E)&lt;0, _xlfn.XLOOKUP(AD477,'02效果表'!D:D,'02效果表'!E:E), 0)), 1)</f>
        <v>0</v>
      </c>
      <c r="G477" s="7">
        <f>ROUND(1/6*(I477*MAX(_xlfn.XLOOKUP(H477,'02效果表'!D:D,'02效果表'!E:E),0)+K477*MAX(_xlfn.XLOOKUP(J477,'02效果表'!D:D,'02效果表'!E:E),0)+M477*MAX(_xlfn.XLOOKUP(L477,'02效果表'!D:D,'02效果表'!E:E),0)+O477*MAX(_xlfn.XLOOKUP(N477,'02效果表'!D:D,'02效果表'!E:E),0)+Q477*MAX(_xlfn.XLOOKUP(P477,'02效果表'!D:D,'02效果表'!E:E),0)+S477*MAX(_xlfn.XLOOKUP(R477,'02效果表'!D:D,'02效果表'!E:E),0)+U477*MAX(_xlfn.XLOOKUP(T477,'02效果表'!D:D,'02效果表'!E:E),0)+W477*MAX(_xlfn.XLOOKUP(V477,'02效果表'!D:D,'02效果表'!E:E),0)+Y477*MAX(_xlfn.XLOOKUP(X477,'02效果表'!D:D,'02效果表'!E:E),0)+AA477*MAX(_xlfn.XLOOKUP(Z477,'02效果表'!D:D,'02效果表'!E:E),0)+AC477*MAX(_xlfn.XLOOKUP(AB477,'02效果表'!D:D,'02效果表'!E:E),0)+AE477*MAX(_xlfn.XLOOKUP(AD477,'02效果表'!D:D,'02效果表'!E:E),0)),1)</f>
        <v>0</v>
      </c>
      <c r="H477" s="6"/>
      <c r="I477" s="6"/>
      <c r="J477" s="6"/>
      <c r="K477" s="6"/>
      <c r="L477" s="6"/>
      <c r="M477" s="6"/>
      <c r="N477" s="6"/>
      <c r="O477" s="6"/>
      <c r="P477" s="6"/>
      <c r="Q477" s="6"/>
      <c r="R477" s="6"/>
      <c r="S477" s="6"/>
      <c r="T477" s="6"/>
      <c r="U477" s="6"/>
      <c r="V477" s="6"/>
      <c r="W477" s="6"/>
      <c r="X477" s="6"/>
      <c r="Y477" s="6"/>
      <c r="Z477" s="6"/>
      <c r="AA477" s="6"/>
      <c r="AB477" s="6"/>
      <c r="AC477" s="6"/>
      <c r="AD477" s="6"/>
      <c r="AE477" s="6"/>
    </row>
    <row r="478" spans="1:31" x14ac:dyDescent="0.35">
      <c r="A478" s="6">
        <v>478</v>
      </c>
      <c r="B478" s="6" t="s">
        <v>6</v>
      </c>
      <c r="C478" s="10" t="s">
        <v>16</v>
      </c>
      <c r="D478" s="9" t="s">
        <v>1642</v>
      </c>
      <c r="E478" s="7">
        <f t="shared" si="14"/>
        <v>0</v>
      </c>
      <c r="F478" s="7">
        <f>-1*ROUND(1/6*(I478*IF(_xlfn.XLOOKUP(H478,'02效果表'!D:D,'02效果表'!E:E)&lt;0, _xlfn.XLOOKUP(H478,'02效果表'!D:D,'02效果表'!E:E), 0) +
K478*IF(_xlfn.XLOOKUP(J478,'02效果表'!D:D,'02效果表'!E:E)&lt;0, _xlfn.XLOOKUP(J478,'02效果表'!D:D,'02效果表'!E:E), 0) +
M478*IF(_xlfn.XLOOKUP(L478,'02效果表'!D:D,'02效果表'!E:E)&lt;0, _xlfn.XLOOKUP(L478,'02效果表'!D:D,'02效果表'!E:E), 0) +
O478*IF(_xlfn.XLOOKUP(N478,'02效果表'!D:D,'02效果表'!E:E)&lt;0, _xlfn.XLOOKUP(N478,'02效果表'!D:D,'02效果表'!E:E), 0) +
Q478*IF(_xlfn.XLOOKUP(P478,'02效果表'!D:D,'02效果表'!E:E)&lt;0, _xlfn.XLOOKUP(P478,'02效果表'!D:D,'02效果表'!E:E), 0) +
S478*IF(_xlfn.XLOOKUP(R478,'02效果表'!D:D,'02效果表'!E:E)&lt;0, _xlfn.XLOOKUP(R478,'02效果表'!D:D,'02效果表'!E:E), 0) +
U478*IF(_xlfn.XLOOKUP(T478,'02效果表'!D:D,'02效果表'!E:E)&lt;0, _xlfn.XLOOKUP(T478,'02效果表'!D:D,'02效果表'!E:E), 0) +
W478*IF(_xlfn.XLOOKUP(V478,'02效果表'!D:D,'02效果表'!E:E)&lt;0, _xlfn.XLOOKUP(V478,'02效果表'!D:D,'02效果表'!E:E), 0) +
Y478*IF(_xlfn.XLOOKUP(X478,'02效果表'!D:D,'02效果表'!E:E)&lt;0, _xlfn.XLOOKUP(X478,'02效果表'!D:D,'02效果表'!E:E), 0) +
AA478*IF(_xlfn.XLOOKUP(Z478,'02效果表'!D:D,'02效果表'!E:E)&lt;0, _xlfn.XLOOKUP(Z478,'02效果表'!D:D,'02效果表'!E:E), 0) +
AC478*IF(_xlfn.XLOOKUP(AB478,'02效果表'!D:D,'02效果表'!E:E)&lt;0, _xlfn.XLOOKUP(AB478,'02效果表'!D:D,'02效果表'!E:E), 0) +
AE478*IF(_xlfn.XLOOKUP(AD478,'02效果表'!D:D,'02效果表'!E:E)&lt;0, _xlfn.XLOOKUP(AD478,'02效果表'!D:D,'02效果表'!E:E), 0)), 1)</f>
        <v>0</v>
      </c>
      <c r="G478" s="7">
        <f>ROUND(1/6*(I478*MAX(_xlfn.XLOOKUP(H478,'02效果表'!D:D,'02效果表'!E:E),0)+K478*MAX(_xlfn.XLOOKUP(J478,'02效果表'!D:D,'02效果表'!E:E),0)+M478*MAX(_xlfn.XLOOKUP(L478,'02效果表'!D:D,'02效果表'!E:E),0)+O478*MAX(_xlfn.XLOOKUP(N478,'02效果表'!D:D,'02效果表'!E:E),0)+Q478*MAX(_xlfn.XLOOKUP(P478,'02效果表'!D:D,'02效果表'!E:E),0)+S478*MAX(_xlfn.XLOOKUP(R478,'02效果表'!D:D,'02效果表'!E:E),0)+U478*MAX(_xlfn.XLOOKUP(T478,'02效果表'!D:D,'02效果表'!E:E),0)+W478*MAX(_xlfn.XLOOKUP(V478,'02效果表'!D:D,'02效果表'!E:E),0)+Y478*MAX(_xlfn.XLOOKUP(X478,'02效果表'!D:D,'02效果表'!E:E),0)+AA478*MAX(_xlfn.XLOOKUP(Z478,'02效果表'!D:D,'02效果表'!E:E),0)+AC478*MAX(_xlfn.XLOOKUP(AB478,'02效果表'!D:D,'02效果表'!E:E),0)+AE478*MAX(_xlfn.XLOOKUP(AD478,'02效果表'!D:D,'02效果表'!E:E),0)),1)</f>
        <v>0</v>
      </c>
      <c r="H478" s="6"/>
      <c r="I478" s="6"/>
      <c r="J478" s="6"/>
      <c r="K478" s="6"/>
      <c r="L478" s="6"/>
      <c r="M478" s="6"/>
      <c r="N478" s="6"/>
      <c r="O478" s="6"/>
      <c r="P478" s="6"/>
      <c r="Q478" s="6"/>
      <c r="R478" s="6"/>
      <c r="S478" s="6"/>
      <c r="T478" s="6"/>
      <c r="U478" s="6"/>
      <c r="V478" s="6"/>
      <c r="W478" s="6"/>
      <c r="X478" s="6"/>
      <c r="Y478" s="6"/>
      <c r="Z478" s="6"/>
      <c r="AA478" s="6"/>
      <c r="AB478" s="6"/>
      <c r="AC478" s="6"/>
      <c r="AD478" s="6"/>
      <c r="AE478" s="6"/>
    </row>
    <row r="479" spans="1:31" x14ac:dyDescent="0.35">
      <c r="A479" s="6">
        <v>479</v>
      </c>
      <c r="B479" s="6" t="s">
        <v>6</v>
      </c>
      <c r="C479" s="10" t="s">
        <v>16</v>
      </c>
      <c r="D479" s="9" t="s">
        <v>1643</v>
      </c>
      <c r="E479" s="7">
        <f t="shared" si="14"/>
        <v>0</v>
      </c>
      <c r="F479" s="7">
        <f>-1*ROUND(1/6*(I479*IF(_xlfn.XLOOKUP(H479,'02效果表'!D:D,'02效果表'!E:E)&lt;0, _xlfn.XLOOKUP(H479,'02效果表'!D:D,'02效果表'!E:E), 0) +
K479*IF(_xlfn.XLOOKUP(J479,'02效果表'!D:D,'02效果表'!E:E)&lt;0, _xlfn.XLOOKUP(J479,'02效果表'!D:D,'02效果表'!E:E), 0) +
M479*IF(_xlfn.XLOOKUP(L479,'02效果表'!D:D,'02效果表'!E:E)&lt;0, _xlfn.XLOOKUP(L479,'02效果表'!D:D,'02效果表'!E:E), 0) +
O479*IF(_xlfn.XLOOKUP(N479,'02效果表'!D:D,'02效果表'!E:E)&lt;0, _xlfn.XLOOKUP(N479,'02效果表'!D:D,'02效果表'!E:E), 0) +
Q479*IF(_xlfn.XLOOKUP(P479,'02效果表'!D:D,'02效果表'!E:E)&lt;0, _xlfn.XLOOKUP(P479,'02效果表'!D:D,'02效果表'!E:E), 0) +
S479*IF(_xlfn.XLOOKUP(R479,'02效果表'!D:D,'02效果表'!E:E)&lt;0, _xlfn.XLOOKUP(R479,'02效果表'!D:D,'02效果表'!E:E), 0) +
U479*IF(_xlfn.XLOOKUP(T479,'02效果表'!D:D,'02效果表'!E:E)&lt;0, _xlfn.XLOOKUP(T479,'02效果表'!D:D,'02效果表'!E:E), 0) +
W479*IF(_xlfn.XLOOKUP(V479,'02效果表'!D:D,'02效果表'!E:E)&lt;0, _xlfn.XLOOKUP(V479,'02效果表'!D:D,'02效果表'!E:E), 0) +
Y479*IF(_xlfn.XLOOKUP(X479,'02效果表'!D:D,'02效果表'!E:E)&lt;0, _xlfn.XLOOKUP(X479,'02效果表'!D:D,'02效果表'!E:E), 0) +
AA479*IF(_xlfn.XLOOKUP(Z479,'02效果表'!D:D,'02效果表'!E:E)&lt;0, _xlfn.XLOOKUP(Z479,'02效果表'!D:D,'02效果表'!E:E), 0) +
AC479*IF(_xlfn.XLOOKUP(AB479,'02效果表'!D:D,'02效果表'!E:E)&lt;0, _xlfn.XLOOKUP(AB479,'02效果表'!D:D,'02效果表'!E:E), 0) +
AE479*IF(_xlfn.XLOOKUP(AD479,'02效果表'!D:D,'02效果表'!E:E)&lt;0, _xlfn.XLOOKUP(AD479,'02效果表'!D:D,'02效果表'!E:E), 0)), 1)</f>
        <v>0</v>
      </c>
      <c r="G479" s="7">
        <f>ROUND(1/6*(I479*MAX(_xlfn.XLOOKUP(H479,'02效果表'!D:D,'02效果表'!E:E),0)+K479*MAX(_xlfn.XLOOKUP(J479,'02效果表'!D:D,'02效果表'!E:E),0)+M479*MAX(_xlfn.XLOOKUP(L479,'02效果表'!D:D,'02效果表'!E:E),0)+O479*MAX(_xlfn.XLOOKUP(N479,'02效果表'!D:D,'02效果表'!E:E),0)+Q479*MAX(_xlfn.XLOOKUP(P479,'02效果表'!D:D,'02效果表'!E:E),0)+S479*MAX(_xlfn.XLOOKUP(R479,'02效果表'!D:D,'02效果表'!E:E),0)+U479*MAX(_xlfn.XLOOKUP(T479,'02效果表'!D:D,'02效果表'!E:E),0)+W479*MAX(_xlfn.XLOOKUP(V479,'02效果表'!D:D,'02效果表'!E:E),0)+Y479*MAX(_xlfn.XLOOKUP(X479,'02效果表'!D:D,'02效果表'!E:E),0)+AA479*MAX(_xlfn.XLOOKUP(Z479,'02效果表'!D:D,'02效果表'!E:E),0)+AC479*MAX(_xlfn.XLOOKUP(AB479,'02效果表'!D:D,'02效果表'!E:E),0)+AE479*MAX(_xlfn.XLOOKUP(AD479,'02效果表'!D:D,'02效果表'!E:E),0)),1)</f>
        <v>0</v>
      </c>
      <c r="H479" s="6"/>
      <c r="I479" s="6"/>
      <c r="J479" s="6"/>
      <c r="K479" s="6"/>
      <c r="L479" s="6"/>
      <c r="M479" s="6"/>
      <c r="N479" s="6"/>
      <c r="O479" s="6"/>
      <c r="P479" s="6"/>
      <c r="Q479" s="6"/>
      <c r="R479" s="6"/>
      <c r="S479" s="6"/>
      <c r="T479" s="6"/>
      <c r="U479" s="6"/>
      <c r="V479" s="6"/>
      <c r="W479" s="6"/>
      <c r="X479" s="6"/>
      <c r="Y479" s="6"/>
      <c r="Z479" s="6"/>
      <c r="AA479" s="6"/>
      <c r="AB479" s="6"/>
      <c r="AC479" s="6"/>
      <c r="AD479" s="6"/>
      <c r="AE479" s="6"/>
    </row>
    <row r="480" spans="1:31" x14ac:dyDescent="0.35">
      <c r="A480" s="6">
        <v>480</v>
      </c>
      <c r="B480" s="6" t="s">
        <v>6</v>
      </c>
      <c r="C480" s="10" t="s">
        <v>16</v>
      </c>
      <c r="D480" s="9" t="s">
        <v>1644</v>
      </c>
      <c r="E480" s="7">
        <f t="shared" si="14"/>
        <v>0</v>
      </c>
      <c r="F480" s="7">
        <f>-1*ROUND(1/6*(I480*IF(_xlfn.XLOOKUP(H480,'02效果表'!D:D,'02效果表'!E:E)&lt;0, _xlfn.XLOOKUP(H480,'02效果表'!D:D,'02效果表'!E:E), 0) +
K480*IF(_xlfn.XLOOKUP(J480,'02效果表'!D:D,'02效果表'!E:E)&lt;0, _xlfn.XLOOKUP(J480,'02效果表'!D:D,'02效果表'!E:E), 0) +
M480*IF(_xlfn.XLOOKUP(L480,'02效果表'!D:D,'02效果表'!E:E)&lt;0, _xlfn.XLOOKUP(L480,'02效果表'!D:D,'02效果表'!E:E), 0) +
O480*IF(_xlfn.XLOOKUP(N480,'02效果表'!D:D,'02效果表'!E:E)&lt;0, _xlfn.XLOOKUP(N480,'02效果表'!D:D,'02效果表'!E:E), 0) +
Q480*IF(_xlfn.XLOOKUP(P480,'02效果表'!D:D,'02效果表'!E:E)&lt;0, _xlfn.XLOOKUP(P480,'02效果表'!D:D,'02效果表'!E:E), 0) +
S480*IF(_xlfn.XLOOKUP(R480,'02效果表'!D:D,'02效果表'!E:E)&lt;0, _xlfn.XLOOKUP(R480,'02效果表'!D:D,'02效果表'!E:E), 0) +
U480*IF(_xlfn.XLOOKUP(T480,'02效果表'!D:D,'02效果表'!E:E)&lt;0, _xlfn.XLOOKUP(T480,'02效果表'!D:D,'02效果表'!E:E), 0) +
W480*IF(_xlfn.XLOOKUP(V480,'02效果表'!D:D,'02效果表'!E:E)&lt;0, _xlfn.XLOOKUP(V480,'02效果表'!D:D,'02效果表'!E:E), 0) +
Y480*IF(_xlfn.XLOOKUP(X480,'02效果表'!D:D,'02效果表'!E:E)&lt;0, _xlfn.XLOOKUP(X480,'02效果表'!D:D,'02效果表'!E:E), 0) +
AA480*IF(_xlfn.XLOOKUP(Z480,'02效果表'!D:D,'02效果表'!E:E)&lt;0, _xlfn.XLOOKUP(Z480,'02效果表'!D:D,'02效果表'!E:E), 0) +
AC480*IF(_xlfn.XLOOKUP(AB480,'02效果表'!D:D,'02效果表'!E:E)&lt;0, _xlfn.XLOOKUP(AB480,'02效果表'!D:D,'02效果表'!E:E), 0) +
AE480*IF(_xlfn.XLOOKUP(AD480,'02效果表'!D:D,'02效果表'!E:E)&lt;0, _xlfn.XLOOKUP(AD480,'02效果表'!D:D,'02效果表'!E:E), 0)), 1)</f>
        <v>0</v>
      </c>
      <c r="G480" s="7">
        <f>ROUND(1/6*(I480*MAX(_xlfn.XLOOKUP(H480,'02效果表'!D:D,'02效果表'!E:E),0)+K480*MAX(_xlfn.XLOOKUP(J480,'02效果表'!D:D,'02效果表'!E:E),0)+M480*MAX(_xlfn.XLOOKUP(L480,'02效果表'!D:D,'02效果表'!E:E),0)+O480*MAX(_xlfn.XLOOKUP(N480,'02效果表'!D:D,'02效果表'!E:E),0)+Q480*MAX(_xlfn.XLOOKUP(P480,'02效果表'!D:D,'02效果表'!E:E),0)+S480*MAX(_xlfn.XLOOKUP(R480,'02效果表'!D:D,'02效果表'!E:E),0)+U480*MAX(_xlfn.XLOOKUP(T480,'02效果表'!D:D,'02效果表'!E:E),0)+W480*MAX(_xlfn.XLOOKUP(V480,'02效果表'!D:D,'02效果表'!E:E),0)+Y480*MAX(_xlfn.XLOOKUP(X480,'02效果表'!D:D,'02效果表'!E:E),0)+AA480*MAX(_xlfn.XLOOKUP(Z480,'02效果表'!D:D,'02效果表'!E:E),0)+AC480*MAX(_xlfn.XLOOKUP(AB480,'02效果表'!D:D,'02效果表'!E:E),0)+AE480*MAX(_xlfn.XLOOKUP(AD480,'02效果表'!D:D,'02效果表'!E:E),0)),1)</f>
        <v>0</v>
      </c>
      <c r="H480" s="6"/>
      <c r="I480" s="6"/>
      <c r="J480" s="6"/>
      <c r="K480" s="6"/>
      <c r="L480" s="6"/>
      <c r="M480" s="6"/>
      <c r="N480" s="6"/>
      <c r="O480" s="6"/>
      <c r="P480" s="6"/>
      <c r="Q480" s="6"/>
      <c r="R480" s="6"/>
      <c r="S480" s="6"/>
      <c r="T480" s="6"/>
      <c r="U480" s="6"/>
      <c r="V480" s="6"/>
      <c r="W480" s="6"/>
      <c r="X480" s="6"/>
      <c r="Y480" s="6"/>
      <c r="Z480" s="6"/>
      <c r="AA480" s="6"/>
      <c r="AB480" s="6"/>
      <c r="AC480" s="6"/>
      <c r="AD480" s="6"/>
      <c r="AE480" s="6"/>
    </row>
    <row r="481" spans="1:31" x14ac:dyDescent="0.35">
      <c r="A481" s="6">
        <v>481</v>
      </c>
      <c r="B481" s="6" t="s">
        <v>6</v>
      </c>
      <c r="C481" s="10" t="s">
        <v>16</v>
      </c>
      <c r="D481" s="9" t="s">
        <v>1645</v>
      </c>
      <c r="E481" s="7">
        <f t="shared" si="14"/>
        <v>0</v>
      </c>
      <c r="F481" s="7">
        <f>-1*ROUND(1/6*(I481*IF(_xlfn.XLOOKUP(H481,'02效果表'!D:D,'02效果表'!E:E)&lt;0, _xlfn.XLOOKUP(H481,'02效果表'!D:D,'02效果表'!E:E), 0) +
K481*IF(_xlfn.XLOOKUP(J481,'02效果表'!D:D,'02效果表'!E:E)&lt;0, _xlfn.XLOOKUP(J481,'02效果表'!D:D,'02效果表'!E:E), 0) +
M481*IF(_xlfn.XLOOKUP(L481,'02效果表'!D:D,'02效果表'!E:E)&lt;0, _xlfn.XLOOKUP(L481,'02效果表'!D:D,'02效果表'!E:E), 0) +
O481*IF(_xlfn.XLOOKUP(N481,'02效果表'!D:D,'02效果表'!E:E)&lt;0, _xlfn.XLOOKUP(N481,'02效果表'!D:D,'02效果表'!E:E), 0) +
Q481*IF(_xlfn.XLOOKUP(P481,'02效果表'!D:D,'02效果表'!E:E)&lt;0, _xlfn.XLOOKUP(P481,'02效果表'!D:D,'02效果表'!E:E), 0) +
S481*IF(_xlfn.XLOOKUP(R481,'02效果表'!D:D,'02效果表'!E:E)&lt;0, _xlfn.XLOOKUP(R481,'02效果表'!D:D,'02效果表'!E:E), 0) +
U481*IF(_xlfn.XLOOKUP(T481,'02效果表'!D:D,'02效果表'!E:E)&lt;0, _xlfn.XLOOKUP(T481,'02效果表'!D:D,'02效果表'!E:E), 0) +
W481*IF(_xlfn.XLOOKUP(V481,'02效果表'!D:D,'02效果表'!E:E)&lt;0, _xlfn.XLOOKUP(V481,'02效果表'!D:D,'02效果表'!E:E), 0) +
Y481*IF(_xlfn.XLOOKUP(X481,'02效果表'!D:D,'02效果表'!E:E)&lt;0, _xlfn.XLOOKUP(X481,'02效果表'!D:D,'02效果表'!E:E), 0) +
AA481*IF(_xlfn.XLOOKUP(Z481,'02效果表'!D:D,'02效果表'!E:E)&lt;0, _xlfn.XLOOKUP(Z481,'02效果表'!D:D,'02效果表'!E:E), 0) +
AC481*IF(_xlfn.XLOOKUP(AB481,'02效果表'!D:D,'02效果表'!E:E)&lt;0, _xlfn.XLOOKUP(AB481,'02效果表'!D:D,'02效果表'!E:E), 0) +
AE481*IF(_xlfn.XLOOKUP(AD481,'02效果表'!D:D,'02效果表'!E:E)&lt;0, _xlfn.XLOOKUP(AD481,'02效果表'!D:D,'02效果表'!E:E), 0)), 1)</f>
        <v>0</v>
      </c>
      <c r="G481" s="7">
        <f>ROUND(1/6*(I481*MAX(_xlfn.XLOOKUP(H481,'02效果表'!D:D,'02效果表'!E:E),0)+K481*MAX(_xlfn.XLOOKUP(J481,'02效果表'!D:D,'02效果表'!E:E),0)+M481*MAX(_xlfn.XLOOKUP(L481,'02效果表'!D:D,'02效果表'!E:E),0)+O481*MAX(_xlfn.XLOOKUP(N481,'02效果表'!D:D,'02效果表'!E:E),0)+Q481*MAX(_xlfn.XLOOKUP(P481,'02效果表'!D:D,'02效果表'!E:E),0)+S481*MAX(_xlfn.XLOOKUP(R481,'02效果表'!D:D,'02效果表'!E:E),0)+U481*MAX(_xlfn.XLOOKUP(T481,'02效果表'!D:D,'02效果表'!E:E),0)+W481*MAX(_xlfn.XLOOKUP(V481,'02效果表'!D:D,'02效果表'!E:E),0)+Y481*MAX(_xlfn.XLOOKUP(X481,'02效果表'!D:D,'02效果表'!E:E),0)+AA481*MAX(_xlfn.XLOOKUP(Z481,'02效果表'!D:D,'02效果表'!E:E),0)+AC481*MAX(_xlfn.XLOOKUP(AB481,'02效果表'!D:D,'02效果表'!E:E),0)+AE481*MAX(_xlfn.XLOOKUP(AD481,'02效果表'!D:D,'02效果表'!E:E),0)),1)</f>
        <v>0</v>
      </c>
      <c r="H481" s="6"/>
      <c r="I481" s="6"/>
      <c r="J481" s="6"/>
      <c r="K481" s="6"/>
      <c r="L481" s="6"/>
      <c r="M481" s="6"/>
      <c r="N481" s="6"/>
      <c r="O481" s="6"/>
      <c r="P481" s="6"/>
      <c r="Q481" s="6"/>
      <c r="R481" s="6"/>
      <c r="S481" s="6"/>
      <c r="T481" s="6"/>
      <c r="U481" s="6"/>
      <c r="V481" s="6"/>
      <c r="W481" s="6"/>
      <c r="X481" s="6"/>
      <c r="Y481" s="6"/>
      <c r="Z481" s="6"/>
      <c r="AA481" s="6"/>
      <c r="AB481" s="6"/>
      <c r="AC481" s="6"/>
      <c r="AD481" s="6"/>
      <c r="AE481" s="6"/>
    </row>
    <row r="482" spans="1:31" x14ac:dyDescent="0.35">
      <c r="A482" s="6">
        <v>482</v>
      </c>
      <c r="B482" s="6" t="s">
        <v>6</v>
      </c>
      <c r="C482" s="10" t="s">
        <v>16</v>
      </c>
      <c r="D482" s="9"/>
      <c r="E482" s="7">
        <f t="shared" si="14"/>
        <v>0</v>
      </c>
      <c r="F482" s="7">
        <f>-1*ROUND(1/6*(I482*IF(_xlfn.XLOOKUP(H482,'02效果表'!D:D,'02效果表'!E:E)&lt;0, _xlfn.XLOOKUP(H482,'02效果表'!D:D,'02效果表'!E:E), 0) +
K482*IF(_xlfn.XLOOKUP(J482,'02效果表'!D:D,'02效果表'!E:E)&lt;0, _xlfn.XLOOKUP(J482,'02效果表'!D:D,'02效果表'!E:E), 0) +
M482*IF(_xlfn.XLOOKUP(L482,'02效果表'!D:D,'02效果表'!E:E)&lt;0, _xlfn.XLOOKUP(L482,'02效果表'!D:D,'02效果表'!E:E), 0) +
O482*IF(_xlfn.XLOOKUP(N482,'02效果表'!D:D,'02效果表'!E:E)&lt;0, _xlfn.XLOOKUP(N482,'02效果表'!D:D,'02效果表'!E:E), 0) +
Q482*IF(_xlfn.XLOOKUP(P482,'02效果表'!D:D,'02效果表'!E:E)&lt;0, _xlfn.XLOOKUP(P482,'02效果表'!D:D,'02效果表'!E:E), 0) +
S482*IF(_xlfn.XLOOKUP(R482,'02效果表'!D:D,'02效果表'!E:E)&lt;0, _xlfn.XLOOKUP(R482,'02效果表'!D:D,'02效果表'!E:E), 0) +
U482*IF(_xlfn.XLOOKUP(T482,'02效果表'!D:D,'02效果表'!E:E)&lt;0, _xlfn.XLOOKUP(T482,'02效果表'!D:D,'02效果表'!E:E), 0) +
W482*IF(_xlfn.XLOOKUP(V482,'02效果表'!D:D,'02效果表'!E:E)&lt;0, _xlfn.XLOOKUP(V482,'02效果表'!D:D,'02效果表'!E:E), 0) +
Y482*IF(_xlfn.XLOOKUP(X482,'02效果表'!D:D,'02效果表'!E:E)&lt;0, _xlfn.XLOOKUP(X482,'02效果表'!D:D,'02效果表'!E:E), 0) +
AA482*IF(_xlfn.XLOOKUP(Z482,'02效果表'!D:D,'02效果表'!E:E)&lt;0, _xlfn.XLOOKUP(Z482,'02效果表'!D:D,'02效果表'!E:E), 0) +
AC482*IF(_xlfn.XLOOKUP(AB482,'02效果表'!D:D,'02效果表'!E:E)&lt;0, _xlfn.XLOOKUP(AB482,'02效果表'!D:D,'02效果表'!E:E), 0) +
AE482*IF(_xlfn.XLOOKUP(AD482,'02效果表'!D:D,'02效果表'!E:E)&lt;0, _xlfn.XLOOKUP(AD482,'02效果表'!D:D,'02效果表'!E:E), 0)), 1)</f>
        <v>0</v>
      </c>
      <c r="G482" s="7">
        <f>ROUND(1/6*(I482*MAX(_xlfn.XLOOKUP(H482,'02效果表'!D:D,'02效果表'!E:E),0)+K482*MAX(_xlfn.XLOOKUP(J482,'02效果表'!D:D,'02效果表'!E:E),0)+M482*MAX(_xlfn.XLOOKUP(L482,'02效果表'!D:D,'02效果表'!E:E),0)+O482*MAX(_xlfn.XLOOKUP(N482,'02效果表'!D:D,'02效果表'!E:E),0)+Q482*MAX(_xlfn.XLOOKUP(P482,'02效果表'!D:D,'02效果表'!E:E),0)+S482*MAX(_xlfn.XLOOKUP(R482,'02效果表'!D:D,'02效果表'!E:E),0)+U482*MAX(_xlfn.XLOOKUP(T482,'02效果表'!D:D,'02效果表'!E:E),0)+W482*MAX(_xlfn.XLOOKUP(V482,'02效果表'!D:D,'02效果表'!E:E),0)+Y482*MAX(_xlfn.XLOOKUP(X482,'02效果表'!D:D,'02效果表'!E:E),0)+AA482*MAX(_xlfn.XLOOKUP(Z482,'02效果表'!D:D,'02效果表'!E:E),0)+AC482*MAX(_xlfn.XLOOKUP(AB482,'02效果表'!D:D,'02效果表'!E:E),0)+AE482*MAX(_xlfn.XLOOKUP(AD482,'02效果表'!D:D,'02效果表'!E:E),0)),1)</f>
        <v>0</v>
      </c>
      <c r="H482" s="6"/>
      <c r="I482" s="6"/>
      <c r="J482" s="6"/>
      <c r="K482" s="6"/>
      <c r="L482" s="6"/>
      <c r="M482" s="6"/>
      <c r="N482" s="6"/>
      <c r="O482" s="6"/>
      <c r="P482" s="6"/>
      <c r="Q482" s="6"/>
      <c r="R482" s="6"/>
      <c r="S482" s="6"/>
      <c r="T482" s="6"/>
      <c r="U482" s="6"/>
      <c r="V482" s="6"/>
      <c r="W482" s="6"/>
      <c r="X482" s="6"/>
      <c r="Y482" s="6"/>
      <c r="Z482" s="6"/>
      <c r="AA482" s="6"/>
      <c r="AB482" s="6"/>
      <c r="AC482" s="6"/>
      <c r="AD482" s="6"/>
      <c r="AE482" s="6"/>
    </row>
    <row r="483" spans="1:31" x14ac:dyDescent="0.35">
      <c r="A483" s="6">
        <v>483</v>
      </c>
      <c r="B483" s="6" t="s">
        <v>6</v>
      </c>
      <c r="C483" s="10" t="s">
        <v>16</v>
      </c>
      <c r="D483" s="9"/>
      <c r="E483" s="7">
        <f t="shared" si="14"/>
        <v>0</v>
      </c>
      <c r="F483" s="7">
        <f>-1*ROUND(1/6*(I483*IF(_xlfn.XLOOKUP(H483,'02效果表'!D:D,'02效果表'!E:E)&lt;0, _xlfn.XLOOKUP(H483,'02效果表'!D:D,'02效果表'!E:E), 0) +
K483*IF(_xlfn.XLOOKUP(J483,'02效果表'!D:D,'02效果表'!E:E)&lt;0, _xlfn.XLOOKUP(J483,'02效果表'!D:D,'02效果表'!E:E), 0) +
M483*IF(_xlfn.XLOOKUP(L483,'02效果表'!D:D,'02效果表'!E:E)&lt;0, _xlfn.XLOOKUP(L483,'02效果表'!D:D,'02效果表'!E:E), 0) +
O483*IF(_xlfn.XLOOKUP(N483,'02效果表'!D:D,'02效果表'!E:E)&lt;0, _xlfn.XLOOKUP(N483,'02效果表'!D:D,'02效果表'!E:E), 0) +
Q483*IF(_xlfn.XLOOKUP(P483,'02效果表'!D:D,'02效果表'!E:E)&lt;0, _xlfn.XLOOKUP(P483,'02效果表'!D:D,'02效果表'!E:E), 0) +
S483*IF(_xlfn.XLOOKUP(R483,'02效果表'!D:D,'02效果表'!E:E)&lt;0, _xlfn.XLOOKUP(R483,'02效果表'!D:D,'02效果表'!E:E), 0) +
U483*IF(_xlfn.XLOOKUP(T483,'02效果表'!D:D,'02效果表'!E:E)&lt;0, _xlfn.XLOOKUP(T483,'02效果表'!D:D,'02效果表'!E:E), 0) +
W483*IF(_xlfn.XLOOKUP(V483,'02效果表'!D:D,'02效果表'!E:E)&lt;0, _xlfn.XLOOKUP(V483,'02效果表'!D:D,'02效果表'!E:E), 0) +
Y483*IF(_xlfn.XLOOKUP(X483,'02效果表'!D:D,'02效果表'!E:E)&lt;0, _xlfn.XLOOKUP(X483,'02效果表'!D:D,'02效果表'!E:E), 0) +
AA483*IF(_xlfn.XLOOKUP(Z483,'02效果表'!D:D,'02效果表'!E:E)&lt;0, _xlfn.XLOOKUP(Z483,'02效果表'!D:D,'02效果表'!E:E), 0) +
AC483*IF(_xlfn.XLOOKUP(AB483,'02效果表'!D:D,'02效果表'!E:E)&lt;0, _xlfn.XLOOKUP(AB483,'02效果表'!D:D,'02效果表'!E:E), 0) +
AE483*IF(_xlfn.XLOOKUP(AD483,'02效果表'!D:D,'02效果表'!E:E)&lt;0, _xlfn.XLOOKUP(AD483,'02效果表'!D:D,'02效果表'!E:E), 0)), 1)</f>
        <v>0</v>
      </c>
      <c r="G483" s="7">
        <f>ROUND(1/6*(I483*MAX(_xlfn.XLOOKUP(H483,'02效果表'!D:D,'02效果表'!E:E),0)+K483*MAX(_xlfn.XLOOKUP(J483,'02效果表'!D:D,'02效果表'!E:E),0)+M483*MAX(_xlfn.XLOOKUP(L483,'02效果表'!D:D,'02效果表'!E:E),0)+O483*MAX(_xlfn.XLOOKUP(N483,'02效果表'!D:D,'02效果表'!E:E),0)+Q483*MAX(_xlfn.XLOOKUP(P483,'02效果表'!D:D,'02效果表'!E:E),0)+S483*MAX(_xlfn.XLOOKUP(R483,'02效果表'!D:D,'02效果表'!E:E),0)+U483*MAX(_xlfn.XLOOKUP(T483,'02效果表'!D:D,'02效果表'!E:E),0)+W483*MAX(_xlfn.XLOOKUP(V483,'02效果表'!D:D,'02效果表'!E:E),0)+Y483*MAX(_xlfn.XLOOKUP(X483,'02效果表'!D:D,'02效果表'!E:E),0)+AA483*MAX(_xlfn.XLOOKUP(Z483,'02效果表'!D:D,'02效果表'!E:E),0)+AC483*MAX(_xlfn.XLOOKUP(AB483,'02效果表'!D:D,'02效果表'!E:E),0)+AE483*MAX(_xlfn.XLOOKUP(AD483,'02效果表'!D:D,'02效果表'!E:E),0)),1)</f>
        <v>0</v>
      </c>
      <c r="H483" s="6"/>
      <c r="I483" s="6"/>
      <c r="J483" s="6"/>
      <c r="K483" s="6"/>
      <c r="L483" s="6"/>
      <c r="M483" s="6"/>
      <c r="N483" s="6"/>
      <c r="O483" s="6"/>
      <c r="P483" s="6"/>
      <c r="Q483" s="6"/>
      <c r="R483" s="6"/>
      <c r="S483" s="6"/>
      <c r="T483" s="6"/>
      <c r="U483" s="6"/>
      <c r="V483" s="6"/>
      <c r="W483" s="6"/>
      <c r="X483" s="6"/>
      <c r="Y483" s="6"/>
      <c r="Z483" s="6"/>
      <c r="AA483" s="6"/>
      <c r="AB483" s="6"/>
      <c r="AC483" s="6"/>
      <c r="AD483" s="6"/>
      <c r="AE483" s="6"/>
    </row>
    <row r="484" spans="1:31" x14ac:dyDescent="0.35">
      <c r="A484" s="6">
        <v>484</v>
      </c>
      <c r="B484" s="6" t="s">
        <v>6</v>
      </c>
      <c r="C484" s="10" t="s">
        <v>16</v>
      </c>
      <c r="D484" s="9"/>
      <c r="E484" s="7">
        <f t="shared" si="14"/>
        <v>0</v>
      </c>
      <c r="F484" s="7">
        <f>-1*ROUND(1/6*(I484*IF(_xlfn.XLOOKUP(H484,'02效果表'!D:D,'02效果表'!E:E)&lt;0, _xlfn.XLOOKUP(H484,'02效果表'!D:D,'02效果表'!E:E), 0) +
K484*IF(_xlfn.XLOOKUP(J484,'02效果表'!D:D,'02效果表'!E:E)&lt;0, _xlfn.XLOOKUP(J484,'02效果表'!D:D,'02效果表'!E:E), 0) +
M484*IF(_xlfn.XLOOKUP(L484,'02效果表'!D:D,'02效果表'!E:E)&lt;0, _xlfn.XLOOKUP(L484,'02效果表'!D:D,'02效果表'!E:E), 0) +
O484*IF(_xlfn.XLOOKUP(N484,'02效果表'!D:D,'02效果表'!E:E)&lt;0, _xlfn.XLOOKUP(N484,'02效果表'!D:D,'02效果表'!E:E), 0) +
Q484*IF(_xlfn.XLOOKUP(P484,'02效果表'!D:D,'02效果表'!E:E)&lt;0, _xlfn.XLOOKUP(P484,'02效果表'!D:D,'02效果表'!E:E), 0) +
S484*IF(_xlfn.XLOOKUP(R484,'02效果表'!D:D,'02效果表'!E:E)&lt;0, _xlfn.XLOOKUP(R484,'02效果表'!D:D,'02效果表'!E:E), 0) +
U484*IF(_xlfn.XLOOKUP(T484,'02效果表'!D:D,'02效果表'!E:E)&lt;0, _xlfn.XLOOKUP(T484,'02效果表'!D:D,'02效果表'!E:E), 0) +
W484*IF(_xlfn.XLOOKUP(V484,'02效果表'!D:D,'02效果表'!E:E)&lt;0, _xlfn.XLOOKUP(V484,'02效果表'!D:D,'02效果表'!E:E), 0) +
Y484*IF(_xlfn.XLOOKUP(X484,'02效果表'!D:D,'02效果表'!E:E)&lt;0, _xlfn.XLOOKUP(X484,'02效果表'!D:D,'02效果表'!E:E), 0) +
AA484*IF(_xlfn.XLOOKUP(Z484,'02效果表'!D:D,'02效果表'!E:E)&lt;0, _xlfn.XLOOKUP(Z484,'02效果表'!D:D,'02效果表'!E:E), 0) +
AC484*IF(_xlfn.XLOOKUP(AB484,'02效果表'!D:D,'02效果表'!E:E)&lt;0, _xlfn.XLOOKUP(AB484,'02效果表'!D:D,'02效果表'!E:E), 0) +
AE484*IF(_xlfn.XLOOKUP(AD484,'02效果表'!D:D,'02效果表'!E:E)&lt;0, _xlfn.XLOOKUP(AD484,'02效果表'!D:D,'02效果表'!E:E), 0)), 1)</f>
        <v>0</v>
      </c>
      <c r="G484" s="7">
        <f>ROUND(1/6*(I484*MAX(_xlfn.XLOOKUP(H484,'02效果表'!D:D,'02效果表'!E:E),0)+K484*MAX(_xlfn.XLOOKUP(J484,'02效果表'!D:D,'02效果表'!E:E),0)+M484*MAX(_xlfn.XLOOKUP(L484,'02效果表'!D:D,'02效果表'!E:E),0)+O484*MAX(_xlfn.XLOOKUP(N484,'02效果表'!D:D,'02效果表'!E:E),0)+Q484*MAX(_xlfn.XLOOKUP(P484,'02效果表'!D:D,'02效果表'!E:E),0)+S484*MAX(_xlfn.XLOOKUP(R484,'02效果表'!D:D,'02效果表'!E:E),0)+U484*MAX(_xlfn.XLOOKUP(T484,'02效果表'!D:D,'02效果表'!E:E),0)+W484*MAX(_xlfn.XLOOKUP(V484,'02效果表'!D:D,'02效果表'!E:E),0)+Y484*MAX(_xlfn.XLOOKUP(X484,'02效果表'!D:D,'02效果表'!E:E),0)+AA484*MAX(_xlfn.XLOOKUP(Z484,'02效果表'!D:D,'02效果表'!E:E),0)+AC484*MAX(_xlfn.XLOOKUP(AB484,'02效果表'!D:D,'02效果表'!E:E),0)+AE484*MAX(_xlfn.XLOOKUP(AD484,'02效果表'!D:D,'02效果表'!E:E),0)),1)</f>
        <v>0</v>
      </c>
      <c r="H484" s="6"/>
      <c r="I484" s="6"/>
      <c r="J484" s="6"/>
      <c r="K484" s="6"/>
      <c r="L484" s="6"/>
      <c r="M484" s="6"/>
      <c r="N484" s="6"/>
      <c r="O484" s="6"/>
      <c r="P484" s="6"/>
      <c r="Q484" s="6"/>
      <c r="R484" s="6"/>
      <c r="S484" s="6"/>
      <c r="T484" s="6"/>
      <c r="U484" s="6"/>
      <c r="V484" s="6"/>
      <c r="W484" s="6"/>
      <c r="X484" s="6"/>
      <c r="Y484" s="6"/>
      <c r="Z484" s="6"/>
      <c r="AA484" s="6"/>
      <c r="AB484" s="6"/>
      <c r="AC484" s="6"/>
      <c r="AD484" s="6"/>
      <c r="AE484" s="6"/>
    </row>
    <row r="485" spans="1:31" x14ac:dyDescent="0.35">
      <c r="A485" s="6">
        <v>485</v>
      </c>
      <c r="B485" s="6" t="s">
        <v>6</v>
      </c>
      <c r="C485" s="10" t="s">
        <v>16</v>
      </c>
      <c r="D485" s="9"/>
      <c r="E485" s="7">
        <f t="shared" si="14"/>
        <v>0</v>
      </c>
      <c r="F485" s="7">
        <f>-1*ROUND(1/6*(I485*IF(_xlfn.XLOOKUP(H485,'02效果表'!D:D,'02效果表'!E:E)&lt;0, _xlfn.XLOOKUP(H485,'02效果表'!D:D,'02效果表'!E:E), 0) +
K485*IF(_xlfn.XLOOKUP(J485,'02效果表'!D:D,'02效果表'!E:E)&lt;0, _xlfn.XLOOKUP(J485,'02效果表'!D:D,'02效果表'!E:E), 0) +
M485*IF(_xlfn.XLOOKUP(L485,'02效果表'!D:D,'02效果表'!E:E)&lt;0, _xlfn.XLOOKUP(L485,'02效果表'!D:D,'02效果表'!E:E), 0) +
O485*IF(_xlfn.XLOOKUP(N485,'02效果表'!D:D,'02效果表'!E:E)&lt;0, _xlfn.XLOOKUP(N485,'02效果表'!D:D,'02效果表'!E:E), 0) +
Q485*IF(_xlfn.XLOOKUP(P485,'02效果表'!D:D,'02效果表'!E:E)&lt;0, _xlfn.XLOOKUP(P485,'02效果表'!D:D,'02效果表'!E:E), 0) +
S485*IF(_xlfn.XLOOKUP(R485,'02效果表'!D:D,'02效果表'!E:E)&lt;0, _xlfn.XLOOKUP(R485,'02效果表'!D:D,'02效果表'!E:E), 0) +
U485*IF(_xlfn.XLOOKUP(T485,'02效果表'!D:D,'02效果表'!E:E)&lt;0, _xlfn.XLOOKUP(T485,'02效果表'!D:D,'02效果表'!E:E), 0) +
W485*IF(_xlfn.XLOOKUP(V485,'02效果表'!D:D,'02效果表'!E:E)&lt;0, _xlfn.XLOOKUP(V485,'02效果表'!D:D,'02效果表'!E:E), 0) +
Y485*IF(_xlfn.XLOOKUP(X485,'02效果表'!D:D,'02效果表'!E:E)&lt;0, _xlfn.XLOOKUP(X485,'02效果表'!D:D,'02效果表'!E:E), 0) +
AA485*IF(_xlfn.XLOOKUP(Z485,'02效果表'!D:D,'02效果表'!E:E)&lt;0, _xlfn.XLOOKUP(Z485,'02效果表'!D:D,'02效果表'!E:E), 0) +
AC485*IF(_xlfn.XLOOKUP(AB485,'02效果表'!D:D,'02效果表'!E:E)&lt;0, _xlfn.XLOOKUP(AB485,'02效果表'!D:D,'02效果表'!E:E), 0) +
AE485*IF(_xlfn.XLOOKUP(AD485,'02效果表'!D:D,'02效果表'!E:E)&lt;0, _xlfn.XLOOKUP(AD485,'02效果表'!D:D,'02效果表'!E:E), 0)), 1)</f>
        <v>0</v>
      </c>
      <c r="G485" s="7">
        <f>ROUND(1/6*(I485*MAX(_xlfn.XLOOKUP(H485,'02效果表'!D:D,'02效果表'!E:E),0)+K485*MAX(_xlfn.XLOOKUP(J485,'02效果表'!D:D,'02效果表'!E:E),0)+M485*MAX(_xlfn.XLOOKUP(L485,'02效果表'!D:D,'02效果表'!E:E),0)+O485*MAX(_xlfn.XLOOKUP(N485,'02效果表'!D:D,'02效果表'!E:E),0)+Q485*MAX(_xlfn.XLOOKUP(P485,'02效果表'!D:D,'02效果表'!E:E),0)+S485*MAX(_xlfn.XLOOKUP(R485,'02效果表'!D:D,'02效果表'!E:E),0)+U485*MAX(_xlfn.XLOOKUP(T485,'02效果表'!D:D,'02效果表'!E:E),0)+W485*MAX(_xlfn.XLOOKUP(V485,'02效果表'!D:D,'02效果表'!E:E),0)+Y485*MAX(_xlfn.XLOOKUP(X485,'02效果表'!D:D,'02效果表'!E:E),0)+AA485*MAX(_xlfn.XLOOKUP(Z485,'02效果表'!D:D,'02效果表'!E:E),0)+AC485*MAX(_xlfn.XLOOKUP(AB485,'02效果表'!D:D,'02效果表'!E:E),0)+AE485*MAX(_xlfn.XLOOKUP(AD485,'02效果表'!D:D,'02效果表'!E:E),0)),1)</f>
        <v>0</v>
      </c>
      <c r="H485" s="6"/>
      <c r="I485" s="6"/>
      <c r="J485" s="6"/>
      <c r="K485" s="6"/>
      <c r="L485" s="6"/>
      <c r="M485" s="6"/>
      <c r="N485" s="6"/>
      <c r="O485" s="6"/>
      <c r="P485" s="6"/>
      <c r="Q485" s="6"/>
      <c r="R485" s="6"/>
      <c r="S485" s="6"/>
      <c r="T485" s="6"/>
      <c r="U485" s="6"/>
      <c r="V485" s="6"/>
      <c r="W485" s="6"/>
      <c r="X485" s="6"/>
      <c r="Y485" s="6"/>
      <c r="Z485" s="6"/>
      <c r="AA485" s="6"/>
      <c r="AB485" s="6"/>
      <c r="AC485" s="6"/>
      <c r="AD485" s="6"/>
      <c r="AE485" s="6"/>
    </row>
    <row r="486" spans="1:31" x14ac:dyDescent="0.35">
      <c r="A486" s="6">
        <v>486</v>
      </c>
      <c r="B486" s="6" t="s">
        <v>6</v>
      </c>
      <c r="C486" s="10" t="s">
        <v>16</v>
      </c>
      <c r="D486" s="9"/>
      <c r="E486" s="7">
        <f t="shared" si="14"/>
        <v>0</v>
      </c>
      <c r="F486" s="7">
        <f>-1*ROUND(1/6*(I486*IF(_xlfn.XLOOKUP(H486,'02效果表'!D:D,'02效果表'!E:E)&lt;0, _xlfn.XLOOKUP(H486,'02效果表'!D:D,'02效果表'!E:E), 0) +
K486*IF(_xlfn.XLOOKUP(J486,'02效果表'!D:D,'02效果表'!E:E)&lt;0, _xlfn.XLOOKUP(J486,'02效果表'!D:D,'02效果表'!E:E), 0) +
M486*IF(_xlfn.XLOOKUP(L486,'02效果表'!D:D,'02效果表'!E:E)&lt;0, _xlfn.XLOOKUP(L486,'02效果表'!D:D,'02效果表'!E:E), 0) +
O486*IF(_xlfn.XLOOKUP(N486,'02效果表'!D:D,'02效果表'!E:E)&lt;0, _xlfn.XLOOKUP(N486,'02效果表'!D:D,'02效果表'!E:E), 0) +
Q486*IF(_xlfn.XLOOKUP(P486,'02效果表'!D:D,'02效果表'!E:E)&lt;0, _xlfn.XLOOKUP(P486,'02效果表'!D:D,'02效果表'!E:E), 0) +
S486*IF(_xlfn.XLOOKUP(R486,'02效果表'!D:D,'02效果表'!E:E)&lt;0, _xlfn.XLOOKUP(R486,'02效果表'!D:D,'02效果表'!E:E), 0) +
U486*IF(_xlfn.XLOOKUP(T486,'02效果表'!D:D,'02效果表'!E:E)&lt;0, _xlfn.XLOOKUP(T486,'02效果表'!D:D,'02效果表'!E:E), 0) +
W486*IF(_xlfn.XLOOKUP(V486,'02效果表'!D:D,'02效果表'!E:E)&lt;0, _xlfn.XLOOKUP(V486,'02效果表'!D:D,'02效果表'!E:E), 0) +
Y486*IF(_xlfn.XLOOKUP(X486,'02效果表'!D:D,'02效果表'!E:E)&lt;0, _xlfn.XLOOKUP(X486,'02效果表'!D:D,'02效果表'!E:E), 0) +
AA486*IF(_xlfn.XLOOKUP(Z486,'02效果表'!D:D,'02效果表'!E:E)&lt;0, _xlfn.XLOOKUP(Z486,'02效果表'!D:D,'02效果表'!E:E), 0) +
AC486*IF(_xlfn.XLOOKUP(AB486,'02效果表'!D:D,'02效果表'!E:E)&lt;0, _xlfn.XLOOKUP(AB486,'02效果表'!D:D,'02效果表'!E:E), 0) +
AE486*IF(_xlfn.XLOOKUP(AD486,'02效果表'!D:D,'02效果表'!E:E)&lt;0, _xlfn.XLOOKUP(AD486,'02效果表'!D:D,'02效果表'!E:E), 0)), 1)</f>
        <v>0</v>
      </c>
      <c r="G486" s="7">
        <f>ROUND(1/6*(I486*MAX(_xlfn.XLOOKUP(H486,'02效果表'!D:D,'02效果表'!E:E),0)+K486*MAX(_xlfn.XLOOKUP(J486,'02效果表'!D:D,'02效果表'!E:E),0)+M486*MAX(_xlfn.XLOOKUP(L486,'02效果表'!D:D,'02效果表'!E:E),0)+O486*MAX(_xlfn.XLOOKUP(N486,'02效果表'!D:D,'02效果表'!E:E),0)+Q486*MAX(_xlfn.XLOOKUP(P486,'02效果表'!D:D,'02效果表'!E:E),0)+S486*MAX(_xlfn.XLOOKUP(R486,'02效果表'!D:D,'02效果表'!E:E),0)+U486*MAX(_xlfn.XLOOKUP(T486,'02效果表'!D:D,'02效果表'!E:E),0)+W486*MAX(_xlfn.XLOOKUP(V486,'02效果表'!D:D,'02效果表'!E:E),0)+Y486*MAX(_xlfn.XLOOKUP(X486,'02效果表'!D:D,'02效果表'!E:E),0)+AA486*MAX(_xlfn.XLOOKUP(Z486,'02效果表'!D:D,'02效果表'!E:E),0)+AC486*MAX(_xlfn.XLOOKUP(AB486,'02效果表'!D:D,'02效果表'!E:E),0)+AE486*MAX(_xlfn.XLOOKUP(AD486,'02效果表'!D:D,'02效果表'!E:E),0)),1)</f>
        <v>0</v>
      </c>
      <c r="H486" s="6"/>
      <c r="I486" s="6"/>
      <c r="J486" s="6"/>
      <c r="K486" s="6"/>
      <c r="L486" s="6"/>
      <c r="M486" s="6"/>
      <c r="N486" s="6"/>
      <c r="O486" s="6"/>
      <c r="P486" s="6"/>
      <c r="Q486" s="6"/>
      <c r="R486" s="6"/>
      <c r="S486" s="6"/>
      <c r="T486" s="6"/>
      <c r="U486" s="6"/>
      <c r="V486" s="6"/>
      <c r="W486" s="6"/>
      <c r="X486" s="6"/>
      <c r="Y486" s="6"/>
      <c r="Z486" s="6"/>
      <c r="AA486" s="6"/>
      <c r="AB486" s="6"/>
      <c r="AC486" s="6"/>
      <c r="AD486" s="6"/>
      <c r="AE486" s="6"/>
    </row>
    <row r="487" spans="1:31" x14ac:dyDescent="0.35">
      <c r="A487" s="6">
        <v>487</v>
      </c>
      <c r="B487" s="6" t="s">
        <v>6</v>
      </c>
      <c r="C487" s="10" t="s">
        <v>17</v>
      </c>
      <c r="D487" s="9" t="s">
        <v>1646</v>
      </c>
      <c r="E487" s="7">
        <f t="shared" si="14"/>
        <v>0</v>
      </c>
      <c r="F487" s="7">
        <f>-1*ROUND(1/6*(I487*IF(_xlfn.XLOOKUP(H487,'02效果表'!D:D,'02效果表'!E:E)&lt;0, _xlfn.XLOOKUP(H487,'02效果表'!D:D,'02效果表'!E:E), 0) +
K487*IF(_xlfn.XLOOKUP(J487,'02效果表'!D:D,'02效果表'!E:E)&lt;0, _xlfn.XLOOKUP(J487,'02效果表'!D:D,'02效果表'!E:E), 0) +
M487*IF(_xlfn.XLOOKUP(L487,'02效果表'!D:D,'02效果表'!E:E)&lt;0, _xlfn.XLOOKUP(L487,'02效果表'!D:D,'02效果表'!E:E), 0) +
O487*IF(_xlfn.XLOOKUP(N487,'02效果表'!D:D,'02效果表'!E:E)&lt;0, _xlfn.XLOOKUP(N487,'02效果表'!D:D,'02效果表'!E:E), 0) +
Q487*IF(_xlfn.XLOOKUP(P487,'02效果表'!D:D,'02效果表'!E:E)&lt;0, _xlfn.XLOOKUP(P487,'02效果表'!D:D,'02效果表'!E:E), 0) +
S487*IF(_xlfn.XLOOKUP(R487,'02效果表'!D:D,'02效果表'!E:E)&lt;0, _xlfn.XLOOKUP(R487,'02效果表'!D:D,'02效果表'!E:E), 0) +
U487*IF(_xlfn.XLOOKUP(T487,'02效果表'!D:D,'02效果表'!E:E)&lt;0, _xlfn.XLOOKUP(T487,'02效果表'!D:D,'02效果表'!E:E), 0) +
W487*IF(_xlfn.XLOOKUP(V487,'02效果表'!D:D,'02效果表'!E:E)&lt;0, _xlfn.XLOOKUP(V487,'02效果表'!D:D,'02效果表'!E:E), 0) +
Y487*IF(_xlfn.XLOOKUP(X487,'02效果表'!D:D,'02效果表'!E:E)&lt;0, _xlfn.XLOOKUP(X487,'02效果表'!D:D,'02效果表'!E:E), 0) +
AA487*IF(_xlfn.XLOOKUP(Z487,'02效果表'!D:D,'02效果表'!E:E)&lt;0, _xlfn.XLOOKUP(Z487,'02效果表'!D:D,'02效果表'!E:E), 0) +
AC487*IF(_xlfn.XLOOKUP(AB487,'02效果表'!D:D,'02效果表'!E:E)&lt;0, _xlfn.XLOOKUP(AB487,'02效果表'!D:D,'02效果表'!E:E), 0) +
AE487*IF(_xlfn.XLOOKUP(AD487,'02效果表'!D:D,'02效果表'!E:E)&lt;0, _xlfn.XLOOKUP(AD487,'02效果表'!D:D,'02效果表'!E:E), 0)), 1)</f>
        <v>0</v>
      </c>
      <c r="G487" s="7">
        <f>ROUND(1/6*(I487*MAX(_xlfn.XLOOKUP(H487,'02效果表'!D:D,'02效果表'!E:E),0)+K487*MAX(_xlfn.XLOOKUP(J487,'02效果表'!D:D,'02效果表'!E:E),0)+M487*MAX(_xlfn.XLOOKUP(L487,'02效果表'!D:D,'02效果表'!E:E),0)+O487*MAX(_xlfn.XLOOKUP(N487,'02效果表'!D:D,'02效果表'!E:E),0)+Q487*MAX(_xlfn.XLOOKUP(P487,'02效果表'!D:D,'02效果表'!E:E),0)+S487*MAX(_xlfn.XLOOKUP(R487,'02效果表'!D:D,'02效果表'!E:E),0)+U487*MAX(_xlfn.XLOOKUP(T487,'02效果表'!D:D,'02效果表'!E:E),0)+W487*MAX(_xlfn.XLOOKUP(V487,'02效果表'!D:D,'02效果表'!E:E),0)+Y487*MAX(_xlfn.XLOOKUP(X487,'02效果表'!D:D,'02效果表'!E:E),0)+AA487*MAX(_xlfn.XLOOKUP(Z487,'02效果表'!D:D,'02效果表'!E:E),0)+AC487*MAX(_xlfn.XLOOKUP(AB487,'02效果表'!D:D,'02效果表'!E:E),0)+AE487*MAX(_xlfn.XLOOKUP(AD487,'02效果表'!D:D,'02效果表'!E:E),0)),1)</f>
        <v>0</v>
      </c>
      <c r="H487" s="6"/>
      <c r="I487" s="6"/>
      <c r="J487" s="6"/>
      <c r="K487" s="6"/>
      <c r="L487" s="6"/>
      <c r="M487" s="6"/>
      <c r="N487" s="6"/>
      <c r="O487" s="6"/>
      <c r="P487" s="6"/>
      <c r="Q487" s="6"/>
      <c r="R487" s="6"/>
      <c r="S487" s="6"/>
      <c r="T487" s="6"/>
      <c r="U487" s="6"/>
      <c r="V487" s="6"/>
      <c r="W487" s="6"/>
      <c r="X487" s="6"/>
      <c r="Y487" s="6"/>
      <c r="Z487" s="6"/>
      <c r="AA487" s="6"/>
      <c r="AB487" s="6"/>
      <c r="AC487" s="6"/>
      <c r="AD487" s="6"/>
      <c r="AE487" s="6"/>
    </row>
    <row r="488" spans="1:31" x14ac:dyDescent="0.35">
      <c r="A488" s="6">
        <v>488</v>
      </c>
      <c r="B488" s="6" t="s">
        <v>6</v>
      </c>
      <c r="C488" s="10" t="s">
        <v>17</v>
      </c>
      <c r="D488" s="9" t="s">
        <v>1647</v>
      </c>
      <c r="E488" s="7">
        <f t="shared" si="14"/>
        <v>0</v>
      </c>
      <c r="F488" s="7">
        <f>-1*ROUND(1/6*(I488*IF(_xlfn.XLOOKUP(H488,'02效果表'!D:D,'02效果表'!E:E)&lt;0, _xlfn.XLOOKUP(H488,'02效果表'!D:D,'02效果表'!E:E), 0) +
K488*IF(_xlfn.XLOOKUP(J488,'02效果表'!D:D,'02效果表'!E:E)&lt;0, _xlfn.XLOOKUP(J488,'02效果表'!D:D,'02效果表'!E:E), 0) +
M488*IF(_xlfn.XLOOKUP(L488,'02效果表'!D:D,'02效果表'!E:E)&lt;0, _xlfn.XLOOKUP(L488,'02效果表'!D:D,'02效果表'!E:E), 0) +
O488*IF(_xlfn.XLOOKUP(N488,'02效果表'!D:D,'02效果表'!E:E)&lt;0, _xlfn.XLOOKUP(N488,'02效果表'!D:D,'02效果表'!E:E), 0) +
Q488*IF(_xlfn.XLOOKUP(P488,'02效果表'!D:D,'02效果表'!E:E)&lt;0, _xlfn.XLOOKUP(P488,'02效果表'!D:D,'02效果表'!E:E), 0) +
S488*IF(_xlfn.XLOOKUP(R488,'02效果表'!D:D,'02效果表'!E:E)&lt;0, _xlfn.XLOOKUP(R488,'02效果表'!D:D,'02效果表'!E:E), 0) +
U488*IF(_xlfn.XLOOKUP(T488,'02效果表'!D:D,'02效果表'!E:E)&lt;0, _xlfn.XLOOKUP(T488,'02效果表'!D:D,'02效果表'!E:E), 0) +
W488*IF(_xlfn.XLOOKUP(V488,'02效果表'!D:D,'02效果表'!E:E)&lt;0, _xlfn.XLOOKUP(V488,'02效果表'!D:D,'02效果表'!E:E), 0) +
Y488*IF(_xlfn.XLOOKUP(X488,'02效果表'!D:D,'02效果表'!E:E)&lt;0, _xlfn.XLOOKUP(X488,'02效果表'!D:D,'02效果表'!E:E), 0) +
AA488*IF(_xlfn.XLOOKUP(Z488,'02效果表'!D:D,'02效果表'!E:E)&lt;0, _xlfn.XLOOKUP(Z488,'02效果表'!D:D,'02效果表'!E:E), 0) +
AC488*IF(_xlfn.XLOOKUP(AB488,'02效果表'!D:D,'02效果表'!E:E)&lt;0, _xlfn.XLOOKUP(AB488,'02效果表'!D:D,'02效果表'!E:E), 0) +
AE488*IF(_xlfn.XLOOKUP(AD488,'02效果表'!D:D,'02效果表'!E:E)&lt;0, _xlfn.XLOOKUP(AD488,'02效果表'!D:D,'02效果表'!E:E), 0)), 1)</f>
        <v>0</v>
      </c>
      <c r="G488" s="7">
        <f>ROUND(1/6*(I488*MAX(_xlfn.XLOOKUP(H488,'02效果表'!D:D,'02效果表'!E:E),0)+K488*MAX(_xlfn.XLOOKUP(J488,'02效果表'!D:D,'02效果表'!E:E),0)+M488*MAX(_xlfn.XLOOKUP(L488,'02效果表'!D:D,'02效果表'!E:E),0)+O488*MAX(_xlfn.XLOOKUP(N488,'02效果表'!D:D,'02效果表'!E:E),0)+Q488*MAX(_xlfn.XLOOKUP(P488,'02效果表'!D:D,'02效果表'!E:E),0)+S488*MAX(_xlfn.XLOOKUP(R488,'02效果表'!D:D,'02效果表'!E:E),0)+U488*MAX(_xlfn.XLOOKUP(T488,'02效果表'!D:D,'02效果表'!E:E),0)+W488*MAX(_xlfn.XLOOKUP(V488,'02效果表'!D:D,'02效果表'!E:E),0)+Y488*MAX(_xlfn.XLOOKUP(X488,'02效果表'!D:D,'02效果表'!E:E),0)+AA488*MAX(_xlfn.XLOOKUP(Z488,'02效果表'!D:D,'02效果表'!E:E),0)+AC488*MAX(_xlfn.XLOOKUP(AB488,'02效果表'!D:D,'02效果表'!E:E),0)+AE488*MAX(_xlfn.XLOOKUP(AD488,'02效果表'!D:D,'02效果表'!E:E),0)),1)</f>
        <v>0</v>
      </c>
      <c r="H488" s="6"/>
      <c r="I488" s="6"/>
      <c r="J488" s="6"/>
      <c r="K488" s="6"/>
      <c r="L488" s="6"/>
      <c r="M488" s="6"/>
      <c r="N488" s="6"/>
      <c r="O488" s="6"/>
      <c r="P488" s="6"/>
      <c r="Q488" s="6"/>
      <c r="R488" s="6"/>
      <c r="S488" s="6"/>
      <c r="T488" s="6"/>
      <c r="U488" s="6"/>
      <c r="V488" s="6"/>
      <c r="W488" s="6"/>
      <c r="X488" s="6"/>
      <c r="Y488" s="6"/>
      <c r="Z488" s="6"/>
      <c r="AA488" s="6"/>
      <c r="AB488" s="6"/>
      <c r="AC488" s="6"/>
      <c r="AD488" s="6"/>
      <c r="AE488" s="6"/>
    </row>
    <row r="489" spans="1:31" x14ac:dyDescent="0.35">
      <c r="A489" s="6">
        <v>489</v>
      </c>
      <c r="B489" s="6" t="s">
        <v>6</v>
      </c>
      <c r="C489" s="10" t="s">
        <v>17</v>
      </c>
      <c r="D489" s="9" t="s">
        <v>1648</v>
      </c>
      <c r="E489" s="7">
        <f t="shared" si="14"/>
        <v>0</v>
      </c>
      <c r="F489" s="7">
        <f>-1*ROUND(1/6*(I489*IF(_xlfn.XLOOKUP(H489,'02效果表'!D:D,'02效果表'!E:E)&lt;0, _xlfn.XLOOKUP(H489,'02效果表'!D:D,'02效果表'!E:E), 0) +
K489*IF(_xlfn.XLOOKUP(J489,'02效果表'!D:D,'02效果表'!E:E)&lt;0, _xlfn.XLOOKUP(J489,'02效果表'!D:D,'02效果表'!E:E), 0) +
M489*IF(_xlfn.XLOOKUP(L489,'02效果表'!D:D,'02效果表'!E:E)&lt;0, _xlfn.XLOOKUP(L489,'02效果表'!D:D,'02效果表'!E:E), 0) +
O489*IF(_xlfn.XLOOKUP(N489,'02效果表'!D:D,'02效果表'!E:E)&lt;0, _xlfn.XLOOKUP(N489,'02效果表'!D:D,'02效果表'!E:E), 0) +
Q489*IF(_xlfn.XLOOKUP(P489,'02效果表'!D:D,'02效果表'!E:E)&lt;0, _xlfn.XLOOKUP(P489,'02效果表'!D:D,'02效果表'!E:E), 0) +
S489*IF(_xlfn.XLOOKUP(R489,'02效果表'!D:D,'02效果表'!E:E)&lt;0, _xlfn.XLOOKUP(R489,'02效果表'!D:D,'02效果表'!E:E), 0) +
U489*IF(_xlfn.XLOOKUP(T489,'02效果表'!D:D,'02效果表'!E:E)&lt;0, _xlfn.XLOOKUP(T489,'02效果表'!D:D,'02效果表'!E:E), 0) +
W489*IF(_xlfn.XLOOKUP(V489,'02效果表'!D:D,'02效果表'!E:E)&lt;0, _xlfn.XLOOKUP(V489,'02效果表'!D:D,'02效果表'!E:E), 0) +
Y489*IF(_xlfn.XLOOKUP(X489,'02效果表'!D:D,'02效果表'!E:E)&lt;0, _xlfn.XLOOKUP(X489,'02效果表'!D:D,'02效果表'!E:E), 0) +
AA489*IF(_xlfn.XLOOKUP(Z489,'02效果表'!D:D,'02效果表'!E:E)&lt;0, _xlfn.XLOOKUP(Z489,'02效果表'!D:D,'02效果表'!E:E), 0) +
AC489*IF(_xlfn.XLOOKUP(AB489,'02效果表'!D:D,'02效果表'!E:E)&lt;0, _xlfn.XLOOKUP(AB489,'02效果表'!D:D,'02效果表'!E:E), 0) +
AE489*IF(_xlfn.XLOOKUP(AD489,'02效果表'!D:D,'02效果表'!E:E)&lt;0, _xlfn.XLOOKUP(AD489,'02效果表'!D:D,'02效果表'!E:E), 0)), 1)</f>
        <v>0</v>
      </c>
      <c r="G489" s="7">
        <f>ROUND(1/6*(I489*MAX(_xlfn.XLOOKUP(H489,'02效果表'!D:D,'02效果表'!E:E),0)+K489*MAX(_xlfn.XLOOKUP(J489,'02效果表'!D:D,'02效果表'!E:E),0)+M489*MAX(_xlfn.XLOOKUP(L489,'02效果表'!D:D,'02效果表'!E:E),0)+O489*MAX(_xlfn.XLOOKUP(N489,'02效果表'!D:D,'02效果表'!E:E),0)+Q489*MAX(_xlfn.XLOOKUP(P489,'02效果表'!D:D,'02效果表'!E:E),0)+S489*MAX(_xlfn.XLOOKUP(R489,'02效果表'!D:D,'02效果表'!E:E),0)+U489*MAX(_xlfn.XLOOKUP(T489,'02效果表'!D:D,'02效果表'!E:E),0)+W489*MAX(_xlfn.XLOOKUP(V489,'02效果表'!D:D,'02效果表'!E:E),0)+Y489*MAX(_xlfn.XLOOKUP(X489,'02效果表'!D:D,'02效果表'!E:E),0)+AA489*MAX(_xlfn.XLOOKUP(Z489,'02效果表'!D:D,'02效果表'!E:E),0)+AC489*MAX(_xlfn.XLOOKUP(AB489,'02效果表'!D:D,'02效果表'!E:E),0)+AE489*MAX(_xlfn.XLOOKUP(AD489,'02效果表'!D:D,'02效果表'!E:E),0)),1)</f>
        <v>0</v>
      </c>
      <c r="H489" s="6"/>
      <c r="I489" s="6"/>
      <c r="J489" s="6"/>
      <c r="K489" s="6"/>
      <c r="L489" s="6"/>
      <c r="M489" s="6"/>
      <c r="N489" s="6"/>
      <c r="O489" s="6"/>
      <c r="P489" s="6"/>
      <c r="Q489" s="6"/>
      <c r="R489" s="6"/>
      <c r="S489" s="6"/>
      <c r="T489" s="6"/>
      <c r="U489" s="6"/>
      <c r="V489" s="6"/>
      <c r="W489" s="6"/>
      <c r="X489" s="6"/>
      <c r="Y489" s="6"/>
      <c r="Z489" s="6"/>
      <c r="AA489" s="6"/>
      <c r="AB489" s="6"/>
      <c r="AC489" s="6"/>
      <c r="AD489" s="6"/>
      <c r="AE489" s="6"/>
    </row>
    <row r="490" spans="1:31" x14ac:dyDescent="0.35">
      <c r="A490" s="6">
        <v>490</v>
      </c>
      <c r="B490" s="6" t="s">
        <v>6</v>
      </c>
      <c r="C490" s="10" t="s">
        <v>17</v>
      </c>
      <c r="D490" s="9" t="s">
        <v>1649</v>
      </c>
      <c r="E490" s="7">
        <f t="shared" si="14"/>
        <v>0</v>
      </c>
      <c r="F490" s="7">
        <f>-1*ROUND(1/6*(I490*IF(_xlfn.XLOOKUP(H490,'02效果表'!D:D,'02效果表'!E:E)&lt;0, _xlfn.XLOOKUP(H490,'02效果表'!D:D,'02效果表'!E:E), 0) +
K490*IF(_xlfn.XLOOKUP(J490,'02效果表'!D:D,'02效果表'!E:E)&lt;0, _xlfn.XLOOKUP(J490,'02效果表'!D:D,'02效果表'!E:E), 0) +
M490*IF(_xlfn.XLOOKUP(L490,'02效果表'!D:D,'02效果表'!E:E)&lt;0, _xlfn.XLOOKUP(L490,'02效果表'!D:D,'02效果表'!E:E), 0) +
O490*IF(_xlfn.XLOOKUP(N490,'02效果表'!D:D,'02效果表'!E:E)&lt;0, _xlfn.XLOOKUP(N490,'02效果表'!D:D,'02效果表'!E:E), 0) +
Q490*IF(_xlfn.XLOOKUP(P490,'02效果表'!D:D,'02效果表'!E:E)&lt;0, _xlfn.XLOOKUP(P490,'02效果表'!D:D,'02效果表'!E:E), 0) +
S490*IF(_xlfn.XLOOKUP(R490,'02效果表'!D:D,'02效果表'!E:E)&lt;0, _xlfn.XLOOKUP(R490,'02效果表'!D:D,'02效果表'!E:E), 0) +
U490*IF(_xlfn.XLOOKUP(T490,'02效果表'!D:D,'02效果表'!E:E)&lt;0, _xlfn.XLOOKUP(T490,'02效果表'!D:D,'02效果表'!E:E), 0) +
W490*IF(_xlfn.XLOOKUP(V490,'02效果表'!D:D,'02效果表'!E:E)&lt;0, _xlfn.XLOOKUP(V490,'02效果表'!D:D,'02效果表'!E:E), 0) +
Y490*IF(_xlfn.XLOOKUP(X490,'02效果表'!D:D,'02效果表'!E:E)&lt;0, _xlfn.XLOOKUP(X490,'02效果表'!D:D,'02效果表'!E:E), 0) +
AA490*IF(_xlfn.XLOOKUP(Z490,'02效果表'!D:D,'02效果表'!E:E)&lt;0, _xlfn.XLOOKUP(Z490,'02效果表'!D:D,'02效果表'!E:E), 0) +
AC490*IF(_xlfn.XLOOKUP(AB490,'02效果表'!D:D,'02效果表'!E:E)&lt;0, _xlfn.XLOOKUP(AB490,'02效果表'!D:D,'02效果表'!E:E), 0) +
AE490*IF(_xlfn.XLOOKUP(AD490,'02效果表'!D:D,'02效果表'!E:E)&lt;0, _xlfn.XLOOKUP(AD490,'02效果表'!D:D,'02效果表'!E:E), 0)), 1)</f>
        <v>0</v>
      </c>
      <c r="G490" s="7">
        <f>ROUND(1/6*(I490*MAX(_xlfn.XLOOKUP(H490,'02效果表'!D:D,'02效果表'!E:E),0)+K490*MAX(_xlfn.XLOOKUP(J490,'02效果表'!D:D,'02效果表'!E:E),0)+M490*MAX(_xlfn.XLOOKUP(L490,'02效果表'!D:D,'02效果表'!E:E),0)+O490*MAX(_xlfn.XLOOKUP(N490,'02效果表'!D:D,'02效果表'!E:E),0)+Q490*MAX(_xlfn.XLOOKUP(P490,'02效果表'!D:D,'02效果表'!E:E),0)+S490*MAX(_xlfn.XLOOKUP(R490,'02效果表'!D:D,'02效果表'!E:E),0)+U490*MAX(_xlfn.XLOOKUP(T490,'02效果表'!D:D,'02效果表'!E:E),0)+W490*MAX(_xlfn.XLOOKUP(V490,'02效果表'!D:D,'02效果表'!E:E),0)+Y490*MAX(_xlfn.XLOOKUP(X490,'02效果表'!D:D,'02效果表'!E:E),0)+AA490*MAX(_xlfn.XLOOKUP(Z490,'02效果表'!D:D,'02效果表'!E:E),0)+AC490*MAX(_xlfn.XLOOKUP(AB490,'02效果表'!D:D,'02效果表'!E:E),0)+AE490*MAX(_xlfn.XLOOKUP(AD490,'02效果表'!D:D,'02效果表'!E:E),0)),1)</f>
        <v>0</v>
      </c>
      <c r="H490" s="6"/>
      <c r="I490" s="6"/>
      <c r="J490" s="6"/>
      <c r="K490" s="6"/>
      <c r="L490" s="6"/>
      <c r="M490" s="6"/>
      <c r="N490" s="6"/>
      <c r="O490" s="6"/>
      <c r="P490" s="6"/>
      <c r="Q490" s="6"/>
      <c r="R490" s="6"/>
      <c r="S490" s="6"/>
      <c r="T490" s="6"/>
      <c r="U490" s="6"/>
      <c r="V490" s="6"/>
      <c r="W490" s="6"/>
      <c r="X490" s="6"/>
      <c r="Y490" s="6"/>
      <c r="Z490" s="6"/>
      <c r="AA490" s="6"/>
      <c r="AB490" s="6"/>
      <c r="AC490" s="6"/>
      <c r="AD490" s="6"/>
      <c r="AE490" s="6"/>
    </row>
    <row r="491" spans="1:31" x14ac:dyDescent="0.35">
      <c r="A491" s="6">
        <v>491</v>
      </c>
      <c r="B491" s="6" t="s">
        <v>6</v>
      </c>
      <c r="C491" s="10" t="s">
        <v>17</v>
      </c>
      <c r="D491" s="9" t="s">
        <v>1650</v>
      </c>
      <c r="E491" s="7">
        <f t="shared" si="14"/>
        <v>0</v>
      </c>
      <c r="F491" s="7">
        <f>-1*ROUND(1/6*(I491*IF(_xlfn.XLOOKUP(H491,'02效果表'!D:D,'02效果表'!E:E)&lt;0, _xlfn.XLOOKUP(H491,'02效果表'!D:D,'02效果表'!E:E), 0) +
K491*IF(_xlfn.XLOOKUP(J491,'02效果表'!D:D,'02效果表'!E:E)&lt;0, _xlfn.XLOOKUP(J491,'02效果表'!D:D,'02效果表'!E:E), 0) +
M491*IF(_xlfn.XLOOKUP(L491,'02效果表'!D:D,'02效果表'!E:E)&lt;0, _xlfn.XLOOKUP(L491,'02效果表'!D:D,'02效果表'!E:E), 0) +
O491*IF(_xlfn.XLOOKUP(N491,'02效果表'!D:D,'02效果表'!E:E)&lt;0, _xlfn.XLOOKUP(N491,'02效果表'!D:D,'02效果表'!E:E), 0) +
Q491*IF(_xlfn.XLOOKUP(P491,'02效果表'!D:D,'02效果表'!E:E)&lt;0, _xlfn.XLOOKUP(P491,'02效果表'!D:D,'02效果表'!E:E), 0) +
S491*IF(_xlfn.XLOOKUP(R491,'02效果表'!D:D,'02效果表'!E:E)&lt;0, _xlfn.XLOOKUP(R491,'02效果表'!D:D,'02效果表'!E:E), 0) +
U491*IF(_xlfn.XLOOKUP(T491,'02效果表'!D:D,'02效果表'!E:E)&lt;0, _xlfn.XLOOKUP(T491,'02效果表'!D:D,'02效果表'!E:E), 0) +
W491*IF(_xlfn.XLOOKUP(V491,'02效果表'!D:D,'02效果表'!E:E)&lt;0, _xlfn.XLOOKUP(V491,'02效果表'!D:D,'02效果表'!E:E), 0) +
Y491*IF(_xlfn.XLOOKUP(X491,'02效果表'!D:D,'02效果表'!E:E)&lt;0, _xlfn.XLOOKUP(X491,'02效果表'!D:D,'02效果表'!E:E), 0) +
AA491*IF(_xlfn.XLOOKUP(Z491,'02效果表'!D:D,'02效果表'!E:E)&lt;0, _xlfn.XLOOKUP(Z491,'02效果表'!D:D,'02效果表'!E:E), 0) +
AC491*IF(_xlfn.XLOOKUP(AB491,'02效果表'!D:D,'02效果表'!E:E)&lt;0, _xlfn.XLOOKUP(AB491,'02效果表'!D:D,'02效果表'!E:E), 0) +
AE491*IF(_xlfn.XLOOKUP(AD491,'02效果表'!D:D,'02效果表'!E:E)&lt;0, _xlfn.XLOOKUP(AD491,'02效果表'!D:D,'02效果表'!E:E), 0)), 1)</f>
        <v>0</v>
      </c>
      <c r="G491" s="7">
        <f>ROUND(1/6*(I491*MAX(_xlfn.XLOOKUP(H491,'02效果表'!D:D,'02效果表'!E:E),0)+K491*MAX(_xlfn.XLOOKUP(J491,'02效果表'!D:D,'02效果表'!E:E),0)+M491*MAX(_xlfn.XLOOKUP(L491,'02效果表'!D:D,'02效果表'!E:E),0)+O491*MAX(_xlfn.XLOOKUP(N491,'02效果表'!D:D,'02效果表'!E:E),0)+Q491*MAX(_xlfn.XLOOKUP(P491,'02效果表'!D:D,'02效果表'!E:E),0)+S491*MAX(_xlfn.XLOOKUP(R491,'02效果表'!D:D,'02效果表'!E:E),0)+U491*MAX(_xlfn.XLOOKUP(T491,'02效果表'!D:D,'02效果表'!E:E),0)+W491*MAX(_xlfn.XLOOKUP(V491,'02效果表'!D:D,'02效果表'!E:E),0)+Y491*MAX(_xlfn.XLOOKUP(X491,'02效果表'!D:D,'02效果表'!E:E),0)+AA491*MAX(_xlfn.XLOOKUP(Z491,'02效果表'!D:D,'02效果表'!E:E),0)+AC491*MAX(_xlfn.XLOOKUP(AB491,'02效果表'!D:D,'02效果表'!E:E),0)+AE491*MAX(_xlfn.XLOOKUP(AD491,'02效果表'!D:D,'02效果表'!E:E),0)),1)</f>
        <v>0</v>
      </c>
      <c r="H491" s="6"/>
      <c r="I491" s="6"/>
      <c r="J491" s="6"/>
      <c r="K491" s="6"/>
      <c r="L491" s="6"/>
      <c r="M491" s="6"/>
      <c r="N491" s="6"/>
      <c r="O491" s="6"/>
      <c r="P491" s="6"/>
      <c r="Q491" s="6"/>
      <c r="R491" s="6"/>
      <c r="S491" s="6"/>
      <c r="T491" s="6"/>
      <c r="U491" s="6"/>
      <c r="V491" s="6"/>
      <c r="W491" s="6"/>
      <c r="X491" s="6"/>
      <c r="Y491" s="6"/>
      <c r="Z491" s="6"/>
      <c r="AA491" s="6"/>
      <c r="AB491" s="6"/>
      <c r="AC491" s="6"/>
      <c r="AD491" s="6"/>
      <c r="AE491" s="6"/>
    </row>
    <row r="492" spans="1:31" x14ac:dyDescent="0.35">
      <c r="A492" s="6">
        <v>492</v>
      </c>
      <c r="B492" s="6" t="s">
        <v>6</v>
      </c>
      <c r="C492" s="10" t="s">
        <v>17</v>
      </c>
      <c r="D492" s="9" t="s">
        <v>1651</v>
      </c>
      <c r="E492" s="7">
        <f t="shared" si="14"/>
        <v>0</v>
      </c>
      <c r="F492" s="7">
        <f>-1*ROUND(1/6*(I492*IF(_xlfn.XLOOKUP(H492,'02效果表'!D:D,'02效果表'!E:E)&lt;0, _xlfn.XLOOKUP(H492,'02效果表'!D:D,'02效果表'!E:E), 0) +
K492*IF(_xlfn.XLOOKUP(J492,'02效果表'!D:D,'02效果表'!E:E)&lt;0, _xlfn.XLOOKUP(J492,'02效果表'!D:D,'02效果表'!E:E), 0) +
M492*IF(_xlfn.XLOOKUP(L492,'02效果表'!D:D,'02效果表'!E:E)&lt;0, _xlfn.XLOOKUP(L492,'02效果表'!D:D,'02效果表'!E:E), 0) +
O492*IF(_xlfn.XLOOKUP(N492,'02效果表'!D:D,'02效果表'!E:E)&lt;0, _xlfn.XLOOKUP(N492,'02效果表'!D:D,'02效果表'!E:E), 0) +
Q492*IF(_xlfn.XLOOKUP(P492,'02效果表'!D:D,'02效果表'!E:E)&lt;0, _xlfn.XLOOKUP(P492,'02效果表'!D:D,'02效果表'!E:E), 0) +
S492*IF(_xlfn.XLOOKUP(R492,'02效果表'!D:D,'02效果表'!E:E)&lt;0, _xlfn.XLOOKUP(R492,'02效果表'!D:D,'02效果表'!E:E), 0) +
U492*IF(_xlfn.XLOOKUP(T492,'02效果表'!D:D,'02效果表'!E:E)&lt;0, _xlfn.XLOOKUP(T492,'02效果表'!D:D,'02效果表'!E:E), 0) +
W492*IF(_xlfn.XLOOKUP(V492,'02效果表'!D:D,'02效果表'!E:E)&lt;0, _xlfn.XLOOKUP(V492,'02效果表'!D:D,'02效果表'!E:E), 0) +
Y492*IF(_xlfn.XLOOKUP(X492,'02效果表'!D:D,'02效果表'!E:E)&lt;0, _xlfn.XLOOKUP(X492,'02效果表'!D:D,'02效果表'!E:E), 0) +
AA492*IF(_xlfn.XLOOKUP(Z492,'02效果表'!D:D,'02效果表'!E:E)&lt;0, _xlfn.XLOOKUP(Z492,'02效果表'!D:D,'02效果表'!E:E), 0) +
AC492*IF(_xlfn.XLOOKUP(AB492,'02效果表'!D:D,'02效果表'!E:E)&lt;0, _xlfn.XLOOKUP(AB492,'02效果表'!D:D,'02效果表'!E:E), 0) +
AE492*IF(_xlfn.XLOOKUP(AD492,'02效果表'!D:D,'02效果表'!E:E)&lt;0, _xlfn.XLOOKUP(AD492,'02效果表'!D:D,'02效果表'!E:E), 0)), 1)</f>
        <v>0</v>
      </c>
      <c r="G492" s="7">
        <f>ROUND(1/6*(I492*MAX(_xlfn.XLOOKUP(H492,'02效果表'!D:D,'02效果表'!E:E),0)+K492*MAX(_xlfn.XLOOKUP(J492,'02效果表'!D:D,'02效果表'!E:E),0)+M492*MAX(_xlfn.XLOOKUP(L492,'02效果表'!D:D,'02效果表'!E:E),0)+O492*MAX(_xlfn.XLOOKUP(N492,'02效果表'!D:D,'02效果表'!E:E),0)+Q492*MAX(_xlfn.XLOOKUP(P492,'02效果表'!D:D,'02效果表'!E:E),0)+S492*MAX(_xlfn.XLOOKUP(R492,'02效果表'!D:D,'02效果表'!E:E),0)+U492*MAX(_xlfn.XLOOKUP(T492,'02效果表'!D:D,'02效果表'!E:E),0)+W492*MAX(_xlfn.XLOOKUP(V492,'02效果表'!D:D,'02效果表'!E:E),0)+Y492*MAX(_xlfn.XLOOKUP(X492,'02效果表'!D:D,'02效果表'!E:E),0)+AA492*MAX(_xlfn.XLOOKUP(Z492,'02效果表'!D:D,'02效果表'!E:E),0)+AC492*MAX(_xlfn.XLOOKUP(AB492,'02效果表'!D:D,'02效果表'!E:E),0)+AE492*MAX(_xlfn.XLOOKUP(AD492,'02效果表'!D:D,'02效果表'!E:E),0)),1)</f>
        <v>0</v>
      </c>
      <c r="H492" s="6"/>
      <c r="I492" s="6"/>
      <c r="J492" s="6"/>
      <c r="K492" s="6"/>
      <c r="L492" s="6"/>
      <c r="M492" s="6"/>
      <c r="N492" s="6"/>
      <c r="O492" s="6"/>
      <c r="P492" s="6"/>
      <c r="Q492" s="6"/>
      <c r="R492" s="6"/>
      <c r="S492" s="6"/>
      <c r="T492" s="6"/>
      <c r="U492" s="6"/>
      <c r="V492" s="6"/>
      <c r="W492" s="6"/>
      <c r="X492" s="6"/>
      <c r="Y492" s="6"/>
      <c r="Z492" s="6"/>
      <c r="AA492" s="6"/>
      <c r="AB492" s="6"/>
      <c r="AC492" s="6"/>
      <c r="AD492" s="6"/>
      <c r="AE492" s="6"/>
    </row>
    <row r="493" spans="1:31" x14ac:dyDescent="0.35">
      <c r="A493" s="6">
        <v>493</v>
      </c>
      <c r="B493" s="6" t="s">
        <v>6</v>
      </c>
      <c r="C493" s="10" t="s">
        <v>17</v>
      </c>
      <c r="D493" s="9" t="s">
        <v>1652</v>
      </c>
      <c r="E493" s="7">
        <f t="shared" si="14"/>
        <v>0</v>
      </c>
      <c r="F493" s="7">
        <f>-1*ROUND(1/6*(I493*IF(_xlfn.XLOOKUP(H493,'02效果表'!D:D,'02效果表'!E:E)&lt;0, _xlfn.XLOOKUP(H493,'02效果表'!D:D,'02效果表'!E:E), 0) +
K493*IF(_xlfn.XLOOKUP(J493,'02效果表'!D:D,'02效果表'!E:E)&lt;0, _xlfn.XLOOKUP(J493,'02效果表'!D:D,'02效果表'!E:E), 0) +
M493*IF(_xlfn.XLOOKUP(L493,'02效果表'!D:D,'02效果表'!E:E)&lt;0, _xlfn.XLOOKUP(L493,'02效果表'!D:D,'02效果表'!E:E), 0) +
O493*IF(_xlfn.XLOOKUP(N493,'02效果表'!D:D,'02效果表'!E:E)&lt;0, _xlfn.XLOOKUP(N493,'02效果表'!D:D,'02效果表'!E:E), 0) +
Q493*IF(_xlfn.XLOOKUP(P493,'02效果表'!D:D,'02效果表'!E:E)&lt;0, _xlfn.XLOOKUP(P493,'02效果表'!D:D,'02效果表'!E:E), 0) +
S493*IF(_xlfn.XLOOKUP(R493,'02效果表'!D:D,'02效果表'!E:E)&lt;0, _xlfn.XLOOKUP(R493,'02效果表'!D:D,'02效果表'!E:E), 0) +
U493*IF(_xlfn.XLOOKUP(T493,'02效果表'!D:D,'02效果表'!E:E)&lt;0, _xlfn.XLOOKUP(T493,'02效果表'!D:D,'02效果表'!E:E), 0) +
W493*IF(_xlfn.XLOOKUP(V493,'02效果表'!D:D,'02效果表'!E:E)&lt;0, _xlfn.XLOOKUP(V493,'02效果表'!D:D,'02效果表'!E:E), 0) +
Y493*IF(_xlfn.XLOOKUP(X493,'02效果表'!D:D,'02效果表'!E:E)&lt;0, _xlfn.XLOOKUP(X493,'02效果表'!D:D,'02效果表'!E:E), 0) +
AA493*IF(_xlfn.XLOOKUP(Z493,'02效果表'!D:D,'02效果表'!E:E)&lt;0, _xlfn.XLOOKUP(Z493,'02效果表'!D:D,'02效果表'!E:E), 0) +
AC493*IF(_xlfn.XLOOKUP(AB493,'02效果表'!D:D,'02效果表'!E:E)&lt;0, _xlfn.XLOOKUP(AB493,'02效果表'!D:D,'02效果表'!E:E), 0) +
AE493*IF(_xlfn.XLOOKUP(AD493,'02效果表'!D:D,'02效果表'!E:E)&lt;0, _xlfn.XLOOKUP(AD493,'02效果表'!D:D,'02效果表'!E:E), 0)), 1)</f>
        <v>0</v>
      </c>
      <c r="G493" s="7">
        <f>ROUND(1/6*(I493*MAX(_xlfn.XLOOKUP(H493,'02效果表'!D:D,'02效果表'!E:E),0)+K493*MAX(_xlfn.XLOOKUP(J493,'02效果表'!D:D,'02效果表'!E:E),0)+M493*MAX(_xlfn.XLOOKUP(L493,'02效果表'!D:D,'02效果表'!E:E),0)+O493*MAX(_xlfn.XLOOKUP(N493,'02效果表'!D:D,'02效果表'!E:E),0)+Q493*MAX(_xlfn.XLOOKUP(P493,'02效果表'!D:D,'02效果表'!E:E),0)+S493*MAX(_xlfn.XLOOKUP(R493,'02效果表'!D:D,'02效果表'!E:E),0)+U493*MAX(_xlfn.XLOOKUP(T493,'02效果表'!D:D,'02效果表'!E:E),0)+W493*MAX(_xlfn.XLOOKUP(V493,'02效果表'!D:D,'02效果表'!E:E),0)+Y493*MAX(_xlfn.XLOOKUP(X493,'02效果表'!D:D,'02效果表'!E:E),0)+AA493*MAX(_xlfn.XLOOKUP(Z493,'02效果表'!D:D,'02效果表'!E:E),0)+AC493*MAX(_xlfn.XLOOKUP(AB493,'02效果表'!D:D,'02效果表'!E:E),0)+AE493*MAX(_xlfn.XLOOKUP(AD493,'02效果表'!D:D,'02效果表'!E:E),0)),1)</f>
        <v>0</v>
      </c>
      <c r="H493" s="6"/>
      <c r="I493" s="6"/>
      <c r="J493" s="6"/>
      <c r="K493" s="6"/>
      <c r="L493" s="6"/>
      <c r="M493" s="6"/>
      <c r="N493" s="6"/>
      <c r="O493" s="6"/>
      <c r="P493" s="6"/>
      <c r="Q493" s="6"/>
      <c r="R493" s="6"/>
      <c r="S493" s="6"/>
      <c r="T493" s="6"/>
      <c r="U493" s="6"/>
      <c r="V493" s="6"/>
      <c r="W493" s="6"/>
      <c r="X493" s="6"/>
      <c r="Y493" s="6"/>
      <c r="Z493" s="6"/>
      <c r="AA493" s="6"/>
      <c r="AB493" s="6"/>
      <c r="AC493" s="6"/>
      <c r="AD493" s="6"/>
      <c r="AE493" s="6"/>
    </row>
    <row r="494" spans="1:31" x14ac:dyDescent="0.35">
      <c r="A494" s="6">
        <v>494</v>
      </c>
      <c r="B494" s="6" t="s">
        <v>6</v>
      </c>
      <c r="C494" s="10" t="s">
        <v>17</v>
      </c>
      <c r="D494" s="9" t="s">
        <v>1653</v>
      </c>
      <c r="E494" s="7">
        <f t="shared" si="14"/>
        <v>0</v>
      </c>
      <c r="F494" s="7">
        <f>-1*ROUND(1/6*(I494*IF(_xlfn.XLOOKUP(H494,'02效果表'!D:D,'02效果表'!E:E)&lt;0, _xlfn.XLOOKUP(H494,'02效果表'!D:D,'02效果表'!E:E), 0) +
K494*IF(_xlfn.XLOOKUP(J494,'02效果表'!D:D,'02效果表'!E:E)&lt;0, _xlfn.XLOOKUP(J494,'02效果表'!D:D,'02效果表'!E:E), 0) +
M494*IF(_xlfn.XLOOKUP(L494,'02效果表'!D:D,'02效果表'!E:E)&lt;0, _xlfn.XLOOKUP(L494,'02效果表'!D:D,'02效果表'!E:E), 0) +
O494*IF(_xlfn.XLOOKUP(N494,'02效果表'!D:D,'02效果表'!E:E)&lt;0, _xlfn.XLOOKUP(N494,'02效果表'!D:D,'02效果表'!E:E), 0) +
Q494*IF(_xlfn.XLOOKUP(P494,'02效果表'!D:D,'02效果表'!E:E)&lt;0, _xlfn.XLOOKUP(P494,'02效果表'!D:D,'02效果表'!E:E), 0) +
S494*IF(_xlfn.XLOOKUP(R494,'02效果表'!D:D,'02效果表'!E:E)&lt;0, _xlfn.XLOOKUP(R494,'02效果表'!D:D,'02效果表'!E:E), 0) +
U494*IF(_xlfn.XLOOKUP(T494,'02效果表'!D:D,'02效果表'!E:E)&lt;0, _xlfn.XLOOKUP(T494,'02效果表'!D:D,'02效果表'!E:E), 0) +
W494*IF(_xlfn.XLOOKUP(V494,'02效果表'!D:D,'02效果表'!E:E)&lt;0, _xlfn.XLOOKUP(V494,'02效果表'!D:D,'02效果表'!E:E), 0) +
Y494*IF(_xlfn.XLOOKUP(X494,'02效果表'!D:D,'02效果表'!E:E)&lt;0, _xlfn.XLOOKUP(X494,'02效果表'!D:D,'02效果表'!E:E), 0) +
AA494*IF(_xlfn.XLOOKUP(Z494,'02效果表'!D:D,'02效果表'!E:E)&lt;0, _xlfn.XLOOKUP(Z494,'02效果表'!D:D,'02效果表'!E:E), 0) +
AC494*IF(_xlfn.XLOOKUP(AB494,'02效果表'!D:D,'02效果表'!E:E)&lt;0, _xlfn.XLOOKUP(AB494,'02效果表'!D:D,'02效果表'!E:E), 0) +
AE494*IF(_xlfn.XLOOKUP(AD494,'02效果表'!D:D,'02效果表'!E:E)&lt;0, _xlfn.XLOOKUP(AD494,'02效果表'!D:D,'02效果表'!E:E), 0)), 1)</f>
        <v>0</v>
      </c>
      <c r="G494" s="7">
        <f>ROUND(1/6*(I494*MAX(_xlfn.XLOOKUP(H494,'02效果表'!D:D,'02效果表'!E:E),0)+K494*MAX(_xlfn.XLOOKUP(J494,'02效果表'!D:D,'02效果表'!E:E),0)+M494*MAX(_xlfn.XLOOKUP(L494,'02效果表'!D:D,'02效果表'!E:E),0)+O494*MAX(_xlfn.XLOOKUP(N494,'02效果表'!D:D,'02效果表'!E:E),0)+Q494*MAX(_xlfn.XLOOKUP(P494,'02效果表'!D:D,'02效果表'!E:E),0)+S494*MAX(_xlfn.XLOOKUP(R494,'02效果表'!D:D,'02效果表'!E:E),0)+U494*MAX(_xlfn.XLOOKUP(T494,'02效果表'!D:D,'02效果表'!E:E),0)+W494*MAX(_xlfn.XLOOKUP(V494,'02效果表'!D:D,'02效果表'!E:E),0)+Y494*MAX(_xlfn.XLOOKUP(X494,'02效果表'!D:D,'02效果表'!E:E),0)+AA494*MAX(_xlfn.XLOOKUP(Z494,'02效果表'!D:D,'02效果表'!E:E),0)+AC494*MAX(_xlfn.XLOOKUP(AB494,'02效果表'!D:D,'02效果表'!E:E),0)+AE494*MAX(_xlfn.XLOOKUP(AD494,'02效果表'!D:D,'02效果表'!E:E),0)),1)</f>
        <v>0</v>
      </c>
      <c r="H494" s="6"/>
      <c r="I494" s="6"/>
      <c r="J494" s="6"/>
      <c r="K494" s="6"/>
      <c r="L494" s="6"/>
      <c r="M494" s="6"/>
      <c r="N494" s="6"/>
      <c r="O494" s="6"/>
      <c r="P494" s="6"/>
      <c r="Q494" s="6"/>
      <c r="R494" s="6"/>
      <c r="S494" s="6"/>
      <c r="T494" s="6"/>
      <c r="U494" s="6"/>
      <c r="V494" s="6"/>
      <c r="W494" s="6"/>
      <c r="X494" s="6"/>
      <c r="Y494" s="6"/>
      <c r="Z494" s="6"/>
      <c r="AA494" s="6"/>
      <c r="AB494" s="6"/>
      <c r="AC494" s="6"/>
      <c r="AD494" s="6"/>
      <c r="AE494" s="6"/>
    </row>
    <row r="495" spans="1:31" x14ac:dyDescent="0.35">
      <c r="A495" s="6">
        <v>495</v>
      </c>
      <c r="B495" s="6" t="s">
        <v>6</v>
      </c>
      <c r="C495" s="10" t="s">
        <v>17</v>
      </c>
      <c r="D495" s="9" t="s">
        <v>1654</v>
      </c>
      <c r="E495" s="7">
        <f t="shared" si="14"/>
        <v>0</v>
      </c>
      <c r="F495" s="7">
        <f>-1*ROUND(1/6*(I495*IF(_xlfn.XLOOKUP(H495,'02效果表'!D:D,'02效果表'!E:E)&lt;0, _xlfn.XLOOKUP(H495,'02效果表'!D:D,'02效果表'!E:E), 0) +
K495*IF(_xlfn.XLOOKUP(J495,'02效果表'!D:D,'02效果表'!E:E)&lt;0, _xlfn.XLOOKUP(J495,'02效果表'!D:D,'02效果表'!E:E), 0) +
M495*IF(_xlfn.XLOOKUP(L495,'02效果表'!D:D,'02效果表'!E:E)&lt;0, _xlfn.XLOOKUP(L495,'02效果表'!D:D,'02效果表'!E:E), 0) +
O495*IF(_xlfn.XLOOKUP(N495,'02效果表'!D:D,'02效果表'!E:E)&lt;0, _xlfn.XLOOKUP(N495,'02效果表'!D:D,'02效果表'!E:E), 0) +
Q495*IF(_xlfn.XLOOKUP(P495,'02效果表'!D:D,'02效果表'!E:E)&lt;0, _xlfn.XLOOKUP(P495,'02效果表'!D:D,'02效果表'!E:E), 0) +
S495*IF(_xlfn.XLOOKUP(R495,'02效果表'!D:D,'02效果表'!E:E)&lt;0, _xlfn.XLOOKUP(R495,'02效果表'!D:D,'02效果表'!E:E), 0) +
U495*IF(_xlfn.XLOOKUP(T495,'02效果表'!D:D,'02效果表'!E:E)&lt;0, _xlfn.XLOOKUP(T495,'02效果表'!D:D,'02效果表'!E:E), 0) +
W495*IF(_xlfn.XLOOKUP(V495,'02效果表'!D:D,'02效果表'!E:E)&lt;0, _xlfn.XLOOKUP(V495,'02效果表'!D:D,'02效果表'!E:E), 0) +
Y495*IF(_xlfn.XLOOKUP(X495,'02效果表'!D:D,'02效果表'!E:E)&lt;0, _xlfn.XLOOKUP(X495,'02效果表'!D:D,'02效果表'!E:E), 0) +
AA495*IF(_xlfn.XLOOKUP(Z495,'02效果表'!D:D,'02效果表'!E:E)&lt;0, _xlfn.XLOOKUP(Z495,'02效果表'!D:D,'02效果表'!E:E), 0) +
AC495*IF(_xlfn.XLOOKUP(AB495,'02效果表'!D:D,'02效果表'!E:E)&lt;0, _xlfn.XLOOKUP(AB495,'02效果表'!D:D,'02效果表'!E:E), 0) +
AE495*IF(_xlfn.XLOOKUP(AD495,'02效果表'!D:D,'02效果表'!E:E)&lt;0, _xlfn.XLOOKUP(AD495,'02效果表'!D:D,'02效果表'!E:E), 0)), 1)</f>
        <v>0</v>
      </c>
      <c r="G495" s="7">
        <f>ROUND(1/6*(I495*MAX(_xlfn.XLOOKUP(H495,'02效果表'!D:D,'02效果表'!E:E),0)+K495*MAX(_xlfn.XLOOKUP(J495,'02效果表'!D:D,'02效果表'!E:E),0)+M495*MAX(_xlfn.XLOOKUP(L495,'02效果表'!D:D,'02效果表'!E:E),0)+O495*MAX(_xlfn.XLOOKUP(N495,'02效果表'!D:D,'02效果表'!E:E),0)+Q495*MAX(_xlfn.XLOOKUP(P495,'02效果表'!D:D,'02效果表'!E:E),0)+S495*MAX(_xlfn.XLOOKUP(R495,'02效果表'!D:D,'02效果表'!E:E),0)+U495*MAX(_xlfn.XLOOKUP(T495,'02效果表'!D:D,'02效果表'!E:E),0)+W495*MAX(_xlfn.XLOOKUP(V495,'02效果表'!D:D,'02效果表'!E:E),0)+Y495*MAX(_xlfn.XLOOKUP(X495,'02效果表'!D:D,'02效果表'!E:E),0)+AA495*MAX(_xlfn.XLOOKUP(Z495,'02效果表'!D:D,'02效果表'!E:E),0)+AC495*MAX(_xlfn.XLOOKUP(AB495,'02效果表'!D:D,'02效果表'!E:E),0)+AE495*MAX(_xlfn.XLOOKUP(AD495,'02效果表'!D:D,'02效果表'!E:E),0)),1)</f>
        <v>0</v>
      </c>
      <c r="H495" s="6"/>
      <c r="I495" s="6"/>
      <c r="J495" s="6"/>
      <c r="K495" s="6"/>
      <c r="L495" s="6"/>
      <c r="M495" s="6"/>
      <c r="N495" s="6"/>
      <c r="O495" s="6"/>
      <c r="P495" s="6"/>
      <c r="Q495" s="6"/>
      <c r="R495" s="6"/>
      <c r="S495" s="6"/>
      <c r="T495" s="6"/>
      <c r="U495" s="6"/>
      <c r="V495" s="6"/>
      <c r="W495" s="6"/>
      <c r="X495" s="6"/>
      <c r="Y495" s="6"/>
      <c r="Z495" s="6"/>
      <c r="AA495" s="6"/>
      <c r="AB495" s="6"/>
      <c r="AC495" s="6"/>
      <c r="AD495" s="6"/>
      <c r="AE495" s="6"/>
    </row>
    <row r="496" spans="1:31" x14ac:dyDescent="0.35">
      <c r="A496" s="6">
        <v>496</v>
      </c>
      <c r="B496" s="6" t="s">
        <v>6</v>
      </c>
      <c r="C496" s="10" t="s">
        <v>17</v>
      </c>
      <c r="D496" s="9" t="s">
        <v>1655</v>
      </c>
      <c r="E496" s="7">
        <f t="shared" si="14"/>
        <v>0</v>
      </c>
      <c r="F496" s="7">
        <f>-1*ROUND(1/6*(I496*IF(_xlfn.XLOOKUP(H496,'02效果表'!D:D,'02效果表'!E:E)&lt;0, _xlfn.XLOOKUP(H496,'02效果表'!D:D,'02效果表'!E:E), 0) +
K496*IF(_xlfn.XLOOKUP(J496,'02效果表'!D:D,'02效果表'!E:E)&lt;0, _xlfn.XLOOKUP(J496,'02效果表'!D:D,'02效果表'!E:E), 0) +
M496*IF(_xlfn.XLOOKUP(L496,'02效果表'!D:D,'02效果表'!E:E)&lt;0, _xlfn.XLOOKUP(L496,'02效果表'!D:D,'02效果表'!E:E), 0) +
O496*IF(_xlfn.XLOOKUP(N496,'02效果表'!D:D,'02效果表'!E:E)&lt;0, _xlfn.XLOOKUP(N496,'02效果表'!D:D,'02效果表'!E:E), 0) +
Q496*IF(_xlfn.XLOOKUP(P496,'02效果表'!D:D,'02效果表'!E:E)&lt;0, _xlfn.XLOOKUP(P496,'02效果表'!D:D,'02效果表'!E:E), 0) +
S496*IF(_xlfn.XLOOKUP(R496,'02效果表'!D:D,'02效果表'!E:E)&lt;0, _xlfn.XLOOKUP(R496,'02效果表'!D:D,'02效果表'!E:E), 0) +
U496*IF(_xlfn.XLOOKUP(T496,'02效果表'!D:D,'02效果表'!E:E)&lt;0, _xlfn.XLOOKUP(T496,'02效果表'!D:D,'02效果表'!E:E), 0) +
W496*IF(_xlfn.XLOOKUP(V496,'02效果表'!D:D,'02效果表'!E:E)&lt;0, _xlfn.XLOOKUP(V496,'02效果表'!D:D,'02效果表'!E:E), 0) +
Y496*IF(_xlfn.XLOOKUP(X496,'02效果表'!D:D,'02效果表'!E:E)&lt;0, _xlfn.XLOOKUP(X496,'02效果表'!D:D,'02效果表'!E:E), 0) +
AA496*IF(_xlfn.XLOOKUP(Z496,'02效果表'!D:D,'02效果表'!E:E)&lt;0, _xlfn.XLOOKUP(Z496,'02效果表'!D:D,'02效果表'!E:E), 0) +
AC496*IF(_xlfn.XLOOKUP(AB496,'02效果表'!D:D,'02效果表'!E:E)&lt;0, _xlfn.XLOOKUP(AB496,'02效果表'!D:D,'02效果表'!E:E), 0) +
AE496*IF(_xlfn.XLOOKUP(AD496,'02效果表'!D:D,'02效果表'!E:E)&lt;0, _xlfn.XLOOKUP(AD496,'02效果表'!D:D,'02效果表'!E:E), 0)), 1)</f>
        <v>0</v>
      </c>
      <c r="G496" s="7">
        <f>ROUND(1/6*(I496*MAX(_xlfn.XLOOKUP(H496,'02效果表'!D:D,'02效果表'!E:E),0)+K496*MAX(_xlfn.XLOOKUP(J496,'02效果表'!D:D,'02效果表'!E:E),0)+M496*MAX(_xlfn.XLOOKUP(L496,'02效果表'!D:D,'02效果表'!E:E),0)+O496*MAX(_xlfn.XLOOKUP(N496,'02效果表'!D:D,'02效果表'!E:E),0)+Q496*MAX(_xlfn.XLOOKUP(P496,'02效果表'!D:D,'02效果表'!E:E),0)+S496*MAX(_xlfn.XLOOKUP(R496,'02效果表'!D:D,'02效果表'!E:E),0)+U496*MAX(_xlfn.XLOOKUP(T496,'02效果表'!D:D,'02效果表'!E:E),0)+W496*MAX(_xlfn.XLOOKUP(V496,'02效果表'!D:D,'02效果表'!E:E),0)+Y496*MAX(_xlfn.XLOOKUP(X496,'02效果表'!D:D,'02效果表'!E:E),0)+AA496*MAX(_xlfn.XLOOKUP(Z496,'02效果表'!D:D,'02效果表'!E:E),0)+AC496*MAX(_xlfn.XLOOKUP(AB496,'02效果表'!D:D,'02效果表'!E:E),0)+AE496*MAX(_xlfn.XLOOKUP(AD496,'02效果表'!D:D,'02效果表'!E:E),0)),1)</f>
        <v>0</v>
      </c>
      <c r="H496" s="6"/>
      <c r="I496" s="6"/>
      <c r="J496" s="6"/>
      <c r="K496" s="6"/>
      <c r="L496" s="6"/>
      <c r="M496" s="6"/>
      <c r="N496" s="6"/>
      <c r="O496" s="6"/>
      <c r="P496" s="6"/>
      <c r="Q496" s="6"/>
      <c r="R496" s="6"/>
      <c r="S496" s="6"/>
      <c r="T496" s="6"/>
      <c r="U496" s="6"/>
      <c r="V496" s="6"/>
      <c r="W496" s="6"/>
      <c r="X496" s="6"/>
      <c r="Y496" s="6"/>
      <c r="Z496" s="6"/>
      <c r="AA496" s="6"/>
      <c r="AB496" s="6"/>
      <c r="AC496" s="6"/>
      <c r="AD496" s="6"/>
      <c r="AE496" s="6"/>
    </row>
    <row r="497" spans="1:31" x14ac:dyDescent="0.35">
      <c r="A497" s="6">
        <v>497</v>
      </c>
      <c r="B497" s="6" t="s">
        <v>6</v>
      </c>
      <c r="C497" s="10" t="s">
        <v>17</v>
      </c>
      <c r="D497" s="9" t="s">
        <v>1656</v>
      </c>
      <c r="E497" s="7">
        <f t="shared" si="14"/>
        <v>0</v>
      </c>
      <c r="F497" s="7">
        <f>-1*ROUND(1/6*(I497*IF(_xlfn.XLOOKUP(H497,'02效果表'!D:D,'02效果表'!E:E)&lt;0, _xlfn.XLOOKUP(H497,'02效果表'!D:D,'02效果表'!E:E), 0) +
K497*IF(_xlfn.XLOOKUP(J497,'02效果表'!D:D,'02效果表'!E:E)&lt;0, _xlfn.XLOOKUP(J497,'02效果表'!D:D,'02效果表'!E:E), 0) +
M497*IF(_xlfn.XLOOKUP(L497,'02效果表'!D:D,'02效果表'!E:E)&lt;0, _xlfn.XLOOKUP(L497,'02效果表'!D:D,'02效果表'!E:E), 0) +
O497*IF(_xlfn.XLOOKUP(N497,'02效果表'!D:D,'02效果表'!E:E)&lt;0, _xlfn.XLOOKUP(N497,'02效果表'!D:D,'02效果表'!E:E), 0) +
Q497*IF(_xlfn.XLOOKUP(P497,'02效果表'!D:D,'02效果表'!E:E)&lt;0, _xlfn.XLOOKUP(P497,'02效果表'!D:D,'02效果表'!E:E), 0) +
S497*IF(_xlfn.XLOOKUP(R497,'02效果表'!D:D,'02效果表'!E:E)&lt;0, _xlfn.XLOOKUP(R497,'02效果表'!D:D,'02效果表'!E:E), 0) +
U497*IF(_xlfn.XLOOKUP(T497,'02效果表'!D:D,'02效果表'!E:E)&lt;0, _xlfn.XLOOKUP(T497,'02效果表'!D:D,'02效果表'!E:E), 0) +
W497*IF(_xlfn.XLOOKUP(V497,'02效果表'!D:D,'02效果表'!E:E)&lt;0, _xlfn.XLOOKUP(V497,'02效果表'!D:D,'02效果表'!E:E), 0) +
Y497*IF(_xlfn.XLOOKUP(X497,'02效果表'!D:D,'02效果表'!E:E)&lt;0, _xlfn.XLOOKUP(X497,'02效果表'!D:D,'02效果表'!E:E), 0) +
AA497*IF(_xlfn.XLOOKUP(Z497,'02效果表'!D:D,'02效果表'!E:E)&lt;0, _xlfn.XLOOKUP(Z497,'02效果表'!D:D,'02效果表'!E:E), 0) +
AC497*IF(_xlfn.XLOOKUP(AB497,'02效果表'!D:D,'02效果表'!E:E)&lt;0, _xlfn.XLOOKUP(AB497,'02效果表'!D:D,'02效果表'!E:E), 0) +
AE497*IF(_xlfn.XLOOKUP(AD497,'02效果表'!D:D,'02效果表'!E:E)&lt;0, _xlfn.XLOOKUP(AD497,'02效果表'!D:D,'02效果表'!E:E), 0)), 1)</f>
        <v>0</v>
      </c>
      <c r="G497" s="7">
        <f>ROUND(1/6*(I497*MAX(_xlfn.XLOOKUP(H497,'02效果表'!D:D,'02效果表'!E:E),0)+K497*MAX(_xlfn.XLOOKUP(J497,'02效果表'!D:D,'02效果表'!E:E),0)+M497*MAX(_xlfn.XLOOKUP(L497,'02效果表'!D:D,'02效果表'!E:E),0)+O497*MAX(_xlfn.XLOOKUP(N497,'02效果表'!D:D,'02效果表'!E:E),0)+Q497*MAX(_xlfn.XLOOKUP(P497,'02效果表'!D:D,'02效果表'!E:E),0)+S497*MAX(_xlfn.XLOOKUP(R497,'02效果表'!D:D,'02效果表'!E:E),0)+U497*MAX(_xlfn.XLOOKUP(T497,'02效果表'!D:D,'02效果表'!E:E),0)+W497*MAX(_xlfn.XLOOKUP(V497,'02效果表'!D:D,'02效果表'!E:E),0)+Y497*MAX(_xlfn.XLOOKUP(X497,'02效果表'!D:D,'02效果表'!E:E),0)+AA497*MAX(_xlfn.XLOOKUP(Z497,'02效果表'!D:D,'02效果表'!E:E),0)+AC497*MAX(_xlfn.XLOOKUP(AB497,'02效果表'!D:D,'02效果表'!E:E),0)+AE497*MAX(_xlfn.XLOOKUP(AD497,'02效果表'!D:D,'02效果表'!E:E),0)),1)</f>
        <v>0</v>
      </c>
      <c r="H497" s="6"/>
      <c r="I497" s="6"/>
      <c r="J497" s="6"/>
      <c r="K497" s="6"/>
      <c r="L497" s="6"/>
      <c r="M497" s="6"/>
      <c r="N497" s="6"/>
      <c r="O497" s="6"/>
      <c r="P497" s="6"/>
      <c r="Q497" s="6"/>
      <c r="R497" s="6"/>
      <c r="S497" s="6"/>
      <c r="T497" s="6"/>
      <c r="U497" s="6"/>
      <c r="V497" s="6"/>
      <c r="W497" s="6"/>
      <c r="X497" s="6"/>
      <c r="Y497" s="6"/>
      <c r="Z497" s="6"/>
      <c r="AA497" s="6"/>
      <c r="AB497" s="6"/>
      <c r="AC497" s="6"/>
      <c r="AD497" s="6"/>
      <c r="AE497" s="6"/>
    </row>
    <row r="498" spans="1:31" x14ac:dyDescent="0.35">
      <c r="A498" s="6">
        <v>498</v>
      </c>
      <c r="B498" s="6" t="s">
        <v>6</v>
      </c>
      <c r="C498" s="10" t="s">
        <v>17</v>
      </c>
      <c r="D498" s="9" t="s">
        <v>1657</v>
      </c>
      <c r="E498" s="7">
        <f t="shared" si="14"/>
        <v>0</v>
      </c>
      <c r="F498" s="7">
        <f>-1*ROUND(1/6*(I498*IF(_xlfn.XLOOKUP(H498,'02效果表'!D:D,'02效果表'!E:E)&lt;0, _xlfn.XLOOKUP(H498,'02效果表'!D:D,'02效果表'!E:E), 0) +
K498*IF(_xlfn.XLOOKUP(J498,'02效果表'!D:D,'02效果表'!E:E)&lt;0, _xlfn.XLOOKUP(J498,'02效果表'!D:D,'02效果表'!E:E), 0) +
M498*IF(_xlfn.XLOOKUP(L498,'02效果表'!D:D,'02效果表'!E:E)&lt;0, _xlfn.XLOOKUP(L498,'02效果表'!D:D,'02效果表'!E:E), 0) +
O498*IF(_xlfn.XLOOKUP(N498,'02效果表'!D:D,'02效果表'!E:E)&lt;0, _xlfn.XLOOKUP(N498,'02效果表'!D:D,'02效果表'!E:E), 0) +
Q498*IF(_xlfn.XLOOKUP(P498,'02效果表'!D:D,'02效果表'!E:E)&lt;0, _xlfn.XLOOKUP(P498,'02效果表'!D:D,'02效果表'!E:E), 0) +
S498*IF(_xlfn.XLOOKUP(R498,'02效果表'!D:D,'02效果表'!E:E)&lt;0, _xlfn.XLOOKUP(R498,'02效果表'!D:D,'02效果表'!E:E), 0) +
U498*IF(_xlfn.XLOOKUP(T498,'02效果表'!D:D,'02效果表'!E:E)&lt;0, _xlfn.XLOOKUP(T498,'02效果表'!D:D,'02效果表'!E:E), 0) +
W498*IF(_xlfn.XLOOKUP(V498,'02效果表'!D:D,'02效果表'!E:E)&lt;0, _xlfn.XLOOKUP(V498,'02效果表'!D:D,'02效果表'!E:E), 0) +
Y498*IF(_xlfn.XLOOKUP(X498,'02效果表'!D:D,'02效果表'!E:E)&lt;0, _xlfn.XLOOKUP(X498,'02效果表'!D:D,'02效果表'!E:E), 0) +
AA498*IF(_xlfn.XLOOKUP(Z498,'02效果表'!D:D,'02效果表'!E:E)&lt;0, _xlfn.XLOOKUP(Z498,'02效果表'!D:D,'02效果表'!E:E), 0) +
AC498*IF(_xlfn.XLOOKUP(AB498,'02效果表'!D:D,'02效果表'!E:E)&lt;0, _xlfn.XLOOKUP(AB498,'02效果表'!D:D,'02效果表'!E:E), 0) +
AE498*IF(_xlfn.XLOOKUP(AD498,'02效果表'!D:D,'02效果表'!E:E)&lt;0, _xlfn.XLOOKUP(AD498,'02效果表'!D:D,'02效果表'!E:E), 0)), 1)</f>
        <v>0</v>
      </c>
      <c r="G498" s="7">
        <f>ROUND(1/6*(I498*MAX(_xlfn.XLOOKUP(H498,'02效果表'!D:D,'02效果表'!E:E),0)+K498*MAX(_xlfn.XLOOKUP(J498,'02效果表'!D:D,'02效果表'!E:E),0)+M498*MAX(_xlfn.XLOOKUP(L498,'02效果表'!D:D,'02效果表'!E:E),0)+O498*MAX(_xlfn.XLOOKUP(N498,'02效果表'!D:D,'02效果表'!E:E),0)+Q498*MAX(_xlfn.XLOOKUP(P498,'02效果表'!D:D,'02效果表'!E:E),0)+S498*MAX(_xlfn.XLOOKUP(R498,'02效果表'!D:D,'02效果表'!E:E),0)+U498*MAX(_xlfn.XLOOKUP(T498,'02效果表'!D:D,'02效果表'!E:E),0)+W498*MAX(_xlfn.XLOOKUP(V498,'02效果表'!D:D,'02效果表'!E:E),0)+Y498*MAX(_xlfn.XLOOKUP(X498,'02效果表'!D:D,'02效果表'!E:E),0)+AA498*MAX(_xlfn.XLOOKUP(Z498,'02效果表'!D:D,'02效果表'!E:E),0)+AC498*MAX(_xlfn.XLOOKUP(AB498,'02效果表'!D:D,'02效果表'!E:E),0)+AE498*MAX(_xlfn.XLOOKUP(AD498,'02效果表'!D:D,'02效果表'!E:E),0)),1)</f>
        <v>0</v>
      </c>
      <c r="H498" s="6"/>
      <c r="I498" s="6"/>
      <c r="J498" s="6"/>
      <c r="K498" s="6"/>
      <c r="L498" s="6"/>
      <c r="M498" s="6"/>
      <c r="N498" s="6"/>
      <c r="O498" s="6"/>
      <c r="P498" s="6"/>
      <c r="Q498" s="6"/>
      <c r="R498" s="6"/>
      <c r="S498" s="6"/>
      <c r="T498" s="6"/>
      <c r="U498" s="6"/>
      <c r="V498" s="6"/>
      <c r="W498" s="6"/>
      <c r="X498" s="6"/>
      <c r="Y498" s="6"/>
      <c r="Z498" s="6"/>
      <c r="AA498" s="6"/>
      <c r="AB498" s="6"/>
      <c r="AC498" s="6"/>
      <c r="AD498" s="6"/>
      <c r="AE498" s="6"/>
    </row>
    <row r="499" spans="1:31" x14ac:dyDescent="0.35">
      <c r="A499" s="6">
        <v>499</v>
      </c>
      <c r="B499" s="6" t="s">
        <v>6</v>
      </c>
      <c r="C499" s="10" t="s">
        <v>17</v>
      </c>
      <c r="D499" s="9" t="s">
        <v>1658</v>
      </c>
      <c r="E499" s="7">
        <f t="shared" si="14"/>
        <v>0</v>
      </c>
      <c r="F499" s="7">
        <f>-1*ROUND(1/6*(I499*IF(_xlfn.XLOOKUP(H499,'02效果表'!D:D,'02效果表'!E:E)&lt;0, _xlfn.XLOOKUP(H499,'02效果表'!D:D,'02效果表'!E:E), 0) +
K499*IF(_xlfn.XLOOKUP(J499,'02效果表'!D:D,'02效果表'!E:E)&lt;0, _xlfn.XLOOKUP(J499,'02效果表'!D:D,'02效果表'!E:E), 0) +
M499*IF(_xlfn.XLOOKUP(L499,'02效果表'!D:D,'02效果表'!E:E)&lt;0, _xlfn.XLOOKUP(L499,'02效果表'!D:D,'02效果表'!E:E), 0) +
O499*IF(_xlfn.XLOOKUP(N499,'02效果表'!D:D,'02效果表'!E:E)&lt;0, _xlfn.XLOOKUP(N499,'02效果表'!D:D,'02效果表'!E:E), 0) +
Q499*IF(_xlfn.XLOOKUP(P499,'02效果表'!D:D,'02效果表'!E:E)&lt;0, _xlfn.XLOOKUP(P499,'02效果表'!D:D,'02效果表'!E:E), 0) +
S499*IF(_xlfn.XLOOKUP(R499,'02效果表'!D:D,'02效果表'!E:E)&lt;0, _xlfn.XLOOKUP(R499,'02效果表'!D:D,'02效果表'!E:E), 0) +
U499*IF(_xlfn.XLOOKUP(T499,'02效果表'!D:D,'02效果表'!E:E)&lt;0, _xlfn.XLOOKUP(T499,'02效果表'!D:D,'02效果表'!E:E), 0) +
W499*IF(_xlfn.XLOOKUP(V499,'02效果表'!D:D,'02效果表'!E:E)&lt;0, _xlfn.XLOOKUP(V499,'02效果表'!D:D,'02效果表'!E:E), 0) +
Y499*IF(_xlfn.XLOOKUP(X499,'02效果表'!D:D,'02效果表'!E:E)&lt;0, _xlfn.XLOOKUP(X499,'02效果表'!D:D,'02效果表'!E:E), 0) +
AA499*IF(_xlfn.XLOOKUP(Z499,'02效果表'!D:D,'02效果表'!E:E)&lt;0, _xlfn.XLOOKUP(Z499,'02效果表'!D:D,'02效果表'!E:E), 0) +
AC499*IF(_xlfn.XLOOKUP(AB499,'02效果表'!D:D,'02效果表'!E:E)&lt;0, _xlfn.XLOOKUP(AB499,'02效果表'!D:D,'02效果表'!E:E), 0) +
AE499*IF(_xlfn.XLOOKUP(AD499,'02效果表'!D:D,'02效果表'!E:E)&lt;0, _xlfn.XLOOKUP(AD499,'02效果表'!D:D,'02效果表'!E:E), 0)), 1)</f>
        <v>0</v>
      </c>
      <c r="G499" s="7">
        <f>ROUND(1/6*(I499*MAX(_xlfn.XLOOKUP(H499,'02效果表'!D:D,'02效果表'!E:E),0)+K499*MAX(_xlfn.XLOOKUP(J499,'02效果表'!D:D,'02效果表'!E:E),0)+M499*MAX(_xlfn.XLOOKUP(L499,'02效果表'!D:D,'02效果表'!E:E),0)+O499*MAX(_xlfn.XLOOKUP(N499,'02效果表'!D:D,'02效果表'!E:E),0)+Q499*MAX(_xlfn.XLOOKUP(P499,'02效果表'!D:D,'02效果表'!E:E),0)+S499*MAX(_xlfn.XLOOKUP(R499,'02效果表'!D:D,'02效果表'!E:E),0)+U499*MAX(_xlfn.XLOOKUP(T499,'02效果表'!D:D,'02效果表'!E:E),0)+W499*MAX(_xlfn.XLOOKUP(V499,'02效果表'!D:D,'02效果表'!E:E),0)+Y499*MAX(_xlfn.XLOOKUP(X499,'02效果表'!D:D,'02效果表'!E:E),0)+AA499*MAX(_xlfn.XLOOKUP(Z499,'02效果表'!D:D,'02效果表'!E:E),0)+AC499*MAX(_xlfn.XLOOKUP(AB499,'02效果表'!D:D,'02效果表'!E:E),0)+AE499*MAX(_xlfn.XLOOKUP(AD499,'02效果表'!D:D,'02效果表'!E:E),0)),1)</f>
        <v>0</v>
      </c>
      <c r="H499" s="6"/>
      <c r="I499" s="6"/>
      <c r="J499" s="6"/>
      <c r="K499" s="6"/>
      <c r="L499" s="6"/>
      <c r="M499" s="6"/>
      <c r="N499" s="6"/>
      <c r="O499" s="6"/>
      <c r="P499" s="6"/>
      <c r="Q499" s="6"/>
      <c r="R499" s="6"/>
      <c r="S499" s="6"/>
      <c r="T499" s="6"/>
      <c r="U499" s="6"/>
      <c r="V499" s="6"/>
      <c r="W499" s="6"/>
      <c r="X499" s="6"/>
      <c r="Y499" s="6"/>
      <c r="Z499" s="6"/>
      <c r="AA499" s="6"/>
      <c r="AB499" s="6"/>
      <c r="AC499" s="6"/>
      <c r="AD499" s="6"/>
      <c r="AE499" s="6"/>
    </row>
    <row r="500" spans="1:31" x14ac:dyDescent="0.35">
      <c r="A500" s="6">
        <v>500</v>
      </c>
      <c r="B500" s="6" t="s">
        <v>6</v>
      </c>
      <c r="C500" s="10" t="s">
        <v>17</v>
      </c>
      <c r="D500" s="9" t="s">
        <v>1659</v>
      </c>
      <c r="E500" s="7">
        <f t="shared" si="14"/>
        <v>0</v>
      </c>
      <c r="F500" s="7">
        <f>-1*ROUND(1/6*(I500*IF(_xlfn.XLOOKUP(H500,'02效果表'!D:D,'02效果表'!E:E)&lt;0, _xlfn.XLOOKUP(H500,'02效果表'!D:D,'02效果表'!E:E), 0) +
K500*IF(_xlfn.XLOOKUP(J500,'02效果表'!D:D,'02效果表'!E:E)&lt;0, _xlfn.XLOOKUP(J500,'02效果表'!D:D,'02效果表'!E:E), 0) +
M500*IF(_xlfn.XLOOKUP(L500,'02效果表'!D:D,'02效果表'!E:E)&lt;0, _xlfn.XLOOKUP(L500,'02效果表'!D:D,'02效果表'!E:E), 0) +
O500*IF(_xlfn.XLOOKUP(N500,'02效果表'!D:D,'02效果表'!E:E)&lt;0, _xlfn.XLOOKUP(N500,'02效果表'!D:D,'02效果表'!E:E), 0) +
Q500*IF(_xlfn.XLOOKUP(P500,'02效果表'!D:D,'02效果表'!E:E)&lt;0, _xlfn.XLOOKUP(P500,'02效果表'!D:D,'02效果表'!E:E), 0) +
S500*IF(_xlfn.XLOOKUP(R500,'02效果表'!D:D,'02效果表'!E:E)&lt;0, _xlfn.XLOOKUP(R500,'02效果表'!D:D,'02效果表'!E:E), 0) +
U500*IF(_xlfn.XLOOKUP(T500,'02效果表'!D:D,'02效果表'!E:E)&lt;0, _xlfn.XLOOKUP(T500,'02效果表'!D:D,'02效果表'!E:E), 0) +
W500*IF(_xlfn.XLOOKUP(V500,'02效果表'!D:D,'02效果表'!E:E)&lt;0, _xlfn.XLOOKUP(V500,'02效果表'!D:D,'02效果表'!E:E), 0) +
Y500*IF(_xlfn.XLOOKUP(X500,'02效果表'!D:D,'02效果表'!E:E)&lt;0, _xlfn.XLOOKUP(X500,'02效果表'!D:D,'02效果表'!E:E), 0) +
AA500*IF(_xlfn.XLOOKUP(Z500,'02效果表'!D:D,'02效果表'!E:E)&lt;0, _xlfn.XLOOKUP(Z500,'02效果表'!D:D,'02效果表'!E:E), 0) +
AC500*IF(_xlfn.XLOOKUP(AB500,'02效果表'!D:D,'02效果表'!E:E)&lt;0, _xlfn.XLOOKUP(AB500,'02效果表'!D:D,'02效果表'!E:E), 0) +
AE500*IF(_xlfn.XLOOKUP(AD500,'02效果表'!D:D,'02效果表'!E:E)&lt;0, _xlfn.XLOOKUP(AD500,'02效果表'!D:D,'02效果表'!E:E), 0)), 1)</f>
        <v>0</v>
      </c>
      <c r="G500" s="7">
        <f>ROUND(1/6*(I500*MAX(_xlfn.XLOOKUP(H500,'02效果表'!D:D,'02效果表'!E:E),0)+K500*MAX(_xlfn.XLOOKUP(J500,'02效果表'!D:D,'02效果表'!E:E),0)+M500*MAX(_xlfn.XLOOKUP(L500,'02效果表'!D:D,'02效果表'!E:E),0)+O500*MAX(_xlfn.XLOOKUP(N500,'02效果表'!D:D,'02效果表'!E:E),0)+Q500*MAX(_xlfn.XLOOKUP(P500,'02效果表'!D:D,'02效果表'!E:E),0)+S500*MAX(_xlfn.XLOOKUP(R500,'02效果表'!D:D,'02效果表'!E:E),0)+U500*MAX(_xlfn.XLOOKUP(T500,'02效果表'!D:D,'02效果表'!E:E),0)+W500*MAX(_xlfn.XLOOKUP(V500,'02效果表'!D:D,'02效果表'!E:E),0)+Y500*MAX(_xlfn.XLOOKUP(X500,'02效果表'!D:D,'02效果表'!E:E),0)+AA500*MAX(_xlfn.XLOOKUP(Z500,'02效果表'!D:D,'02效果表'!E:E),0)+AC500*MAX(_xlfn.XLOOKUP(AB500,'02效果表'!D:D,'02效果表'!E:E),0)+AE500*MAX(_xlfn.XLOOKUP(AD500,'02效果表'!D:D,'02效果表'!E:E),0)),1)</f>
        <v>0</v>
      </c>
      <c r="H500" s="6"/>
      <c r="I500" s="6"/>
      <c r="J500" s="6"/>
      <c r="K500" s="6"/>
      <c r="L500" s="6"/>
      <c r="M500" s="6"/>
      <c r="N500" s="6"/>
      <c r="O500" s="6"/>
      <c r="P500" s="6"/>
      <c r="Q500" s="6"/>
      <c r="R500" s="6"/>
      <c r="S500" s="6"/>
      <c r="T500" s="6"/>
      <c r="U500" s="6"/>
      <c r="V500" s="6"/>
      <c r="W500" s="6"/>
      <c r="X500" s="6"/>
      <c r="Y500" s="6"/>
      <c r="Z500" s="6"/>
      <c r="AA500" s="6"/>
      <c r="AB500" s="6"/>
      <c r="AC500" s="6"/>
      <c r="AD500" s="6"/>
      <c r="AE500" s="6"/>
    </row>
    <row r="501" spans="1:31" x14ac:dyDescent="0.35">
      <c r="A501" s="6">
        <v>501</v>
      </c>
      <c r="B501" s="6" t="s">
        <v>6</v>
      </c>
      <c r="C501" s="10" t="s">
        <v>17</v>
      </c>
      <c r="D501" s="9" t="s">
        <v>1660</v>
      </c>
      <c r="E501" s="7">
        <f t="shared" si="14"/>
        <v>0</v>
      </c>
      <c r="F501" s="7">
        <f>-1*ROUND(1/6*(I501*IF(_xlfn.XLOOKUP(H501,'02效果表'!D:D,'02效果表'!E:E)&lt;0, _xlfn.XLOOKUP(H501,'02效果表'!D:D,'02效果表'!E:E), 0) +
K501*IF(_xlfn.XLOOKUP(J501,'02效果表'!D:D,'02效果表'!E:E)&lt;0, _xlfn.XLOOKUP(J501,'02效果表'!D:D,'02效果表'!E:E), 0) +
M501*IF(_xlfn.XLOOKUP(L501,'02效果表'!D:D,'02效果表'!E:E)&lt;0, _xlfn.XLOOKUP(L501,'02效果表'!D:D,'02效果表'!E:E), 0) +
O501*IF(_xlfn.XLOOKUP(N501,'02效果表'!D:D,'02效果表'!E:E)&lt;0, _xlfn.XLOOKUP(N501,'02效果表'!D:D,'02效果表'!E:E), 0) +
Q501*IF(_xlfn.XLOOKUP(P501,'02效果表'!D:D,'02效果表'!E:E)&lt;0, _xlfn.XLOOKUP(P501,'02效果表'!D:D,'02效果表'!E:E), 0) +
S501*IF(_xlfn.XLOOKUP(R501,'02效果表'!D:D,'02效果表'!E:E)&lt;0, _xlfn.XLOOKUP(R501,'02效果表'!D:D,'02效果表'!E:E), 0) +
U501*IF(_xlfn.XLOOKUP(T501,'02效果表'!D:D,'02效果表'!E:E)&lt;0, _xlfn.XLOOKUP(T501,'02效果表'!D:D,'02效果表'!E:E), 0) +
W501*IF(_xlfn.XLOOKUP(V501,'02效果表'!D:D,'02效果表'!E:E)&lt;0, _xlfn.XLOOKUP(V501,'02效果表'!D:D,'02效果表'!E:E), 0) +
Y501*IF(_xlfn.XLOOKUP(X501,'02效果表'!D:D,'02效果表'!E:E)&lt;0, _xlfn.XLOOKUP(X501,'02效果表'!D:D,'02效果表'!E:E), 0) +
AA501*IF(_xlfn.XLOOKUP(Z501,'02效果表'!D:D,'02效果表'!E:E)&lt;0, _xlfn.XLOOKUP(Z501,'02效果表'!D:D,'02效果表'!E:E), 0) +
AC501*IF(_xlfn.XLOOKUP(AB501,'02效果表'!D:D,'02效果表'!E:E)&lt;0, _xlfn.XLOOKUP(AB501,'02效果表'!D:D,'02效果表'!E:E), 0) +
AE501*IF(_xlfn.XLOOKUP(AD501,'02效果表'!D:D,'02效果表'!E:E)&lt;0, _xlfn.XLOOKUP(AD501,'02效果表'!D:D,'02效果表'!E:E), 0)), 1)</f>
        <v>0</v>
      </c>
      <c r="G501" s="7">
        <f>ROUND(1/6*(I501*MAX(_xlfn.XLOOKUP(H501,'02效果表'!D:D,'02效果表'!E:E),0)+K501*MAX(_xlfn.XLOOKUP(J501,'02效果表'!D:D,'02效果表'!E:E),0)+M501*MAX(_xlfn.XLOOKUP(L501,'02效果表'!D:D,'02效果表'!E:E),0)+O501*MAX(_xlfn.XLOOKUP(N501,'02效果表'!D:D,'02效果表'!E:E),0)+Q501*MAX(_xlfn.XLOOKUP(P501,'02效果表'!D:D,'02效果表'!E:E),0)+S501*MAX(_xlfn.XLOOKUP(R501,'02效果表'!D:D,'02效果表'!E:E),0)+U501*MAX(_xlfn.XLOOKUP(T501,'02效果表'!D:D,'02效果表'!E:E),0)+W501*MAX(_xlfn.XLOOKUP(V501,'02效果表'!D:D,'02效果表'!E:E),0)+Y501*MAX(_xlfn.XLOOKUP(X501,'02效果表'!D:D,'02效果表'!E:E),0)+AA501*MAX(_xlfn.XLOOKUP(Z501,'02效果表'!D:D,'02效果表'!E:E),0)+AC501*MAX(_xlfn.XLOOKUP(AB501,'02效果表'!D:D,'02效果表'!E:E),0)+AE501*MAX(_xlfn.XLOOKUP(AD501,'02效果表'!D:D,'02效果表'!E:E),0)),1)</f>
        <v>0</v>
      </c>
      <c r="H501" s="6"/>
      <c r="I501" s="6"/>
      <c r="J501" s="6"/>
      <c r="K501" s="6"/>
      <c r="L501" s="6"/>
      <c r="M501" s="6"/>
      <c r="N501" s="6"/>
      <c r="O501" s="6"/>
      <c r="P501" s="6"/>
      <c r="Q501" s="6"/>
      <c r="R501" s="6"/>
      <c r="S501" s="6"/>
      <c r="T501" s="6"/>
      <c r="U501" s="6"/>
      <c r="V501" s="6"/>
      <c r="W501" s="6"/>
      <c r="X501" s="6"/>
      <c r="Y501" s="6"/>
      <c r="Z501" s="6"/>
      <c r="AA501" s="6"/>
      <c r="AB501" s="6"/>
      <c r="AC501" s="6"/>
      <c r="AD501" s="6"/>
      <c r="AE501" s="6"/>
    </row>
    <row r="502" spans="1:31" x14ac:dyDescent="0.35">
      <c r="A502" s="6">
        <v>502</v>
      </c>
      <c r="B502" s="6" t="s">
        <v>6</v>
      </c>
      <c r="C502" s="10" t="s">
        <v>17</v>
      </c>
      <c r="D502" s="9" t="s">
        <v>1661</v>
      </c>
      <c r="E502" s="7">
        <f t="shared" si="14"/>
        <v>0</v>
      </c>
      <c r="F502" s="7">
        <f>-1*ROUND(1/6*(I502*IF(_xlfn.XLOOKUP(H502,'02效果表'!D:D,'02效果表'!E:E)&lt;0, _xlfn.XLOOKUP(H502,'02效果表'!D:D,'02效果表'!E:E), 0) +
K502*IF(_xlfn.XLOOKUP(J502,'02效果表'!D:D,'02效果表'!E:E)&lt;0, _xlfn.XLOOKUP(J502,'02效果表'!D:D,'02效果表'!E:E), 0) +
M502*IF(_xlfn.XLOOKUP(L502,'02效果表'!D:D,'02效果表'!E:E)&lt;0, _xlfn.XLOOKUP(L502,'02效果表'!D:D,'02效果表'!E:E), 0) +
O502*IF(_xlfn.XLOOKUP(N502,'02效果表'!D:D,'02效果表'!E:E)&lt;0, _xlfn.XLOOKUP(N502,'02效果表'!D:D,'02效果表'!E:E), 0) +
Q502*IF(_xlfn.XLOOKUP(P502,'02效果表'!D:D,'02效果表'!E:E)&lt;0, _xlfn.XLOOKUP(P502,'02效果表'!D:D,'02效果表'!E:E), 0) +
S502*IF(_xlfn.XLOOKUP(R502,'02效果表'!D:D,'02效果表'!E:E)&lt;0, _xlfn.XLOOKUP(R502,'02效果表'!D:D,'02效果表'!E:E), 0) +
U502*IF(_xlfn.XLOOKUP(T502,'02效果表'!D:D,'02效果表'!E:E)&lt;0, _xlfn.XLOOKUP(T502,'02效果表'!D:D,'02效果表'!E:E), 0) +
W502*IF(_xlfn.XLOOKUP(V502,'02效果表'!D:D,'02效果表'!E:E)&lt;0, _xlfn.XLOOKUP(V502,'02效果表'!D:D,'02效果表'!E:E), 0) +
Y502*IF(_xlfn.XLOOKUP(X502,'02效果表'!D:D,'02效果表'!E:E)&lt;0, _xlfn.XLOOKUP(X502,'02效果表'!D:D,'02效果表'!E:E), 0) +
AA502*IF(_xlfn.XLOOKUP(Z502,'02效果表'!D:D,'02效果表'!E:E)&lt;0, _xlfn.XLOOKUP(Z502,'02效果表'!D:D,'02效果表'!E:E), 0) +
AC502*IF(_xlfn.XLOOKUP(AB502,'02效果表'!D:D,'02效果表'!E:E)&lt;0, _xlfn.XLOOKUP(AB502,'02效果表'!D:D,'02效果表'!E:E), 0) +
AE502*IF(_xlfn.XLOOKUP(AD502,'02效果表'!D:D,'02效果表'!E:E)&lt;0, _xlfn.XLOOKUP(AD502,'02效果表'!D:D,'02效果表'!E:E), 0)), 1)</f>
        <v>0</v>
      </c>
      <c r="G502" s="7">
        <f>ROUND(1/6*(I502*MAX(_xlfn.XLOOKUP(H502,'02效果表'!D:D,'02效果表'!E:E),0)+K502*MAX(_xlfn.XLOOKUP(J502,'02效果表'!D:D,'02效果表'!E:E),0)+M502*MAX(_xlfn.XLOOKUP(L502,'02效果表'!D:D,'02效果表'!E:E),0)+O502*MAX(_xlfn.XLOOKUP(N502,'02效果表'!D:D,'02效果表'!E:E),0)+Q502*MAX(_xlfn.XLOOKUP(P502,'02效果表'!D:D,'02效果表'!E:E),0)+S502*MAX(_xlfn.XLOOKUP(R502,'02效果表'!D:D,'02效果表'!E:E),0)+U502*MAX(_xlfn.XLOOKUP(T502,'02效果表'!D:D,'02效果表'!E:E),0)+W502*MAX(_xlfn.XLOOKUP(V502,'02效果表'!D:D,'02效果表'!E:E),0)+Y502*MAX(_xlfn.XLOOKUP(X502,'02效果表'!D:D,'02效果表'!E:E),0)+AA502*MAX(_xlfn.XLOOKUP(Z502,'02效果表'!D:D,'02效果表'!E:E),0)+AC502*MAX(_xlfn.XLOOKUP(AB502,'02效果表'!D:D,'02效果表'!E:E),0)+AE502*MAX(_xlfn.XLOOKUP(AD502,'02效果表'!D:D,'02效果表'!E:E),0)),1)</f>
        <v>0</v>
      </c>
      <c r="H502" s="6"/>
      <c r="I502" s="6"/>
      <c r="J502" s="6"/>
      <c r="K502" s="6"/>
      <c r="L502" s="6"/>
      <c r="M502" s="6"/>
      <c r="N502" s="6"/>
      <c r="O502" s="6"/>
      <c r="P502" s="6"/>
      <c r="Q502" s="6"/>
      <c r="R502" s="6"/>
      <c r="S502" s="6"/>
      <c r="T502" s="6"/>
      <c r="U502" s="6"/>
      <c r="V502" s="6"/>
      <c r="W502" s="6"/>
      <c r="X502" s="6"/>
      <c r="Y502" s="6"/>
      <c r="Z502" s="6"/>
      <c r="AA502" s="6"/>
      <c r="AB502" s="6"/>
      <c r="AC502" s="6"/>
      <c r="AD502" s="6"/>
      <c r="AE502" s="6"/>
    </row>
    <row r="503" spans="1:31" x14ac:dyDescent="0.35">
      <c r="A503" s="6">
        <v>503</v>
      </c>
      <c r="B503" s="6" t="s">
        <v>6</v>
      </c>
      <c r="C503" s="10" t="s">
        <v>17</v>
      </c>
      <c r="D503" s="9" t="s">
        <v>1662</v>
      </c>
      <c r="E503" s="7">
        <f t="shared" si="14"/>
        <v>0</v>
      </c>
      <c r="F503" s="7">
        <f>-1*ROUND(1/6*(I503*IF(_xlfn.XLOOKUP(H503,'02效果表'!D:D,'02效果表'!E:E)&lt;0, _xlfn.XLOOKUP(H503,'02效果表'!D:D,'02效果表'!E:E), 0) +
K503*IF(_xlfn.XLOOKUP(J503,'02效果表'!D:D,'02效果表'!E:E)&lt;0, _xlfn.XLOOKUP(J503,'02效果表'!D:D,'02效果表'!E:E), 0) +
M503*IF(_xlfn.XLOOKUP(L503,'02效果表'!D:D,'02效果表'!E:E)&lt;0, _xlfn.XLOOKUP(L503,'02效果表'!D:D,'02效果表'!E:E), 0) +
O503*IF(_xlfn.XLOOKUP(N503,'02效果表'!D:D,'02效果表'!E:E)&lt;0, _xlfn.XLOOKUP(N503,'02效果表'!D:D,'02效果表'!E:E), 0) +
Q503*IF(_xlfn.XLOOKUP(P503,'02效果表'!D:D,'02效果表'!E:E)&lt;0, _xlfn.XLOOKUP(P503,'02效果表'!D:D,'02效果表'!E:E), 0) +
S503*IF(_xlfn.XLOOKUP(R503,'02效果表'!D:D,'02效果表'!E:E)&lt;0, _xlfn.XLOOKUP(R503,'02效果表'!D:D,'02效果表'!E:E), 0) +
U503*IF(_xlfn.XLOOKUP(T503,'02效果表'!D:D,'02效果表'!E:E)&lt;0, _xlfn.XLOOKUP(T503,'02效果表'!D:D,'02效果表'!E:E), 0) +
W503*IF(_xlfn.XLOOKUP(V503,'02效果表'!D:D,'02效果表'!E:E)&lt;0, _xlfn.XLOOKUP(V503,'02效果表'!D:D,'02效果表'!E:E), 0) +
Y503*IF(_xlfn.XLOOKUP(X503,'02效果表'!D:D,'02效果表'!E:E)&lt;0, _xlfn.XLOOKUP(X503,'02效果表'!D:D,'02效果表'!E:E), 0) +
AA503*IF(_xlfn.XLOOKUP(Z503,'02效果表'!D:D,'02效果表'!E:E)&lt;0, _xlfn.XLOOKUP(Z503,'02效果表'!D:D,'02效果表'!E:E), 0) +
AC503*IF(_xlfn.XLOOKUP(AB503,'02效果表'!D:D,'02效果表'!E:E)&lt;0, _xlfn.XLOOKUP(AB503,'02效果表'!D:D,'02效果表'!E:E), 0) +
AE503*IF(_xlfn.XLOOKUP(AD503,'02效果表'!D:D,'02效果表'!E:E)&lt;0, _xlfn.XLOOKUP(AD503,'02效果表'!D:D,'02效果表'!E:E), 0)), 1)</f>
        <v>0</v>
      </c>
      <c r="G503" s="7">
        <f>ROUND(1/6*(I503*MAX(_xlfn.XLOOKUP(H503,'02效果表'!D:D,'02效果表'!E:E),0)+K503*MAX(_xlfn.XLOOKUP(J503,'02效果表'!D:D,'02效果表'!E:E),0)+M503*MAX(_xlfn.XLOOKUP(L503,'02效果表'!D:D,'02效果表'!E:E),0)+O503*MAX(_xlfn.XLOOKUP(N503,'02效果表'!D:D,'02效果表'!E:E),0)+Q503*MAX(_xlfn.XLOOKUP(P503,'02效果表'!D:D,'02效果表'!E:E),0)+S503*MAX(_xlfn.XLOOKUP(R503,'02效果表'!D:D,'02效果表'!E:E),0)+U503*MAX(_xlfn.XLOOKUP(T503,'02效果表'!D:D,'02效果表'!E:E),0)+W503*MAX(_xlfn.XLOOKUP(V503,'02效果表'!D:D,'02效果表'!E:E),0)+Y503*MAX(_xlfn.XLOOKUP(X503,'02效果表'!D:D,'02效果表'!E:E),0)+AA503*MAX(_xlfn.XLOOKUP(Z503,'02效果表'!D:D,'02效果表'!E:E),0)+AC503*MAX(_xlfn.XLOOKUP(AB503,'02效果表'!D:D,'02效果表'!E:E),0)+AE503*MAX(_xlfn.XLOOKUP(AD503,'02效果表'!D:D,'02效果表'!E:E),0)),1)</f>
        <v>0</v>
      </c>
      <c r="H503" s="6"/>
      <c r="I503" s="6"/>
      <c r="J503" s="6"/>
      <c r="K503" s="6"/>
      <c r="L503" s="6"/>
      <c r="M503" s="6"/>
      <c r="N503" s="6"/>
      <c r="O503" s="6"/>
      <c r="P503" s="6"/>
      <c r="Q503" s="6"/>
      <c r="R503" s="6"/>
      <c r="S503" s="6"/>
      <c r="T503" s="6"/>
      <c r="U503" s="6"/>
      <c r="V503" s="6"/>
      <c r="W503" s="6"/>
      <c r="X503" s="6"/>
      <c r="Y503" s="6"/>
      <c r="Z503" s="6"/>
      <c r="AA503" s="6"/>
      <c r="AB503" s="6"/>
      <c r="AC503" s="6"/>
      <c r="AD503" s="6"/>
      <c r="AE503" s="6"/>
    </row>
    <row r="504" spans="1:31" x14ac:dyDescent="0.35">
      <c r="A504" s="6">
        <v>504</v>
      </c>
      <c r="B504" s="6" t="s">
        <v>6</v>
      </c>
      <c r="C504" s="10" t="s">
        <v>17</v>
      </c>
      <c r="D504" s="9" t="s">
        <v>1663</v>
      </c>
      <c r="E504" s="7">
        <f t="shared" si="14"/>
        <v>0</v>
      </c>
      <c r="F504" s="7">
        <f>-1*ROUND(1/6*(I504*IF(_xlfn.XLOOKUP(H504,'02效果表'!D:D,'02效果表'!E:E)&lt;0, _xlfn.XLOOKUP(H504,'02效果表'!D:D,'02效果表'!E:E), 0) +
K504*IF(_xlfn.XLOOKUP(J504,'02效果表'!D:D,'02效果表'!E:E)&lt;0, _xlfn.XLOOKUP(J504,'02效果表'!D:D,'02效果表'!E:E), 0) +
M504*IF(_xlfn.XLOOKUP(L504,'02效果表'!D:D,'02效果表'!E:E)&lt;0, _xlfn.XLOOKUP(L504,'02效果表'!D:D,'02效果表'!E:E), 0) +
O504*IF(_xlfn.XLOOKUP(N504,'02效果表'!D:D,'02效果表'!E:E)&lt;0, _xlfn.XLOOKUP(N504,'02效果表'!D:D,'02效果表'!E:E), 0) +
Q504*IF(_xlfn.XLOOKUP(P504,'02效果表'!D:D,'02效果表'!E:E)&lt;0, _xlfn.XLOOKUP(P504,'02效果表'!D:D,'02效果表'!E:E), 0) +
S504*IF(_xlfn.XLOOKUP(R504,'02效果表'!D:D,'02效果表'!E:E)&lt;0, _xlfn.XLOOKUP(R504,'02效果表'!D:D,'02效果表'!E:E), 0) +
U504*IF(_xlfn.XLOOKUP(T504,'02效果表'!D:D,'02效果表'!E:E)&lt;0, _xlfn.XLOOKUP(T504,'02效果表'!D:D,'02效果表'!E:E), 0) +
W504*IF(_xlfn.XLOOKUP(V504,'02效果表'!D:D,'02效果表'!E:E)&lt;0, _xlfn.XLOOKUP(V504,'02效果表'!D:D,'02效果表'!E:E), 0) +
Y504*IF(_xlfn.XLOOKUP(X504,'02效果表'!D:D,'02效果表'!E:E)&lt;0, _xlfn.XLOOKUP(X504,'02效果表'!D:D,'02效果表'!E:E), 0) +
AA504*IF(_xlfn.XLOOKUP(Z504,'02效果表'!D:D,'02效果表'!E:E)&lt;0, _xlfn.XLOOKUP(Z504,'02效果表'!D:D,'02效果表'!E:E), 0) +
AC504*IF(_xlfn.XLOOKUP(AB504,'02效果表'!D:D,'02效果表'!E:E)&lt;0, _xlfn.XLOOKUP(AB504,'02效果表'!D:D,'02效果表'!E:E), 0) +
AE504*IF(_xlfn.XLOOKUP(AD504,'02效果表'!D:D,'02效果表'!E:E)&lt;0, _xlfn.XLOOKUP(AD504,'02效果表'!D:D,'02效果表'!E:E), 0)), 1)</f>
        <v>0</v>
      </c>
      <c r="G504" s="7">
        <f>ROUND(1/6*(I504*MAX(_xlfn.XLOOKUP(H504,'02效果表'!D:D,'02效果表'!E:E),0)+K504*MAX(_xlfn.XLOOKUP(J504,'02效果表'!D:D,'02效果表'!E:E),0)+M504*MAX(_xlfn.XLOOKUP(L504,'02效果表'!D:D,'02效果表'!E:E),0)+O504*MAX(_xlfn.XLOOKUP(N504,'02效果表'!D:D,'02效果表'!E:E),0)+Q504*MAX(_xlfn.XLOOKUP(P504,'02效果表'!D:D,'02效果表'!E:E),0)+S504*MAX(_xlfn.XLOOKUP(R504,'02效果表'!D:D,'02效果表'!E:E),0)+U504*MAX(_xlfn.XLOOKUP(T504,'02效果表'!D:D,'02效果表'!E:E),0)+W504*MAX(_xlfn.XLOOKUP(V504,'02效果表'!D:D,'02效果表'!E:E),0)+Y504*MAX(_xlfn.XLOOKUP(X504,'02效果表'!D:D,'02效果表'!E:E),0)+AA504*MAX(_xlfn.XLOOKUP(Z504,'02效果表'!D:D,'02效果表'!E:E),0)+AC504*MAX(_xlfn.XLOOKUP(AB504,'02效果表'!D:D,'02效果表'!E:E),0)+AE504*MAX(_xlfn.XLOOKUP(AD504,'02效果表'!D:D,'02效果表'!E:E),0)),1)</f>
        <v>0</v>
      </c>
      <c r="H504" s="6"/>
      <c r="I504" s="6"/>
      <c r="J504" s="6"/>
      <c r="K504" s="6"/>
      <c r="L504" s="6"/>
      <c r="M504" s="6"/>
      <c r="N504" s="6"/>
      <c r="O504" s="6"/>
      <c r="P504" s="6"/>
      <c r="Q504" s="6"/>
      <c r="R504" s="6"/>
      <c r="S504" s="6"/>
      <c r="T504" s="6"/>
      <c r="U504" s="6"/>
      <c r="V504" s="6"/>
      <c r="W504" s="6"/>
      <c r="X504" s="6"/>
      <c r="Y504" s="6"/>
      <c r="Z504" s="6"/>
      <c r="AA504" s="6"/>
      <c r="AB504" s="6"/>
      <c r="AC504" s="6"/>
      <c r="AD504" s="6"/>
      <c r="AE504" s="6"/>
    </row>
    <row r="505" spans="1:31" x14ac:dyDescent="0.35">
      <c r="A505" s="6">
        <v>505</v>
      </c>
      <c r="B505" s="6" t="s">
        <v>6</v>
      </c>
      <c r="C505" s="10" t="s">
        <v>17</v>
      </c>
      <c r="D505" s="9" t="s">
        <v>1664</v>
      </c>
      <c r="E505" s="7">
        <f t="shared" si="14"/>
        <v>0</v>
      </c>
      <c r="F505" s="7">
        <f>-1*ROUND(1/6*(I505*IF(_xlfn.XLOOKUP(H505,'02效果表'!D:D,'02效果表'!E:E)&lt;0, _xlfn.XLOOKUP(H505,'02效果表'!D:D,'02效果表'!E:E), 0) +
K505*IF(_xlfn.XLOOKUP(J505,'02效果表'!D:D,'02效果表'!E:E)&lt;0, _xlfn.XLOOKUP(J505,'02效果表'!D:D,'02效果表'!E:E), 0) +
M505*IF(_xlfn.XLOOKUP(L505,'02效果表'!D:D,'02效果表'!E:E)&lt;0, _xlfn.XLOOKUP(L505,'02效果表'!D:D,'02效果表'!E:E), 0) +
O505*IF(_xlfn.XLOOKUP(N505,'02效果表'!D:D,'02效果表'!E:E)&lt;0, _xlfn.XLOOKUP(N505,'02效果表'!D:D,'02效果表'!E:E), 0) +
Q505*IF(_xlfn.XLOOKUP(P505,'02效果表'!D:D,'02效果表'!E:E)&lt;0, _xlfn.XLOOKUP(P505,'02效果表'!D:D,'02效果表'!E:E), 0) +
S505*IF(_xlfn.XLOOKUP(R505,'02效果表'!D:D,'02效果表'!E:E)&lt;0, _xlfn.XLOOKUP(R505,'02效果表'!D:D,'02效果表'!E:E), 0) +
U505*IF(_xlfn.XLOOKUP(T505,'02效果表'!D:D,'02效果表'!E:E)&lt;0, _xlfn.XLOOKUP(T505,'02效果表'!D:D,'02效果表'!E:E), 0) +
W505*IF(_xlfn.XLOOKUP(V505,'02效果表'!D:D,'02效果表'!E:E)&lt;0, _xlfn.XLOOKUP(V505,'02效果表'!D:D,'02效果表'!E:E), 0) +
Y505*IF(_xlfn.XLOOKUP(X505,'02效果表'!D:D,'02效果表'!E:E)&lt;0, _xlfn.XLOOKUP(X505,'02效果表'!D:D,'02效果表'!E:E), 0) +
AA505*IF(_xlfn.XLOOKUP(Z505,'02效果表'!D:D,'02效果表'!E:E)&lt;0, _xlfn.XLOOKUP(Z505,'02效果表'!D:D,'02效果表'!E:E), 0) +
AC505*IF(_xlfn.XLOOKUP(AB505,'02效果表'!D:D,'02效果表'!E:E)&lt;0, _xlfn.XLOOKUP(AB505,'02效果表'!D:D,'02效果表'!E:E), 0) +
AE505*IF(_xlfn.XLOOKUP(AD505,'02效果表'!D:D,'02效果表'!E:E)&lt;0, _xlfn.XLOOKUP(AD505,'02效果表'!D:D,'02效果表'!E:E), 0)), 1)</f>
        <v>0</v>
      </c>
      <c r="G505" s="7">
        <f>ROUND(1/6*(I505*MAX(_xlfn.XLOOKUP(H505,'02效果表'!D:D,'02效果表'!E:E),0)+K505*MAX(_xlfn.XLOOKUP(J505,'02效果表'!D:D,'02效果表'!E:E),0)+M505*MAX(_xlfn.XLOOKUP(L505,'02效果表'!D:D,'02效果表'!E:E),0)+O505*MAX(_xlfn.XLOOKUP(N505,'02效果表'!D:D,'02效果表'!E:E),0)+Q505*MAX(_xlfn.XLOOKUP(P505,'02效果表'!D:D,'02效果表'!E:E),0)+S505*MAX(_xlfn.XLOOKUP(R505,'02效果表'!D:D,'02效果表'!E:E),0)+U505*MAX(_xlfn.XLOOKUP(T505,'02效果表'!D:D,'02效果表'!E:E),0)+W505*MAX(_xlfn.XLOOKUP(V505,'02效果表'!D:D,'02效果表'!E:E),0)+Y505*MAX(_xlfn.XLOOKUP(X505,'02效果表'!D:D,'02效果表'!E:E),0)+AA505*MAX(_xlfn.XLOOKUP(Z505,'02效果表'!D:D,'02效果表'!E:E),0)+AC505*MAX(_xlfn.XLOOKUP(AB505,'02效果表'!D:D,'02效果表'!E:E),0)+AE505*MAX(_xlfn.XLOOKUP(AD505,'02效果表'!D:D,'02效果表'!E:E),0)),1)</f>
        <v>0</v>
      </c>
      <c r="H505" s="6"/>
      <c r="I505" s="6"/>
      <c r="J505" s="6"/>
      <c r="K505" s="6"/>
      <c r="L505" s="6"/>
      <c r="M505" s="6"/>
      <c r="N505" s="6"/>
      <c r="O505" s="6"/>
      <c r="P505" s="6"/>
      <c r="Q505" s="6"/>
      <c r="R505" s="6"/>
      <c r="S505" s="6"/>
      <c r="T505" s="6"/>
      <c r="U505" s="6"/>
      <c r="V505" s="6"/>
      <c r="W505" s="6"/>
      <c r="X505" s="6"/>
      <c r="Y505" s="6"/>
      <c r="Z505" s="6"/>
      <c r="AA505" s="6"/>
      <c r="AB505" s="6"/>
      <c r="AC505" s="6"/>
      <c r="AD505" s="6"/>
      <c r="AE505" s="6"/>
    </row>
    <row r="506" spans="1:31" x14ac:dyDescent="0.35">
      <c r="A506" s="6">
        <v>506</v>
      </c>
      <c r="B506" s="6" t="s">
        <v>6</v>
      </c>
      <c r="C506" s="10" t="s">
        <v>17</v>
      </c>
      <c r="D506" s="9" t="s">
        <v>1665</v>
      </c>
      <c r="E506" s="7">
        <f t="shared" si="14"/>
        <v>0</v>
      </c>
      <c r="F506" s="7">
        <f>-1*ROUND(1/6*(I506*IF(_xlfn.XLOOKUP(H506,'02效果表'!D:D,'02效果表'!E:E)&lt;0, _xlfn.XLOOKUP(H506,'02效果表'!D:D,'02效果表'!E:E), 0) +
K506*IF(_xlfn.XLOOKUP(J506,'02效果表'!D:D,'02效果表'!E:E)&lt;0, _xlfn.XLOOKUP(J506,'02效果表'!D:D,'02效果表'!E:E), 0) +
M506*IF(_xlfn.XLOOKUP(L506,'02效果表'!D:D,'02效果表'!E:E)&lt;0, _xlfn.XLOOKUP(L506,'02效果表'!D:D,'02效果表'!E:E), 0) +
O506*IF(_xlfn.XLOOKUP(N506,'02效果表'!D:D,'02效果表'!E:E)&lt;0, _xlfn.XLOOKUP(N506,'02效果表'!D:D,'02效果表'!E:E), 0) +
Q506*IF(_xlfn.XLOOKUP(P506,'02效果表'!D:D,'02效果表'!E:E)&lt;0, _xlfn.XLOOKUP(P506,'02效果表'!D:D,'02效果表'!E:E), 0) +
S506*IF(_xlfn.XLOOKUP(R506,'02效果表'!D:D,'02效果表'!E:E)&lt;0, _xlfn.XLOOKUP(R506,'02效果表'!D:D,'02效果表'!E:E), 0) +
U506*IF(_xlfn.XLOOKUP(T506,'02效果表'!D:D,'02效果表'!E:E)&lt;0, _xlfn.XLOOKUP(T506,'02效果表'!D:D,'02效果表'!E:E), 0) +
W506*IF(_xlfn.XLOOKUP(V506,'02效果表'!D:D,'02效果表'!E:E)&lt;0, _xlfn.XLOOKUP(V506,'02效果表'!D:D,'02效果表'!E:E), 0) +
Y506*IF(_xlfn.XLOOKUP(X506,'02效果表'!D:D,'02效果表'!E:E)&lt;0, _xlfn.XLOOKUP(X506,'02效果表'!D:D,'02效果表'!E:E), 0) +
AA506*IF(_xlfn.XLOOKUP(Z506,'02效果表'!D:D,'02效果表'!E:E)&lt;0, _xlfn.XLOOKUP(Z506,'02效果表'!D:D,'02效果表'!E:E), 0) +
AC506*IF(_xlfn.XLOOKUP(AB506,'02效果表'!D:D,'02效果表'!E:E)&lt;0, _xlfn.XLOOKUP(AB506,'02效果表'!D:D,'02效果表'!E:E), 0) +
AE506*IF(_xlfn.XLOOKUP(AD506,'02效果表'!D:D,'02效果表'!E:E)&lt;0, _xlfn.XLOOKUP(AD506,'02效果表'!D:D,'02效果表'!E:E), 0)), 1)</f>
        <v>0</v>
      </c>
      <c r="G506" s="7">
        <f>ROUND(1/6*(I506*MAX(_xlfn.XLOOKUP(H506,'02效果表'!D:D,'02效果表'!E:E),0)+K506*MAX(_xlfn.XLOOKUP(J506,'02效果表'!D:D,'02效果表'!E:E),0)+M506*MAX(_xlfn.XLOOKUP(L506,'02效果表'!D:D,'02效果表'!E:E),0)+O506*MAX(_xlfn.XLOOKUP(N506,'02效果表'!D:D,'02效果表'!E:E),0)+Q506*MAX(_xlfn.XLOOKUP(P506,'02效果表'!D:D,'02效果表'!E:E),0)+S506*MAX(_xlfn.XLOOKUP(R506,'02效果表'!D:D,'02效果表'!E:E),0)+U506*MAX(_xlfn.XLOOKUP(T506,'02效果表'!D:D,'02效果表'!E:E),0)+W506*MAX(_xlfn.XLOOKUP(V506,'02效果表'!D:D,'02效果表'!E:E),0)+Y506*MAX(_xlfn.XLOOKUP(X506,'02效果表'!D:D,'02效果表'!E:E),0)+AA506*MAX(_xlfn.XLOOKUP(Z506,'02效果表'!D:D,'02效果表'!E:E),0)+AC506*MAX(_xlfn.XLOOKUP(AB506,'02效果表'!D:D,'02效果表'!E:E),0)+AE506*MAX(_xlfn.XLOOKUP(AD506,'02效果表'!D:D,'02效果表'!E:E),0)),1)</f>
        <v>0</v>
      </c>
      <c r="H506" s="6"/>
      <c r="I506" s="6"/>
      <c r="J506" s="6"/>
      <c r="K506" s="6"/>
      <c r="L506" s="6"/>
      <c r="M506" s="6"/>
      <c r="N506" s="6"/>
      <c r="O506" s="6"/>
      <c r="P506" s="6"/>
      <c r="Q506" s="6"/>
      <c r="R506" s="6"/>
      <c r="S506" s="6"/>
      <c r="T506" s="6"/>
      <c r="U506" s="6"/>
      <c r="V506" s="6"/>
      <c r="W506" s="6"/>
      <c r="X506" s="6"/>
      <c r="Y506" s="6"/>
      <c r="Z506" s="6"/>
      <c r="AA506" s="6"/>
      <c r="AB506" s="6"/>
      <c r="AC506" s="6"/>
      <c r="AD506" s="6"/>
      <c r="AE506" s="6"/>
    </row>
    <row r="507" spans="1:31" x14ac:dyDescent="0.35">
      <c r="A507" s="6">
        <v>507</v>
      </c>
      <c r="B507" s="6" t="s">
        <v>6</v>
      </c>
      <c r="C507" s="10" t="s">
        <v>17</v>
      </c>
      <c r="D507" s="9" t="s">
        <v>1666</v>
      </c>
      <c r="E507" s="7">
        <f t="shared" si="14"/>
        <v>0</v>
      </c>
      <c r="F507" s="7">
        <f>-1*ROUND(1/6*(I507*IF(_xlfn.XLOOKUP(H507,'02效果表'!D:D,'02效果表'!E:E)&lt;0, _xlfn.XLOOKUP(H507,'02效果表'!D:D,'02效果表'!E:E), 0) +
K507*IF(_xlfn.XLOOKUP(J507,'02效果表'!D:D,'02效果表'!E:E)&lt;0, _xlfn.XLOOKUP(J507,'02效果表'!D:D,'02效果表'!E:E), 0) +
M507*IF(_xlfn.XLOOKUP(L507,'02效果表'!D:D,'02效果表'!E:E)&lt;0, _xlfn.XLOOKUP(L507,'02效果表'!D:D,'02效果表'!E:E), 0) +
O507*IF(_xlfn.XLOOKUP(N507,'02效果表'!D:D,'02效果表'!E:E)&lt;0, _xlfn.XLOOKUP(N507,'02效果表'!D:D,'02效果表'!E:E), 0) +
Q507*IF(_xlfn.XLOOKUP(P507,'02效果表'!D:D,'02效果表'!E:E)&lt;0, _xlfn.XLOOKUP(P507,'02效果表'!D:D,'02效果表'!E:E), 0) +
S507*IF(_xlfn.XLOOKUP(R507,'02效果表'!D:D,'02效果表'!E:E)&lt;0, _xlfn.XLOOKUP(R507,'02效果表'!D:D,'02效果表'!E:E), 0) +
U507*IF(_xlfn.XLOOKUP(T507,'02效果表'!D:D,'02效果表'!E:E)&lt;0, _xlfn.XLOOKUP(T507,'02效果表'!D:D,'02效果表'!E:E), 0) +
W507*IF(_xlfn.XLOOKUP(V507,'02效果表'!D:D,'02效果表'!E:E)&lt;0, _xlfn.XLOOKUP(V507,'02效果表'!D:D,'02效果表'!E:E), 0) +
Y507*IF(_xlfn.XLOOKUP(X507,'02效果表'!D:D,'02效果表'!E:E)&lt;0, _xlfn.XLOOKUP(X507,'02效果表'!D:D,'02效果表'!E:E), 0) +
AA507*IF(_xlfn.XLOOKUP(Z507,'02效果表'!D:D,'02效果表'!E:E)&lt;0, _xlfn.XLOOKUP(Z507,'02效果表'!D:D,'02效果表'!E:E), 0) +
AC507*IF(_xlfn.XLOOKUP(AB507,'02效果表'!D:D,'02效果表'!E:E)&lt;0, _xlfn.XLOOKUP(AB507,'02效果表'!D:D,'02效果表'!E:E), 0) +
AE507*IF(_xlfn.XLOOKUP(AD507,'02效果表'!D:D,'02效果表'!E:E)&lt;0, _xlfn.XLOOKUP(AD507,'02效果表'!D:D,'02效果表'!E:E), 0)), 1)</f>
        <v>0</v>
      </c>
      <c r="G507" s="7">
        <f>ROUND(1/6*(I507*MAX(_xlfn.XLOOKUP(H507,'02效果表'!D:D,'02效果表'!E:E),0)+K507*MAX(_xlfn.XLOOKUP(J507,'02效果表'!D:D,'02效果表'!E:E),0)+M507*MAX(_xlfn.XLOOKUP(L507,'02效果表'!D:D,'02效果表'!E:E),0)+O507*MAX(_xlfn.XLOOKUP(N507,'02效果表'!D:D,'02效果表'!E:E),0)+Q507*MAX(_xlfn.XLOOKUP(P507,'02效果表'!D:D,'02效果表'!E:E),0)+S507*MAX(_xlfn.XLOOKUP(R507,'02效果表'!D:D,'02效果表'!E:E),0)+U507*MAX(_xlfn.XLOOKUP(T507,'02效果表'!D:D,'02效果表'!E:E),0)+W507*MAX(_xlfn.XLOOKUP(V507,'02效果表'!D:D,'02效果表'!E:E),0)+Y507*MAX(_xlfn.XLOOKUP(X507,'02效果表'!D:D,'02效果表'!E:E),0)+AA507*MAX(_xlfn.XLOOKUP(Z507,'02效果表'!D:D,'02效果表'!E:E),0)+AC507*MAX(_xlfn.XLOOKUP(AB507,'02效果表'!D:D,'02效果表'!E:E),0)+AE507*MAX(_xlfn.XLOOKUP(AD507,'02效果表'!D:D,'02效果表'!E:E),0)),1)</f>
        <v>0</v>
      </c>
      <c r="H507" s="6"/>
      <c r="I507" s="6"/>
      <c r="J507" s="6"/>
      <c r="K507" s="6"/>
      <c r="L507" s="6"/>
      <c r="M507" s="6"/>
      <c r="N507" s="6"/>
      <c r="O507" s="6"/>
      <c r="P507" s="6"/>
      <c r="Q507" s="6"/>
      <c r="R507" s="6"/>
      <c r="S507" s="6"/>
      <c r="T507" s="6"/>
      <c r="U507" s="6"/>
      <c r="V507" s="6"/>
      <c r="W507" s="6"/>
      <c r="X507" s="6"/>
      <c r="Y507" s="6"/>
      <c r="Z507" s="6"/>
      <c r="AA507" s="6"/>
      <c r="AB507" s="6"/>
      <c r="AC507" s="6"/>
      <c r="AD507" s="6"/>
      <c r="AE507" s="6"/>
    </row>
    <row r="508" spans="1:31" x14ac:dyDescent="0.35">
      <c r="A508" s="6">
        <v>508</v>
      </c>
      <c r="B508" s="6" t="s">
        <v>6</v>
      </c>
      <c r="C508" s="10" t="s">
        <v>17</v>
      </c>
      <c r="D508" s="9"/>
      <c r="E508" s="7">
        <f t="shared" si="14"/>
        <v>0</v>
      </c>
      <c r="F508" s="7">
        <f>-1*ROUND(1/6*(I508*IF(_xlfn.XLOOKUP(H508,'02效果表'!D:D,'02效果表'!E:E)&lt;0, _xlfn.XLOOKUP(H508,'02效果表'!D:D,'02效果表'!E:E), 0) +
K508*IF(_xlfn.XLOOKUP(J508,'02效果表'!D:D,'02效果表'!E:E)&lt;0, _xlfn.XLOOKUP(J508,'02效果表'!D:D,'02效果表'!E:E), 0) +
M508*IF(_xlfn.XLOOKUP(L508,'02效果表'!D:D,'02效果表'!E:E)&lt;0, _xlfn.XLOOKUP(L508,'02效果表'!D:D,'02效果表'!E:E), 0) +
O508*IF(_xlfn.XLOOKUP(N508,'02效果表'!D:D,'02效果表'!E:E)&lt;0, _xlfn.XLOOKUP(N508,'02效果表'!D:D,'02效果表'!E:E), 0) +
Q508*IF(_xlfn.XLOOKUP(P508,'02效果表'!D:D,'02效果表'!E:E)&lt;0, _xlfn.XLOOKUP(P508,'02效果表'!D:D,'02效果表'!E:E), 0) +
S508*IF(_xlfn.XLOOKUP(R508,'02效果表'!D:D,'02效果表'!E:E)&lt;0, _xlfn.XLOOKUP(R508,'02效果表'!D:D,'02效果表'!E:E), 0) +
U508*IF(_xlfn.XLOOKUP(T508,'02效果表'!D:D,'02效果表'!E:E)&lt;0, _xlfn.XLOOKUP(T508,'02效果表'!D:D,'02效果表'!E:E), 0) +
W508*IF(_xlfn.XLOOKUP(V508,'02效果表'!D:D,'02效果表'!E:E)&lt;0, _xlfn.XLOOKUP(V508,'02效果表'!D:D,'02效果表'!E:E), 0) +
Y508*IF(_xlfn.XLOOKUP(X508,'02效果表'!D:D,'02效果表'!E:E)&lt;0, _xlfn.XLOOKUP(X508,'02效果表'!D:D,'02效果表'!E:E), 0) +
AA508*IF(_xlfn.XLOOKUP(Z508,'02效果表'!D:D,'02效果表'!E:E)&lt;0, _xlfn.XLOOKUP(Z508,'02效果表'!D:D,'02效果表'!E:E), 0) +
AC508*IF(_xlfn.XLOOKUP(AB508,'02效果表'!D:D,'02效果表'!E:E)&lt;0, _xlfn.XLOOKUP(AB508,'02效果表'!D:D,'02效果表'!E:E), 0) +
AE508*IF(_xlfn.XLOOKUP(AD508,'02效果表'!D:D,'02效果表'!E:E)&lt;0, _xlfn.XLOOKUP(AD508,'02效果表'!D:D,'02效果表'!E:E), 0)), 1)</f>
        <v>0</v>
      </c>
      <c r="G508" s="7">
        <f>ROUND(1/6*(I508*MAX(_xlfn.XLOOKUP(H508,'02效果表'!D:D,'02效果表'!E:E),0)+K508*MAX(_xlfn.XLOOKUP(J508,'02效果表'!D:D,'02效果表'!E:E),0)+M508*MAX(_xlfn.XLOOKUP(L508,'02效果表'!D:D,'02效果表'!E:E),0)+O508*MAX(_xlfn.XLOOKUP(N508,'02效果表'!D:D,'02效果表'!E:E),0)+Q508*MAX(_xlfn.XLOOKUP(P508,'02效果表'!D:D,'02效果表'!E:E),0)+S508*MAX(_xlfn.XLOOKUP(R508,'02效果表'!D:D,'02效果表'!E:E),0)+U508*MAX(_xlfn.XLOOKUP(T508,'02效果表'!D:D,'02效果表'!E:E),0)+W508*MAX(_xlfn.XLOOKUP(V508,'02效果表'!D:D,'02效果表'!E:E),0)+Y508*MAX(_xlfn.XLOOKUP(X508,'02效果表'!D:D,'02效果表'!E:E),0)+AA508*MAX(_xlfn.XLOOKUP(Z508,'02效果表'!D:D,'02效果表'!E:E),0)+AC508*MAX(_xlfn.XLOOKUP(AB508,'02效果表'!D:D,'02效果表'!E:E),0)+AE508*MAX(_xlfn.XLOOKUP(AD508,'02效果表'!D:D,'02效果表'!E:E),0)),1)</f>
        <v>0</v>
      </c>
      <c r="H508" s="6"/>
      <c r="I508" s="6"/>
      <c r="J508" s="6"/>
      <c r="K508" s="6"/>
      <c r="L508" s="6"/>
      <c r="M508" s="6"/>
      <c r="N508" s="6"/>
      <c r="O508" s="6"/>
      <c r="P508" s="6"/>
      <c r="Q508" s="6"/>
      <c r="R508" s="6"/>
      <c r="S508" s="6"/>
      <c r="T508" s="6"/>
      <c r="U508" s="6"/>
      <c r="V508" s="6"/>
      <c r="W508" s="6"/>
      <c r="X508" s="6"/>
      <c r="Y508" s="6"/>
      <c r="Z508" s="6"/>
      <c r="AA508" s="6"/>
      <c r="AB508" s="6"/>
      <c r="AC508" s="6"/>
      <c r="AD508" s="6"/>
      <c r="AE508" s="6"/>
    </row>
    <row r="509" spans="1:31" x14ac:dyDescent="0.35">
      <c r="A509" s="6">
        <v>509</v>
      </c>
      <c r="B509" s="6" t="s">
        <v>6</v>
      </c>
      <c r="C509" s="10" t="s">
        <v>17</v>
      </c>
      <c r="D509" s="9"/>
      <c r="E509" s="7">
        <f t="shared" si="14"/>
        <v>0</v>
      </c>
      <c r="F509" s="7">
        <f>-1*ROUND(1/6*(I509*IF(_xlfn.XLOOKUP(H509,'02效果表'!D:D,'02效果表'!E:E)&lt;0, _xlfn.XLOOKUP(H509,'02效果表'!D:D,'02效果表'!E:E), 0) +
K509*IF(_xlfn.XLOOKUP(J509,'02效果表'!D:D,'02效果表'!E:E)&lt;0, _xlfn.XLOOKUP(J509,'02效果表'!D:D,'02效果表'!E:E), 0) +
M509*IF(_xlfn.XLOOKUP(L509,'02效果表'!D:D,'02效果表'!E:E)&lt;0, _xlfn.XLOOKUP(L509,'02效果表'!D:D,'02效果表'!E:E), 0) +
O509*IF(_xlfn.XLOOKUP(N509,'02效果表'!D:D,'02效果表'!E:E)&lt;0, _xlfn.XLOOKUP(N509,'02效果表'!D:D,'02效果表'!E:E), 0) +
Q509*IF(_xlfn.XLOOKUP(P509,'02效果表'!D:D,'02效果表'!E:E)&lt;0, _xlfn.XLOOKUP(P509,'02效果表'!D:D,'02效果表'!E:E), 0) +
S509*IF(_xlfn.XLOOKUP(R509,'02效果表'!D:D,'02效果表'!E:E)&lt;0, _xlfn.XLOOKUP(R509,'02效果表'!D:D,'02效果表'!E:E), 0) +
U509*IF(_xlfn.XLOOKUP(T509,'02效果表'!D:D,'02效果表'!E:E)&lt;0, _xlfn.XLOOKUP(T509,'02效果表'!D:D,'02效果表'!E:E), 0) +
W509*IF(_xlfn.XLOOKUP(V509,'02效果表'!D:D,'02效果表'!E:E)&lt;0, _xlfn.XLOOKUP(V509,'02效果表'!D:D,'02效果表'!E:E), 0) +
Y509*IF(_xlfn.XLOOKUP(X509,'02效果表'!D:D,'02效果表'!E:E)&lt;0, _xlfn.XLOOKUP(X509,'02效果表'!D:D,'02效果表'!E:E), 0) +
AA509*IF(_xlfn.XLOOKUP(Z509,'02效果表'!D:D,'02效果表'!E:E)&lt;0, _xlfn.XLOOKUP(Z509,'02效果表'!D:D,'02效果表'!E:E), 0) +
AC509*IF(_xlfn.XLOOKUP(AB509,'02效果表'!D:D,'02效果表'!E:E)&lt;0, _xlfn.XLOOKUP(AB509,'02效果表'!D:D,'02效果表'!E:E), 0) +
AE509*IF(_xlfn.XLOOKUP(AD509,'02效果表'!D:D,'02效果表'!E:E)&lt;0, _xlfn.XLOOKUP(AD509,'02效果表'!D:D,'02效果表'!E:E), 0)), 1)</f>
        <v>0</v>
      </c>
      <c r="G509" s="7">
        <f>ROUND(1/6*(I509*MAX(_xlfn.XLOOKUP(H509,'02效果表'!D:D,'02效果表'!E:E),0)+K509*MAX(_xlfn.XLOOKUP(J509,'02效果表'!D:D,'02效果表'!E:E),0)+M509*MAX(_xlfn.XLOOKUP(L509,'02效果表'!D:D,'02效果表'!E:E),0)+O509*MAX(_xlfn.XLOOKUP(N509,'02效果表'!D:D,'02效果表'!E:E),0)+Q509*MAX(_xlfn.XLOOKUP(P509,'02效果表'!D:D,'02效果表'!E:E),0)+S509*MAX(_xlfn.XLOOKUP(R509,'02效果表'!D:D,'02效果表'!E:E),0)+U509*MAX(_xlfn.XLOOKUP(T509,'02效果表'!D:D,'02效果表'!E:E),0)+W509*MAX(_xlfn.XLOOKUP(V509,'02效果表'!D:D,'02效果表'!E:E),0)+Y509*MAX(_xlfn.XLOOKUP(X509,'02效果表'!D:D,'02效果表'!E:E),0)+AA509*MAX(_xlfn.XLOOKUP(Z509,'02效果表'!D:D,'02效果表'!E:E),0)+AC509*MAX(_xlfn.XLOOKUP(AB509,'02效果表'!D:D,'02效果表'!E:E),0)+AE509*MAX(_xlfn.XLOOKUP(AD509,'02效果表'!D:D,'02效果表'!E:E),0)),1)</f>
        <v>0</v>
      </c>
      <c r="H509" s="6"/>
      <c r="I509" s="6"/>
      <c r="J509" s="6"/>
      <c r="K509" s="6"/>
      <c r="L509" s="6"/>
      <c r="M509" s="6"/>
      <c r="N509" s="6"/>
      <c r="O509" s="6"/>
      <c r="P509" s="6"/>
      <c r="Q509" s="6"/>
      <c r="R509" s="6"/>
      <c r="S509" s="6"/>
      <c r="T509" s="6"/>
      <c r="U509" s="6"/>
      <c r="V509" s="6"/>
      <c r="W509" s="6"/>
      <c r="X509" s="6"/>
      <c r="Y509" s="6"/>
      <c r="Z509" s="6"/>
      <c r="AA509" s="6"/>
      <c r="AB509" s="6"/>
      <c r="AC509" s="6"/>
      <c r="AD509" s="6"/>
      <c r="AE509" s="6"/>
    </row>
    <row r="510" spans="1:31" x14ac:dyDescent="0.35">
      <c r="A510" s="6">
        <v>510</v>
      </c>
      <c r="B510" s="6" t="s">
        <v>6</v>
      </c>
      <c r="C510" s="10" t="s">
        <v>17</v>
      </c>
      <c r="D510" s="9"/>
      <c r="E510" s="7">
        <f t="shared" si="14"/>
        <v>0</v>
      </c>
      <c r="F510" s="7">
        <f>-1*ROUND(1/6*(I510*IF(_xlfn.XLOOKUP(H510,'02效果表'!D:D,'02效果表'!E:E)&lt;0, _xlfn.XLOOKUP(H510,'02效果表'!D:D,'02效果表'!E:E), 0) +
K510*IF(_xlfn.XLOOKUP(J510,'02效果表'!D:D,'02效果表'!E:E)&lt;0, _xlfn.XLOOKUP(J510,'02效果表'!D:D,'02效果表'!E:E), 0) +
M510*IF(_xlfn.XLOOKUP(L510,'02效果表'!D:D,'02效果表'!E:E)&lt;0, _xlfn.XLOOKUP(L510,'02效果表'!D:D,'02效果表'!E:E), 0) +
O510*IF(_xlfn.XLOOKUP(N510,'02效果表'!D:D,'02效果表'!E:E)&lt;0, _xlfn.XLOOKUP(N510,'02效果表'!D:D,'02效果表'!E:E), 0) +
Q510*IF(_xlfn.XLOOKUP(P510,'02效果表'!D:D,'02效果表'!E:E)&lt;0, _xlfn.XLOOKUP(P510,'02效果表'!D:D,'02效果表'!E:E), 0) +
S510*IF(_xlfn.XLOOKUP(R510,'02效果表'!D:D,'02效果表'!E:E)&lt;0, _xlfn.XLOOKUP(R510,'02效果表'!D:D,'02效果表'!E:E), 0) +
U510*IF(_xlfn.XLOOKUP(T510,'02效果表'!D:D,'02效果表'!E:E)&lt;0, _xlfn.XLOOKUP(T510,'02效果表'!D:D,'02效果表'!E:E), 0) +
W510*IF(_xlfn.XLOOKUP(V510,'02效果表'!D:D,'02效果表'!E:E)&lt;0, _xlfn.XLOOKUP(V510,'02效果表'!D:D,'02效果表'!E:E), 0) +
Y510*IF(_xlfn.XLOOKUP(X510,'02效果表'!D:D,'02效果表'!E:E)&lt;0, _xlfn.XLOOKUP(X510,'02效果表'!D:D,'02效果表'!E:E), 0) +
AA510*IF(_xlfn.XLOOKUP(Z510,'02效果表'!D:D,'02效果表'!E:E)&lt;0, _xlfn.XLOOKUP(Z510,'02效果表'!D:D,'02效果表'!E:E), 0) +
AC510*IF(_xlfn.XLOOKUP(AB510,'02效果表'!D:D,'02效果表'!E:E)&lt;0, _xlfn.XLOOKUP(AB510,'02效果表'!D:D,'02效果表'!E:E), 0) +
AE510*IF(_xlfn.XLOOKUP(AD510,'02效果表'!D:D,'02效果表'!E:E)&lt;0, _xlfn.XLOOKUP(AD510,'02效果表'!D:D,'02效果表'!E:E), 0)), 1)</f>
        <v>0</v>
      </c>
      <c r="G510" s="7">
        <f>ROUND(1/6*(I510*MAX(_xlfn.XLOOKUP(H510,'02效果表'!D:D,'02效果表'!E:E),0)+K510*MAX(_xlfn.XLOOKUP(J510,'02效果表'!D:D,'02效果表'!E:E),0)+M510*MAX(_xlfn.XLOOKUP(L510,'02效果表'!D:D,'02效果表'!E:E),0)+O510*MAX(_xlfn.XLOOKUP(N510,'02效果表'!D:D,'02效果表'!E:E),0)+Q510*MAX(_xlfn.XLOOKUP(P510,'02效果表'!D:D,'02效果表'!E:E),0)+S510*MAX(_xlfn.XLOOKUP(R510,'02效果表'!D:D,'02效果表'!E:E),0)+U510*MAX(_xlfn.XLOOKUP(T510,'02效果表'!D:D,'02效果表'!E:E),0)+W510*MAX(_xlfn.XLOOKUP(V510,'02效果表'!D:D,'02效果表'!E:E),0)+Y510*MAX(_xlfn.XLOOKUP(X510,'02效果表'!D:D,'02效果表'!E:E),0)+AA510*MAX(_xlfn.XLOOKUP(Z510,'02效果表'!D:D,'02效果表'!E:E),0)+AC510*MAX(_xlfn.XLOOKUP(AB510,'02效果表'!D:D,'02效果表'!E:E),0)+AE510*MAX(_xlfn.XLOOKUP(AD510,'02效果表'!D:D,'02效果表'!E:E),0)),1)</f>
        <v>0</v>
      </c>
      <c r="H510" s="6"/>
      <c r="I510" s="6"/>
      <c r="J510" s="6"/>
      <c r="K510" s="6"/>
      <c r="L510" s="6"/>
      <c r="M510" s="6"/>
      <c r="N510" s="6"/>
      <c r="O510" s="6"/>
      <c r="P510" s="6"/>
      <c r="Q510" s="6"/>
      <c r="R510" s="6"/>
      <c r="S510" s="6"/>
      <c r="T510" s="6"/>
      <c r="U510" s="6"/>
      <c r="V510" s="6"/>
      <c r="W510" s="6"/>
      <c r="X510" s="6"/>
      <c r="Y510" s="6"/>
      <c r="Z510" s="6"/>
      <c r="AA510" s="6"/>
      <c r="AB510" s="6"/>
      <c r="AC510" s="6"/>
      <c r="AD510" s="6"/>
      <c r="AE510" s="6"/>
    </row>
    <row r="511" spans="1:31" x14ac:dyDescent="0.35">
      <c r="A511" s="6">
        <v>511</v>
      </c>
      <c r="B511" s="6" t="s">
        <v>6</v>
      </c>
      <c r="C511" s="10" t="s">
        <v>17</v>
      </c>
      <c r="D511" s="9"/>
      <c r="E511" s="7">
        <f t="shared" si="14"/>
        <v>0</v>
      </c>
      <c r="F511" s="7">
        <f>-1*ROUND(1/6*(I511*IF(_xlfn.XLOOKUP(H511,'02效果表'!D:D,'02效果表'!E:E)&lt;0, _xlfn.XLOOKUP(H511,'02效果表'!D:D,'02效果表'!E:E), 0) +
K511*IF(_xlfn.XLOOKUP(J511,'02效果表'!D:D,'02效果表'!E:E)&lt;0, _xlfn.XLOOKUP(J511,'02效果表'!D:D,'02效果表'!E:E), 0) +
M511*IF(_xlfn.XLOOKUP(L511,'02效果表'!D:D,'02效果表'!E:E)&lt;0, _xlfn.XLOOKUP(L511,'02效果表'!D:D,'02效果表'!E:E), 0) +
O511*IF(_xlfn.XLOOKUP(N511,'02效果表'!D:D,'02效果表'!E:E)&lt;0, _xlfn.XLOOKUP(N511,'02效果表'!D:D,'02效果表'!E:E), 0) +
Q511*IF(_xlfn.XLOOKUP(P511,'02效果表'!D:D,'02效果表'!E:E)&lt;0, _xlfn.XLOOKUP(P511,'02效果表'!D:D,'02效果表'!E:E), 0) +
S511*IF(_xlfn.XLOOKUP(R511,'02效果表'!D:D,'02效果表'!E:E)&lt;0, _xlfn.XLOOKUP(R511,'02效果表'!D:D,'02效果表'!E:E), 0) +
U511*IF(_xlfn.XLOOKUP(T511,'02效果表'!D:D,'02效果表'!E:E)&lt;0, _xlfn.XLOOKUP(T511,'02效果表'!D:D,'02效果表'!E:E), 0) +
W511*IF(_xlfn.XLOOKUP(V511,'02效果表'!D:D,'02效果表'!E:E)&lt;0, _xlfn.XLOOKUP(V511,'02效果表'!D:D,'02效果表'!E:E), 0) +
Y511*IF(_xlfn.XLOOKUP(X511,'02效果表'!D:D,'02效果表'!E:E)&lt;0, _xlfn.XLOOKUP(X511,'02效果表'!D:D,'02效果表'!E:E), 0) +
AA511*IF(_xlfn.XLOOKUP(Z511,'02效果表'!D:D,'02效果表'!E:E)&lt;0, _xlfn.XLOOKUP(Z511,'02效果表'!D:D,'02效果表'!E:E), 0) +
AC511*IF(_xlfn.XLOOKUP(AB511,'02效果表'!D:D,'02效果表'!E:E)&lt;0, _xlfn.XLOOKUP(AB511,'02效果表'!D:D,'02效果表'!E:E), 0) +
AE511*IF(_xlfn.XLOOKUP(AD511,'02效果表'!D:D,'02效果表'!E:E)&lt;0, _xlfn.XLOOKUP(AD511,'02效果表'!D:D,'02效果表'!E:E), 0)), 1)</f>
        <v>0</v>
      </c>
      <c r="G511" s="7">
        <f>ROUND(1/6*(I511*MAX(_xlfn.XLOOKUP(H511,'02效果表'!D:D,'02效果表'!E:E),0)+K511*MAX(_xlfn.XLOOKUP(J511,'02效果表'!D:D,'02效果表'!E:E),0)+M511*MAX(_xlfn.XLOOKUP(L511,'02效果表'!D:D,'02效果表'!E:E),0)+O511*MAX(_xlfn.XLOOKUP(N511,'02效果表'!D:D,'02效果表'!E:E),0)+Q511*MAX(_xlfn.XLOOKUP(P511,'02效果表'!D:D,'02效果表'!E:E),0)+S511*MAX(_xlfn.XLOOKUP(R511,'02效果表'!D:D,'02效果表'!E:E),0)+U511*MAX(_xlfn.XLOOKUP(T511,'02效果表'!D:D,'02效果表'!E:E),0)+W511*MAX(_xlfn.XLOOKUP(V511,'02效果表'!D:D,'02效果表'!E:E),0)+Y511*MAX(_xlfn.XLOOKUP(X511,'02效果表'!D:D,'02效果表'!E:E),0)+AA511*MAX(_xlfn.XLOOKUP(Z511,'02效果表'!D:D,'02效果表'!E:E),0)+AC511*MAX(_xlfn.XLOOKUP(AB511,'02效果表'!D:D,'02效果表'!E:E),0)+AE511*MAX(_xlfn.XLOOKUP(AD511,'02效果表'!D:D,'02效果表'!E:E),0)),1)</f>
        <v>0</v>
      </c>
      <c r="H511" s="6"/>
      <c r="I511" s="6"/>
      <c r="J511" s="6"/>
      <c r="K511" s="6"/>
      <c r="L511" s="6"/>
      <c r="M511" s="6"/>
      <c r="N511" s="6"/>
      <c r="O511" s="6"/>
      <c r="P511" s="6"/>
      <c r="Q511" s="6"/>
      <c r="R511" s="6"/>
      <c r="S511" s="6"/>
      <c r="T511" s="6"/>
      <c r="U511" s="6"/>
      <c r="V511" s="6"/>
      <c r="W511" s="6"/>
      <c r="X511" s="6"/>
      <c r="Y511" s="6"/>
      <c r="Z511" s="6"/>
      <c r="AA511" s="6"/>
      <c r="AB511" s="6"/>
      <c r="AC511" s="6"/>
      <c r="AD511" s="6"/>
      <c r="AE511" s="6"/>
    </row>
    <row r="512" spans="1:31" x14ac:dyDescent="0.35">
      <c r="A512" s="6">
        <v>512</v>
      </c>
      <c r="B512" s="6" t="s">
        <v>6</v>
      </c>
      <c r="C512" s="10" t="s">
        <v>17</v>
      </c>
      <c r="D512" s="9"/>
      <c r="E512" s="7">
        <f t="shared" si="14"/>
        <v>0</v>
      </c>
      <c r="F512" s="7">
        <f>-1*ROUND(1/6*(I512*IF(_xlfn.XLOOKUP(H512,'02效果表'!D:D,'02效果表'!E:E)&lt;0, _xlfn.XLOOKUP(H512,'02效果表'!D:D,'02效果表'!E:E), 0) +
K512*IF(_xlfn.XLOOKUP(J512,'02效果表'!D:D,'02效果表'!E:E)&lt;0, _xlfn.XLOOKUP(J512,'02效果表'!D:D,'02效果表'!E:E), 0) +
M512*IF(_xlfn.XLOOKUP(L512,'02效果表'!D:D,'02效果表'!E:E)&lt;0, _xlfn.XLOOKUP(L512,'02效果表'!D:D,'02效果表'!E:E), 0) +
O512*IF(_xlfn.XLOOKUP(N512,'02效果表'!D:D,'02效果表'!E:E)&lt;0, _xlfn.XLOOKUP(N512,'02效果表'!D:D,'02效果表'!E:E), 0) +
Q512*IF(_xlfn.XLOOKUP(P512,'02效果表'!D:D,'02效果表'!E:E)&lt;0, _xlfn.XLOOKUP(P512,'02效果表'!D:D,'02效果表'!E:E), 0) +
S512*IF(_xlfn.XLOOKUP(R512,'02效果表'!D:D,'02效果表'!E:E)&lt;0, _xlfn.XLOOKUP(R512,'02效果表'!D:D,'02效果表'!E:E), 0) +
U512*IF(_xlfn.XLOOKUP(T512,'02效果表'!D:D,'02效果表'!E:E)&lt;0, _xlfn.XLOOKUP(T512,'02效果表'!D:D,'02效果表'!E:E), 0) +
W512*IF(_xlfn.XLOOKUP(V512,'02效果表'!D:D,'02效果表'!E:E)&lt;0, _xlfn.XLOOKUP(V512,'02效果表'!D:D,'02效果表'!E:E), 0) +
Y512*IF(_xlfn.XLOOKUP(X512,'02效果表'!D:D,'02效果表'!E:E)&lt;0, _xlfn.XLOOKUP(X512,'02效果表'!D:D,'02效果表'!E:E), 0) +
AA512*IF(_xlfn.XLOOKUP(Z512,'02效果表'!D:D,'02效果表'!E:E)&lt;0, _xlfn.XLOOKUP(Z512,'02效果表'!D:D,'02效果表'!E:E), 0) +
AC512*IF(_xlfn.XLOOKUP(AB512,'02效果表'!D:D,'02效果表'!E:E)&lt;0, _xlfn.XLOOKUP(AB512,'02效果表'!D:D,'02效果表'!E:E), 0) +
AE512*IF(_xlfn.XLOOKUP(AD512,'02效果表'!D:D,'02效果表'!E:E)&lt;0, _xlfn.XLOOKUP(AD512,'02效果表'!D:D,'02效果表'!E:E), 0)), 1)</f>
        <v>0</v>
      </c>
      <c r="G512" s="7">
        <f>ROUND(1/6*(I512*MAX(_xlfn.XLOOKUP(H512,'02效果表'!D:D,'02效果表'!E:E),0)+K512*MAX(_xlfn.XLOOKUP(J512,'02效果表'!D:D,'02效果表'!E:E),0)+M512*MAX(_xlfn.XLOOKUP(L512,'02效果表'!D:D,'02效果表'!E:E),0)+O512*MAX(_xlfn.XLOOKUP(N512,'02效果表'!D:D,'02效果表'!E:E),0)+Q512*MAX(_xlfn.XLOOKUP(P512,'02效果表'!D:D,'02效果表'!E:E),0)+S512*MAX(_xlfn.XLOOKUP(R512,'02效果表'!D:D,'02效果表'!E:E),0)+U512*MAX(_xlfn.XLOOKUP(T512,'02效果表'!D:D,'02效果表'!E:E),0)+W512*MAX(_xlfn.XLOOKUP(V512,'02效果表'!D:D,'02效果表'!E:E),0)+Y512*MAX(_xlfn.XLOOKUP(X512,'02效果表'!D:D,'02效果表'!E:E),0)+AA512*MAX(_xlfn.XLOOKUP(Z512,'02效果表'!D:D,'02效果表'!E:E),0)+AC512*MAX(_xlfn.XLOOKUP(AB512,'02效果表'!D:D,'02效果表'!E:E),0)+AE512*MAX(_xlfn.XLOOKUP(AD512,'02效果表'!D:D,'02效果表'!E:E),0)),1)</f>
        <v>0</v>
      </c>
      <c r="H512" s="6"/>
      <c r="I512" s="6"/>
      <c r="J512" s="6"/>
      <c r="K512" s="6"/>
      <c r="L512" s="6"/>
      <c r="M512" s="6"/>
      <c r="N512" s="6"/>
      <c r="O512" s="6"/>
      <c r="P512" s="6"/>
      <c r="Q512" s="6"/>
      <c r="R512" s="6"/>
      <c r="S512" s="6"/>
      <c r="T512" s="6"/>
      <c r="U512" s="6"/>
      <c r="V512" s="6"/>
      <c r="W512" s="6"/>
      <c r="X512" s="6"/>
      <c r="Y512" s="6"/>
      <c r="Z512" s="6"/>
      <c r="AA512" s="6"/>
      <c r="AB512" s="6"/>
      <c r="AC512" s="6"/>
      <c r="AD512" s="6"/>
      <c r="AE512" s="6"/>
    </row>
    <row r="513" spans="1:31" x14ac:dyDescent="0.35">
      <c r="A513" s="6">
        <v>513</v>
      </c>
      <c r="B513" s="6" t="s">
        <v>6</v>
      </c>
      <c r="C513" s="10" t="s">
        <v>17</v>
      </c>
      <c r="D513" s="9"/>
      <c r="E513" s="7">
        <f t="shared" si="14"/>
        <v>0</v>
      </c>
      <c r="F513" s="7">
        <f>-1*ROUND(1/6*(I513*IF(_xlfn.XLOOKUP(H513,'02效果表'!D:D,'02效果表'!E:E)&lt;0, _xlfn.XLOOKUP(H513,'02效果表'!D:D,'02效果表'!E:E), 0) +
K513*IF(_xlfn.XLOOKUP(J513,'02效果表'!D:D,'02效果表'!E:E)&lt;0, _xlfn.XLOOKUP(J513,'02效果表'!D:D,'02效果表'!E:E), 0) +
M513*IF(_xlfn.XLOOKUP(L513,'02效果表'!D:D,'02效果表'!E:E)&lt;0, _xlfn.XLOOKUP(L513,'02效果表'!D:D,'02效果表'!E:E), 0) +
O513*IF(_xlfn.XLOOKUP(N513,'02效果表'!D:D,'02效果表'!E:E)&lt;0, _xlfn.XLOOKUP(N513,'02效果表'!D:D,'02效果表'!E:E), 0) +
Q513*IF(_xlfn.XLOOKUP(P513,'02效果表'!D:D,'02效果表'!E:E)&lt;0, _xlfn.XLOOKUP(P513,'02效果表'!D:D,'02效果表'!E:E), 0) +
S513*IF(_xlfn.XLOOKUP(R513,'02效果表'!D:D,'02效果表'!E:E)&lt;0, _xlfn.XLOOKUP(R513,'02效果表'!D:D,'02效果表'!E:E), 0) +
U513*IF(_xlfn.XLOOKUP(T513,'02效果表'!D:D,'02效果表'!E:E)&lt;0, _xlfn.XLOOKUP(T513,'02效果表'!D:D,'02效果表'!E:E), 0) +
W513*IF(_xlfn.XLOOKUP(V513,'02效果表'!D:D,'02效果表'!E:E)&lt;0, _xlfn.XLOOKUP(V513,'02效果表'!D:D,'02效果表'!E:E), 0) +
Y513*IF(_xlfn.XLOOKUP(X513,'02效果表'!D:D,'02效果表'!E:E)&lt;0, _xlfn.XLOOKUP(X513,'02效果表'!D:D,'02效果表'!E:E), 0) +
AA513*IF(_xlfn.XLOOKUP(Z513,'02效果表'!D:D,'02效果表'!E:E)&lt;0, _xlfn.XLOOKUP(Z513,'02效果表'!D:D,'02效果表'!E:E), 0) +
AC513*IF(_xlfn.XLOOKUP(AB513,'02效果表'!D:D,'02效果表'!E:E)&lt;0, _xlfn.XLOOKUP(AB513,'02效果表'!D:D,'02效果表'!E:E), 0) +
AE513*IF(_xlfn.XLOOKUP(AD513,'02效果表'!D:D,'02效果表'!E:E)&lt;0, _xlfn.XLOOKUP(AD513,'02效果表'!D:D,'02效果表'!E:E), 0)), 1)</f>
        <v>0</v>
      </c>
      <c r="G513" s="7">
        <f>ROUND(1/6*(I513*MAX(_xlfn.XLOOKUP(H513,'02效果表'!D:D,'02效果表'!E:E),0)+K513*MAX(_xlfn.XLOOKUP(J513,'02效果表'!D:D,'02效果表'!E:E),0)+M513*MAX(_xlfn.XLOOKUP(L513,'02效果表'!D:D,'02效果表'!E:E),0)+O513*MAX(_xlfn.XLOOKUP(N513,'02效果表'!D:D,'02效果表'!E:E),0)+Q513*MAX(_xlfn.XLOOKUP(P513,'02效果表'!D:D,'02效果表'!E:E),0)+S513*MAX(_xlfn.XLOOKUP(R513,'02效果表'!D:D,'02效果表'!E:E),0)+U513*MAX(_xlfn.XLOOKUP(T513,'02效果表'!D:D,'02效果表'!E:E),0)+W513*MAX(_xlfn.XLOOKUP(V513,'02效果表'!D:D,'02效果表'!E:E),0)+Y513*MAX(_xlfn.XLOOKUP(X513,'02效果表'!D:D,'02效果表'!E:E),0)+AA513*MAX(_xlfn.XLOOKUP(Z513,'02效果表'!D:D,'02效果表'!E:E),0)+AC513*MAX(_xlfn.XLOOKUP(AB513,'02效果表'!D:D,'02效果表'!E:E),0)+AE513*MAX(_xlfn.XLOOKUP(AD513,'02效果表'!D:D,'02效果表'!E:E),0)),1)</f>
        <v>0</v>
      </c>
      <c r="H513" s="6"/>
      <c r="I513" s="6"/>
      <c r="J513" s="6"/>
      <c r="K513" s="6"/>
      <c r="L513" s="6"/>
      <c r="M513" s="6"/>
      <c r="N513" s="6"/>
      <c r="O513" s="6"/>
      <c r="P513" s="6"/>
      <c r="Q513" s="6"/>
      <c r="R513" s="6"/>
      <c r="S513" s="6"/>
      <c r="T513" s="6"/>
      <c r="U513" s="6"/>
      <c r="V513" s="6"/>
      <c r="W513" s="6"/>
      <c r="X513" s="6"/>
      <c r="Y513" s="6"/>
      <c r="Z513" s="6"/>
      <c r="AA513" s="6"/>
      <c r="AB513" s="6"/>
      <c r="AC513" s="6"/>
      <c r="AD513" s="6"/>
      <c r="AE513" s="6"/>
    </row>
    <row r="514" spans="1:31" x14ac:dyDescent="0.35">
      <c r="A514" s="6">
        <v>514</v>
      </c>
      <c r="B514" s="6" t="s">
        <v>6</v>
      </c>
      <c r="C514" s="10" t="s">
        <v>17</v>
      </c>
      <c r="D514" s="9"/>
      <c r="E514" s="7">
        <f t="shared" ref="E514:E577" si="15">ROUND(G514-F514,0)</f>
        <v>0</v>
      </c>
      <c r="F514" s="7">
        <f>-1*ROUND(1/6*(I514*IF(_xlfn.XLOOKUP(H514,'02效果表'!D:D,'02效果表'!E:E)&lt;0, _xlfn.XLOOKUP(H514,'02效果表'!D:D,'02效果表'!E:E), 0) +
K514*IF(_xlfn.XLOOKUP(J514,'02效果表'!D:D,'02效果表'!E:E)&lt;0, _xlfn.XLOOKUP(J514,'02效果表'!D:D,'02效果表'!E:E), 0) +
M514*IF(_xlfn.XLOOKUP(L514,'02效果表'!D:D,'02效果表'!E:E)&lt;0, _xlfn.XLOOKUP(L514,'02效果表'!D:D,'02效果表'!E:E), 0) +
O514*IF(_xlfn.XLOOKUP(N514,'02效果表'!D:D,'02效果表'!E:E)&lt;0, _xlfn.XLOOKUP(N514,'02效果表'!D:D,'02效果表'!E:E), 0) +
Q514*IF(_xlfn.XLOOKUP(P514,'02效果表'!D:D,'02效果表'!E:E)&lt;0, _xlfn.XLOOKUP(P514,'02效果表'!D:D,'02效果表'!E:E), 0) +
S514*IF(_xlfn.XLOOKUP(R514,'02效果表'!D:D,'02效果表'!E:E)&lt;0, _xlfn.XLOOKUP(R514,'02效果表'!D:D,'02效果表'!E:E), 0) +
U514*IF(_xlfn.XLOOKUP(T514,'02效果表'!D:D,'02效果表'!E:E)&lt;0, _xlfn.XLOOKUP(T514,'02效果表'!D:D,'02效果表'!E:E), 0) +
W514*IF(_xlfn.XLOOKUP(V514,'02效果表'!D:D,'02效果表'!E:E)&lt;0, _xlfn.XLOOKUP(V514,'02效果表'!D:D,'02效果表'!E:E), 0) +
Y514*IF(_xlfn.XLOOKUP(X514,'02效果表'!D:D,'02效果表'!E:E)&lt;0, _xlfn.XLOOKUP(X514,'02效果表'!D:D,'02效果表'!E:E), 0) +
AA514*IF(_xlfn.XLOOKUP(Z514,'02效果表'!D:D,'02效果表'!E:E)&lt;0, _xlfn.XLOOKUP(Z514,'02效果表'!D:D,'02效果表'!E:E), 0) +
AC514*IF(_xlfn.XLOOKUP(AB514,'02效果表'!D:D,'02效果表'!E:E)&lt;0, _xlfn.XLOOKUP(AB514,'02效果表'!D:D,'02效果表'!E:E), 0) +
AE514*IF(_xlfn.XLOOKUP(AD514,'02效果表'!D:D,'02效果表'!E:E)&lt;0, _xlfn.XLOOKUP(AD514,'02效果表'!D:D,'02效果表'!E:E), 0)), 1)</f>
        <v>0</v>
      </c>
      <c r="G514" s="7">
        <f>ROUND(1/6*(I514*MAX(_xlfn.XLOOKUP(H514,'02效果表'!D:D,'02效果表'!E:E),0)+K514*MAX(_xlfn.XLOOKUP(J514,'02效果表'!D:D,'02效果表'!E:E),0)+M514*MAX(_xlfn.XLOOKUP(L514,'02效果表'!D:D,'02效果表'!E:E),0)+O514*MAX(_xlfn.XLOOKUP(N514,'02效果表'!D:D,'02效果表'!E:E),0)+Q514*MAX(_xlfn.XLOOKUP(P514,'02效果表'!D:D,'02效果表'!E:E),0)+S514*MAX(_xlfn.XLOOKUP(R514,'02效果表'!D:D,'02效果表'!E:E),0)+U514*MAX(_xlfn.XLOOKUP(T514,'02效果表'!D:D,'02效果表'!E:E),0)+W514*MAX(_xlfn.XLOOKUP(V514,'02效果表'!D:D,'02效果表'!E:E),0)+Y514*MAX(_xlfn.XLOOKUP(X514,'02效果表'!D:D,'02效果表'!E:E),0)+AA514*MAX(_xlfn.XLOOKUP(Z514,'02效果表'!D:D,'02效果表'!E:E),0)+AC514*MAX(_xlfn.XLOOKUP(AB514,'02效果表'!D:D,'02效果表'!E:E),0)+AE514*MAX(_xlfn.XLOOKUP(AD514,'02效果表'!D:D,'02效果表'!E:E),0)),1)</f>
        <v>0</v>
      </c>
      <c r="H514" s="6"/>
      <c r="I514" s="6"/>
      <c r="J514" s="6"/>
      <c r="K514" s="6"/>
      <c r="L514" s="6"/>
      <c r="M514" s="6"/>
      <c r="N514" s="6"/>
      <c r="O514" s="6"/>
      <c r="P514" s="6"/>
      <c r="Q514" s="6"/>
      <c r="R514" s="6"/>
      <c r="S514" s="6"/>
      <c r="T514" s="6"/>
      <c r="U514" s="6"/>
      <c r="V514" s="6"/>
      <c r="W514" s="6"/>
      <c r="X514" s="6"/>
      <c r="Y514" s="6"/>
      <c r="Z514" s="6"/>
      <c r="AA514" s="6"/>
      <c r="AB514" s="6"/>
      <c r="AC514" s="6"/>
      <c r="AD514" s="6"/>
      <c r="AE514" s="6"/>
    </row>
    <row r="515" spans="1:31" x14ac:dyDescent="0.35">
      <c r="A515" s="6">
        <v>515</v>
      </c>
      <c r="B515" s="6" t="s">
        <v>7</v>
      </c>
      <c r="C515" s="10" t="s">
        <v>18</v>
      </c>
      <c r="D515" s="9" t="s">
        <v>1667</v>
      </c>
      <c r="E515" s="7">
        <f t="shared" si="15"/>
        <v>0</v>
      </c>
      <c r="F515" s="7">
        <f>-1*ROUND(1/6*(I515*IF(_xlfn.XLOOKUP(H515,'02效果表'!D:D,'02效果表'!E:E)&lt;0, _xlfn.XLOOKUP(H515,'02效果表'!D:D,'02效果表'!E:E), 0) +
K515*IF(_xlfn.XLOOKUP(J515,'02效果表'!D:D,'02效果表'!E:E)&lt;0, _xlfn.XLOOKUP(J515,'02效果表'!D:D,'02效果表'!E:E), 0) +
M515*IF(_xlfn.XLOOKUP(L515,'02效果表'!D:D,'02效果表'!E:E)&lt;0, _xlfn.XLOOKUP(L515,'02效果表'!D:D,'02效果表'!E:E), 0) +
O515*IF(_xlfn.XLOOKUP(N515,'02效果表'!D:D,'02效果表'!E:E)&lt;0, _xlfn.XLOOKUP(N515,'02效果表'!D:D,'02效果表'!E:E), 0) +
Q515*IF(_xlfn.XLOOKUP(P515,'02效果表'!D:D,'02效果表'!E:E)&lt;0, _xlfn.XLOOKUP(P515,'02效果表'!D:D,'02效果表'!E:E), 0) +
S515*IF(_xlfn.XLOOKUP(R515,'02效果表'!D:D,'02效果表'!E:E)&lt;0, _xlfn.XLOOKUP(R515,'02效果表'!D:D,'02效果表'!E:E), 0) +
U515*IF(_xlfn.XLOOKUP(T515,'02效果表'!D:D,'02效果表'!E:E)&lt;0, _xlfn.XLOOKUP(T515,'02效果表'!D:D,'02效果表'!E:E), 0) +
W515*IF(_xlfn.XLOOKUP(V515,'02效果表'!D:D,'02效果表'!E:E)&lt;0, _xlfn.XLOOKUP(V515,'02效果表'!D:D,'02效果表'!E:E), 0) +
Y515*IF(_xlfn.XLOOKUP(X515,'02效果表'!D:D,'02效果表'!E:E)&lt;0, _xlfn.XLOOKUP(X515,'02效果表'!D:D,'02效果表'!E:E), 0) +
AA515*IF(_xlfn.XLOOKUP(Z515,'02效果表'!D:D,'02效果表'!E:E)&lt;0, _xlfn.XLOOKUP(Z515,'02效果表'!D:D,'02效果表'!E:E), 0) +
AC515*IF(_xlfn.XLOOKUP(AB515,'02效果表'!D:D,'02效果表'!E:E)&lt;0, _xlfn.XLOOKUP(AB515,'02效果表'!D:D,'02效果表'!E:E), 0) +
AE515*IF(_xlfn.XLOOKUP(AD515,'02效果表'!D:D,'02效果表'!E:E)&lt;0, _xlfn.XLOOKUP(AD515,'02效果表'!D:D,'02效果表'!E:E), 0)), 1)</f>
        <v>0</v>
      </c>
      <c r="G515" s="7">
        <f>ROUND(1/6*(I515*MAX(_xlfn.XLOOKUP(H515,'02效果表'!D:D,'02效果表'!E:E),0)+K515*MAX(_xlfn.XLOOKUP(J515,'02效果表'!D:D,'02效果表'!E:E),0)+M515*MAX(_xlfn.XLOOKUP(L515,'02效果表'!D:D,'02效果表'!E:E),0)+O515*MAX(_xlfn.XLOOKUP(N515,'02效果表'!D:D,'02效果表'!E:E),0)+Q515*MAX(_xlfn.XLOOKUP(P515,'02效果表'!D:D,'02效果表'!E:E),0)+S515*MAX(_xlfn.XLOOKUP(R515,'02效果表'!D:D,'02效果表'!E:E),0)+U515*MAX(_xlfn.XLOOKUP(T515,'02效果表'!D:D,'02效果表'!E:E),0)+W515*MAX(_xlfn.XLOOKUP(V515,'02效果表'!D:D,'02效果表'!E:E),0)+Y515*MAX(_xlfn.XLOOKUP(X515,'02效果表'!D:D,'02效果表'!E:E),0)+AA515*MAX(_xlfn.XLOOKUP(Z515,'02效果表'!D:D,'02效果表'!E:E),0)+AC515*MAX(_xlfn.XLOOKUP(AB515,'02效果表'!D:D,'02效果表'!E:E),0)+AE515*MAX(_xlfn.XLOOKUP(AD515,'02效果表'!D:D,'02效果表'!E:E),0)),1)</f>
        <v>0</v>
      </c>
      <c r="H515" s="6"/>
      <c r="I515" s="6"/>
      <c r="J515" s="6"/>
      <c r="K515" s="6"/>
      <c r="L515" s="6"/>
      <c r="M515" s="6"/>
      <c r="N515" s="6"/>
      <c r="O515" s="6"/>
      <c r="P515" s="6"/>
      <c r="Q515" s="6"/>
      <c r="R515" s="6"/>
      <c r="S515" s="6"/>
      <c r="T515" s="6"/>
      <c r="U515" s="6"/>
      <c r="V515" s="6"/>
      <c r="W515" s="6"/>
      <c r="X515" s="6"/>
      <c r="Y515" s="6"/>
      <c r="Z515" s="6"/>
      <c r="AA515" s="6"/>
      <c r="AB515" s="6"/>
      <c r="AC515" s="6"/>
      <c r="AD515" s="6"/>
      <c r="AE515" s="6"/>
    </row>
    <row r="516" spans="1:31" x14ac:dyDescent="0.35">
      <c r="A516" s="6">
        <v>516</v>
      </c>
      <c r="B516" s="6" t="s">
        <v>7</v>
      </c>
      <c r="C516" s="10" t="s">
        <v>18</v>
      </c>
      <c r="D516" s="9" t="s">
        <v>1312</v>
      </c>
      <c r="E516" s="7">
        <f t="shared" si="15"/>
        <v>0</v>
      </c>
      <c r="F516" s="7">
        <f>-1*ROUND(1/6*(I516*IF(_xlfn.XLOOKUP(H516,'02效果表'!D:D,'02效果表'!E:E)&lt;0, _xlfn.XLOOKUP(H516,'02效果表'!D:D,'02效果表'!E:E), 0) +
K516*IF(_xlfn.XLOOKUP(J516,'02效果表'!D:D,'02效果表'!E:E)&lt;0, _xlfn.XLOOKUP(J516,'02效果表'!D:D,'02效果表'!E:E), 0) +
M516*IF(_xlfn.XLOOKUP(L516,'02效果表'!D:D,'02效果表'!E:E)&lt;0, _xlfn.XLOOKUP(L516,'02效果表'!D:D,'02效果表'!E:E), 0) +
O516*IF(_xlfn.XLOOKUP(N516,'02效果表'!D:D,'02效果表'!E:E)&lt;0, _xlfn.XLOOKUP(N516,'02效果表'!D:D,'02效果表'!E:E), 0) +
Q516*IF(_xlfn.XLOOKUP(P516,'02效果表'!D:D,'02效果表'!E:E)&lt;0, _xlfn.XLOOKUP(P516,'02效果表'!D:D,'02效果表'!E:E), 0) +
S516*IF(_xlfn.XLOOKUP(R516,'02效果表'!D:D,'02效果表'!E:E)&lt;0, _xlfn.XLOOKUP(R516,'02效果表'!D:D,'02效果表'!E:E), 0) +
U516*IF(_xlfn.XLOOKUP(T516,'02效果表'!D:D,'02效果表'!E:E)&lt;0, _xlfn.XLOOKUP(T516,'02效果表'!D:D,'02效果表'!E:E), 0) +
W516*IF(_xlfn.XLOOKUP(V516,'02效果表'!D:D,'02效果表'!E:E)&lt;0, _xlfn.XLOOKUP(V516,'02效果表'!D:D,'02效果表'!E:E), 0) +
Y516*IF(_xlfn.XLOOKUP(X516,'02效果表'!D:D,'02效果表'!E:E)&lt;0, _xlfn.XLOOKUP(X516,'02效果表'!D:D,'02效果表'!E:E), 0) +
AA516*IF(_xlfn.XLOOKUP(Z516,'02效果表'!D:D,'02效果表'!E:E)&lt;0, _xlfn.XLOOKUP(Z516,'02效果表'!D:D,'02效果表'!E:E), 0) +
AC516*IF(_xlfn.XLOOKUP(AB516,'02效果表'!D:D,'02效果表'!E:E)&lt;0, _xlfn.XLOOKUP(AB516,'02效果表'!D:D,'02效果表'!E:E), 0) +
AE516*IF(_xlfn.XLOOKUP(AD516,'02效果表'!D:D,'02效果表'!E:E)&lt;0, _xlfn.XLOOKUP(AD516,'02效果表'!D:D,'02效果表'!E:E), 0)), 1)</f>
        <v>0</v>
      </c>
      <c r="G516" s="7">
        <f>ROUND(1/6*(I516*MAX(_xlfn.XLOOKUP(H516,'02效果表'!D:D,'02效果表'!E:E),0)+K516*MAX(_xlfn.XLOOKUP(J516,'02效果表'!D:D,'02效果表'!E:E),0)+M516*MAX(_xlfn.XLOOKUP(L516,'02效果表'!D:D,'02效果表'!E:E),0)+O516*MAX(_xlfn.XLOOKUP(N516,'02效果表'!D:D,'02效果表'!E:E),0)+Q516*MAX(_xlfn.XLOOKUP(P516,'02效果表'!D:D,'02效果表'!E:E),0)+S516*MAX(_xlfn.XLOOKUP(R516,'02效果表'!D:D,'02效果表'!E:E),0)+U516*MAX(_xlfn.XLOOKUP(T516,'02效果表'!D:D,'02效果表'!E:E),0)+W516*MAX(_xlfn.XLOOKUP(V516,'02效果表'!D:D,'02效果表'!E:E),0)+Y516*MAX(_xlfn.XLOOKUP(X516,'02效果表'!D:D,'02效果表'!E:E),0)+AA516*MAX(_xlfn.XLOOKUP(Z516,'02效果表'!D:D,'02效果表'!E:E),0)+AC516*MAX(_xlfn.XLOOKUP(AB516,'02效果表'!D:D,'02效果表'!E:E),0)+AE516*MAX(_xlfn.XLOOKUP(AD516,'02效果表'!D:D,'02效果表'!E:E),0)),1)</f>
        <v>0</v>
      </c>
      <c r="H516" s="6"/>
      <c r="I516" s="6"/>
      <c r="J516" s="6"/>
      <c r="K516" s="6"/>
      <c r="L516" s="6"/>
      <c r="M516" s="6"/>
      <c r="N516" s="6"/>
      <c r="O516" s="6"/>
      <c r="P516" s="6"/>
      <c r="Q516" s="6"/>
      <c r="R516" s="6"/>
      <c r="S516" s="6"/>
      <c r="T516" s="6"/>
      <c r="U516" s="6"/>
      <c r="V516" s="6"/>
      <c r="W516" s="6"/>
      <c r="X516" s="6"/>
      <c r="Y516" s="6"/>
      <c r="Z516" s="6"/>
      <c r="AA516" s="6"/>
      <c r="AB516" s="6"/>
      <c r="AC516" s="6"/>
      <c r="AD516" s="6"/>
      <c r="AE516" s="6"/>
    </row>
    <row r="517" spans="1:31" x14ac:dyDescent="0.35">
      <c r="A517" s="6">
        <v>517</v>
      </c>
      <c r="B517" s="6" t="s">
        <v>7</v>
      </c>
      <c r="C517" s="10" t="s">
        <v>18</v>
      </c>
      <c r="D517" s="9" t="s">
        <v>1668</v>
      </c>
      <c r="E517" s="7">
        <f t="shared" si="15"/>
        <v>0</v>
      </c>
      <c r="F517" s="7">
        <f>-1*ROUND(1/6*(I517*IF(_xlfn.XLOOKUP(H517,'02效果表'!D:D,'02效果表'!E:E)&lt;0, _xlfn.XLOOKUP(H517,'02效果表'!D:D,'02效果表'!E:E), 0) +
K517*IF(_xlfn.XLOOKUP(J517,'02效果表'!D:D,'02效果表'!E:E)&lt;0, _xlfn.XLOOKUP(J517,'02效果表'!D:D,'02效果表'!E:E), 0) +
M517*IF(_xlfn.XLOOKUP(L517,'02效果表'!D:D,'02效果表'!E:E)&lt;0, _xlfn.XLOOKUP(L517,'02效果表'!D:D,'02效果表'!E:E), 0) +
O517*IF(_xlfn.XLOOKUP(N517,'02效果表'!D:D,'02效果表'!E:E)&lt;0, _xlfn.XLOOKUP(N517,'02效果表'!D:D,'02效果表'!E:E), 0) +
Q517*IF(_xlfn.XLOOKUP(P517,'02效果表'!D:D,'02效果表'!E:E)&lt;0, _xlfn.XLOOKUP(P517,'02效果表'!D:D,'02效果表'!E:E), 0) +
S517*IF(_xlfn.XLOOKUP(R517,'02效果表'!D:D,'02效果表'!E:E)&lt;0, _xlfn.XLOOKUP(R517,'02效果表'!D:D,'02效果表'!E:E), 0) +
U517*IF(_xlfn.XLOOKUP(T517,'02效果表'!D:D,'02效果表'!E:E)&lt;0, _xlfn.XLOOKUP(T517,'02效果表'!D:D,'02效果表'!E:E), 0) +
W517*IF(_xlfn.XLOOKUP(V517,'02效果表'!D:D,'02效果表'!E:E)&lt;0, _xlfn.XLOOKUP(V517,'02效果表'!D:D,'02效果表'!E:E), 0) +
Y517*IF(_xlfn.XLOOKUP(X517,'02效果表'!D:D,'02效果表'!E:E)&lt;0, _xlfn.XLOOKUP(X517,'02效果表'!D:D,'02效果表'!E:E), 0) +
AA517*IF(_xlfn.XLOOKUP(Z517,'02效果表'!D:D,'02效果表'!E:E)&lt;0, _xlfn.XLOOKUP(Z517,'02效果表'!D:D,'02效果表'!E:E), 0) +
AC517*IF(_xlfn.XLOOKUP(AB517,'02效果表'!D:D,'02效果表'!E:E)&lt;0, _xlfn.XLOOKUP(AB517,'02效果表'!D:D,'02效果表'!E:E), 0) +
AE517*IF(_xlfn.XLOOKUP(AD517,'02效果表'!D:D,'02效果表'!E:E)&lt;0, _xlfn.XLOOKUP(AD517,'02效果表'!D:D,'02效果表'!E:E), 0)), 1)</f>
        <v>0</v>
      </c>
      <c r="G517" s="7">
        <f>ROUND(1/6*(I517*MAX(_xlfn.XLOOKUP(H517,'02效果表'!D:D,'02效果表'!E:E),0)+K517*MAX(_xlfn.XLOOKUP(J517,'02效果表'!D:D,'02效果表'!E:E),0)+M517*MAX(_xlfn.XLOOKUP(L517,'02效果表'!D:D,'02效果表'!E:E),0)+O517*MAX(_xlfn.XLOOKUP(N517,'02效果表'!D:D,'02效果表'!E:E),0)+Q517*MAX(_xlfn.XLOOKUP(P517,'02效果表'!D:D,'02效果表'!E:E),0)+S517*MAX(_xlfn.XLOOKUP(R517,'02效果表'!D:D,'02效果表'!E:E),0)+U517*MAX(_xlfn.XLOOKUP(T517,'02效果表'!D:D,'02效果表'!E:E),0)+W517*MAX(_xlfn.XLOOKUP(V517,'02效果表'!D:D,'02效果表'!E:E),0)+Y517*MAX(_xlfn.XLOOKUP(X517,'02效果表'!D:D,'02效果表'!E:E),0)+AA517*MAX(_xlfn.XLOOKUP(Z517,'02效果表'!D:D,'02效果表'!E:E),0)+AC517*MAX(_xlfn.XLOOKUP(AB517,'02效果表'!D:D,'02效果表'!E:E),0)+AE517*MAX(_xlfn.XLOOKUP(AD517,'02效果表'!D:D,'02效果表'!E:E),0)),1)</f>
        <v>0</v>
      </c>
      <c r="H517" s="6"/>
      <c r="I517" s="6"/>
      <c r="J517" s="6"/>
      <c r="K517" s="6"/>
      <c r="L517" s="6"/>
      <c r="M517" s="6"/>
      <c r="N517" s="6"/>
      <c r="O517" s="6"/>
      <c r="P517" s="6"/>
      <c r="Q517" s="6"/>
      <c r="R517" s="6"/>
      <c r="S517" s="6"/>
      <c r="T517" s="6"/>
      <c r="U517" s="6"/>
      <c r="V517" s="6"/>
      <c r="W517" s="6"/>
      <c r="X517" s="6"/>
      <c r="Y517" s="6"/>
      <c r="Z517" s="6"/>
      <c r="AA517" s="6"/>
      <c r="AB517" s="6"/>
      <c r="AC517" s="6"/>
      <c r="AD517" s="6"/>
      <c r="AE517" s="6"/>
    </row>
    <row r="518" spans="1:31" x14ac:dyDescent="0.35">
      <c r="A518" s="6">
        <v>518</v>
      </c>
      <c r="B518" s="6" t="s">
        <v>7</v>
      </c>
      <c r="C518" s="10" t="s">
        <v>18</v>
      </c>
      <c r="D518" s="9" t="s">
        <v>1314</v>
      </c>
      <c r="E518" s="7">
        <f t="shared" si="15"/>
        <v>0</v>
      </c>
      <c r="F518" s="7">
        <f>-1*ROUND(1/6*(I518*IF(_xlfn.XLOOKUP(H518,'02效果表'!D:D,'02效果表'!E:E)&lt;0, _xlfn.XLOOKUP(H518,'02效果表'!D:D,'02效果表'!E:E), 0) +
K518*IF(_xlfn.XLOOKUP(J518,'02效果表'!D:D,'02效果表'!E:E)&lt;0, _xlfn.XLOOKUP(J518,'02效果表'!D:D,'02效果表'!E:E), 0) +
M518*IF(_xlfn.XLOOKUP(L518,'02效果表'!D:D,'02效果表'!E:E)&lt;0, _xlfn.XLOOKUP(L518,'02效果表'!D:D,'02效果表'!E:E), 0) +
O518*IF(_xlfn.XLOOKUP(N518,'02效果表'!D:D,'02效果表'!E:E)&lt;0, _xlfn.XLOOKUP(N518,'02效果表'!D:D,'02效果表'!E:E), 0) +
Q518*IF(_xlfn.XLOOKUP(P518,'02效果表'!D:D,'02效果表'!E:E)&lt;0, _xlfn.XLOOKUP(P518,'02效果表'!D:D,'02效果表'!E:E), 0) +
S518*IF(_xlfn.XLOOKUP(R518,'02效果表'!D:D,'02效果表'!E:E)&lt;0, _xlfn.XLOOKUP(R518,'02效果表'!D:D,'02效果表'!E:E), 0) +
U518*IF(_xlfn.XLOOKUP(T518,'02效果表'!D:D,'02效果表'!E:E)&lt;0, _xlfn.XLOOKUP(T518,'02效果表'!D:D,'02效果表'!E:E), 0) +
W518*IF(_xlfn.XLOOKUP(V518,'02效果表'!D:D,'02效果表'!E:E)&lt;0, _xlfn.XLOOKUP(V518,'02效果表'!D:D,'02效果表'!E:E), 0) +
Y518*IF(_xlfn.XLOOKUP(X518,'02效果表'!D:D,'02效果表'!E:E)&lt;0, _xlfn.XLOOKUP(X518,'02效果表'!D:D,'02效果表'!E:E), 0) +
AA518*IF(_xlfn.XLOOKUP(Z518,'02效果表'!D:D,'02效果表'!E:E)&lt;0, _xlfn.XLOOKUP(Z518,'02效果表'!D:D,'02效果表'!E:E), 0) +
AC518*IF(_xlfn.XLOOKUP(AB518,'02效果表'!D:D,'02效果表'!E:E)&lt;0, _xlfn.XLOOKUP(AB518,'02效果表'!D:D,'02效果表'!E:E), 0) +
AE518*IF(_xlfn.XLOOKUP(AD518,'02效果表'!D:D,'02效果表'!E:E)&lt;0, _xlfn.XLOOKUP(AD518,'02效果表'!D:D,'02效果表'!E:E), 0)), 1)</f>
        <v>0</v>
      </c>
      <c r="G518" s="7">
        <f>ROUND(1/6*(I518*MAX(_xlfn.XLOOKUP(H518,'02效果表'!D:D,'02效果表'!E:E),0)+K518*MAX(_xlfn.XLOOKUP(J518,'02效果表'!D:D,'02效果表'!E:E),0)+M518*MAX(_xlfn.XLOOKUP(L518,'02效果表'!D:D,'02效果表'!E:E),0)+O518*MAX(_xlfn.XLOOKUP(N518,'02效果表'!D:D,'02效果表'!E:E),0)+Q518*MAX(_xlfn.XLOOKUP(P518,'02效果表'!D:D,'02效果表'!E:E),0)+S518*MAX(_xlfn.XLOOKUP(R518,'02效果表'!D:D,'02效果表'!E:E),0)+U518*MAX(_xlfn.XLOOKUP(T518,'02效果表'!D:D,'02效果表'!E:E),0)+W518*MAX(_xlfn.XLOOKUP(V518,'02效果表'!D:D,'02效果表'!E:E),0)+Y518*MAX(_xlfn.XLOOKUP(X518,'02效果表'!D:D,'02效果表'!E:E),0)+AA518*MAX(_xlfn.XLOOKUP(Z518,'02效果表'!D:D,'02效果表'!E:E),0)+AC518*MAX(_xlfn.XLOOKUP(AB518,'02效果表'!D:D,'02效果表'!E:E),0)+AE518*MAX(_xlfn.XLOOKUP(AD518,'02效果表'!D:D,'02效果表'!E:E),0)),1)</f>
        <v>0</v>
      </c>
      <c r="H518" s="6"/>
      <c r="I518" s="6"/>
      <c r="J518" s="6"/>
      <c r="K518" s="6"/>
      <c r="L518" s="6"/>
      <c r="M518" s="6"/>
      <c r="N518" s="6"/>
      <c r="O518" s="6"/>
      <c r="P518" s="6"/>
      <c r="Q518" s="6"/>
      <c r="R518" s="6"/>
      <c r="S518" s="6"/>
      <c r="T518" s="6"/>
      <c r="U518" s="6"/>
      <c r="V518" s="6"/>
      <c r="W518" s="6"/>
      <c r="X518" s="6"/>
      <c r="Y518" s="6"/>
      <c r="Z518" s="6"/>
      <c r="AA518" s="6"/>
      <c r="AB518" s="6"/>
      <c r="AC518" s="6"/>
      <c r="AD518" s="6"/>
      <c r="AE518" s="6"/>
    </row>
    <row r="519" spans="1:31" x14ac:dyDescent="0.35">
      <c r="A519" s="6">
        <v>519</v>
      </c>
      <c r="B519" s="6" t="s">
        <v>7</v>
      </c>
      <c r="C519" s="10" t="s">
        <v>1</v>
      </c>
      <c r="D519" s="9" t="s">
        <v>1669</v>
      </c>
      <c r="E519" s="7">
        <f t="shared" si="15"/>
        <v>0</v>
      </c>
      <c r="F519" s="7">
        <f>-1*ROUND(1/6*(I519*IF(_xlfn.XLOOKUP(H519,'02效果表'!D:D,'02效果表'!E:E)&lt;0, _xlfn.XLOOKUP(H519,'02效果表'!D:D,'02效果表'!E:E), 0) +
K519*IF(_xlfn.XLOOKUP(J519,'02效果表'!D:D,'02效果表'!E:E)&lt;0, _xlfn.XLOOKUP(J519,'02效果表'!D:D,'02效果表'!E:E), 0) +
M519*IF(_xlfn.XLOOKUP(L519,'02效果表'!D:D,'02效果表'!E:E)&lt;0, _xlfn.XLOOKUP(L519,'02效果表'!D:D,'02效果表'!E:E), 0) +
O519*IF(_xlfn.XLOOKUP(N519,'02效果表'!D:D,'02效果表'!E:E)&lt;0, _xlfn.XLOOKUP(N519,'02效果表'!D:D,'02效果表'!E:E), 0) +
Q519*IF(_xlfn.XLOOKUP(P519,'02效果表'!D:D,'02效果表'!E:E)&lt;0, _xlfn.XLOOKUP(P519,'02效果表'!D:D,'02效果表'!E:E), 0) +
S519*IF(_xlfn.XLOOKUP(R519,'02效果表'!D:D,'02效果表'!E:E)&lt;0, _xlfn.XLOOKUP(R519,'02效果表'!D:D,'02效果表'!E:E), 0) +
U519*IF(_xlfn.XLOOKUP(T519,'02效果表'!D:D,'02效果表'!E:E)&lt;0, _xlfn.XLOOKUP(T519,'02效果表'!D:D,'02效果表'!E:E), 0) +
W519*IF(_xlfn.XLOOKUP(V519,'02效果表'!D:D,'02效果表'!E:E)&lt;0, _xlfn.XLOOKUP(V519,'02效果表'!D:D,'02效果表'!E:E), 0) +
Y519*IF(_xlfn.XLOOKUP(X519,'02效果表'!D:D,'02效果表'!E:E)&lt;0, _xlfn.XLOOKUP(X519,'02效果表'!D:D,'02效果表'!E:E), 0) +
AA519*IF(_xlfn.XLOOKUP(Z519,'02效果表'!D:D,'02效果表'!E:E)&lt;0, _xlfn.XLOOKUP(Z519,'02效果表'!D:D,'02效果表'!E:E), 0) +
AC519*IF(_xlfn.XLOOKUP(AB519,'02效果表'!D:D,'02效果表'!E:E)&lt;0, _xlfn.XLOOKUP(AB519,'02效果表'!D:D,'02效果表'!E:E), 0) +
AE519*IF(_xlfn.XLOOKUP(AD519,'02效果表'!D:D,'02效果表'!E:E)&lt;0, _xlfn.XLOOKUP(AD519,'02效果表'!D:D,'02效果表'!E:E), 0)), 1)</f>
        <v>0</v>
      </c>
      <c r="G519" s="7">
        <f>ROUND(1/6*(I519*MAX(_xlfn.XLOOKUP(H519,'02效果表'!D:D,'02效果表'!E:E),0)+K519*MAX(_xlfn.XLOOKUP(J519,'02效果表'!D:D,'02效果表'!E:E),0)+M519*MAX(_xlfn.XLOOKUP(L519,'02效果表'!D:D,'02效果表'!E:E),0)+O519*MAX(_xlfn.XLOOKUP(N519,'02效果表'!D:D,'02效果表'!E:E),0)+Q519*MAX(_xlfn.XLOOKUP(P519,'02效果表'!D:D,'02效果表'!E:E),0)+S519*MAX(_xlfn.XLOOKUP(R519,'02效果表'!D:D,'02效果表'!E:E),0)+U519*MAX(_xlfn.XLOOKUP(T519,'02效果表'!D:D,'02效果表'!E:E),0)+W519*MAX(_xlfn.XLOOKUP(V519,'02效果表'!D:D,'02效果表'!E:E),0)+Y519*MAX(_xlfn.XLOOKUP(X519,'02效果表'!D:D,'02效果表'!E:E),0)+AA519*MAX(_xlfn.XLOOKUP(Z519,'02效果表'!D:D,'02效果表'!E:E),0)+AC519*MAX(_xlfn.XLOOKUP(AB519,'02效果表'!D:D,'02效果表'!E:E),0)+AE519*MAX(_xlfn.XLOOKUP(AD519,'02效果表'!D:D,'02效果表'!E:E),0)),1)</f>
        <v>0</v>
      </c>
      <c r="H519" s="6"/>
      <c r="I519" s="6"/>
      <c r="J519" s="6"/>
      <c r="K519" s="6"/>
      <c r="L519" s="6"/>
      <c r="M519" s="6"/>
      <c r="N519" s="6"/>
      <c r="O519" s="6"/>
      <c r="P519" s="6"/>
      <c r="Q519" s="6"/>
      <c r="R519" s="6"/>
      <c r="S519" s="6"/>
      <c r="T519" s="6"/>
      <c r="U519" s="6"/>
      <c r="V519" s="6"/>
      <c r="W519" s="6"/>
      <c r="X519" s="6"/>
      <c r="Y519" s="6"/>
      <c r="Z519" s="6"/>
      <c r="AA519" s="6"/>
      <c r="AB519" s="6"/>
      <c r="AC519" s="6"/>
      <c r="AD519" s="6"/>
      <c r="AE519" s="6"/>
    </row>
    <row r="520" spans="1:31" x14ac:dyDescent="0.35">
      <c r="A520" s="6">
        <v>520</v>
      </c>
      <c r="B520" s="6" t="s">
        <v>7</v>
      </c>
      <c r="C520" s="10" t="s">
        <v>1</v>
      </c>
      <c r="D520" s="9" t="s">
        <v>1670</v>
      </c>
      <c r="E520" s="7">
        <f t="shared" si="15"/>
        <v>0</v>
      </c>
      <c r="F520" s="7">
        <f>-1*ROUND(1/6*(I520*IF(_xlfn.XLOOKUP(H520,'02效果表'!D:D,'02效果表'!E:E)&lt;0, _xlfn.XLOOKUP(H520,'02效果表'!D:D,'02效果表'!E:E), 0) +
K520*IF(_xlfn.XLOOKUP(J520,'02效果表'!D:D,'02效果表'!E:E)&lt;0, _xlfn.XLOOKUP(J520,'02效果表'!D:D,'02效果表'!E:E), 0) +
M520*IF(_xlfn.XLOOKUP(L520,'02效果表'!D:D,'02效果表'!E:E)&lt;0, _xlfn.XLOOKUP(L520,'02效果表'!D:D,'02效果表'!E:E), 0) +
O520*IF(_xlfn.XLOOKUP(N520,'02效果表'!D:D,'02效果表'!E:E)&lt;0, _xlfn.XLOOKUP(N520,'02效果表'!D:D,'02效果表'!E:E), 0) +
Q520*IF(_xlfn.XLOOKUP(P520,'02效果表'!D:D,'02效果表'!E:E)&lt;0, _xlfn.XLOOKUP(P520,'02效果表'!D:D,'02效果表'!E:E), 0) +
S520*IF(_xlfn.XLOOKUP(R520,'02效果表'!D:D,'02效果表'!E:E)&lt;0, _xlfn.XLOOKUP(R520,'02效果表'!D:D,'02效果表'!E:E), 0) +
U520*IF(_xlfn.XLOOKUP(T520,'02效果表'!D:D,'02效果表'!E:E)&lt;0, _xlfn.XLOOKUP(T520,'02效果表'!D:D,'02效果表'!E:E), 0) +
W520*IF(_xlfn.XLOOKUP(V520,'02效果表'!D:D,'02效果表'!E:E)&lt;0, _xlfn.XLOOKUP(V520,'02效果表'!D:D,'02效果表'!E:E), 0) +
Y520*IF(_xlfn.XLOOKUP(X520,'02效果表'!D:D,'02效果表'!E:E)&lt;0, _xlfn.XLOOKUP(X520,'02效果表'!D:D,'02效果表'!E:E), 0) +
AA520*IF(_xlfn.XLOOKUP(Z520,'02效果表'!D:D,'02效果表'!E:E)&lt;0, _xlfn.XLOOKUP(Z520,'02效果表'!D:D,'02效果表'!E:E), 0) +
AC520*IF(_xlfn.XLOOKUP(AB520,'02效果表'!D:D,'02效果表'!E:E)&lt;0, _xlfn.XLOOKUP(AB520,'02效果表'!D:D,'02效果表'!E:E), 0) +
AE520*IF(_xlfn.XLOOKUP(AD520,'02效果表'!D:D,'02效果表'!E:E)&lt;0, _xlfn.XLOOKUP(AD520,'02效果表'!D:D,'02效果表'!E:E), 0)), 1)</f>
        <v>0</v>
      </c>
      <c r="G520" s="7">
        <f>ROUND(1/6*(I520*MAX(_xlfn.XLOOKUP(H520,'02效果表'!D:D,'02效果表'!E:E),0)+K520*MAX(_xlfn.XLOOKUP(J520,'02效果表'!D:D,'02效果表'!E:E),0)+M520*MAX(_xlfn.XLOOKUP(L520,'02效果表'!D:D,'02效果表'!E:E),0)+O520*MAX(_xlfn.XLOOKUP(N520,'02效果表'!D:D,'02效果表'!E:E),0)+Q520*MAX(_xlfn.XLOOKUP(P520,'02效果表'!D:D,'02效果表'!E:E),0)+S520*MAX(_xlfn.XLOOKUP(R520,'02效果表'!D:D,'02效果表'!E:E),0)+U520*MAX(_xlfn.XLOOKUP(T520,'02效果表'!D:D,'02效果表'!E:E),0)+W520*MAX(_xlfn.XLOOKUP(V520,'02效果表'!D:D,'02效果表'!E:E),0)+Y520*MAX(_xlfn.XLOOKUP(X520,'02效果表'!D:D,'02效果表'!E:E),0)+AA520*MAX(_xlfn.XLOOKUP(Z520,'02效果表'!D:D,'02效果表'!E:E),0)+AC520*MAX(_xlfn.XLOOKUP(AB520,'02效果表'!D:D,'02效果表'!E:E),0)+AE520*MAX(_xlfn.XLOOKUP(AD520,'02效果表'!D:D,'02效果表'!E:E),0)),1)</f>
        <v>0</v>
      </c>
      <c r="H520" s="6"/>
      <c r="I520" s="6"/>
      <c r="J520" s="6"/>
      <c r="K520" s="6"/>
      <c r="L520" s="6"/>
      <c r="M520" s="6"/>
      <c r="N520" s="6"/>
      <c r="O520" s="6"/>
      <c r="P520" s="6"/>
      <c r="Q520" s="6"/>
      <c r="R520" s="6"/>
      <c r="S520" s="6"/>
      <c r="T520" s="6"/>
      <c r="U520" s="6"/>
      <c r="V520" s="6"/>
      <c r="W520" s="6"/>
      <c r="X520" s="6"/>
      <c r="Y520" s="6"/>
      <c r="Z520" s="6"/>
      <c r="AA520" s="6"/>
      <c r="AB520" s="6"/>
      <c r="AC520" s="6"/>
      <c r="AD520" s="6"/>
      <c r="AE520" s="6"/>
    </row>
    <row r="521" spans="1:31" x14ac:dyDescent="0.35">
      <c r="A521" s="6">
        <v>521</v>
      </c>
      <c r="B521" s="6" t="s">
        <v>7</v>
      </c>
      <c r="C521" s="10" t="s">
        <v>1</v>
      </c>
      <c r="D521" s="9" t="s">
        <v>1671</v>
      </c>
      <c r="E521" s="7">
        <f t="shared" si="15"/>
        <v>0</v>
      </c>
      <c r="F521" s="7">
        <f>-1*ROUND(1/6*(I521*IF(_xlfn.XLOOKUP(H521,'02效果表'!D:D,'02效果表'!E:E)&lt;0, _xlfn.XLOOKUP(H521,'02效果表'!D:D,'02效果表'!E:E), 0) +
K521*IF(_xlfn.XLOOKUP(J521,'02效果表'!D:D,'02效果表'!E:E)&lt;0, _xlfn.XLOOKUP(J521,'02效果表'!D:D,'02效果表'!E:E), 0) +
M521*IF(_xlfn.XLOOKUP(L521,'02效果表'!D:D,'02效果表'!E:E)&lt;0, _xlfn.XLOOKUP(L521,'02效果表'!D:D,'02效果表'!E:E), 0) +
O521*IF(_xlfn.XLOOKUP(N521,'02效果表'!D:D,'02效果表'!E:E)&lt;0, _xlfn.XLOOKUP(N521,'02效果表'!D:D,'02效果表'!E:E), 0) +
Q521*IF(_xlfn.XLOOKUP(P521,'02效果表'!D:D,'02效果表'!E:E)&lt;0, _xlfn.XLOOKUP(P521,'02效果表'!D:D,'02效果表'!E:E), 0) +
S521*IF(_xlfn.XLOOKUP(R521,'02效果表'!D:D,'02效果表'!E:E)&lt;0, _xlfn.XLOOKUP(R521,'02效果表'!D:D,'02效果表'!E:E), 0) +
U521*IF(_xlfn.XLOOKUP(T521,'02效果表'!D:D,'02效果表'!E:E)&lt;0, _xlfn.XLOOKUP(T521,'02效果表'!D:D,'02效果表'!E:E), 0) +
W521*IF(_xlfn.XLOOKUP(V521,'02效果表'!D:D,'02效果表'!E:E)&lt;0, _xlfn.XLOOKUP(V521,'02效果表'!D:D,'02效果表'!E:E), 0) +
Y521*IF(_xlfn.XLOOKUP(X521,'02效果表'!D:D,'02效果表'!E:E)&lt;0, _xlfn.XLOOKUP(X521,'02效果表'!D:D,'02效果表'!E:E), 0) +
AA521*IF(_xlfn.XLOOKUP(Z521,'02效果表'!D:D,'02效果表'!E:E)&lt;0, _xlfn.XLOOKUP(Z521,'02效果表'!D:D,'02效果表'!E:E), 0) +
AC521*IF(_xlfn.XLOOKUP(AB521,'02效果表'!D:D,'02效果表'!E:E)&lt;0, _xlfn.XLOOKUP(AB521,'02效果表'!D:D,'02效果表'!E:E), 0) +
AE521*IF(_xlfn.XLOOKUP(AD521,'02效果表'!D:D,'02效果表'!E:E)&lt;0, _xlfn.XLOOKUP(AD521,'02效果表'!D:D,'02效果表'!E:E), 0)), 1)</f>
        <v>0</v>
      </c>
      <c r="G521" s="7">
        <f>ROUND(1/6*(I521*MAX(_xlfn.XLOOKUP(H521,'02效果表'!D:D,'02效果表'!E:E),0)+K521*MAX(_xlfn.XLOOKUP(J521,'02效果表'!D:D,'02效果表'!E:E),0)+M521*MAX(_xlfn.XLOOKUP(L521,'02效果表'!D:D,'02效果表'!E:E),0)+O521*MAX(_xlfn.XLOOKUP(N521,'02效果表'!D:D,'02效果表'!E:E),0)+Q521*MAX(_xlfn.XLOOKUP(P521,'02效果表'!D:D,'02效果表'!E:E),0)+S521*MAX(_xlfn.XLOOKUP(R521,'02效果表'!D:D,'02效果表'!E:E),0)+U521*MAX(_xlfn.XLOOKUP(T521,'02效果表'!D:D,'02效果表'!E:E),0)+W521*MAX(_xlfn.XLOOKUP(V521,'02效果表'!D:D,'02效果表'!E:E),0)+Y521*MAX(_xlfn.XLOOKUP(X521,'02效果表'!D:D,'02效果表'!E:E),0)+AA521*MAX(_xlfn.XLOOKUP(Z521,'02效果表'!D:D,'02效果表'!E:E),0)+AC521*MAX(_xlfn.XLOOKUP(AB521,'02效果表'!D:D,'02效果表'!E:E),0)+AE521*MAX(_xlfn.XLOOKUP(AD521,'02效果表'!D:D,'02效果表'!E:E),0)),1)</f>
        <v>0</v>
      </c>
      <c r="H521" s="6"/>
      <c r="I521" s="6"/>
      <c r="J521" s="6"/>
      <c r="K521" s="6"/>
      <c r="L521" s="6"/>
      <c r="M521" s="6"/>
      <c r="N521" s="6"/>
      <c r="O521" s="6"/>
      <c r="P521" s="6"/>
      <c r="Q521" s="6"/>
      <c r="R521" s="6"/>
      <c r="S521" s="6"/>
      <c r="T521" s="6"/>
      <c r="U521" s="6"/>
      <c r="V521" s="6"/>
      <c r="W521" s="6"/>
      <c r="X521" s="6"/>
      <c r="Y521" s="6"/>
      <c r="Z521" s="6"/>
      <c r="AA521" s="6"/>
      <c r="AB521" s="6"/>
      <c r="AC521" s="6"/>
      <c r="AD521" s="6"/>
      <c r="AE521" s="6"/>
    </row>
    <row r="522" spans="1:31" x14ac:dyDescent="0.35">
      <c r="A522" s="6">
        <v>522</v>
      </c>
      <c r="B522" s="6" t="s">
        <v>7</v>
      </c>
      <c r="C522" s="10" t="s">
        <v>1</v>
      </c>
      <c r="D522" s="9" t="s">
        <v>1672</v>
      </c>
      <c r="E522" s="7">
        <f t="shared" si="15"/>
        <v>0</v>
      </c>
      <c r="F522" s="7">
        <f>-1*ROUND(1/6*(I522*IF(_xlfn.XLOOKUP(H522,'02效果表'!D:D,'02效果表'!E:E)&lt;0, _xlfn.XLOOKUP(H522,'02效果表'!D:D,'02效果表'!E:E), 0) +
K522*IF(_xlfn.XLOOKUP(J522,'02效果表'!D:D,'02效果表'!E:E)&lt;0, _xlfn.XLOOKUP(J522,'02效果表'!D:D,'02效果表'!E:E), 0) +
M522*IF(_xlfn.XLOOKUP(L522,'02效果表'!D:D,'02效果表'!E:E)&lt;0, _xlfn.XLOOKUP(L522,'02效果表'!D:D,'02效果表'!E:E), 0) +
O522*IF(_xlfn.XLOOKUP(N522,'02效果表'!D:D,'02效果表'!E:E)&lt;0, _xlfn.XLOOKUP(N522,'02效果表'!D:D,'02效果表'!E:E), 0) +
Q522*IF(_xlfn.XLOOKUP(P522,'02效果表'!D:D,'02效果表'!E:E)&lt;0, _xlfn.XLOOKUP(P522,'02效果表'!D:D,'02效果表'!E:E), 0) +
S522*IF(_xlfn.XLOOKUP(R522,'02效果表'!D:D,'02效果表'!E:E)&lt;0, _xlfn.XLOOKUP(R522,'02效果表'!D:D,'02效果表'!E:E), 0) +
U522*IF(_xlfn.XLOOKUP(T522,'02效果表'!D:D,'02效果表'!E:E)&lt;0, _xlfn.XLOOKUP(T522,'02效果表'!D:D,'02效果表'!E:E), 0) +
W522*IF(_xlfn.XLOOKUP(V522,'02效果表'!D:D,'02效果表'!E:E)&lt;0, _xlfn.XLOOKUP(V522,'02效果表'!D:D,'02效果表'!E:E), 0) +
Y522*IF(_xlfn.XLOOKUP(X522,'02效果表'!D:D,'02效果表'!E:E)&lt;0, _xlfn.XLOOKUP(X522,'02效果表'!D:D,'02效果表'!E:E), 0) +
AA522*IF(_xlfn.XLOOKUP(Z522,'02效果表'!D:D,'02效果表'!E:E)&lt;0, _xlfn.XLOOKUP(Z522,'02效果表'!D:D,'02效果表'!E:E), 0) +
AC522*IF(_xlfn.XLOOKUP(AB522,'02效果表'!D:D,'02效果表'!E:E)&lt;0, _xlfn.XLOOKUP(AB522,'02效果表'!D:D,'02效果表'!E:E), 0) +
AE522*IF(_xlfn.XLOOKUP(AD522,'02效果表'!D:D,'02效果表'!E:E)&lt;0, _xlfn.XLOOKUP(AD522,'02效果表'!D:D,'02效果表'!E:E), 0)), 1)</f>
        <v>0</v>
      </c>
      <c r="G522" s="7">
        <f>ROUND(1/6*(I522*MAX(_xlfn.XLOOKUP(H522,'02效果表'!D:D,'02效果表'!E:E),0)+K522*MAX(_xlfn.XLOOKUP(J522,'02效果表'!D:D,'02效果表'!E:E),0)+M522*MAX(_xlfn.XLOOKUP(L522,'02效果表'!D:D,'02效果表'!E:E),0)+O522*MAX(_xlfn.XLOOKUP(N522,'02效果表'!D:D,'02效果表'!E:E),0)+Q522*MAX(_xlfn.XLOOKUP(P522,'02效果表'!D:D,'02效果表'!E:E),0)+S522*MAX(_xlfn.XLOOKUP(R522,'02效果表'!D:D,'02效果表'!E:E),0)+U522*MAX(_xlfn.XLOOKUP(T522,'02效果表'!D:D,'02效果表'!E:E),0)+W522*MAX(_xlfn.XLOOKUP(V522,'02效果表'!D:D,'02效果表'!E:E),0)+Y522*MAX(_xlfn.XLOOKUP(X522,'02效果表'!D:D,'02效果表'!E:E),0)+AA522*MAX(_xlfn.XLOOKUP(Z522,'02效果表'!D:D,'02效果表'!E:E),0)+AC522*MAX(_xlfn.XLOOKUP(AB522,'02效果表'!D:D,'02效果表'!E:E),0)+AE522*MAX(_xlfn.XLOOKUP(AD522,'02效果表'!D:D,'02效果表'!E:E),0)),1)</f>
        <v>0</v>
      </c>
      <c r="H522" s="6"/>
      <c r="I522" s="6"/>
      <c r="J522" s="6"/>
      <c r="K522" s="6"/>
      <c r="L522" s="6"/>
      <c r="M522" s="6"/>
      <c r="N522" s="6"/>
      <c r="O522" s="6"/>
      <c r="P522" s="6"/>
      <c r="Q522" s="6"/>
      <c r="R522" s="6"/>
      <c r="S522" s="6"/>
      <c r="T522" s="6"/>
      <c r="U522" s="6"/>
      <c r="V522" s="6"/>
      <c r="W522" s="6"/>
      <c r="X522" s="6"/>
      <c r="Y522" s="6"/>
      <c r="Z522" s="6"/>
      <c r="AA522" s="6"/>
      <c r="AB522" s="6"/>
      <c r="AC522" s="6"/>
      <c r="AD522" s="6"/>
      <c r="AE522" s="6"/>
    </row>
    <row r="523" spans="1:31" x14ac:dyDescent="0.35">
      <c r="A523" s="6">
        <v>523</v>
      </c>
      <c r="B523" s="6" t="s">
        <v>7</v>
      </c>
      <c r="C523" s="10" t="s">
        <v>1</v>
      </c>
      <c r="D523" s="9" t="s">
        <v>1673</v>
      </c>
      <c r="E523" s="7">
        <f t="shared" si="15"/>
        <v>0</v>
      </c>
      <c r="F523" s="7">
        <f>-1*ROUND(1/6*(I523*IF(_xlfn.XLOOKUP(H523,'02效果表'!D:D,'02效果表'!E:E)&lt;0, _xlfn.XLOOKUP(H523,'02效果表'!D:D,'02效果表'!E:E), 0) +
K523*IF(_xlfn.XLOOKUP(J523,'02效果表'!D:D,'02效果表'!E:E)&lt;0, _xlfn.XLOOKUP(J523,'02效果表'!D:D,'02效果表'!E:E), 0) +
M523*IF(_xlfn.XLOOKUP(L523,'02效果表'!D:D,'02效果表'!E:E)&lt;0, _xlfn.XLOOKUP(L523,'02效果表'!D:D,'02效果表'!E:E), 0) +
O523*IF(_xlfn.XLOOKUP(N523,'02效果表'!D:D,'02效果表'!E:E)&lt;0, _xlfn.XLOOKUP(N523,'02效果表'!D:D,'02效果表'!E:E), 0) +
Q523*IF(_xlfn.XLOOKUP(P523,'02效果表'!D:D,'02效果表'!E:E)&lt;0, _xlfn.XLOOKUP(P523,'02效果表'!D:D,'02效果表'!E:E), 0) +
S523*IF(_xlfn.XLOOKUP(R523,'02效果表'!D:D,'02效果表'!E:E)&lt;0, _xlfn.XLOOKUP(R523,'02效果表'!D:D,'02效果表'!E:E), 0) +
U523*IF(_xlfn.XLOOKUP(T523,'02效果表'!D:D,'02效果表'!E:E)&lt;0, _xlfn.XLOOKUP(T523,'02效果表'!D:D,'02效果表'!E:E), 0) +
W523*IF(_xlfn.XLOOKUP(V523,'02效果表'!D:D,'02效果表'!E:E)&lt;0, _xlfn.XLOOKUP(V523,'02效果表'!D:D,'02效果表'!E:E), 0) +
Y523*IF(_xlfn.XLOOKUP(X523,'02效果表'!D:D,'02效果表'!E:E)&lt;0, _xlfn.XLOOKUP(X523,'02效果表'!D:D,'02效果表'!E:E), 0) +
AA523*IF(_xlfn.XLOOKUP(Z523,'02效果表'!D:D,'02效果表'!E:E)&lt;0, _xlfn.XLOOKUP(Z523,'02效果表'!D:D,'02效果表'!E:E), 0) +
AC523*IF(_xlfn.XLOOKUP(AB523,'02效果表'!D:D,'02效果表'!E:E)&lt;0, _xlfn.XLOOKUP(AB523,'02效果表'!D:D,'02效果表'!E:E), 0) +
AE523*IF(_xlfn.XLOOKUP(AD523,'02效果表'!D:D,'02效果表'!E:E)&lt;0, _xlfn.XLOOKUP(AD523,'02效果表'!D:D,'02效果表'!E:E), 0)), 1)</f>
        <v>0</v>
      </c>
      <c r="G523" s="7">
        <f>ROUND(1/6*(I523*MAX(_xlfn.XLOOKUP(H523,'02效果表'!D:D,'02效果表'!E:E),0)+K523*MAX(_xlfn.XLOOKUP(J523,'02效果表'!D:D,'02效果表'!E:E),0)+M523*MAX(_xlfn.XLOOKUP(L523,'02效果表'!D:D,'02效果表'!E:E),0)+O523*MAX(_xlfn.XLOOKUP(N523,'02效果表'!D:D,'02效果表'!E:E),0)+Q523*MAX(_xlfn.XLOOKUP(P523,'02效果表'!D:D,'02效果表'!E:E),0)+S523*MAX(_xlfn.XLOOKUP(R523,'02效果表'!D:D,'02效果表'!E:E),0)+U523*MAX(_xlfn.XLOOKUP(T523,'02效果表'!D:D,'02效果表'!E:E),0)+W523*MAX(_xlfn.XLOOKUP(V523,'02效果表'!D:D,'02效果表'!E:E),0)+Y523*MAX(_xlfn.XLOOKUP(X523,'02效果表'!D:D,'02效果表'!E:E),0)+AA523*MAX(_xlfn.XLOOKUP(Z523,'02效果表'!D:D,'02效果表'!E:E),0)+AC523*MAX(_xlfn.XLOOKUP(AB523,'02效果表'!D:D,'02效果表'!E:E),0)+AE523*MAX(_xlfn.XLOOKUP(AD523,'02效果表'!D:D,'02效果表'!E:E),0)),1)</f>
        <v>0</v>
      </c>
      <c r="H523" s="6"/>
      <c r="I523" s="6"/>
      <c r="J523" s="6"/>
      <c r="K523" s="6"/>
      <c r="L523" s="6"/>
      <c r="M523" s="6"/>
      <c r="N523" s="6"/>
      <c r="O523" s="6"/>
      <c r="P523" s="6"/>
      <c r="Q523" s="6"/>
      <c r="R523" s="6"/>
      <c r="S523" s="6"/>
      <c r="T523" s="6"/>
      <c r="U523" s="6"/>
      <c r="V523" s="6"/>
      <c r="W523" s="6"/>
      <c r="X523" s="6"/>
      <c r="Y523" s="6"/>
      <c r="Z523" s="6"/>
      <c r="AA523" s="6"/>
      <c r="AB523" s="6"/>
      <c r="AC523" s="6"/>
      <c r="AD523" s="6"/>
      <c r="AE523" s="6"/>
    </row>
    <row r="524" spans="1:31" x14ac:dyDescent="0.35">
      <c r="A524" s="6">
        <v>524</v>
      </c>
      <c r="B524" s="6" t="s">
        <v>7</v>
      </c>
      <c r="C524" s="10" t="s">
        <v>1</v>
      </c>
      <c r="D524" s="9" t="s">
        <v>1674</v>
      </c>
      <c r="E524" s="7">
        <f t="shared" si="15"/>
        <v>0</v>
      </c>
      <c r="F524" s="7">
        <f>-1*ROUND(1/6*(I524*IF(_xlfn.XLOOKUP(H524,'02效果表'!D:D,'02效果表'!E:E)&lt;0, _xlfn.XLOOKUP(H524,'02效果表'!D:D,'02效果表'!E:E), 0) +
K524*IF(_xlfn.XLOOKUP(J524,'02效果表'!D:D,'02效果表'!E:E)&lt;0, _xlfn.XLOOKUP(J524,'02效果表'!D:D,'02效果表'!E:E), 0) +
M524*IF(_xlfn.XLOOKUP(L524,'02效果表'!D:D,'02效果表'!E:E)&lt;0, _xlfn.XLOOKUP(L524,'02效果表'!D:D,'02效果表'!E:E), 0) +
O524*IF(_xlfn.XLOOKUP(N524,'02效果表'!D:D,'02效果表'!E:E)&lt;0, _xlfn.XLOOKUP(N524,'02效果表'!D:D,'02效果表'!E:E), 0) +
Q524*IF(_xlfn.XLOOKUP(P524,'02效果表'!D:D,'02效果表'!E:E)&lt;0, _xlfn.XLOOKUP(P524,'02效果表'!D:D,'02效果表'!E:E), 0) +
S524*IF(_xlfn.XLOOKUP(R524,'02效果表'!D:D,'02效果表'!E:E)&lt;0, _xlfn.XLOOKUP(R524,'02效果表'!D:D,'02效果表'!E:E), 0) +
U524*IF(_xlfn.XLOOKUP(T524,'02效果表'!D:D,'02效果表'!E:E)&lt;0, _xlfn.XLOOKUP(T524,'02效果表'!D:D,'02效果表'!E:E), 0) +
W524*IF(_xlfn.XLOOKUP(V524,'02效果表'!D:D,'02效果表'!E:E)&lt;0, _xlfn.XLOOKUP(V524,'02效果表'!D:D,'02效果表'!E:E), 0) +
Y524*IF(_xlfn.XLOOKUP(X524,'02效果表'!D:D,'02效果表'!E:E)&lt;0, _xlfn.XLOOKUP(X524,'02效果表'!D:D,'02效果表'!E:E), 0) +
AA524*IF(_xlfn.XLOOKUP(Z524,'02效果表'!D:D,'02效果表'!E:E)&lt;0, _xlfn.XLOOKUP(Z524,'02效果表'!D:D,'02效果表'!E:E), 0) +
AC524*IF(_xlfn.XLOOKUP(AB524,'02效果表'!D:D,'02效果表'!E:E)&lt;0, _xlfn.XLOOKUP(AB524,'02效果表'!D:D,'02效果表'!E:E), 0) +
AE524*IF(_xlfn.XLOOKUP(AD524,'02效果表'!D:D,'02效果表'!E:E)&lt;0, _xlfn.XLOOKUP(AD524,'02效果表'!D:D,'02效果表'!E:E), 0)), 1)</f>
        <v>0</v>
      </c>
      <c r="G524" s="7">
        <f>ROUND(1/6*(I524*MAX(_xlfn.XLOOKUP(H524,'02效果表'!D:D,'02效果表'!E:E),0)+K524*MAX(_xlfn.XLOOKUP(J524,'02效果表'!D:D,'02效果表'!E:E),0)+M524*MAX(_xlfn.XLOOKUP(L524,'02效果表'!D:D,'02效果表'!E:E),0)+O524*MAX(_xlfn.XLOOKUP(N524,'02效果表'!D:D,'02效果表'!E:E),0)+Q524*MAX(_xlfn.XLOOKUP(P524,'02效果表'!D:D,'02效果表'!E:E),0)+S524*MAX(_xlfn.XLOOKUP(R524,'02效果表'!D:D,'02效果表'!E:E),0)+U524*MAX(_xlfn.XLOOKUP(T524,'02效果表'!D:D,'02效果表'!E:E),0)+W524*MAX(_xlfn.XLOOKUP(V524,'02效果表'!D:D,'02效果表'!E:E),0)+Y524*MAX(_xlfn.XLOOKUP(X524,'02效果表'!D:D,'02效果表'!E:E),0)+AA524*MAX(_xlfn.XLOOKUP(Z524,'02效果表'!D:D,'02效果表'!E:E),0)+AC524*MAX(_xlfn.XLOOKUP(AB524,'02效果表'!D:D,'02效果表'!E:E),0)+AE524*MAX(_xlfn.XLOOKUP(AD524,'02效果表'!D:D,'02效果表'!E:E),0)),1)</f>
        <v>0</v>
      </c>
      <c r="H524" s="6"/>
      <c r="I524" s="6"/>
      <c r="J524" s="6"/>
      <c r="K524" s="6"/>
      <c r="L524" s="6"/>
      <c r="M524" s="6"/>
      <c r="N524" s="6"/>
      <c r="O524" s="6"/>
      <c r="P524" s="6"/>
      <c r="Q524" s="6"/>
      <c r="R524" s="6"/>
      <c r="S524" s="6"/>
      <c r="T524" s="6"/>
      <c r="U524" s="6"/>
      <c r="V524" s="6"/>
      <c r="W524" s="6"/>
      <c r="X524" s="6"/>
      <c r="Y524" s="6"/>
      <c r="Z524" s="6"/>
      <c r="AA524" s="6"/>
      <c r="AB524" s="6"/>
      <c r="AC524" s="6"/>
      <c r="AD524" s="6"/>
      <c r="AE524" s="6"/>
    </row>
    <row r="525" spans="1:31" x14ac:dyDescent="0.35">
      <c r="A525" s="6">
        <v>525</v>
      </c>
      <c r="B525" s="6" t="s">
        <v>7</v>
      </c>
      <c r="C525" s="10" t="s">
        <v>1</v>
      </c>
      <c r="D525" s="9" t="s">
        <v>1675</v>
      </c>
      <c r="E525" s="7">
        <f t="shared" si="15"/>
        <v>0</v>
      </c>
      <c r="F525" s="7">
        <f>-1*ROUND(1/6*(I525*IF(_xlfn.XLOOKUP(H525,'02效果表'!D:D,'02效果表'!E:E)&lt;0, _xlfn.XLOOKUP(H525,'02效果表'!D:D,'02效果表'!E:E), 0) +
K525*IF(_xlfn.XLOOKUP(J525,'02效果表'!D:D,'02效果表'!E:E)&lt;0, _xlfn.XLOOKUP(J525,'02效果表'!D:D,'02效果表'!E:E), 0) +
M525*IF(_xlfn.XLOOKUP(L525,'02效果表'!D:D,'02效果表'!E:E)&lt;0, _xlfn.XLOOKUP(L525,'02效果表'!D:D,'02效果表'!E:E), 0) +
O525*IF(_xlfn.XLOOKUP(N525,'02效果表'!D:D,'02效果表'!E:E)&lt;0, _xlfn.XLOOKUP(N525,'02效果表'!D:D,'02效果表'!E:E), 0) +
Q525*IF(_xlfn.XLOOKUP(P525,'02效果表'!D:D,'02效果表'!E:E)&lt;0, _xlfn.XLOOKUP(P525,'02效果表'!D:D,'02效果表'!E:E), 0) +
S525*IF(_xlfn.XLOOKUP(R525,'02效果表'!D:D,'02效果表'!E:E)&lt;0, _xlfn.XLOOKUP(R525,'02效果表'!D:D,'02效果表'!E:E), 0) +
U525*IF(_xlfn.XLOOKUP(T525,'02效果表'!D:D,'02效果表'!E:E)&lt;0, _xlfn.XLOOKUP(T525,'02效果表'!D:D,'02效果表'!E:E), 0) +
W525*IF(_xlfn.XLOOKUP(V525,'02效果表'!D:D,'02效果表'!E:E)&lt;0, _xlfn.XLOOKUP(V525,'02效果表'!D:D,'02效果表'!E:E), 0) +
Y525*IF(_xlfn.XLOOKUP(X525,'02效果表'!D:D,'02效果表'!E:E)&lt;0, _xlfn.XLOOKUP(X525,'02效果表'!D:D,'02效果表'!E:E), 0) +
AA525*IF(_xlfn.XLOOKUP(Z525,'02效果表'!D:D,'02效果表'!E:E)&lt;0, _xlfn.XLOOKUP(Z525,'02效果表'!D:D,'02效果表'!E:E), 0) +
AC525*IF(_xlfn.XLOOKUP(AB525,'02效果表'!D:D,'02效果表'!E:E)&lt;0, _xlfn.XLOOKUP(AB525,'02效果表'!D:D,'02效果表'!E:E), 0) +
AE525*IF(_xlfn.XLOOKUP(AD525,'02效果表'!D:D,'02效果表'!E:E)&lt;0, _xlfn.XLOOKUP(AD525,'02效果表'!D:D,'02效果表'!E:E), 0)), 1)</f>
        <v>0</v>
      </c>
      <c r="G525" s="7">
        <f>ROUND(1/6*(I525*MAX(_xlfn.XLOOKUP(H525,'02效果表'!D:D,'02效果表'!E:E),0)+K525*MAX(_xlfn.XLOOKUP(J525,'02效果表'!D:D,'02效果表'!E:E),0)+M525*MAX(_xlfn.XLOOKUP(L525,'02效果表'!D:D,'02效果表'!E:E),0)+O525*MAX(_xlfn.XLOOKUP(N525,'02效果表'!D:D,'02效果表'!E:E),0)+Q525*MAX(_xlfn.XLOOKUP(P525,'02效果表'!D:D,'02效果表'!E:E),0)+S525*MAX(_xlfn.XLOOKUP(R525,'02效果表'!D:D,'02效果表'!E:E),0)+U525*MAX(_xlfn.XLOOKUP(T525,'02效果表'!D:D,'02效果表'!E:E),0)+W525*MAX(_xlfn.XLOOKUP(V525,'02效果表'!D:D,'02效果表'!E:E),0)+Y525*MAX(_xlfn.XLOOKUP(X525,'02效果表'!D:D,'02效果表'!E:E),0)+AA525*MAX(_xlfn.XLOOKUP(Z525,'02效果表'!D:D,'02效果表'!E:E),0)+AC525*MAX(_xlfn.XLOOKUP(AB525,'02效果表'!D:D,'02效果表'!E:E),0)+AE525*MAX(_xlfn.XLOOKUP(AD525,'02效果表'!D:D,'02效果表'!E:E),0)),1)</f>
        <v>0</v>
      </c>
      <c r="H525" s="6"/>
      <c r="I525" s="6"/>
      <c r="J525" s="6"/>
      <c r="K525" s="6"/>
      <c r="L525" s="6"/>
      <c r="M525" s="6"/>
      <c r="N525" s="6"/>
      <c r="O525" s="6"/>
      <c r="P525" s="6"/>
      <c r="Q525" s="6"/>
      <c r="R525" s="6"/>
      <c r="S525" s="6"/>
      <c r="T525" s="6"/>
      <c r="U525" s="6"/>
      <c r="V525" s="6"/>
      <c r="W525" s="6"/>
      <c r="X525" s="6"/>
      <c r="Y525" s="6"/>
      <c r="Z525" s="6"/>
      <c r="AA525" s="6"/>
      <c r="AB525" s="6"/>
      <c r="AC525" s="6"/>
      <c r="AD525" s="6"/>
      <c r="AE525" s="6"/>
    </row>
    <row r="526" spans="1:31" x14ac:dyDescent="0.35">
      <c r="A526" s="6">
        <v>526</v>
      </c>
      <c r="B526" s="6" t="s">
        <v>7</v>
      </c>
      <c r="C526" s="10" t="s">
        <v>1</v>
      </c>
      <c r="D526" s="9" t="s">
        <v>1676</v>
      </c>
      <c r="E526" s="7">
        <f t="shared" si="15"/>
        <v>0</v>
      </c>
      <c r="F526" s="7">
        <f>-1*ROUND(1/6*(I526*IF(_xlfn.XLOOKUP(H526,'02效果表'!D:D,'02效果表'!E:E)&lt;0, _xlfn.XLOOKUP(H526,'02效果表'!D:D,'02效果表'!E:E), 0) +
K526*IF(_xlfn.XLOOKUP(J526,'02效果表'!D:D,'02效果表'!E:E)&lt;0, _xlfn.XLOOKUP(J526,'02效果表'!D:D,'02效果表'!E:E), 0) +
M526*IF(_xlfn.XLOOKUP(L526,'02效果表'!D:D,'02效果表'!E:E)&lt;0, _xlfn.XLOOKUP(L526,'02效果表'!D:D,'02效果表'!E:E), 0) +
O526*IF(_xlfn.XLOOKUP(N526,'02效果表'!D:D,'02效果表'!E:E)&lt;0, _xlfn.XLOOKUP(N526,'02效果表'!D:D,'02效果表'!E:E), 0) +
Q526*IF(_xlfn.XLOOKUP(P526,'02效果表'!D:D,'02效果表'!E:E)&lt;0, _xlfn.XLOOKUP(P526,'02效果表'!D:D,'02效果表'!E:E), 0) +
S526*IF(_xlfn.XLOOKUP(R526,'02效果表'!D:D,'02效果表'!E:E)&lt;0, _xlfn.XLOOKUP(R526,'02效果表'!D:D,'02效果表'!E:E), 0) +
U526*IF(_xlfn.XLOOKUP(T526,'02效果表'!D:D,'02效果表'!E:E)&lt;0, _xlfn.XLOOKUP(T526,'02效果表'!D:D,'02效果表'!E:E), 0) +
W526*IF(_xlfn.XLOOKUP(V526,'02效果表'!D:D,'02效果表'!E:E)&lt;0, _xlfn.XLOOKUP(V526,'02效果表'!D:D,'02效果表'!E:E), 0) +
Y526*IF(_xlfn.XLOOKUP(X526,'02效果表'!D:D,'02效果表'!E:E)&lt;0, _xlfn.XLOOKUP(X526,'02效果表'!D:D,'02效果表'!E:E), 0) +
AA526*IF(_xlfn.XLOOKUP(Z526,'02效果表'!D:D,'02效果表'!E:E)&lt;0, _xlfn.XLOOKUP(Z526,'02效果表'!D:D,'02效果表'!E:E), 0) +
AC526*IF(_xlfn.XLOOKUP(AB526,'02效果表'!D:D,'02效果表'!E:E)&lt;0, _xlfn.XLOOKUP(AB526,'02效果表'!D:D,'02效果表'!E:E), 0) +
AE526*IF(_xlfn.XLOOKUP(AD526,'02效果表'!D:D,'02效果表'!E:E)&lt;0, _xlfn.XLOOKUP(AD526,'02效果表'!D:D,'02效果表'!E:E), 0)), 1)</f>
        <v>0</v>
      </c>
      <c r="G526" s="7">
        <f>ROUND(1/6*(I526*MAX(_xlfn.XLOOKUP(H526,'02效果表'!D:D,'02效果表'!E:E),0)+K526*MAX(_xlfn.XLOOKUP(J526,'02效果表'!D:D,'02效果表'!E:E),0)+M526*MAX(_xlfn.XLOOKUP(L526,'02效果表'!D:D,'02效果表'!E:E),0)+O526*MAX(_xlfn.XLOOKUP(N526,'02效果表'!D:D,'02效果表'!E:E),0)+Q526*MAX(_xlfn.XLOOKUP(P526,'02效果表'!D:D,'02效果表'!E:E),0)+S526*MAX(_xlfn.XLOOKUP(R526,'02效果表'!D:D,'02效果表'!E:E),0)+U526*MAX(_xlfn.XLOOKUP(T526,'02效果表'!D:D,'02效果表'!E:E),0)+W526*MAX(_xlfn.XLOOKUP(V526,'02效果表'!D:D,'02效果表'!E:E),0)+Y526*MAX(_xlfn.XLOOKUP(X526,'02效果表'!D:D,'02效果表'!E:E),0)+AA526*MAX(_xlfn.XLOOKUP(Z526,'02效果表'!D:D,'02效果表'!E:E),0)+AC526*MAX(_xlfn.XLOOKUP(AB526,'02效果表'!D:D,'02效果表'!E:E),0)+AE526*MAX(_xlfn.XLOOKUP(AD526,'02效果表'!D:D,'02效果表'!E:E),0)),1)</f>
        <v>0</v>
      </c>
      <c r="H526" s="6"/>
      <c r="I526" s="6"/>
      <c r="J526" s="6"/>
      <c r="K526" s="6"/>
      <c r="L526" s="6"/>
      <c r="M526" s="6"/>
      <c r="N526" s="6"/>
      <c r="O526" s="6"/>
      <c r="P526" s="6"/>
      <c r="Q526" s="6"/>
      <c r="R526" s="6"/>
      <c r="S526" s="6"/>
      <c r="T526" s="6"/>
      <c r="U526" s="6"/>
      <c r="V526" s="6"/>
      <c r="W526" s="6"/>
      <c r="X526" s="6"/>
      <c r="Y526" s="6"/>
      <c r="Z526" s="6"/>
      <c r="AA526" s="6"/>
      <c r="AB526" s="6"/>
      <c r="AC526" s="6"/>
      <c r="AD526" s="6"/>
      <c r="AE526" s="6"/>
    </row>
    <row r="527" spans="1:31" x14ac:dyDescent="0.35">
      <c r="A527" s="6">
        <v>527</v>
      </c>
      <c r="B527" s="6" t="s">
        <v>7</v>
      </c>
      <c r="C527" s="10" t="s">
        <v>1</v>
      </c>
      <c r="D527" s="9" t="s">
        <v>1677</v>
      </c>
      <c r="E527" s="7">
        <f t="shared" si="15"/>
        <v>0</v>
      </c>
      <c r="F527" s="7">
        <f>-1*ROUND(1/6*(I527*IF(_xlfn.XLOOKUP(H527,'02效果表'!D:D,'02效果表'!E:E)&lt;0, _xlfn.XLOOKUP(H527,'02效果表'!D:D,'02效果表'!E:E), 0) +
K527*IF(_xlfn.XLOOKUP(J527,'02效果表'!D:D,'02效果表'!E:E)&lt;0, _xlfn.XLOOKUP(J527,'02效果表'!D:D,'02效果表'!E:E), 0) +
M527*IF(_xlfn.XLOOKUP(L527,'02效果表'!D:D,'02效果表'!E:E)&lt;0, _xlfn.XLOOKUP(L527,'02效果表'!D:D,'02效果表'!E:E), 0) +
O527*IF(_xlfn.XLOOKUP(N527,'02效果表'!D:D,'02效果表'!E:E)&lt;0, _xlfn.XLOOKUP(N527,'02效果表'!D:D,'02效果表'!E:E), 0) +
Q527*IF(_xlfn.XLOOKUP(P527,'02效果表'!D:D,'02效果表'!E:E)&lt;0, _xlfn.XLOOKUP(P527,'02效果表'!D:D,'02效果表'!E:E), 0) +
S527*IF(_xlfn.XLOOKUP(R527,'02效果表'!D:D,'02效果表'!E:E)&lt;0, _xlfn.XLOOKUP(R527,'02效果表'!D:D,'02效果表'!E:E), 0) +
U527*IF(_xlfn.XLOOKUP(T527,'02效果表'!D:D,'02效果表'!E:E)&lt;0, _xlfn.XLOOKUP(T527,'02效果表'!D:D,'02效果表'!E:E), 0) +
W527*IF(_xlfn.XLOOKUP(V527,'02效果表'!D:D,'02效果表'!E:E)&lt;0, _xlfn.XLOOKUP(V527,'02效果表'!D:D,'02效果表'!E:E), 0) +
Y527*IF(_xlfn.XLOOKUP(X527,'02效果表'!D:D,'02效果表'!E:E)&lt;0, _xlfn.XLOOKUP(X527,'02效果表'!D:D,'02效果表'!E:E), 0) +
AA527*IF(_xlfn.XLOOKUP(Z527,'02效果表'!D:D,'02效果表'!E:E)&lt;0, _xlfn.XLOOKUP(Z527,'02效果表'!D:D,'02效果表'!E:E), 0) +
AC527*IF(_xlfn.XLOOKUP(AB527,'02效果表'!D:D,'02效果表'!E:E)&lt;0, _xlfn.XLOOKUP(AB527,'02效果表'!D:D,'02效果表'!E:E), 0) +
AE527*IF(_xlfn.XLOOKUP(AD527,'02效果表'!D:D,'02效果表'!E:E)&lt;0, _xlfn.XLOOKUP(AD527,'02效果表'!D:D,'02效果表'!E:E), 0)), 1)</f>
        <v>0</v>
      </c>
      <c r="G527" s="7">
        <f>ROUND(1/6*(I527*MAX(_xlfn.XLOOKUP(H527,'02效果表'!D:D,'02效果表'!E:E),0)+K527*MAX(_xlfn.XLOOKUP(J527,'02效果表'!D:D,'02效果表'!E:E),0)+M527*MAX(_xlfn.XLOOKUP(L527,'02效果表'!D:D,'02效果表'!E:E),0)+O527*MAX(_xlfn.XLOOKUP(N527,'02效果表'!D:D,'02效果表'!E:E),0)+Q527*MAX(_xlfn.XLOOKUP(P527,'02效果表'!D:D,'02效果表'!E:E),0)+S527*MAX(_xlfn.XLOOKUP(R527,'02效果表'!D:D,'02效果表'!E:E),0)+U527*MAX(_xlfn.XLOOKUP(T527,'02效果表'!D:D,'02效果表'!E:E),0)+W527*MAX(_xlfn.XLOOKUP(V527,'02效果表'!D:D,'02效果表'!E:E),0)+Y527*MAX(_xlfn.XLOOKUP(X527,'02效果表'!D:D,'02效果表'!E:E),0)+AA527*MAX(_xlfn.XLOOKUP(Z527,'02效果表'!D:D,'02效果表'!E:E),0)+AC527*MAX(_xlfn.XLOOKUP(AB527,'02效果表'!D:D,'02效果表'!E:E),0)+AE527*MAX(_xlfn.XLOOKUP(AD527,'02效果表'!D:D,'02效果表'!E:E),0)),1)</f>
        <v>0</v>
      </c>
      <c r="H527" s="6"/>
      <c r="I527" s="6"/>
      <c r="J527" s="6"/>
      <c r="K527" s="6"/>
      <c r="L527" s="6"/>
      <c r="M527" s="6"/>
      <c r="N527" s="6"/>
      <c r="O527" s="6"/>
      <c r="P527" s="6"/>
      <c r="Q527" s="6"/>
      <c r="R527" s="6"/>
      <c r="S527" s="6"/>
      <c r="T527" s="6"/>
      <c r="U527" s="6"/>
      <c r="V527" s="6"/>
      <c r="W527" s="6"/>
      <c r="X527" s="6"/>
      <c r="Y527" s="6"/>
      <c r="Z527" s="6"/>
      <c r="AA527" s="6"/>
      <c r="AB527" s="6"/>
      <c r="AC527" s="6"/>
      <c r="AD527" s="6"/>
      <c r="AE527" s="6"/>
    </row>
    <row r="528" spans="1:31" x14ac:dyDescent="0.35">
      <c r="A528" s="6">
        <v>528</v>
      </c>
      <c r="B528" s="6" t="s">
        <v>7</v>
      </c>
      <c r="C528" s="10" t="s">
        <v>1</v>
      </c>
      <c r="D528" s="9" t="s">
        <v>1678</v>
      </c>
      <c r="E528" s="7">
        <f t="shared" si="15"/>
        <v>0</v>
      </c>
      <c r="F528" s="7">
        <f>-1*ROUND(1/6*(I528*IF(_xlfn.XLOOKUP(H528,'02效果表'!D:D,'02效果表'!E:E)&lt;0, _xlfn.XLOOKUP(H528,'02效果表'!D:D,'02效果表'!E:E), 0) +
K528*IF(_xlfn.XLOOKUP(J528,'02效果表'!D:D,'02效果表'!E:E)&lt;0, _xlfn.XLOOKUP(J528,'02效果表'!D:D,'02效果表'!E:E), 0) +
M528*IF(_xlfn.XLOOKUP(L528,'02效果表'!D:D,'02效果表'!E:E)&lt;0, _xlfn.XLOOKUP(L528,'02效果表'!D:D,'02效果表'!E:E), 0) +
O528*IF(_xlfn.XLOOKUP(N528,'02效果表'!D:D,'02效果表'!E:E)&lt;0, _xlfn.XLOOKUP(N528,'02效果表'!D:D,'02效果表'!E:E), 0) +
Q528*IF(_xlfn.XLOOKUP(P528,'02效果表'!D:D,'02效果表'!E:E)&lt;0, _xlfn.XLOOKUP(P528,'02效果表'!D:D,'02效果表'!E:E), 0) +
S528*IF(_xlfn.XLOOKUP(R528,'02效果表'!D:D,'02效果表'!E:E)&lt;0, _xlfn.XLOOKUP(R528,'02效果表'!D:D,'02效果表'!E:E), 0) +
U528*IF(_xlfn.XLOOKUP(T528,'02效果表'!D:D,'02效果表'!E:E)&lt;0, _xlfn.XLOOKUP(T528,'02效果表'!D:D,'02效果表'!E:E), 0) +
W528*IF(_xlfn.XLOOKUP(V528,'02效果表'!D:D,'02效果表'!E:E)&lt;0, _xlfn.XLOOKUP(V528,'02效果表'!D:D,'02效果表'!E:E), 0) +
Y528*IF(_xlfn.XLOOKUP(X528,'02效果表'!D:D,'02效果表'!E:E)&lt;0, _xlfn.XLOOKUP(X528,'02效果表'!D:D,'02效果表'!E:E), 0) +
AA528*IF(_xlfn.XLOOKUP(Z528,'02效果表'!D:D,'02效果表'!E:E)&lt;0, _xlfn.XLOOKUP(Z528,'02效果表'!D:D,'02效果表'!E:E), 0) +
AC528*IF(_xlfn.XLOOKUP(AB528,'02效果表'!D:D,'02效果表'!E:E)&lt;0, _xlfn.XLOOKUP(AB528,'02效果表'!D:D,'02效果表'!E:E), 0) +
AE528*IF(_xlfn.XLOOKUP(AD528,'02效果表'!D:D,'02效果表'!E:E)&lt;0, _xlfn.XLOOKUP(AD528,'02效果表'!D:D,'02效果表'!E:E), 0)), 1)</f>
        <v>0</v>
      </c>
      <c r="G528" s="7">
        <f>ROUND(1/6*(I528*MAX(_xlfn.XLOOKUP(H528,'02效果表'!D:D,'02效果表'!E:E),0)+K528*MAX(_xlfn.XLOOKUP(J528,'02效果表'!D:D,'02效果表'!E:E),0)+M528*MAX(_xlfn.XLOOKUP(L528,'02效果表'!D:D,'02效果表'!E:E),0)+O528*MAX(_xlfn.XLOOKUP(N528,'02效果表'!D:D,'02效果表'!E:E),0)+Q528*MAX(_xlfn.XLOOKUP(P528,'02效果表'!D:D,'02效果表'!E:E),0)+S528*MAX(_xlfn.XLOOKUP(R528,'02效果表'!D:D,'02效果表'!E:E),0)+U528*MAX(_xlfn.XLOOKUP(T528,'02效果表'!D:D,'02效果表'!E:E),0)+W528*MAX(_xlfn.XLOOKUP(V528,'02效果表'!D:D,'02效果表'!E:E),0)+Y528*MAX(_xlfn.XLOOKUP(X528,'02效果表'!D:D,'02效果表'!E:E),0)+AA528*MAX(_xlfn.XLOOKUP(Z528,'02效果表'!D:D,'02效果表'!E:E),0)+AC528*MAX(_xlfn.XLOOKUP(AB528,'02效果表'!D:D,'02效果表'!E:E),0)+AE528*MAX(_xlfn.XLOOKUP(AD528,'02效果表'!D:D,'02效果表'!E:E),0)),1)</f>
        <v>0</v>
      </c>
      <c r="H528" s="6"/>
      <c r="I528" s="6"/>
      <c r="J528" s="6"/>
      <c r="K528" s="6"/>
      <c r="L528" s="6"/>
      <c r="M528" s="6"/>
      <c r="N528" s="6"/>
      <c r="O528" s="6"/>
      <c r="P528" s="6"/>
      <c r="Q528" s="6"/>
      <c r="R528" s="6"/>
      <c r="S528" s="6"/>
      <c r="T528" s="6"/>
      <c r="U528" s="6"/>
      <c r="V528" s="6"/>
      <c r="W528" s="6"/>
      <c r="X528" s="6"/>
      <c r="Y528" s="6"/>
      <c r="Z528" s="6"/>
      <c r="AA528" s="6"/>
      <c r="AB528" s="6"/>
      <c r="AC528" s="6"/>
      <c r="AD528" s="6"/>
      <c r="AE528" s="6"/>
    </row>
    <row r="529" spans="1:31" x14ac:dyDescent="0.35">
      <c r="A529" s="6">
        <v>529</v>
      </c>
      <c r="B529" s="6" t="s">
        <v>7</v>
      </c>
      <c r="C529" s="10" t="s">
        <v>1</v>
      </c>
      <c r="D529" s="9" t="s">
        <v>1679</v>
      </c>
      <c r="E529" s="7">
        <f t="shared" si="15"/>
        <v>0</v>
      </c>
      <c r="F529" s="7">
        <f>-1*ROUND(1/6*(I529*IF(_xlfn.XLOOKUP(H529,'02效果表'!D:D,'02效果表'!E:E)&lt;0, _xlfn.XLOOKUP(H529,'02效果表'!D:D,'02效果表'!E:E), 0) +
K529*IF(_xlfn.XLOOKUP(J529,'02效果表'!D:D,'02效果表'!E:E)&lt;0, _xlfn.XLOOKUP(J529,'02效果表'!D:D,'02效果表'!E:E), 0) +
M529*IF(_xlfn.XLOOKUP(L529,'02效果表'!D:D,'02效果表'!E:E)&lt;0, _xlfn.XLOOKUP(L529,'02效果表'!D:D,'02效果表'!E:E), 0) +
O529*IF(_xlfn.XLOOKUP(N529,'02效果表'!D:D,'02效果表'!E:E)&lt;0, _xlfn.XLOOKUP(N529,'02效果表'!D:D,'02效果表'!E:E), 0) +
Q529*IF(_xlfn.XLOOKUP(P529,'02效果表'!D:D,'02效果表'!E:E)&lt;0, _xlfn.XLOOKUP(P529,'02效果表'!D:D,'02效果表'!E:E), 0) +
S529*IF(_xlfn.XLOOKUP(R529,'02效果表'!D:D,'02效果表'!E:E)&lt;0, _xlfn.XLOOKUP(R529,'02效果表'!D:D,'02效果表'!E:E), 0) +
U529*IF(_xlfn.XLOOKUP(T529,'02效果表'!D:D,'02效果表'!E:E)&lt;0, _xlfn.XLOOKUP(T529,'02效果表'!D:D,'02效果表'!E:E), 0) +
W529*IF(_xlfn.XLOOKUP(V529,'02效果表'!D:D,'02效果表'!E:E)&lt;0, _xlfn.XLOOKUP(V529,'02效果表'!D:D,'02效果表'!E:E), 0) +
Y529*IF(_xlfn.XLOOKUP(X529,'02效果表'!D:D,'02效果表'!E:E)&lt;0, _xlfn.XLOOKUP(X529,'02效果表'!D:D,'02效果表'!E:E), 0) +
AA529*IF(_xlfn.XLOOKUP(Z529,'02效果表'!D:D,'02效果表'!E:E)&lt;0, _xlfn.XLOOKUP(Z529,'02效果表'!D:D,'02效果表'!E:E), 0) +
AC529*IF(_xlfn.XLOOKUP(AB529,'02效果表'!D:D,'02效果表'!E:E)&lt;0, _xlfn.XLOOKUP(AB529,'02效果表'!D:D,'02效果表'!E:E), 0) +
AE529*IF(_xlfn.XLOOKUP(AD529,'02效果表'!D:D,'02效果表'!E:E)&lt;0, _xlfn.XLOOKUP(AD529,'02效果表'!D:D,'02效果表'!E:E), 0)), 1)</f>
        <v>0</v>
      </c>
      <c r="G529" s="7">
        <f>ROUND(1/6*(I529*MAX(_xlfn.XLOOKUP(H529,'02效果表'!D:D,'02效果表'!E:E),0)+K529*MAX(_xlfn.XLOOKUP(J529,'02效果表'!D:D,'02效果表'!E:E),0)+M529*MAX(_xlfn.XLOOKUP(L529,'02效果表'!D:D,'02效果表'!E:E),0)+O529*MAX(_xlfn.XLOOKUP(N529,'02效果表'!D:D,'02效果表'!E:E),0)+Q529*MAX(_xlfn.XLOOKUP(P529,'02效果表'!D:D,'02效果表'!E:E),0)+S529*MAX(_xlfn.XLOOKUP(R529,'02效果表'!D:D,'02效果表'!E:E),0)+U529*MAX(_xlfn.XLOOKUP(T529,'02效果表'!D:D,'02效果表'!E:E),0)+W529*MAX(_xlfn.XLOOKUP(V529,'02效果表'!D:D,'02效果表'!E:E),0)+Y529*MAX(_xlfn.XLOOKUP(X529,'02效果表'!D:D,'02效果表'!E:E),0)+AA529*MAX(_xlfn.XLOOKUP(Z529,'02效果表'!D:D,'02效果表'!E:E),0)+AC529*MAX(_xlfn.XLOOKUP(AB529,'02效果表'!D:D,'02效果表'!E:E),0)+AE529*MAX(_xlfn.XLOOKUP(AD529,'02效果表'!D:D,'02效果表'!E:E),0)),1)</f>
        <v>0</v>
      </c>
      <c r="H529" s="6"/>
      <c r="I529" s="6"/>
      <c r="J529" s="6"/>
      <c r="K529" s="6"/>
      <c r="L529" s="6"/>
      <c r="M529" s="6"/>
      <c r="N529" s="6"/>
      <c r="O529" s="6"/>
      <c r="P529" s="6"/>
      <c r="Q529" s="6"/>
      <c r="R529" s="6"/>
      <c r="S529" s="6"/>
      <c r="T529" s="6"/>
      <c r="U529" s="6"/>
      <c r="V529" s="6"/>
      <c r="W529" s="6"/>
      <c r="X529" s="6"/>
      <c r="Y529" s="6"/>
      <c r="Z529" s="6"/>
      <c r="AA529" s="6"/>
      <c r="AB529" s="6"/>
      <c r="AC529" s="6"/>
      <c r="AD529" s="6"/>
      <c r="AE529" s="6"/>
    </row>
    <row r="530" spans="1:31" x14ac:dyDescent="0.35">
      <c r="A530" s="6">
        <v>530</v>
      </c>
      <c r="B530" s="6" t="s">
        <v>7</v>
      </c>
      <c r="C530" s="10" t="s">
        <v>1</v>
      </c>
      <c r="D530" s="9" t="s">
        <v>1680</v>
      </c>
      <c r="E530" s="7">
        <f t="shared" si="15"/>
        <v>0</v>
      </c>
      <c r="F530" s="7">
        <f>-1*ROUND(1/6*(I530*IF(_xlfn.XLOOKUP(H530,'02效果表'!D:D,'02效果表'!E:E)&lt;0, _xlfn.XLOOKUP(H530,'02效果表'!D:D,'02效果表'!E:E), 0) +
K530*IF(_xlfn.XLOOKUP(J530,'02效果表'!D:D,'02效果表'!E:E)&lt;0, _xlfn.XLOOKUP(J530,'02效果表'!D:D,'02效果表'!E:E), 0) +
M530*IF(_xlfn.XLOOKUP(L530,'02效果表'!D:D,'02效果表'!E:E)&lt;0, _xlfn.XLOOKUP(L530,'02效果表'!D:D,'02效果表'!E:E), 0) +
O530*IF(_xlfn.XLOOKUP(N530,'02效果表'!D:D,'02效果表'!E:E)&lt;0, _xlfn.XLOOKUP(N530,'02效果表'!D:D,'02效果表'!E:E), 0) +
Q530*IF(_xlfn.XLOOKUP(P530,'02效果表'!D:D,'02效果表'!E:E)&lt;0, _xlfn.XLOOKUP(P530,'02效果表'!D:D,'02效果表'!E:E), 0) +
S530*IF(_xlfn.XLOOKUP(R530,'02效果表'!D:D,'02效果表'!E:E)&lt;0, _xlfn.XLOOKUP(R530,'02效果表'!D:D,'02效果表'!E:E), 0) +
U530*IF(_xlfn.XLOOKUP(T530,'02效果表'!D:D,'02效果表'!E:E)&lt;0, _xlfn.XLOOKUP(T530,'02效果表'!D:D,'02效果表'!E:E), 0) +
W530*IF(_xlfn.XLOOKUP(V530,'02效果表'!D:D,'02效果表'!E:E)&lt;0, _xlfn.XLOOKUP(V530,'02效果表'!D:D,'02效果表'!E:E), 0) +
Y530*IF(_xlfn.XLOOKUP(X530,'02效果表'!D:D,'02效果表'!E:E)&lt;0, _xlfn.XLOOKUP(X530,'02效果表'!D:D,'02效果表'!E:E), 0) +
AA530*IF(_xlfn.XLOOKUP(Z530,'02效果表'!D:D,'02效果表'!E:E)&lt;0, _xlfn.XLOOKUP(Z530,'02效果表'!D:D,'02效果表'!E:E), 0) +
AC530*IF(_xlfn.XLOOKUP(AB530,'02效果表'!D:D,'02效果表'!E:E)&lt;0, _xlfn.XLOOKUP(AB530,'02效果表'!D:D,'02效果表'!E:E), 0) +
AE530*IF(_xlfn.XLOOKUP(AD530,'02效果表'!D:D,'02效果表'!E:E)&lt;0, _xlfn.XLOOKUP(AD530,'02效果表'!D:D,'02效果表'!E:E), 0)), 1)</f>
        <v>0</v>
      </c>
      <c r="G530" s="7">
        <f>ROUND(1/6*(I530*MAX(_xlfn.XLOOKUP(H530,'02效果表'!D:D,'02效果表'!E:E),0)+K530*MAX(_xlfn.XLOOKUP(J530,'02效果表'!D:D,'02效果表'!E:E),0)+M530*MAX(_xlfn.XLOOKUP(L530,'02效果表'!D:D,'02效果表'!E:E),0)+O530*MAX(_xlfn.XLOOKUP(N530,'02效果表'!D:D,'02效果表'!E:E),0)+Q530*MAX(_xlfn.XLOOKUP(P530,'02效果表'!D:D,'02效果表'!E:E),0)+S530*MAX(_xlfn.XLOOKUP(R530,'02效果表'!D:D,'02效果表'!E:E),0)+U530*MAX(_xlfn.XLOOKUP(T530,'02效果表'!D:D,'02效果表'!E:E),0)+W530*MAX(_xlfn.XLOOKUP(V530,'02效果表'!D:D,'02效果表'!E:E),0)+Y530*MAX(_xlfn.XLOOKUP(X530,'02效果表'!D:D,'02效果表'!E:E),0)+AA530*MAX(_xlfn.XLOOKUP(Z530,'02效果表'!D:D,'02效果表'!E:E),0)+AC530*MAX(_xlfn.XLOOKUP(AB530,'02效果表'!D:D,'02效果表'!E:E),0)+AE530*MAX(_xlfn.XLOOKUP(AD530,'02效果表'!D:D,'02效果表'!E:E),0)),1)</f>
        <v>0</v>
      </c>
      <c r="H530" s="6"/>
      <c r="I530" s="6"/>
      <c r="J530" s="6"/>
      <c r="K530" s="6"/>
      <c r="L530" s="6"/>
      <c r="M530" s="6"/>
      <c r="N530" s="6"/>
      <c r="O530" s="6"/>
      <c r="P530" s="6"/>
      <c r="Q530" s="6"/>
      <c r="R530" s="6"/>
      <c r="S530" s="6"/>
      <c r="T530" s="6"/>
      <c r="U530" s="6"/>
      <c r="V530" s="6"/>
      <c r="W530" s="6"/>
      <c r="X530" s="6"/>
      <c r="Y530" s="6"/>
      <c r="Z530" s="6"/>
      <c r="AA530" s="6"/>
      <c r="AB530" s="6"/>
      <c r="AC530" s="6"/>
      <c r="AD530" s="6"/>
      <c r="AE530" s="6"/>
    </row>
    <row r="531" spans="1:31" x14ac:dyDescent="0.35">
      <c r="A531" s="6">
        <v>531</v>
      </c>
      <c r="B531" s="6" t="s">
        <v>7</v>
      </c>
      <c r="C531" s="10" t="s">
        <v>1</v>
      </c>
      <c r="D531" s="9" t="s">
        <v>1681</v>
      </c>
      <c r="E531" s="7">
        <f t="shared" si="15"/>
        <v>0</v>
      </c>
      <c r="F531" s="7">
        <f>-1*ROUND(1/6*(I531*IF(_xlfn.XLOOKUP(H531,'02效果表'!D:D,'02效果表'!E:E)&lt;0, _xlfn.XLOOKUP(H531,'02效果表'!D:D,'02效果表'!E:E), 0) +
K531*IF(_xlfn.XLOOKUP(J531,'02效果表'!D:D,'02效果表'!E:E)&lt;0, _xlfn.XLOOKUP(J531,'02效果表'!D:D,'02效果表'!E:E), 0) +
M531*IF(_xlfn.XLOOKUP(L531,'02效果表'!D:D,'02效果表'!E:E)&lt;0, _xlfn.XLOOKUP(L531,'02效果表'!D:D,'02效果表'!E:E), 0) +
O531*IF(_xlfn.XLOOKUP(N531,'02效果表'!D:D,'02效果表'!E:E)&lt;0, _xlfn.XLOOKUP(N531,'02效果表'!D:D,'02效果表'!E:E), 0) +
Q531*IF(_xlfn.XLOOKUP(P531,'02效果表'!D:D,'02效果表'!E:E)&lt;0, _xlfn.XLOOKUP(P531,'02效果表'!D:D,'02效果表'!E:E), 0) +
S531*IF(_xlfn.XLOOKUP(R531,'02效果表'!D:D,'02效果表'!E:E)&lt;0, _xlfn.XLOOKUP(R531,'02效果表'!D:D,'02效果表'!E:E), 0) +
U531*IF(_xlfn.XLOOKUP(T531,'02效果表'!D:D,'02效果表'!E:E)&lt;0, _xlfn.XLOOKUP(T531,'02效果表'!D:D,'02效果表'!E:E), 0) +
W531*IF(_xlfn.XLOOKUP(V531,'02效果表'!D:D,'02效果表'!E:E)&lt;0, _xlfn.XLOOKUP(V531,'02效果表'!D:D,'02效果表'!E:E), 0) +
Y531*IF(_xlfn.XLOOKUP(X531,'02效果表'!D:D,'02效果表'!E:E)&lt;0, _xlfn.XLOOKUP(X531,'02效果表'!D:D,'02效果表'!E:E), 0) +
AA531*IF(_xlfn.XLOOKUP(Z531,'02效果表'!D:D,'02效果表'!E:E)&lt;0, _xlfn.XLOOKUP(Z531,'02效果表'!D:D,'02效果表'!E:E), 0) +
AC531*IF(_xlfn.XLOOKUP(AB531,'02效果表'!D:D,'02效果表'!E:E)&lt;0, _xlfn.XLOOKUP(AB531,'02效果表'!D:D,'02效果表'!E:E), 0) +
AE531*IF(_xlfn.XLOOKUP(AD531,'02效果表'!D:D,'02效果表'!E:E)&lt;0, _xlfn.XLOOKUP(AD531,'02效果表'!D:D,'02效果表'!E:E), 0)), 1)</f>
        <v>0</v>
      </c>
      <c r="G531" s="7">
        <f>ROUND(1/6*(I531*MAX(_xlfn.XLOOKUP(H531,'02效果表'!D:D,'02效果表'!E:E),0)+K531*MAX(_xlfn.XLOOKUP(J531,'02效果表'!D:D,'02效果表'!E:E),0)+M531*MAX(_xlfn.XLOOKUP(L531,'02效果表'!D:D,'02效果表'!E:E),0)+O531*MAX(_xlfn.XLOOKUP(N531,'02效果表'!D:D,'02效果表'!E:E),0)+Q531*MAX(_xlfn.XLOOKUP(P531,'02效果表'!D:D,'02效果表'!E:E),0)+S531*MAX(_xlfn.XLOOKUP(R531,'02效果表'!D:D,'02效果表'!E:E),0)+U531*MAX(_xlfn.XLOOKUP(T531,'02效果表'!D:D,'02效果表'!E:E),0)+W531*MAX(_xlfn.XLOOKUP(V531,'02效果表'!D:D,'02效果表'!E:E),0)+Y531*MAX(_xlfn.XLOOKUP(X531,'02效果表'!D:D,'02效果表'!E:E),0)+AA531*MAX(_xlfn.XLOOKUP(Z531,'02效果表'!D:D,'02效果表'!E:E),0)+AC531*MAX(_xlfn.XLOOKUP(AB531,'02效果表'!D:D,'02效果表'!E:E),0)+AE531*MAX(_xlfn.XLOOKUP(AD531,'02效果表'!D:D,'02效果表'!E:E),0)),1)</f>
        <v>0</v>
      </c>
      <c r="H531" s="6"/>
      <c r="I531" s="6"/>
      <c r="J531" s="6"/>
      <c r="K531" s="6"/>
      <c r="L531" s="6"/>
      <c r="M531" s="6"/>
      <c r="N531" s="6"/>
      <c r="O531" s="6"/>
      <c r="P531" s="6"/>
      <c r="Q531" s="6"/>
      <c r="R531" s="6"/>
      <c r="S531" s="6"/>
      <c r="T531" s="6"/>
      <c r="U531" s="6"/>
      <c r="V531" s="6"/>
      <c r="W531" s="6"/>
      <c r="X531" s="6"/>
      <c r="Y531" s="6"/>
      <c r="Z531" s="6"/>
      <c r="AA531" s="6"/>
      <c r="AB531" s="6"/>
      <c r="AC531" s="6"/>
      <c r="AD531" s="6"/>
      <c r="AE531" s="6"/>
    </row>
    <row r="532" spans="1:31" x14ac:dyDescent="0.35">
      <c r="A532" s="6">
        <v>532</v>
      </c>
      <c r="B532" s="6" t="s">
        <v>7</v>
      </c>
      <c r="C532" s="10" t="s">
        <v>1</v>
      </c>
      <c r="D532" s="9" t="s">
        <v>1682</v>
      </c>
      <c r="E532" s="7">
        <f t="shared" si="15"/>
        <v>0</v>
      </c>
      <c r="F532" s="7">
        <f>-1*ROUND(1/6*(I532*IF(_xlfn.XLOOKUP(H532,'02效果表'!D:D,'02效果表'!E:E)&lt;0, _xlfn.XLOOKUP(H532,'02效果表'!D:D,'02效果表'!E:E), 0) +
K532*IF(_xlfn.XLOOKUP(J532,'02效果表'!D:D,'02效果表'!E:E)&lt;0, _xlfn.XLOOKUP(J532,'02效果表'!D:D,'02效果表'!E:E), 0) +
M532*IF(_xlfn.XLOOKUP(L532,'02效果表'!D:D,'02效果表'!E:E)&lt;0, _xlfn.XLOOKUP(L532,'02效果表'!D:D,'02效果表'!E:E), 0) +
O532*IF(_xlfn.XLOOKUP(N532,'02效果表'!D:D,'02效果表'!E:E)&lt;0, _xlfn.XLOOKUP(N532,'02效果表'!D:D,'02效果表'!E:E), 0) +
Q532*IF(_xlfn.XLOOKUP(P532,'02效果表'!D:D,'02效果表'!E:E)&lt;0, _xlfn.XLOOKUP(P532,'02效果表'!D:D,'02效果表'!E:E), 0) +
S532*IF(_xlfn.XLOOKUP(R532,'02效果表'!D:D,'02效果表'!E:E)&lt;0, _xlfn.XLOOKUP(R532,'02效果表'!D:D,'02效果表'!E:E), 0) +
U532*IF(_xlfn.XLOOKUP(T532,'02效果表'!D:D,'02效果表'!E:E)&lt;0, _xlfn.XLOOKUP(T532,'02效果表'!D:D,'02效果表'!E:E), 0) +
W532*IF(_xlfn.XLOOKUP(V532,'02效果表'!D:D,'02效果表'!E:E)&lt;0, _xlfn.XLOOKUP(V532,'02效果表'!D:D,'02效果表'!E:E), 0) +
Y532*IF(_xlfn.XLOOKUP(X532,'02效果表'!D:D,'02效果表'!E:E)&lt;0, _xlfn.XLOOKUP(X532,'02效果表'!D:D,'02效果表'!E:E), 0) +
AA532*IF(_xlfn.XLOOKUP(Z532,'02效果表'!D:D,'02效果表'!E:E)&lt;0, _xlfn.XLOOKUP(Z532,'02效果表'!D:D,'02效果表'!E:E), 0) +
AC532*IF(_xlfn.XLOOKUP(AB532,'02效果表'!D:D,'02效果表'!E:E)&lt;0, _xlfn.XLOOKUP(AB532,'02效果表'!D:D,'02效果表'!E:E), 0) +
AE532*IF(_xlfn.XLOOKUP(AD532,'02效果表'!D:D,'02效果表'!E:E)&lt;0, _xlfn.XLOOKUP(AD532,'02效果表'!D:D,'02效果表'!E:E), 0)), 1)</f>
        <v>0</v>
      </c>
      <c r="G532" s="7">
        <f>ROUND(1/6*(I532*MAX(_xlfn.XLOOKUP(H532,'02效果表'!D:D,'02效果表'!E:E),0)+K532*MAX(_xlfn.XLOOKUP(J532,'02效果表'!D:D,'02效果表'!E:E),0)+M532*MAX(_xlfn.XLOOKUP(L532,'02效果表'!D:D,'02效果表'!E:E),0)+O532*MAX(_xlfn.XLOOKUP(N532,'02效果表'!D:D,'02效果表'!E:E),0)+Q532*MAX(_xlfn.XLOOKUP(P532,'02效果表'!D:D,'02效果表'!E:E),0)+S532*MAX(_xlfn.XLOOKUP(R532,'02效果表'!D:D,'02效果表'!E:E),0)+U532*MAX(_xlfn.XLOOKUP(T532,'02效果表'!D:D,'02效果表'!E:E),0)+W532*MAX(_xlfn.XLOOKUP(V532,'02效果表'!D:D,'02效果表'!E:E),0)+Y532*MAX(_xlfn.XLOOKUP(X532,'02效果表'!D:D,'02效果表'!E:E),0)+AA532*MAX(_xlfn.XLOOKUP(Z532,'02效果表'!D:D,'02效果表'!E:E),0)+AC532*MAX(_xlfn.XLOOKUP(AB532,'02效果表'!D:D,'02效果表'!E:E),0)+AE532*MAX(_xlfn.XLOOKUP(AD532,'02效果表'!D:D,'02效果表'!E:E),0)),1)</f>
        <v>0</v>
      </c>
      <c r="H532" s="6"/>
      <c r="I532" s="6"/>
      <c r="J532" s="6"/>
      <c r="K532" s="6"/>
      <c r="L532" s="6"/>
      <c r="M532" s="6"/>
      <c r="N532" s="6"/>
      <c r="O532" s="6"/>
      <c r="P532" s="6"/>
      <c r="Q532" s="6"/>
      <c r="R532" s="6"/>
      <c r="S532" s="6"/>
      <c r="T532" s="6"/>
      <c r="U532" s="6"/>
      <c r="V532" s="6"/>
      <c r="W532" s="6"/>
      <c r="X532" s="6"/>
      <c r="Y532" s="6"/>
      <c r="Z532" s="6"/>
      <c r="AA532" s="6"/>
      <c r="AB532" s="6"/>
      <c r="AC532" s="6"/>
      <c r="AD532" s="6"/>
      <c r="AE532" s="6"/>
    </row>
    <row r="533" spans="1:31" x14ac:dyDescent="0.35">
      <c r="A533" s="6">
        <v>533</v>
      </c>
      <c r="B533" s="6" t="s">
        <v>7</v>
      </c>
      <c r="C533" s="10" t="s">
        <v>1</v>
      </c>
      <c r="D533" s="9" t="s">
        <v>1683</v>
      </c>
      <c r="E533" s="7">
        <f t="shared" si="15"/>
        <v>0</v>
      </c>
      <c r="F533" s="7">
        <f>-1*ROUND(1/6*(I533*IF(_xlfn.XLOOKUP(H533,'02效果表'!D:D,'02效果表'!E:E)&lt;0, _xlfn.XLOOKUP(H533,'02效果表'!D:D,'02效果表'!E:E), 0) +
K533*IF(_xlfn.XLOOKUP(J533,'02效果表'!D:D,'02效果表'!E:E)&lt;0, _xlfn.XLOOKUP(J533,'02效果表'!D:D,'02效果表'!E:E), 0) +
M533*IF(_xlfn.XLOOKUP(L533,'02效果表'!D:D,'02效果表'!E:E)&lt;0, _xlfn.XLOOKUP(L533,'02效果表'!D:D,'02效果表'!E:E), 0) +
O533*IF(_xlfn.XLOOKUP(N533,'02效果表'!D:D,'02效果表'!E:E)&lt;0, _xlfn.XLOOKUP(N533,'02效果表'!D:D,'02效果表'!E:E), 0) +
Q533*IF(_xlfn.XLOOKUP(P533,'02效果表'!D:D,'02效果表'!E:E)&lt;0, _xlfn.XLOOKUP(P533,'02效果表'!D:D,'02效果表'!E:E), 0) +
S533*IF(_xlfn.XLOOKUP(R533,'02效果表'!D:D,'02效果表'!E:E)&lt;0, _xlfn.XLOOKUP(R533,'02效果表'!D:D,'02效果表'!E:E), 0) +
U533*IF(_xlfn.XLOOKUP(T533,'02效果表'!D:D,'02效果表'!E:E)&lt;0, _xlfn.XLOOKUP(T533,'02效果表'!D:D,'02效果表'!E:E), 0) +
W533*IF(_xlfn.XLOOKUP(V533,'02效果表'!D:D,'02效果表'!E:E)&lt;0, _xlfn.XLOOKUP(V533,'02效果表'!D:D,'02效果表'!E:E), 0) +
Y533*IF(_xlfn.XLOOKUP(X533,'02效果表'!D:D,'02效果表'!E:E)&lt;0, _xlfn.XLOOKUP(X533,'02效果表'!D:D,'02效果表'!E:E), 0) +
AA533*IF(_xlfn.XLOOKUP(Z533,'02效果表'!D:D,'02效果表'!E:E)&lt;0, _xlfn.XLOOKUP(Z533,'02效果表'!D:D,'02效果表'!E:E), 0) +
AC533*IF(_xlfn.XLOOKUP(AB533,'02效果表'!D:D,'02效果表'!E:E)&lt;0, _xlfn.XLOOKUP(AB533,'02效果表'!D:D,'02效果表'!E:E), 0) +
AE533*IF(_xlfn.XLOOKUP(AD533,'02效果表'!D:D,'02效果表'!E:E)&lt;0, _xlfn.XLOOKUP(AD533,'02效果表'!D:D,'02效果表'!E:E), 0)), 1)</f>
        <v>0</v>
      </c>
      <c r="G533" s="7">
        <f>ROUND(1/6*(I533*MAX(_xlfn.XLOOKUP(H533,'02效果表'!D:D,'02效果表'!E:E),0)+K533*MAX(_xlfn.XLOOKUP(J533,'02效果表'!D:D,'02效果表'!E:E),0)+M533*MAX(_xlfn.XLOOKUP(L533,'02效果表'!D:D,'02效果表'!E:E),0)+O533*MAX(_xlfn.XLOOKUP(N533,'02效果表'!D:D,'02效果表'!E:E),0)+Q533*MAX(_xlfn.XLOOKUP(P533,'02效果表'!D:D,'02效果表'!E:E),0)+S533*MAX(_xlfn.XLOOKUP(R533,'02效果表'!D:D,'02效果表'!E:E),0)+U533*MAX(_xlfn.XLOOKUP(T533,'02效果表'!D:D,'02效果表'!E:E),0)+W533*MAX(_xlfn.XLOOKUP(V533,'02效果表'!D:D,'02效果表'!E:E),0)+Y533*MAX(_xlfn.XLOOKUP(X533,'02效果表'!D:D,'02效果表'!E:E),0)+AA533*MAX(_xlfn.XLOOKUP(Z533,'02效果表'!D:D,'02效果表'!E:E),0)+AC533*MAX(_xlfn.XLOOKUP(AB533,'02效果表'!D:D,'02效果表'!E:E),0)+AE533*MAX(_xlfn.XLOOKUP(AD533,'02效果表'!D:D,'02效果表'!E:E),0)),1)</f>
        <v>0</v>
      </c>
      <c r="H533" s="6"/>
      <c r="I533" s="6"/>
      <c r="J533" s="6"/>
      <c r="K533" s="6"/>
      <c r="L533" s="6"/>
      <c r="M533" s="6"/>
      <c r="N533" s="6"/>
      <c r="O533" s="6"/>
      <c r="P533" s="6"/>
      <c r="Q533" s="6"/>
      <c r="R533" s="6"/>
      <c r="S533" s="6"/>
      <c r="T533" s="6"/>
      <c r="U533" s="6"/>
      <c r="V533" s="6"/>
      <c r="W533" s="6"/>
      <c r="X533" s="6"/>
      <c r="Y533" s="6"/>
      <c r="Z533" s="6"/>
      <c r="AA533" s="6"/>
      <c r="AB533" s="6"/>
      <c r="AC533" s="6"/>
      <c r="AD533" s="6"/>
      <c r="AE533" s="6"/>
    </row>
    <row r="534" spans="1:31" x14ac:dyDescent="0.35">
      <c r="A534" s="6">
        <v>534</v>
      </c>
      <c r="B534" s="6" t="s">
        <v>7</v>
      </c>
      <c r="C534" s="10" t="s">
        <v>1</v>
      </c>
      <c r="D534" s="9"/>
      <c r="E534" s="7">
        <f t="shared" si="15"/>
        <v>0</v>
      </c>
      <c r="F534" s="7">
        <f>-1*ROUND(1/6*(I534*IF(_xlfn.XLOOKUP(H534,'02效果表'!D:D,'02效果表'!E:E)&lt;0, _xlfn.XLOOKUP(H534,'02效果表'!D:D,'02效果表'!E:E), 0) +
K534*IF(_xlfn.XLOOKUP(J534,'02效果表'!D:D,'02效果表'!E:E)&lt;0, _xlfn.XLOOKUP(J534,'02效果表'!D:D,'02效果表'!E:E), 0) +
M534*IF(_xlfn.XLOOKUP(L534,'02效果表'!D:D,'02效果表'!E:E)&lt;0, _xlfn.XLOOKUP(L534,'02效果表'!D:D,'02效果表'!E:E), 0) +
O534*IF(_xlfn.XLOOKUP(N534,'02效果表'!D:D,'02效果表'!E:E)&lt;0, _xlfn.XLOOKUP(N534,'02效果表'!D:D,'02效果表'!E:E), 0) +
Q534*IF(_xlfn.XLOOKUP(P534,'02效果表'!D:D,'02效果表'!E:E)&lt;0, _xlfn.XLOOKUP(P534,'02效果表'!D:D,'02效果表'!E:E), 0) +
S534*IF(_xlfn.XLOOKUP(R534,'02效果表'!D:D,'02效果表'!E:E)&lt;0, _xlfn.XLOOKUP(R534,'02效果表'!D:D,'02效果表'!E:E), 0) +
U534*IF(_xlfn.XLOOKUP(T534,'02效果表'!D:D,'02效果表'!E:E)&lt;0, _xlfn.XLOOKUP(T534,'02效果表'!D:D,'02效果表'!E:E), 0) +
W534*IF(_xlfn.XLOOKUP(V534,'02效果表'!D:D,'02效果表'!E:E)&lt;0, _xlfn.XLOOKUP(V534,'02效果表'!D:D,'02效果表'!E:E), 0) +
Y534*IF(_xlfn.XLOOKUP(X534,'02效果表'!D:D,'02效果表'!E:E)&lt;0, _xlfn.XLOOKUP(X534,'02效果表'!D:D,'02效果表'!E:E), 0) +
AA534*IF(_xlfn.XLOOKUP(Z534,'02效果表'!D:D,'02效果表'!E:E)&lt;0, _xlfn.XLOOKUP(Z534,'02效果表'!D:D,'02效果表'!E:E), 0) +
AC534*IF(_xlfn.XLOOKUP(AB534,'02效果表'!D:D,'02效果表'!E:E)&lt;0, _xlfn.XLOOKUP(AB534,'02效果表'!D:D,'02效果表'!E:E), 0) +
AE534*IF(_xlfn.XLOOKUP(AD534,'02效果表'!D:D,'02效果表'!E:E)&lt;0, _xlfn.XLOOKUP(AD534,'02效果表'!D:D,'02效果表'!E:E), 0)), 1)</f>
        <v>0</v>
      </c>
      <c r="G534" s="7">
        <f>ROUND(1/6*(I534*MAX(_xlfn.XLOOKUP(H534,'02效果表'!D:D,'02效果表'!E:E),0)+K534*MAX(_xlfn.XLOOKUP(J534,'02效果表'!D:D,'02效果表'!E:E),0)+M534*MAX(_xlfn.XLOOKUP(L534,'02效果表'!D:D,'02效果表'!E:E),0)+O534*MAX(_xlfn.XLOOKUP(N534,'02效果表'!D:D,'02效果表'!E:E),0)+Q534*MAX(_xlfn.XLOOKUP(P534,'02效果表'!D:D,'02效果表'!E:E),0)+S534*MAX(_xlfn.XLOOKUP(R534,'02效果表'!D:D,'02效果表'!E:E),0)+U534*MAX(_xlfn.XLOOKUP(T534,'02效果表'!D:D,'02效果表'!E:E),0)+W534*MAX(_xlfn.XLOOKUP(V534,'02效果表'!D:D,'02效果表'!E:E),0)+Y534*MAX(_xlfn.XLOOKUP(X534,'02效果表'!D:D,'02效果表'!E:E),0)+AA534*MAX(_xlfn.XLOOKUP(Z534,'02效果表'!D:D,'02效果表'!E:E),0)+AC534*MAX(_xlfn.XLOOKUP(AB534,'02效果表'!D:D,'02效果表'!E:E),0)+AE534*MAX(_xlfn.XLOOKUP(AD534,'02效果表'!D:D,'02效果表'!E:E),0)),1)</f>
        <v>0</v>
      </c>
      <c r="H534" s="6"/>
      <c r="I534" s="6"/>
      <c r="J534" s="6"/>
      <c r="K534" s="6"/>
      <c r="L534" s="6"/>
      <c r="M534" s="6"/>
      <c r="N534" s="6"/>
      <c r="O534" s="6"/>
      <c r="P534" s="6"/>
      <c r="Q534" s="6"/>
      <c r="R534" s="6"/>
      <c r="S534" s="6"/>
      <c r="T534" s="6"/>
      <c r="U534" s="6"/>
      <c r="V534" s="6"/>
      <c r="W534" s="6"/>
      <c r="X534" s="6"/>
      <c r="Y534" s="6"/>
      <c r="Z534" s="6"/>
      <c r="AA534" s="6"/>
      <c r="AB534" s="6"/>
      <c r="AC534" s="6"/>
      <c r="AD534" s="6"/>
      <c r="AE534" s="6"/>
    </row>
    <row r="535" spans="1:31" x14ac:dyDescent="0.35">
      <c r="A535" s="6">
        <v>535</v>
      </c>
      <c r="B535" s="6" t="s">
        <v>7</v>
      </c>
      <c r="C535" s="10" t="s">
        <v>1</v>
      </c>
      <c r="D535" s="9"/>
      <c r="E535" s="7">
        <f t="shared" si="15"/>
        <v>0</v>
      </c>
      <c r="F535" s="7">
        <f>-1*ROUND(1/6*(I535*IF(_xlfn.XLOOKUP(H535,'02效果表'!D:D,'02效果表'!E:E)&lt;0, _xlfn.XLOOKUP(H535,'02效果表'!D:D,'02效果表'!E:E), 0) +
K535*IF(_xlfn.XLOOKUP(J535,'02效果表'!D:D,'02效果表'!E:E)&lt;0, _xlfn.XLOOKUP(J535,'02效果表'!D:D,'02效果表'!E:E), 0) +
M535*IF(_xlfn.XLOOKUP(L535,'02效果表'!D:D,'02效果表'!E:E)&lt;0, _xlfn.XLOOKUP(L535,'02效果表'!D:D,'02效果表'!E:E), 0) +
O535*IF(_xlfn.XLOOKUP(N535,'02效果表'!D:D,'02效果表'!E:E)&lt;0, _xlfn.XLOOKUP(N535,'02效果表'!D:D,'02效果表'!E:E), 0) +
Q535*IF(_xlfn.XLOOKUP(P535,'02效果表'!D:D,'02效果表'!E:E)&lt;0, _xlfn.XLOOKUP(P535,'02效果表'!D:D,'02效果表'!E:E), 0) +
S535*IF(_xlfn.XLOOKUP(R535,'02效果表'!D:D,'02效果表'!E:E)&lt;0, _xlfn.XLOOKUP(R535,'02效果表'!D:D,'02效果表'!E:E), 0) +
U535*IF(_xlfn.XLOOKUP(T535,'02效果表'!D:D,'02效果表'!E:E)&lt;0, _xlfn.XLOOKUP(T535,'02效果表'!D:D,'02效果表'!E:E), 0) +
W535*IF(_xlfn.XLOOKUP(V535,'02效果表'!D:D,'02效果表'!E:E)&lt;0, _xlfn.XLOOKUP(V535,'02效果表'!D:D,'02效果表'!E:E), 0) +
Y535*IF(_xlfn.XLOOKUP(X535,'02效果表'!D:D,'02效果表'!E:E)&lt;0, _xlfn.XLOOKUP(X535,'02效果表'!D:D,'02效果表'!E:E), 0) +
AA535*IF(_xlfn.XLOOKUP(Z535,'02效果表'!D:D,'02效果表'!E:E)&lt;0, _xlfn.XLOOKUP(Z535,'02效果表'!D:D,'02效果表'!E:E), 0) +
AC535*IF(_xlfn.XLOOKUP(AB535,'02效果表'!D:D,'02效果表'!E:E)&lt;0, _xlfn.XLOOKUP(AB535,'02效果表'!D:D,'02效果表'!E:E), 0) +
AE535*IF(_xlfn.XLOOKUP(AD535,'02效果表'!D:D,'02效果表'!E:E)&lt;0, _xlfn.XLOOKUP(AD535,'02效果表'!D:D,'02效果表'!E:E), 0)), 1)</f>
        <v>0</v>
      </c>
      <c r="G535" s="7">
        <f>ROUND(1/6*(I535*MAX(_xlfn.XLOOKUP(H535,'02效果表'!D:D,'02效果表'!E:E),0)+K535*MAX(_xlfn.XLOOKUP(J535,'02效果表'!D:D,'02效果表'!E:E),0)+M535*MAX(_xlfn.XLOOKUP(L535,'02效果表'!D:D,'02效果表'!E:E),0)+O535*MAX(_xlfn.XLOOKUP(N535,'02效果表'!D:D,'02效果表'!E:E),0)+Q535*MAX(_xlfn.XLOOKUP(P535,'02效果表'!D:D,'02效果表'!E:E),0)+S535*MAX(_xlfn.XLOOKUP(R535,'02效果表'!D:D,'02效果表'!E:E),0)+U535*MAX(_xlfn.XLOOKUP(T535,'02效果表'!D:D,'02效果表'!E:E),0)+W535*MAX(_xlfn.XLOOKUP(V535,'02效果表'!D:D,'02效果表'!E:E),0)+Y535*MAX(_xlfn.XLOOKUP(X535,'02效果表'!D:D,'02效果表'!E:E),0)+AA535*MAX(_xlfn.XLOOKUP(Z535,'02效果表'!D:D,'02效果表'!E:E),0)+AC535*MAX(_xlfn.XLOOKUP(AB535,'02效果表'!D:D,'02效果表'!E:E),0)+AE535*MAX(_xlfn.XLOOKUP(AD535,'02效果表'!D:D,'02效果表'!E:E),0)),1)</f>
        <v>0</v>
      </c>
      <c r="H535" s="6"/>
      <c r="I535" s="6"/>
      <c r="J535" s="6"/>
      <c r="K535" s="6"/>
      <c r="L535" s="6"/>
      <c r="M535" s="6"/>
      <c r="N535" s="6"/>
      <c r="O535" s="6"/>
      <c r="P535" s="6"/>
      <c r="Q535" s="6"/>
      <c r="R535" s="6"/>
      <c r="S535" s="6"/>
      <c r="T535" s="6"/>
      <c r="U535" s="6"/>
      <c r="V535" s="6"/>
      <c r="W535" s="6"/>
      <c r="X535" s="6"/>
      <c r="Y535" s="6"/>
      <c r="Z535" s="6"/>
      <c r="AA535" s="6"/>
      <c r="AB535" s="6"/>
      <c r="AC535" s="6"/>
      <c r="AD535" s="6"/>
      <c r="AE535" s="6"/>
    </row>
    <row r="536" spans="1:31" x14ac:dyDescent="0.35">
      <c r="A536" s="6">
        <v>536</v>
      </c>
      <c r="B536" s="6" t="s">
        <v>7</v>
      </c>
      <c r="C536" s="10" t="s">
        <v>1</v>
      </c>
      <c r="D536" s="9"/>
      <c r="E536" s="7">
        <f t="shared" si="15"/>
        <v>0</v>
      </c>
      <c r="F536" s="7">
        <f>-1*ROUND(1/6*(I536*IF(_xlfn.XLOOKUP(H536,'02效果表'!D:D,'02效果表'!E:E)&lt;0, _xlfn.XLOOKUP(H536,'02效果表'!D:D,'02效果表'!E:E), 0) +
K536*IF(_xlfn.XLOOKUP(J536,'02效果表'!D:D,'02效果表'!E:E)&lt;0, _xlfn.XLOOKUP(J536,'02效果表'!D:D,'02效果表'!E:E), 0) +
M536*IF(_xlfn.XLOOKUP(L536,'02效果表'!D:D,'02效果表'!E:E)&lt;0, _xlfn.XLOOKUP(L536,'02效果表'!D:D,'02效果表'!E:E), 0) +
O536*IF(_xlfn.XLOOKUP(N536,'02效果表'!D:D,'02效果表'!E:E)&lt;0, _xlfn.XLOOKUP(N536,'02效果表'!D:D,'02效果表'!E:E), 0) +
Q536*IF(_xlfn.XLOOKUP(P536,'02效果表'!D:D,'02效果表'!E:E)&lt;0, _xlfn.XLOOKUP(P536,'02效果表'!D:D,'02效果表'!E:E), 0) +
S536*IF(_xlfn.XLOOKUP(R536,'02效果表'!D:D,'02效果表'!E:E)&lt;0, _xlfn.XLOOKUP(R536,'02效果表'!D:D,'02效果表'!E:E), 0) +
U536*IF(_xlfn.XLOOKUP(T536,'02效果表'!D:D,'02效果表'!E:E)&lt;0, _xlfn.XLOOKUP(T536,'02效果表'!D:D,'02效果表'!E:E), 0) +
W536*IF(_xlfn.XLOOKUP(V536,'02效果表'!D:D,'02效果表'!E:E)&lt;0, _xlfn.XLOOKUP(V536,'02效果表'!D:D,'02效果表'!E:E), 0) +
Y536*IF(_xlfn.XLOOKUP(X536,'02效果表'!D:D,'02效果表'!E:E)&lt;0, _xlfn.XLOOKUP(X536,'02效果表'!D:D,'02效果表'!E:E), 0) +
AA536*IF(_xlfn.XLOOKUP(Z536,'02效果表'!D:D,'02效果表'!E:E)&lt;0, _xlfn.XLOOKUP(Z536,'02效果表'!D:D,'02效果表'!E:E), 0) +
AC536*IF(_xlfn.XLOOKUP(AB536,'02效果表'!D:D,'02效果表'!E:E)&lt;0, _xlfn.XLOOKUP(AB536,'02效果表'!D:D,'02效果表'!E:E), 0) +
AE536*IF(_xlfn.XLOOKUP(AD536,'02效果表'!D:D,'02效果表'!E:E)&lt;0, _xlfn.XLOOKUP(AD536,'02效果表'!D:D,'02效果表'!E:E), 0)), 1)</f>
        <v>0</v>
      </c>
      <c r="G536" s="7">
        <f>ROUND(1/6*(I536*MAX(_xlfn.XLOOKUP(H536,'02效果表'!D:D,'02效果表'!E:E),0)+K536*MAX(_xlfn.XLOOKUP(J536,'02效果表'!D:D,'02效果表'!E:E),0)+M536*MAX(_xlfn.XLOOKUP(L536,'02效果表'!D:D,'02效果表'!E:E),0)+O536*MAX(_xlfn.XLOOKUP(N536,'02效果表'!D:D,'02效果表'!E:E),0)+Q536*MAX(_xlfn.XLOOKUP(P536,'02效果表'!D:D,'02效果表'!E:E),0)+S536*MAX(_xlfn.XLOOKUP(R536,'02效果表'!D:D,'02效果表'!E:E),0)+U536*MAX(_xlfn.XLOOKUP(T536,'02效果表'!D:D,'02效果表'!E:E),0)+W536*MAX(_xlfn.XLOOKUP(V536,'02效果表'!D:D,'02效果表'!E:E),0)+Y536*MAX(_xlfn.XLOOKUP(X536,'02效果表'!D:D,'02效果表'!E:E),0)+AA536*MAX(_xlfn.XLOOKUP(Z536,'02效果表'!D:D,'02效果表'!E:E),0)+AC536*MAX(_xlfn.XLOOKUP(AB536,'02效果表'!D:D,'02效果表'!E:E),0)+AE536*MAX(_xlfn.XLOOKUP(AD536,'02效果表'!D:D,'02效果表'!E:E),0)),1)</f>
        <v>0</v>
      </c>
      <c r="H536" s="6"/>
      <c r="I536" s="6"/>
      <c r="J536" s="6"/>
      <c r="K536" s="6"/>
      <c r="L536" s="6"/>
      <c r="M536" s="6"/>
      <c r="N536" s="6"/>
      <c r="O536" s="6"/>
      <c r="P536" s="6"/>
      <c r="Q536" s="6"/>
      <c r="R536" s="6"/>
      <c r="S536" s="6"/>
      <c r="T536" s="6"/>
      <c r="U536" s="6"/>
      <c r="V536" s="6"/>
      <c r="W536" s="6"/>
      <c r="X536" s="6"/>
      <c r="Y536" s="6"/>
      <c r="Z536" s="6"/>
      <c r="AA536" s="6"/>
      <c r="AB536" s="6"/>
      <c r="AC536" s="6"/>
      <c r="AD536" s="6"/>
      <c r="AE536" s="6"/>
    </row>
    <row r="537" spans="1:31" x14ac:dyDescent="0.35">
      <c r="A537" s="6">
        <v>537</v>
      </c>
      <c r="B537" s="6" t="s">
        <v>7</v>
      </c>
      <c r="C537" s="10" t="s">
        <v>1</v>
      </c>
      <c r="D537" s="9"/>
      <c r="E537" s="7">
        <f t="shared" si="15"/>
        <v>0</v>
      </c>
      <c r="F537" s="7">
        <f>-1*ROUND(1/6*(I537*IF(_xlfn.XLOOKUP(H537,'02效果表'!D:D,'02效果表'!E:E)&lt;0, _xlfn.XLOOKUP(H537,'02效果表'!D:D,'02效果表'!E:E), 0) +
K537*IF(_xlfn.XLOOKUP(J537,'02效果表'!D:D,'02效果表'!E:E)&lt;0, _xlfn.XLOOKUP(J537,'02效果表'!D:D,'02效果表'!E:E), 0) +
M537*IF(_xlfn.XLOOKUP(L537,'02效果表'!D:D,'02效果表'!E:E)&lt;0, _xlfn.XLOOKUP(L537,'02效果表'!D:D,'02效果表'!E:E), 0) +
O537*IF(_xlfn.XLOOKUP(N537,'02效果表'!D:D,'02效果表'!E:E)&lt;0, _xlfn.XLOOKUP(N537,'02效果表'!D:D,'02效果表'!E:E), 0) +
Q537*IF(_xlfn.XLOOKUP(P537,'02效果表'!D:D,'02效果表'!E:E)&lt;0, _xlfn.XLOOKUP(P537,'02效果表'!D:D,'02效果表'!E:E), 0) +
S537*IF(_xlfn.XLOOKUP(R537,'02效果表'!D:D,'02效果表'!E:E)&lt;0, _xlfn.XLOOKUP(R537,'02效果表'!D:D,'02效果表'!E:E), 0) +
U537*IF(_xlfn.XLOOKUP(T537,'02效果表'!D:D,'02效果表'!E:E)&lt;0, _xlfn.XLOOKUP(T537,'02效果表'!D:D,'02效果表'!E:E), 0) +
W537*IF(_xlfn.XLOOKUP(V537,'02效果表'!D:D,'02效果表'!E:E)&lt;0, _xlfn.XLOOKUP(V537,'02效果表'!D:D,'02效果表'!E:E), 0) +
Y537*IF(_xlfn.XLOOKUP(X537,'02效果表'!D:D,'02效果表'!E:E)&lt;0, _xlfn.XLOOKUP(X537,'02效果表'!D:D,'02效果表'!E:E), 0) +
AA537*IF(_xlfn.XLOOKUP(Z537,'02效果表'!D:D,'02效果表'!E:E)&lt;0, _xlfn.XLOOKUP(Z537,'02效果表'!D:D,'02效果表'!E:E), 0) +
AC537*IF(_xlfn.XLOOKUP(AB537,'02效果表'!D:D,'02效果表'!E:E)&lt;0, _xlfn.XLOOKUP(AB537,'02效果表'!D:D,'02效果表'!E:E), 0) +
AE537*IF(_xlfn.XLOOKUP(AD537,'02效果表'!D:D,'02效果表'!E:E)&lt;0, _xlfn.XLOOKUP(AD537,'02效果表'!D:D,'02效果表'!E:E), 0)), 1)</f>
        <v>0</v>
      </c>
      <c r="G537" s="7">
        <f>ROUND(1/6*(I537*MAX(_xlfn.XLOOKUP(H537,'02效果表'!D:D,'02效果表'!E:E),0)+K537*MAX(_xlfn.XLOOKUP(J537,'02效果表'!D:D,'02效果表'!E:E),0)+M537*MAX(_xlfn.XLOOKUP(L537,'02效果表'!D:D,'02效果表'!E:E),0)+O537*MAX(_xlfn.XLOOKUP(N537,'02效果表'!D:D,'02效果表'!E:E),0)+Q537*MAX(_xlfn.XLOOKUP(P537,'02效果表'!D:D,'02效果表'!E:E),0)+S537*MAX(_xlfn.XLOOKUP(R537,'02效果表'!D:D,'02效果表'!E:E),0)+U537*MAX(_xlfn.XLOOKUP(T537,'02效果表'!D:D,'02效果表'!E:E),0)+W537*MAX(_xlfn.XLOOKUP(V537,'02效果表'!D:D,'02效果表'!E:E),0)+Y537*MAX(_xlfn.XLOOKUP(X537,'02效果表'!D:D,'02效果表'!E:E),0)+AA537*MAX(_xlfn.XLOOKUP(Z537,'02效果表'!D:D,'02效果表'!E:E),0)+AC537*MAX(_xlfn.XLOOKUP(AB537,'02效果表'!D:D,'02效果表'!E:E),0)+AE537*MAX(_xlfn.XLOOKUP(AD537,'02效果表'!D:D,'02效果表'!E:E),0)),1)</f>
        <v>0</v>
      </c>
      <c r="H537" s="6"/>
      <c r="I537" s="6"/>
      <c r="J537" s="6"/>
      <c r="K537" s="6"/>
      <c r="L537" s="6"/>
      <c r="M537" s="6"/>
      <c r="N537" s="6"/>
      <c r="O537" s="6"/>
      <c r="P537" s="6"/>
      <c r="Q537" s="6"/>
      <c r="R537" s="6"/>
      <c r="S537" s="6"/>
      <c r="T537" s="6"/>
      <c r="U537" s="6"/>
      <c r="V537" s="6"/>
      <c r="W537" s="6"/>
      <c r="X537" s="6"/>
      <c r="Y537" s="6"/>
      <c r="Z537" s="6"/>
      <c r="AA537" s="6"/>
      <c r="AB537" s="6"/>
      <c r="AC537" s="6"/>
      <c r="AD537" s="6"/>
      <c r="AE537" s="6"/>
    </row>
    <row r="538" spans="1:31" x14ac:dyDescent="0.35">
      <c r="A538" s="6">
        <v>538</v>
      </c>
      <c r="B538" s="6" t="s">
        <v>7</v>
      </c>
      <c r="C538" s="10" t="s">
        <v>2</v>
      </c>
      <c r="D538" s="9" t="s">
        <v>1684</v>
      </c>
      <c r="E538" s="7">
        <f t="shared" si="15"/>
        <v>0</v>
      </c>
      <c r="F538" s="7">
        <f>-1*ROUND(1/6*(I538*IF(_xlfn.XLOOKUP(H538,'02效果表'!D:D,'02效果表'!E:E)&lt;0, _xlfn.XLOOKUP(H538,'02效果表'!D:D,'02效果表'!E:E), 0) +
K538*IF(_xlfn.XLOOKUP(J538,'02效果表'!D:D,'02效果表'!E:E)&lt;0, _xlfn.XLOOKUP(J538,'02效果表'!D:D,'02效果表'!E:E), 0) +
M538*IF(_xlfn.XLOOKUP(L538,'02效果表'!D:D,'02效果表'!E:E)&lt;0, _xlfn.XLOOKUP(L538,'02效果表'!D:D,'02效果表'!E:E), 0) +
O538*IF(_xlfn.XLOOKUP(N538,'02效果表'!D:D,'02效果表'!E:E)&lt;0, _xlfn.XLOOKUP(N538,'02效果表'!D:D,'02效果表'!E:E), 0) +
Q538*IF(_xlfn.XLOOKUP(P538,'02效果表'!D:D,'02效果表'!E:E)&lt;0, _xlfn.XLOOKUP(P538,'02效果表'!D:D,'02效果表'!E:E), 0) +
S538*IF(_xlfn.XLOOKUP(R538,'02效果表'!D:D,'02效果表'!E:E)&lt;0, _xlfn.XLOOKUP(R538,'02效果表'!D:D,'02效果表'!E:E), 0) +
U538*IF(_xlfn.XLOOKUP(T538,'02效果表'!D:D,'02效果表'!E:E)&lt;0, _xlfn.XLOOKUP(T538,'02效果表'!D:D,'02效果表'!E:E), 0) +
W538*IF(_xlfn.XLOOKUP(V538,'02效果表'!D:D,'02效果表'!E:E)&lt;0, _xlfn.XLOOKUP(V538,'02效果表'!D:D,'02效果表'!E:E), 0) +
Y538*IF(_xlfn.XLOOKUP(X538,'02效果表'!D:D,'02效果表'!E:E)&lt;0, _xlfn.XLOOKUP(X538,'02效果表'!D:D,'02效果表'!E:E), 0) +
AA538*IF(_xlfn.XLOOKUP(Z538,'02效果表'!D:D,'02效果表'!E:E)&lt;0, _xlfn.XLOOKUP(Z538,'02效果表'!D:D,'02效果表'!E:E), 0) +
AC538*IF(_xlfn.XLOOKUP(AB538,'02效果表'!D:D,'02效果表'!E:E)&lt;0, _xlfn.XLOOKUP(AB538,'02效果表'!D:D,'02效果表'!E:E), 0) +
AE538*IF(_xlfn.XLOOKUP(AD538,'02效果表'!D:D,'02效果表'!E:E)&lt;0, _xlfn.XLOOKUP(AD538,'02效果表'!D:D,'02效果表'!E:E), 0)), 1)</f>
        <v>0</v>
      </c>
      <c r="G538" s="7">
        <f>ROUND(1/6*(I538*MAX(_xlfn.XLOOKUP(H538,'02效果表'!D:D,'02效果表'!E:E),0)+K538*MAX(_xlfn.XLOOKUP(J538,'02效果表'!D:D,'02效果表'!E:E),0)+M538*MAX(_xlfn.XLOOKUP(L538,'02效果表'!D:D,'02效果表'!E:E),0)+O538*MAX(_xlfn.XLOOKUP(N538,'02效果表'!D:D,'02效果表'!E:E),0)+Q538*MAX(_xlfn.XLOOKUP(P538,'02效果表'!D:D,'02效果表'!E:E),0)+S538*MAX(_xlfn.XLOOKUP(R538,'02效果表'!D:D,'02效果表'!E:E),0)+U538*MAX(_xlfn.XLOOKUP(T538,'02效果表'!D:D,'02效果表'!E:E),0)+W538*MAX(_xlfn.XLOOKUP(V538,'02效果表'!D:D,'02效果表'!E:E),0)+Y538*MAX(_xlfn.XLOOKUP(X538,'02效果表'!D:D,'02效果表'!E:E),0)+AA538*MAX(_xlfn.XLOOKUP(Z538,'02效果表'!D:D,'02效果表'!E:E),0)+AC538*MAX(_xlfn.XLOOKUP(AB538,'02效果表'!D:D,'02效果表'!E:E),0)+AE538*MAX(_xlfn.XLOOKUP(AD538,'02效果表'!D:D,'02效果表'!E:E),0)),1)</f>
        <v>0</v>
      </c>
      <c r="H538" s="6"/>
      <c r="I538" s="6"/>
      <c r="J538" s="6"/>
      <c r="K538" s="6"/>
      <c r="L538" s="6"/>
      <c r="M538" s="6"/>
      <c r="N538" s="6"/>
      <c r="O538" s="6"/>
      <c r="P538" s="6"/>
      <c r="Q538" s="6"/>
      <c r="R538" s="6"/>
      <c r="S538" s="6"/>
      <c r="T538" s="6"/>
      <c r="U538" s="6"/>
      <c r="V538" s="6"/>
      <c r="W538" s="6"/>
      <c r="X538" s="6"/>
      <c r="Y538" s="6"/>
      <c r="Z538" s="6"/>
      <c r="AA538" s="6"/>
      <c r="AB538" s="6"/>
      <c r="AC538" s="6"/>
      <c r="AD538" s="6"/>
      <c r="AE538" s="6"/>
    </row>
    <row r="539" spans="1:31" x14ac:dyDescent="0.35">
      <c r="A539" s="6">
        <v>539</v>
      </c>
      <c r="B539" s="6" t="s">
        <v>7</v>
      </c>
      <c r="C539" s="10" t="s">
        <v>2</v>
      </c>
      <c r="D539" s="9" t="s">
        <v>1685</v>
      </c>
      <c r="E539" s="7">
        <f t="shared" si="15"/>
        <v>0</v>
      </c>
      <c r="F539" s="7">
        <f>-1*ROUND(1/6*(I539*IF(_xlfn.XLOOKUP(H539,'02效果表'!D:D,'02效果表'!E:E)&lt;0, _xlfn.XLOOKUP(H539,'02效果表'!D:D,'02效果表'!E:E), 0) +
K539*IF(_xlfn.XLOOKUP(J539,'02效果表'!D:D,'02效果表'!E:E)&lt;0, _xlfn.XLOOKUP(J539,'02效果表'!D:D,'02效果表'!E:E), 0) +
M539*IF(_xlfn.XLOOKUP(L539,'02效果表'!D:D,'02效果表'!E:E)&lt;0, _xlfn.XLOOKUP(L539,'02效果表'!D:D,'02效果表'!E:E), 0) +
O539*IF(_xlfn.XLOOKUP(N539,'02效果表'!D:D,'02效果表'!E:E)&lt;0, _xlfn.XLOOKUP(N539,'02效果表'!D:D,'02效果表'!E:E), 0) +
Q539*IF(_xlfn.XLOOKUP(P539,'02效果表'!D:D,'02效果表'!E:E)&lt;0, _xlfn.XLOOKUP(P539,'02效果表'!D:D,'02效果表'!E:E), 0) +
S539*IF(_xlfn.XLOOKUP(R539,'02效果表'!D:D,'02效果表'!E:E)&lt;0, _xlfn.XLOOKUP(R539,'02效果表'!D:D,'02效果表'!E:E), 0) +
U539*IF(_xlfn.XLOOKUP(T539,'02效果表'!D:D,'02效果表'!E:E)&lt;0, _xlfn.XLOOKUP(T539,'02效果表'!D:D,'02效果表'!E:E), 0) +
W539*IF(_xlfn.XLOOKUP(V539,'02效果表'!D:D,'02效果表'!E:E)&lt;0, _xlfn.XLOOKUP(V539,'02效果表'!D:D,'02效果表'!E:E), 0) +
Y539*IF(_xlfn.XLOOKUP(X539,'02效果表'!D:D,'02效果表'!E:E)&lt;0, _xlfn.XLOOKUP(X539,'02效果表'!D:D,'02效果表'!E:E), 0) +
AA539*IF(_xlfn.XLOOKUP(Z539,'02效果表'!D:D,'02效果表'!E:E)&lt;0, _xlfn.XLOOKUP(Z539,'02效果表'!D:D,'02效果表'!E:E), 0) +
AC539*IF(_xlfn.XLOOKUP(AB539,'02效果表'!D:D,'02效果表'!E:E)&lt;0, _xlfn.XLOOKUP(AB539,'02效果表'!D:D,'02效果表'!E:E), 0) +
AE539*IF(_xlfn.XLOOKUP(AD539,'02效果表'!D:D,'02效果表'!E:E)&lt;0, _xlfn.XLOOKUP(AD539,'02效果表'!D:D,'02效果表'!E:E), 0)), 1)</f>
        <v>0</v>
      </c>
      <c r="G539" s="7">
        <f>ROUND(1/6*(I539*MAX(_xlfn.XLOOKUP(H539,'02效果表'!D:D,'02效果表'!E:E),0)+K539*MAX(_xlfn.XLOOKUP(J539,'02效果表'!D:D,'02效果表'!E:E),0)+M539*MAX(_xlfn.XLOOKUP(L539,'02效果表'!D:D,'02效果表'!E:E),0)+O539*MAX(_xlfn.XLOOKUP(N539,'02效果表'!D:D,'02效果表'!E:E),0)+Q539*MAX(_xlfn.XLOOKUP(P539,'02效果表'!D:D,'02效果表'!E:E),0)+S539*MAX(_xlfn.XLOOKUP(R539,'02效果表'!D:D,'02效果表'!E:E),0)+U539*MAX(_xlfn.XLOOKUP(T539,'02效果表'!D:D,'02效果表'!E:E),0)+W539*MAX(_xlfn.XLOOKUP(V539,'02效果表'!D:D,'02效果表'!E:E),0)+Y539*MAX(_xlfn.XLOOKUP(X539,'02效果表'!D:D,'02效果表'!E:E),0)+AA539*MAX(_xlfn.XLOOKUP(Z539,'02效果表'!D:D,'02效果表'!E:E),0)+AC539*MAX(_xlfn.XLOOKUP(AB539,'02效果表'!D:D,'02效果表'!E:E),0)+AE539*MAX(_xlfn.XLOOKUP(AD539,'02效果表'!D:D,'02效果表'!E:E),0)),1)</f>
        <v>0</v>
      </c>
      <c r="H539" s="6"/>
      <c r="I539" s="6"/>
      <c r="J539" s="6"/>
      <c r="K539" s="6"/>
      <c r="L539" s="6"/>
      <c r="M539" s="6"/>
      <c r="N539" s="6"/>
      <c r="O539" s="6"/>
      <c r="P539" s="6"/>
      <c r="Q539" s="6"/>
      <c r="R539" s="6"/>
      <c r="S539" s="6"/>
      <c r="T539" s="6"/>
      <c r="U539" s="6"/>
      <c r="V539" s="6"/>
      <c r="W539" s="6"/>
      <c r="X539" s="6"/>
      <c r="Y539" s="6"/>
      <c r="Z539" s="6"/>
      <c r="AA539" s="6"/>
      <c r="AB539" s="6"/>
      <c r="AC539" s="6"/>
      <c r="AD539" s="6"/>
      <c r="AE539" s="6"/>
    </row>
    <row r="540" spans="1:31" x14ac:dyDescent="0.35">
      <c r="A540" s="6">
        <v>540</v>
      </c>
      <c r="B540" s="6" t="s">
        <v>7</v>
      </c>
      <c r="C540" s="10" t="s">
        <v>2</v>
      </c>
      <c r="D540" s="9" t="s">
        <v>1686</v>
      </c>
      <c r="E540" s="7">
        <f t="shared" si="15"/>
        <v>0</v>
      </c>
      <c r="F540" s="7">
        <f>-1*ROUND(1/6*(I540*IF(_xlfn.XLOOKUP(H540,'02效果表'!D:D,'02效果表'!E:E)&lt;0, _xlfn.XLOOKUP(H540,'02效果表'!D:D,'02效果表'!E:E), 0) +
K540*IF(_xlfn.XLOOKUP(J540,'02效果表'!D:D,'02效果表'!E:E)&lt;0, _xlfn.XLOOKUP(J540,'02效果表'!D:D,'02效果表'!E:E), 0) +
M540*IF(_xlfn.XLOOKUP(L540,'02效果表'!D:D,'02效果表'!E:E)&lt;0, _xlfn.XLOOKUP(L540,'02效果表'!D:D,'02效果表'!E:E), 0) +
O540*IF(_xlfn.XLOOKUP(N540,'02效果表'!D:D,'02效果表'!E:E)&lt;0, _xlfn.XLOOKUP(N540,'02效果表'!D:D,'02效果表'!E:E), 0) +
Q540*IF(_xlfn.XLOOKUP(P540,'02效果表'!D:D,'02效果表'!E:E)&lt;0, _xlfn.XLOOKUP(P540,'02效果表'!D:D,'02效果表'!E:E), 0) +
S540*IF(_xlfn.XLOOKUP(R540,'02效果表'!D:D,'02效果表'!E:E)&lt;0, _xlfn.XLOOKUP(R540,'02效果表'!D:D,'02效果表'!E:E), 0) +
U540*IF(_xlfn.XLOOKUP(T540,'02效果表'!D:D,'02效果表'!E:E)&lt;0, _xlfn.XLOOKUP(T540,'02效果表'!D:D,'02效果表'!E:E), 0) +
W540*IF(_xlfn.XLOOKUP(V540,'02效果表'!D:D,'02效果表'!E:E)&lt;0, _xlfn.XLOOKUP(V540,'02效果表'!D:D,'02效果表'!E:E), 0) +
Y540*IF(_xlfn.XLOOKUP(X540,'02效果表'!D:D,'02效果表'!E:E)&lt;0, _xlfn.XLOOKUP(X540,'02效果表'!D:D,'02效果表'!E:E), 0) +
AA540*IF(_xlfn.XLOOKUP(Z540,'02效果表'!D:D,'02效果表'!E:E)&lt;0, _xlfn.XLOOKUP(Z540,'02效果表'!D:D,'02效果表'!E:E), 0) +
AC540*IF(_xlfn.XLOOKUP(AB540,'02效果表'!D:D,'02效果表'!E:E)&lt;0, _xlfn.XLOOKUP(AB540,'02效果表'!D:D,'02效果表'!E:E), 0) +
AE540*IF(_xlfn.XLOOKUP(AD540,'02效果表'!D:D,'02效果表'!E:E)&lt;0, _xlfn.XLOOKUP(AD540,'02效果表'!D:D,'02效果表'!E:E), 0)), 1)</f>
        <v>0</v>
      </c>
      <c r="G540" s="7">
        <f>ROUND(1/6*(I540*MAX(_xlfn.XLOOKUP(H540,'02效果表'!D:D,'02效果表'!E:E),0)+K540*MAX(_xlfn.XLOOKUP(J540,'02效果表'!D:D,'02效果表'!E:E),0)+M540*MAX(_xlfn.XLOOKUP(L540,'02效果表'!D:D,'02效果表'!E:E),0)+O540*MAX(_xlfn.XLOOKUP(N540,'02效果表'!D:D,'02效果表'!E:E),0)+Q540*MAX(_xlfn.XLOOKUP(P540,'02效果表'!D:D,'02效果表'!E:E),0)+S540*MAX(_xlfn.XLOOKUP(R540,'02效果表'!D:D,'02效果表'!E:E),0)+U540*MAX(_xlfn.XLOOKUP(T540,'02效果表'!D:D,'02效果表'!E:E),0)+W540*MAX(_xlfn.XLOOKUP(V540,'02效果表'!D:D,'02效果表'!E:E),0)+Y540*MAX(_xlfn.XLOOKUP(X540,'02效果表'!D:D,'02效果表'!E:E),0)+AA540*MAX(_xlfn.XLOOKUP(Z540,'02效果表'!D:D,'02效果表'!E:E),0)+AC540*MAX(_xlfn.XLOOKUP(AB540,'02效果表'!D:D,'02效果表'!E:E),0)+AE540*MAX(_xlfn.XLOOKUP(AD540,'02效果表'!D:D,'02效果表'!E:E),0)),1)</f>
        <v>0</v>
      </c>
      <c r="H540" s="6"/>
      <c r="I540" s="6"/>
      <c r="J540" s="6"/>
      <c r="K540" s="6"/>
      <c r="L540" s="6"/>
      <c r="M540" s="6"/>
      <c r="N540" s="6"/>
      <c r="O540" s="6"/>
      <c r="P540" s="6"/>
      <c r="Q540" s="6"/>
      <c r="R540" s="6"/>
      <c r="S540" s="6"/>
      <c r="T540" s="6"/>
      <c r="U540" s="6"/>
      <c r="V540" s="6"/>
      <c r="W540" s="6"/>
      <c r="X540" s="6"/>
      <c r="Y540" s="6"/>
      <c r="Z540" s="6"/>
      <c r="AA540" s="6"/>
      <c r="AB540" s="6"/>
      <c r="AC540" s="6"/>
      <c r="AD540" s="6"/>
      <c r="AE540" s="6"/>
    </row>
    <row r="541" spans="1:31" x14ac:dyDescent="0.35">
      <c r="A541" s="6">
        <v>541</v>
      </c>
      <c r="B541" s="6" t="s">
        <v>7</v>
      </c>
      <c r="C541" s="10" t="s">
        <v>2</v>
      </c>
      <c r="D541" s="9" t="s">
        <v>1687</v>
      </c>
      <c r="E541" s="7">
        <f t="shared" si="15"/>
        <v>0</v>
      </c>
      <c r="F541" s="7">
        <f>-1*ROUND(1/6*(I541*IF(_xlfn.XLOOKUP(H541,'02效果表'!D:D,'02效果表'!E:E)&lt;0, _xlfn.XLOOKUP(H541,'02效果表'!D:D,'02效果表'!E:E), 0) +
K541*IF(_xlfn.XLOOKUP(J541,'02效果表'!D:D,'02效果表'!E:E)&lt;0, _xlfn.XLOOKUP(J541,'02效果表'!D:D,'02效果表'!E:E), 0) +
M541*IF(_xlfn.XLOOKUP(L541,'02效果表'!D:D,'02效果表'!E:E)&lt;0, _xlfn.XLOOKUP(L541,'02效果表'!D:D,'02效果表'!E:E), 0) +
O541*IF(_xlfn.XLOOKUP(N541,'02效果表'!D:D,'02效果表'!E:E)&lt;0, _xlfn.XLOOKUP(N541,'02效果表'!D:D,'02效果表'!E:E), 0) +
Q541*IF(_xlfn.XLOOKUP(P541,'02效果表'!D:D,'02效果表'!E:E)&lt;0, _xlfn.XLOOKUP(P541,'02效果表'!D:D,'02效果表'!E:E), 0) +
S541*IF(_xlfn.XLOOKUP(R541,'02效果表'!D:D,'02效果表'!E:E)&lt;0, _xlfn.XLOOKUP(R541,'02效果表'!D:D,'02效果表'!E:E), 0) +
U541*IF(_xlfn.XLOOKUP(T541,'02效果表'!D:D,'02效果表'!E:E)&lt;0, _xlfn.XLOOKUP(T541,'02效果表'!D:D,'02效果表'!E:E), 0) +
W541*IF(_xlfn.XLOOKUP(V541,'02效果表'!D:D,'02效果表'!E:E)&lt;0, _xlfn.XLOOKUP(V541,'02效果表'!D:D,'02效果表'!E:E), 0) +
Y541*IF(_xlfn.XLOOKUP(X541,'02效果表'!D:D,'02效果表'!E:E)&lt;0, _xlfn.XLOOKUP(X541,'02效果表'!D:D,'02效果表'!E:E), 0) +
AA541*IF(_xlfn.XLOOKUP(Z541,'02效果表'!D:D,'02效果表'!E:E)&lt;0, _xlfn.XLOOKUP(Z541,'02效果表'!D:D,'02效果表'!E:E), 0) +
AC541*IF(_xlfn.XLOOKUP(AB541,'02效果表'!D:D,'02效果表'!E:E)&lt;0, _xlfn.XLOOKUP(AB541,'02效果表'!D:D,'02效果表'!E:E), 0) +
AE541*IF(_xlfn.XLOOKUP(AD541,'02效果表'!D:D,'02效果表'!E:E)&lt;0, _xlfn.XLOOKUP(AD541,'02效果表'!D:D,'02效果表'!E:E), 0)), 1)</f>
        <v>0</v>
      </c>
      <c r="G541" s="7">
        <f>ROUND(1/6*(I541*MAX(_xlfn.XLOOKUP(H541,'02效果表'!D:D,'02效果表'!E:E),0)+K541*MAX(_xlfn.XLOOKUP(J541,'02效果表'!D:D,'02效果表'!E:E),0)+M541*MAX(_xlfn.XLOOKUP(L541,'02效果表'!D:D,'02效果表'!E:E),0)+O541*MAX(_xlfn.XLOOKUP(N541,'02效果表'!D:D,'02效果表'!E:E),0)+Q541*MAX(_xlfn.XLOOKUP(P541,'02效果表'!D:D,'02效果表'!E:E),0)+S541*MAX(_xlfn.XLOOKUP(R541,'02效果表'!D:D,'02效果表'!E:E),0)+U541*MAX(_xlfn.XLOOKUP(T541,'02效果表'!D:D,'02效果表'!E:E),0)+W541*MAX(_xlfn.XLOOKUP(V541,'02效果表'!D:D,'02效果表'!E:E),0)+Y541*MAX(_xlfn.XLOOKUP(X541,'02效果表'!D:D,'02效果表'!E:E),0)+AA541*MAX(_xlfn.XLOOKUP(Z541,'02效果表'!D:D,'02效果表'!E:E),0)+AC541*MAX(_xlfn.XLOOKUP(AB541,'02效果表'!D:D,'02效果表'!E:E),0)+AE541*MAX(_xlfn.XLOOKUP(AD541,'02效果表'!D:D,'02效果表'!E:E),0)),1)</f>
        <v>0</v>
      </c>
      <c r="H541" s="6"/>
      <c r="I541" s="6"/>
      <c r="J541" s="6"/>
      <c r="K541" s="6"/>
      <c r="L541" s="6"/>
      <c r="M541" s="6"/>
      <c r="N541" s="6"/>
      <c r="O541" s="6"/>
      <c r="P541" s="6"/>
      <c r="Q541" s="6"/>
      <c r="R541" s="6"/>
      <c r="S541" s="6"/>
      <c r="T541" s="6"/>
      <c r="U541" s="6"/>
      <c r="V541" s="6"/>
      <c r="W541" s="6"/>
      <c r="X541" s="6"/>
      <c r="Y541" s="6"/>
      <c r="Z541" s="6"/>
      <c r="AA541" s="6"/>
      <c r="AB541" s="6"/>
      <c r="AC541" s="6"/>
      <c r="AD541" s="6"/>
      <c r="AE541" s="6"/>
    </row>
    <row r="542" spans="1:31" x14ac:dyDescent="0.35">
      <c r="A542" s="6">
        <v>542</v>
      </c>
      <c r="B542" s="6" t="s">
        <v>7</v>
      </c>
      <c r="C542" s="10" t="s">
        <v>2</v>
      </c>
      <c r="D542" s="9" t="s">
        <v>1688</v>
      </c>
      <c r="E542" s="7">
        <f t="shared" si="15"/>
        <v>0</v>
      </c>
      <c r="F542" s="7">
        <f>-1*ROUND(1/6*(I542*IF(_xlfn.XLOOKUP(H542,'02效果表'!D:D,'02效果表'!E:E)&lt;0, _xlfn.XLOOKUP(H542,'02效果表'!D:D,'02效果表'!E:E), 0) +
K542*IF(_xlfn.XLOOKUP(J542,'02效果表'!D:D,'02效果表'!E:E)&lt;0, _xlfn.XLOOKUP(J542,'02效果表'!D:D,'02效果表'!E:E), 0) +
M542*IF(_xlfn.XLOOKUP(L542,'02效果表'!D:D,'02效果表'!E:E)&lt;0, _xlfn.XLOOKUP(L542,'02效果表'!D:D,'02效果表'!E:E), 0) +
O542*IF(_xlfn.XLOOKUP(N542,'02效果表'!D:D,'02效果表'!E:E)&lt;0, _xlfn.XLOOKUP(N542,'02效果表'!D:D,'02效果表'!E:E), 0) +
Q542*IF(_xlfn.XLOOKUP(P542,'02效果表'!D:D,'02效果表'!E:E)&lt;0, _xlfn.XLOOKUP(P542,'02效果表'!D:D,'02效果表'!E:E), 0) +
S542*IF(_xlfn.XLOOKUP(R542,'02效果表'!D:D,'02效果表'!E:E)&lt;0, _xlfn.XLOOKUP(R542,'02效果表'!D:D,'02效果表'!E:E), 0) +
U542*IF(_xlfn.XLOOKUP(T542,'02效果表'!D:D,'02效果表'!E:E)&lt;0, _xlfn.XLOOKUP(T542,'02效果表'!D:D,'02效果表'!E:E), 0) +
W542*IF(_xlfn.XLOOKUP(V542,'02效果表'!D:D,'02效果表'!E:E)&lt;0, _xlfn.XLOOKUP(V542,'02效果表'!D:D,'02效果表'!E:E), 0) +
Y542*IF(_xlfn.XLOOKUP(X542,'02效果表'!D:D,'02效果表'!E:E)&lt;0, _xlfn.XLOOKUP(X542,'02效果表'!D:D,'02效果表'!E:E), 0) +
AA542*IF(_xlfn.XLOOKUP(Z542,'02效果表'!D:D,'02效果表'!E:E)&lt;0, _xlfn.XLOOKUP(Z542,'02效果表'!D:D,'02效果表'!E:E), 0) +
AC542*IF(_xlfn.XLOOKUP(AB542,'02效果表'!D:D,'02效果表'!E:E)&lt;0, _xlfn.XLOOKUP(AB542,'02效果表'!D:D,'02效果表'!E:E), 0) +
AE542*IF(_xlfn.XLOOKUP(AD542,'02效果表'!D:D,'02效果表'!E:E)&lt;0, _xlfn.XLOOKUP(AD542,'02效果表'!D:D,'02效果表'!E:E), 0)), 1)</f>
        <v>0</v>
      </c>
      <c r="G542" s="7">
        <f>ROUND(1/6*(I542*MAX(_xlfn.XLOOKUP(H542,'02效果表'!D:D,'02效果表'!E:E),0)+K542*MAX(_xlfn.XLOOKUP(J542,'02效果表'!D:D,'02效果表'!E:E),0)+M542*MAX(_xlfn.XLOOKUP(L542,'02效果表'!D:D,'02效果表'!E:E),0)+O542*MAX(_xlfn.XLOOKUP(N542,'02效果表'!D:D,'02效果表'!E:E),0)+Q542*MAX(_xlfn.XLOOKUP(P542,'02效果表'!D:D,'02效果表'!E:E),0)+S542*MAX(_xlfn.XLOOKUP(R542,'02效果表'!D:D,'02效果表'!E:E),0)+U542*MAX(_xlfn.XLOOKUP(T542,'02效果表'!D:D,'02效果表'!E:E),0)+W542*MAX(_xlfn.XLOOKUP(V542,'02效果表'!D:D,'02效果表'!E:E),0)+Y542*MAX(_xlfn.XLOOKUP(X542,'02效果表'!D:D,'02效果表'!E:E),0)+AA542*MAX(_xlfn.XLOOKUP(Z542,'02效果表'!D:D,'02效果表'!E:E),0)+AC542*MAX(_xlfn.XLOOKUP(AB542,'02效果表'!D:D,'02效果表'!E:E),0)+AE542*MAX(_xlfn.XLOOKUP(AD542,'02效果表'!D:D,'02效果表'!E:E),0)),1)</f>
        <v>0</v>
      </c>
      <c r="H542" s="6"/>
      <c r="I542" s="6"/>
      <c r="J542" s="6"/>
      <c r="K542" s="6"/>
      <c r="L542" s="6"/>
      <c r="M542" s="6"/>
      <c r="N542" s="6"/>
      <c r="O542" s="6"/>
      <c r="P542" s="6"/>
      <c r="Q542" s="6"/>
      <c r="R542" s="6"/>
      <c r="S542" s="6"/>
      <c r="T542" s="6"/>
      <c r="U542" s="6"/>
      <c r="V542" s="6"/>
      <c r="W542" s="6"/>
      <c r="X542" s="6"/>
      <c r="Y542" s="6"/>
      <c r="Z542" s="6"/>
      <c r="AA542" s="6"/>
      <c r="AB542" s="6"/>
      <c r="AC542" s="6"/>
      <c r="AD542" s="6"/>
      <c r="AE542" s="6"/>
    </row>
    <row r="543" spans="1:31" x14ac:dyDescent="0.35">
      <c r="A543" s="6">
        <v>543</v>
      </c>
      <c r="B543" s="6" t="s">
        <v>7</v>
      </c>
      <c r="C543" s="10" t="s">
        <v>2</v>
      </c>
      <c r="D543" s="9" t="s">
        <v>1689</v>
      </c>
      <c r="E543" s="7">
        <f t="shared" si="15"/>
        <v>0</v>
      </c>
      <c r="F543" s="7">
        <f>-1*ROUND(1/6*(I543*IF(_xlfn.XLOOKUP(H543,'02效果表'!D:D,'02效果表'!E:E)&lt;0, _xlfn.XLOOKUP(H543,'02效果表'!D:D,'02效果表'!E:E), 0) +
K543*IF(_xlfn.XLOOKUP(J543,'02效果表'!D:D,'02效果表'!E:E)&lt;0, _xlfn.XLOOKUP(J543,'02效果表'!D:D,'02效果表'!E:E), 0) +
M543*IF(_xlfn.XLOOKUP(L543,'02效果表'!D:D,'02效果表'!E:E)&lt;0, _xlfn.XLOOKUP(L543,'02效果表'!D:D,'02效果表'!E:E), 0) +
O543*IF(_xlfn.XLOOKUP(N543,'02效果表'!D:D,'02效果表'!E:E)&lt;0, _xlfn.XLOOKUP(N543,'02效果表'!D:D,'02效果表'!E:E), 0) +
Q543*IF(_xlfn.XLOOKUP(P543,'02效果表'!D:D,'02效果表'!E:E)&lt;0, _xlfn.XLOOKUP(P543,'02效果表'!D:D,'02效果表'!E:E), 0) +
S543*IF(_xlfn.XLOOKUP(R543,'02效果表'!D:D,'02效果表'!E:E)&lt;0, _xlfn.XLOOKUP(R543,'02效果表'!D:D,'02效果表'!E:E), 0) +
U543*IF(_xlfn.XLOOKUP(T543,'02效果表'!D:D,'02效果表'!E:E)&lt;0, _xlfn.XLOOKUP(T543,'02效果表'!D:D,'02效果表'!E:E), 0) +
W543*IF(_xlfn.XLOOKUP(V543,'02效果表'!D:D,'02效果表'!E:E)&lt;0, _xlfn.XLOOKUP(V543,'02效果表'!D:D,'02效果表'!E:E), 0) +
Y543*IF(_xlfn.XLOOKUP(X543,'02效果表'!D:D,'02效果表'!E:E)&lt;0, _xlfn.XLOOKUP(X543,'02效果表'!D:D,'02效果表'!E:E), 0) +
AA543*IF(_xlfn.XLOOKUP(Z543,'02效果表'!D:D,'02效果表'!E:E)&lt;0, _xlfn.XLOOKUP(Z543,'02效果表'!D:D,'02效果表'!E:E), 0) +
AC543*IF(_xlfn.XLOOKUP(AB543,'02效果表'!D:D,'02效果表'!E:E)&lt;0, _xlfn.XLOOKUP(AB543,'02效果表'!D:D,'02效果表'!E:E), 0) +
AE543*IF(_xlfn.XLOOKUP(AD543,'02效果表'!D:D,'02效果表'!E:E)&lt;0, _xlfn.XLOOKUP(AD543,'02效果表'!D:D,'02效果表'!E:E), 0)), 1)</f>
        <v>0</v>
      </c>
      <c r="G543" s="7">
        <f>ROUND(1/6*(I543*MAX(_xlfn.XLOOKUP(H543,'02效果表'!D:D,'02效果表'!E:E),0)+K543*MAX(_xlfn.XLOOKUP(J543,'02效果表'!D:D,'02效果表'!E:E),0)+M543*MAX(_xlfn.XLOOKUP(L543,'02效果表'!D:D,'02效果表'!E:E),0)+O543*MAX(_xlfn.XLOOKUP(N543,'02效果表'!D:D,'02效果表'!E:E),0)+Q543*MAX(_xlfn.XLOOKUP(P543,'02效果表'!D:D,'02效果表'!E:E),0)+S543*MAX(_xlfn.XLOOKUP(R543,'02效果表'!D:D,'02效果表'!E:E),0)+U543*MAX(_xlfn.XLOOKUP(T543,'02效果表'!D:D,'02效果表'!E:E),0)+W543*MAX(_xlfn.XLOOKUP(V543,'02效果表'!D:D,'02效果表'!E:E),0)+Y543*MAX(_xlfn.XLOOKUP(X543,'02效果表'!D:D,'02效果表'!E:E),0)+AA543*MAX(_xlfn.XLOOKUP(Z543,'02效果表'!D:D,'02效果表'!E:E),0)+AC543*MAX(_xlfn.XLOOKUP(AB543,'02效果表'!D:D,'02效果表'!E:E),0)+AE543*MAX(_xlfn.XLOOKUP(AD543,'02效果表'!D:D,'02效果表'!E:E),0)),1)</f>
        <v>0</v>
      </c>
      <c r="H543" s="6"/>
      <c r="I543" s="6"/>
      <c r="J543" s="6"/>
      <c r="K543" s="6"/>
      <c r="L543" s="6"/>
      <c r="M543" s="6"/>
      <c r="N543" s="6"/>
      <c r="O543" s="6"/>
      <c r="P543" s="6"/>
      <c r="Q543" s="6"/>
      <c r="R543" s="6"/>
      <c r="S543" s="6"/>
      <c r="T543" s="6"/>
      <c r="U543" s="6"/>
      <c r="V543" s="6"/>
      <c r="W543" s="6"/>
      <c r="X543" s="6"/>
      <c r="Y543" s="6"/>
      <c r="Z543" s="6"/>
      <c r="AA543" s="6"/>
      <c r="AB543" s="6"/>
      <c r="AC543" s="6"/>
      <c r="AD543" s="6"/>
      <c r="AE543" s="6"/>
    </row>
    <row r="544" spans="1:31" x14ac:dyDescent="0.35">
      <c r="A544" s="6">
        <v>544</v>
      </c>
      <c r="B544" s="6" t="s">
        <v>7</v>
      </c>
      <c r="C544" s="10" t="s">
        <v>2</v>
      </c>
      <c r="D544" s="9" t="s">
        <v>1690</v>
      </c>
      <c r="E544" s="7">
        <f t="shared" si="15"/>
        <v>0</v>
      </c>
      <c r="F544" s="7">
        <f>-1*ROUND(1/6*(I544*IF(_xlfn.XLOOKUP(H544,'02效果表'!D:D,'02效果表'!E:E)&lt;0, _xlfn.XLOOKUP(H544,'02效果表'!D:D,'02效果表'!E:E), 0) +
K544*IF(_xlfn.XLOOKUP(J544,'02效果表'!D:D,'02效果表'!E:E)&lt;0, _xlfn.XLOOKUP(J544,'02效果表'!D:D,'02效果表'!E:E), 0) +
M544*IF(_xlfn.XLOOKUP(L544,'02效果表'!D:D,'02效果表'!E:E)&lt;0, _xlfn.XLOOKUP(L544,'02效果表'!D:D,'02效果表'!E:E), 0) +
O544*IF(_xlfn.XLOOKUP(N544,'02效果表'!D:D,'02效果表'!E:E)&lt;0, _xlfn.XLOOKUP(N544,'02效果表'!D:D,'02效果表'!E:E), 0) +
Q544*IF(_xlfn.XLOOKUP(P544,'02效果表'!D:D,'02效果表'!E:E)&lt;0, _xlfn.XLOOKUP(P544,'02效果表'!D:D,'02效果表'!E:E), 0) +
S544*IF(_xlfn.XLOOKUP(R544,'02效果表'!D:D,'02效果表'!E:E)&lt;0, _xlfn.XLOOKUP(R544,'02效果表'!D:D,'02效果表'!E:E), 0) +
U544*IF(_xlfn.XLOOKUP(T544,'02效果表'!D:D,'02效果表'!E:E)&lt;0, _xlfn.XLOOKUP(T544,'02效果表'!D:D,'02效果表'!E:E), 0) +
W544*IF(_xlfn.XLOOKUP(V544,'02效果表'!D:D,'02效果表'!E:E)&lt;0, _xlfn.XLOOKUP(V544,'02效果表'!D:D,'02效果表'!E:E), 0) +
Y544*IF(_xlfn.XLOOKUP(X544,'02效果表'!D:D,'02效果表'!E:E)&lt;0, _xlfn.XLOOKUP(X544,'02效果表'!D:D,'02效果表'!E:E), 0) +
AA544*IF(_xlfn.XLOOKUP(Z544,'02效果表'!D:D,'02效果表'!E:E)&lt;0, _xlfn.XLOOKUP(Z544,'02效果表'!D:D,'02效果表'!E:E), 0) +
AC544*IF(_xlfn.XLOOKUP(AB544,'02效果表'!D:D,'02效果表'!E:E)&lt;0, _xlfn.XLOOKUP(AB544,'02效果表'!D:D,'02效果表'!E:E), 0) +
AE544*IF(_xlfn.XLOOKUP(AD544,'02效果表'!D:D,'02效果表'!E:E)&lt;0, _xlfn.XLOOKUP(AD544,'02效果表'!D:D,'02效果表'!E:E), 0)), 1)</f>
        <v>0</v>
      </c>
      <c r="G544" s="7">
        <f>ROUND(1/6*(I544*MAX(_xlfn.XLOOKUP(H544,'02效果表'!D:D,'02效果表'!E:E),0)+K544*MAX(_xlfn.XLOOKUP(J544,'02效果表'!D:D,'02效果表'!E:E),0)+M544*MAX(_xlfn.XLOOKUP(L544,'02效果表'!D:D,'02效果表'!E:E),0)+O544*MAX(_xlfn.XLOOKUP(N544,'02效果表'!D:D,'02效果表'!E:E),0)+Q544*MAX(_xlfn.XLOOKUP(P544,'02效果表'!D:D,'02效果表'!E:E),0)+S544*MAX(_xlfn.XLOOKUP(R544,'02效果表'!D:D,'02效果表'!E:E),0)+U544*MAX(_xlfn.XLOOKUP(T544,'02效果表'!D:D,'02效果表'!E:E),0)+W544*MAX(_xlfn.XLOOKUP(V544,'02效果表'!D:D,'02效果表'!E:E),0)+Y544*MAX(_xlfn.XLOOKUP(X544,'02效果表'!D:D,'02效果表'!E:E),0)+AA544*MAX(_xlfn.XLOOKUP(Z544,'02效果表'!D:D,'02效果表'!E:E),0)+AC544*MAX(_xlfn.XLOOKUP(AB544,'02效果表'!D:D,'02效果表'!E:E),0)+AE544*MAX(_xlfn.XLOOKUP(AD544,'02效果表'!D:D,'02效果表'!E:E),0)),1)</f>
        <v>0</v>
      </c>
      <c r="H544" s="6"/>
      <c r="I544" s="6"/>
      <c r="J544" s="6"/>
      <c r="K544" s="6"/>
      <c r="L544" s="6"/>
      <c r="M544" s="6"/>
      <c r="N544" s="6"/>
      <c r="O544" s="6"/>
      <c r="P544" s="6"/>
      <c r="Q544" s="6"/>
      <c r="R544" s="6"/>
      <c r="S544" s="6"/>
      <c r="T544" s="6"/>
      <c r="U544" s="6"/>
      <c r="V544" s="6"/>
      <c r="W544" s="6"/>
      <c r="X544" s="6"/>
      <c r="Y544" s="6"/>
      <c r="Z544" s="6"/>
      <c r="AA544" s="6"/>
      <c r="AB544" s="6"/>
      <c r="AC544" s="6"/>
      <c r="AD544" s="6"/>
      <c r="AE544" s="6"/>
    </row>
    <row r="545" spans="1:31" x14ac:dyDescent="0.35">
      <c r="A545" s="6">
        <v>545</v>
      </c>
      <c r="B545" s="6" t="s">
        <v>7</v>
      </c>
      <c r="C545" s="10" t="s">
        <v>2</v>
      </c>
      <c r="D545" s="9" t="s">
        <v>1691</v>
      </c>
      <c r="E545" s="7">
        <f t="shared" si="15"/>
        <v>0</v>
      </c>
      <c r="F545" s="7">
        <f>-1*ROUND(1/6*(I545*IF(_xlfn.XLOOKUP(H545,'02效果表'!D:D,'02效果表'!E:E)&lt;0, _xlfn.XLOOKUP(H545,'02效果表'!D:D,'02效果表'!E:E), 0) +
K545*IF(_xlfn.XLOOKUP(J545,'02效果表'!D:D,'02效果表'!E:E)&lt;0, _xlfn.XLOOKUP(J545,'02效果表'!D:D,'02效果表'!E:E), 0) +
M545*IF(_xlfn.XLOOKUP(L545,'02效果表'!D:D,'02效果表'!E:E)&lt;0, _xlfn.XLOOKUP(L545,'02效果表'!D:D,'02效果表'!E:E), 0) +
O545*IF(_xlfn.XLOOKUP(N545,'02效果表'!D:D,'02效果表'!E:E)&lt;0, _xlfn.XLOOKUP(N545,'02效果表'!D:D,'02效果表'!E:E), 0) +
Q545*IF(_xlfn.XLOOKUP(P545,'02效果表'!D:D,'02效果表'!E:E)&lt;0, _xlfn.XLOOKUP(P545,'02效果表'!D:D,'02效果表'!E:E), 0) +
S545*IF(_xlfn.XLOOKUP(R545,'02效果表'!D:D,'02效果表'!E:E)&lt;0, _xlfn.XLOOKUP(R545,'02效果表'!D:D,'02效果表'!E:E), 0) +
U545*IF(_xlfn.XLOOKUP(T545,'02效果表'!D:D,'02效果表'!E:E)&lt;0, _xlfn.XLOOKUP(T545,'02效果表'!D:D,'02效果表'!E:E), 0) +
W545*IF(_xlfn.XLOOKUP(V545,'02效果表'!D:D,'02效果表'!E:E)&lt;0, _xlfn.XLOOKUP(V545,'02效果表'!D:D,'02效果表'!E:E), 0) +
Y545*IF(_xlfn.XLOOKUP(X545,'02效果表'!D:D,'02效果表'!E:E)&lt;0, _xlfn.XLOOKUP(X545,'02效果表'!D:D,'02效果表'!E:E), 0) +
AA545*IF(_xlfn.XLOOKUP(Z545,'02效果表'!D:D,'02效果表'!E:E)&lt;0, _xlfn.XLOOKUP(Z545,'02效果表'!D:D,'02效果表'!E:E), 0) +
AC545*IF(_xlfn.XLOOKUP(AB545,'02效果表'!D:D,'02效果表'!E:E)&lt;0, _xlfn.XLOOKUP(AB545,'02效果表'!D:D,'02效果表'!E:E), 0) +
AE545*IF(_xlfn.XLOOKUP(AD545,'02效果表'!D:D,'02效果表'!E:E)&lt;0, _xlfn.XLOOKUP(AD545,'02效果表'!D:D,'02效果表'!E:E), 0)), 1)</f>
        <v>0</v>
      </c>
      <c r="G545" s="7">
        <f>ROUND(1/6*(I545*MAX(_xlfn.XLOOKUP(H545,'02效果表'!D:D,'02效果表'!E:E),0)+K545*MAX(_xlfn.XLOOKUP(J545,'02效果表'!D:D,'02效果表'!E:E),0)+M545*MAX(_xlfn.XLOOKUP(L545,'02效果表'!D:D,'02效果表'!E:E),0)+O545*MAX(_xlfn.XLOOKUP(N545,'02效果表'!D:D,'02效果表'!E:E),0)+Q545*MAX(_xlfn.XLOOKUP(P545,'02效果表'!D:D,'02效果表'!E:E),0)+S545*MAX(_xlfn.XLOOKUP(R545,'02效果表'!D:D,'02效果表'!E:E),0)+U545*MAX(_xlfn.XLOOKUP(T545,'02效果表'!D:D,'02效果表'!E:E),0)+W545*MAX(_xlfn.XLOOKUP(V545,'02效果表'!D:D,'02效果表'!E:E),0)+Y545*MAX(_xlfn.XLOOKUP(X545,'02效果表'!D:D,'02效果表'!E:E),0)+AA545*MAX(_xlfn.XLOOKUP(Z545,'02效果表'!D:D,'02效果表'!E:E),0)+AC545*MAX(_xlfn.XLOOKUP(AB545,'02效果表'!D:D,'02效果表'!E:E),0)+AE545*MAX(_xlfn.XLOOKUP(AD545,'02效果表'!D:D,'02效果表'!E:E),0)),1)</f>
        <v>0</v>
      </c>
      <c r="H545" s="6"/>
      <c r="I545" s="6"/>
      <c r="J545" s="6"/>
      <c r="K545" s="6"/>
      <c r="L545" s="6"/>
      <c r="M545" s="6"/>
      <c r="N545" s="6"/>
      <c r="O545" s="6"/>
      <c r="P545" s="6"/>
      <c r="Q545" s="6"/>
      <c r="R545" s="6"/>
      <c r="S545" s="6"/>
      <c r="T545" s="6"/>
      <c r="U545" s="6"/>
      <c r="V545" s="6"/>
      <c r="W545" s="6"/>
      <c r="X545" s="6"/>
      <c r="Y545" s="6"/>
      <c r="Z545" s="6"/>
      <c r="AA545" s="6"/>
      <c r="AB545" s="6"/>
      <c r="AC545" s="6"/>
      <c r="AD545" s="6"/>
      <c r="AE545" s="6"/>
    </row>
    <row r="546" spans="1:31" x14ac:dyDescent="0.35">
      <c r="A546" s="6">
        <v>546</v>
      </c>
      <c r="B546" s="6" t="s">
        <v>7</v>
      </c>
      <c r="C546" s="10" t="s">
        <v>2</v>
      </c>
      <c r="D546" s="9" t="s">
        <v>1692</v>
      </c>
      <c r="E546" s="7">
        <f t="shared" si="15"/>
        <v>0</v>
      </c>
      <c r="F546" s="7">
        <f>-1*ROUND(1/6*(I546*IF(_xlfn.XLOOKUP(H546,'02效果表'!D:D,'02效果表'!E:E)&lt;0, _xlfn.XLOOKUP(H546,'02效果表'!D:D,'02效果表'!E:E), 0) +
K546*IF(_xlfn.XLOOKUP(J546,'02效果表'!D:D,'02效果表'!E:E)&lt;0, _xlfn.XLOOKUP(J546,'02效果表'!D:D,'02效果表'!E:E), 0) +
M546*IF(_xlfn.XLOOKUP(L546,'02效果表'!D:D,'02效果表'!E:E)&lt;0, _xlfn.XLOOKUP(L546,'02效果表'!D:D,'02效果表'!E:E), 0) +
O546*IF(_xlfn.XLOOKUP(N546,'02效果表'!D:D,'02效果表'!E:E)&lt;0, _xlfn.XLOOKUP(N546,'02效果表'!D:D,'02效果表'!E:E), 0) +
Q546*IF(_xlfn.XLOOKUP(P546,'02效果表'!D:D,'02效果表'!E:E)&lt;0, _xlfn.XLOOKUP(P546,'02效果表'!D:D,'02效果表'!E:E), 0) +
S546*IF(_xlfn.XLOOKUP(R546,'02效果表'!D:D,'02效果表'!E:E)&lt;0, _xlfn.XLOOKUP(R546,'02效果表'!D:D,'02效果表'!E:E), 0) +
U546*IF(_xlfn.XLOOKUP(T546,'02效果表'!D:D,'02效果表'!E:E)&lt;0, _xlfn.XLOOKUP(T546,'02效果表'!D:D,'02效果表'!E:E), 0) +
W546*IF(_xlfn.XLOOKUP(V546,'02效果表'!D:D,'02效果表'!E:E)&lt;0, _xlfn.XLOOKUP(V546,'02效果表'!D:D,'02效果表'!E:E), 0) +
Y546*IF(_xlfn.XLOOKUP(X546,'02效果表'!D:D,'02效果表'!E:E)&lt;0, _xlfn.XLOOKUP(X546,'02效果表'!D:D,'02效果表'!E:E), 0) +
AA546*IF(_xlfn.XLOOKUP(Z546,'02效果表'!D:D,'02效果表'!E:E)&lt;0, _xlfn.XLOOKUP(Z546,'02效果表'!D:D,'02效果表'!E:E), 0) +
AC546*IF(_xlfn.XLOOKUP(AB546,'02效果表'!D:D,'02效果表'!E:E)&lt;0, _xlfn.XLOOKUP(AB546,'02效果表'!D:D,'02效果表'!E:E), 0) +
AE546*IF(_xlfn.XLOOKUP(AD546,'02效果表'!D:D,'02效果表'!E:E)&lt;0, _xlfn.XLOOKUP(AD546,'02效果表'!D:D,'02效果表'!E:E), 0)), 1)</f>
        <v>0</v>
      </c>
      <c r="G546" s="7">
        <f>ROUND(1/6*(I546*MAX(_xlfn.XLOOKUP(H546,'02效果表'!D:D,'02效果表'!E:E),0)+K546*MAX(_xlfn.XLOOKUP(J546,'02效果表'!D:D,'02效果表'!E:E),0)+M546*MAX(_xlfn.XLOOKUP(L546,'02效果表'!D:D,'02效果表'!E:E),0)+O546*MAX(_xlfn.XLOOKUP(N546,'02效果表'!D:D,'02效果表'!E:E),0)+Q546*MAX(_xlfn.XLOOKUP(P546,'02效果表'!D:D,'02效果表'!E:E),0)+S546*MAX(_xlfn.XLOOKUP(R546,'02效果表'!D:D,'02效果表'!E:E),0)+U546*MAX(_xlfn.XLOOKUP(T546,'02效果表'!D:D,'02效果表'!E:E),0)+W546*MAX(_xlfn.XLOOKUP(V546,'02效果表'!D:D,'02效果表'!E:E),0)+Y546*MAX(_xlfn.XLOOKUP(X546,'02效果表'!D:D,'02效果表'!E:E),0)+AA546*MAX(_xlfn.XLOOKUP(Z546,'02效果表'!D:D,'02效果表'!E:E),0)+AC546*MAX(_xlfn.XLOOKUP(AB546,'02效果表'!D:D,'02效果表'!E:E),0)+AE546*MAX(_xlfn.XLOOKUP(AD546,'02效果表'!D:D,'02效果表'!E:E),0)),1)</f>
        <v>0</v>
      </c>
      <c r="H546" s="6"/>
      <c r="I546" s="6"/>
      <c r="J546" s="6"/>
      <c r="K546" s="6"/>
      <c r="L546" s="6"/>
      <c r="M546" s="6"/>
      <c r="N546" s="6"/>
      <c r="O546" s="6"/>
      <c r="P546" s="6"/>
      <c r="Q546" s="6"/>
      <c r="R546" s="6"/>
      <c r="S546" s="6"/>
      <c r="T546" s="6"/>
      <c r="U546" s="6"/>
      <c r="V546" s="6"/>
      <c r="W546" s="6"/>
      <c r="X546" s="6"/>
      <c r="Y546" s="6"/>
      <c r="Z546" s="6"/>
      <c r="AA546" s="6"/>
      <c r="AB546" s="6"/>
      <c r="AC546" s="6"/>
      <c r="AD546" s="6"/>
      <c r="AE546" s="6"/>
    </row>
    <row r="547" spans="1:31" x14ac:dyDescent="0.35">
      <c r="A547" s="6">
        <v>547</v>
      </c>
      <c r="B547" s="6" t="s">
        <v>7</v>
      </c>
      <c r="C547" s="10" t="s">
        <v>2</v>
      </c>
      <c r="D547" s="9" t="s">
        <v>1693</v>
      </c>
      <c r="E547" s="7">
        <f t="shared" si="15"/>
        <v>0</v>
      </c>
      <c r="F547" s="7">
        <f>-1*ROUND(1/6*(I547*IF(_xlfn.XLOOKUP(H547,'02效果表'!D:D,'02效果表'!E:E)&lt;0, _xlfn.XLOOKUP(H547,'02效果表'!D:D,'02效果表'!E:E), 0) +
K547*IF(_xlfn.XLOOKUP(J547,'02效果表'!D:D,'02效果表'!E:E)&lt;0, _xlfn.XLOOKUP(J547,'02效果表'!D:D,'02效果表'!E:E), 0) +
M547*IF(_xlfn.XLOOKUP(L547,'02效果表'!D:D,'02效果表'!E:E)&lt;0, _xlfn.XLOOKUP(L547,'02效果表'!D:D,'02效果表'!E:E), 0) +
O547*IF(_xlfn.XLOOKUP(N547,'02效果表'!D:D,'02效果表'!E:E)&lt;0, _xlfn.XLOOKUP(N547,'02效果表'!D:D,'02效果表'!E:E), 0) +
Q547*IF(_xlfn.XLOOKUP(P547,'02效果表'!D:D,'02效果表'!E:E)&lt;0, _xlfn.XLOOKUP(P547,'02效果表'!D:D,'02效果表'!E:E), 0) +
S547*IF(_xlfn.XLOOKUP(R547,'02效果表'!D:D,'02效果表'!E:E)&lt;0, _xlfn.XLOOKUP(R547,'02效果表'!D:D,'02效果表'!E:E), 0) +
U547*IF(_xlfn.XLOOKUP(T547,'02效果表'!D:D,'02效果表'!E:E)&lt;0, _xlfn.XLOOKUP(T547,'02效果表'!D:D,'02效果表'!E:E), 0) +
W547*IF(_xlfn.XLOOKUP(V547,'02效果表'!D:D,'02效果表'!E:E)&lt;0, _xlfn.XLOOKUP(V547,'02效果表'!D:D,'02效果表'!E:E), 0) +
Y547*IF(_xlfn.XLOOKUP(X547,'02效果表'!D:D,'02效果表'!E:E)&lt;0, _xlfn.XLOOKUP(X547,'02效果表'!D:D,'02效果表'!E:E), 0) +
AA547*IF(_xlfn.XLOOKUP(Z547,'02效果表'!D:D,'02效果表'!E:E)&lt;0, _xlfn.XLOOKUP(Z547,'02效果表'!D:D,'02效果表'!E:E), 0) +
AC547*IF(_xlfn.XLOOKUP(AB547,'02效果表'!D:D,'02效果表'!E:E)&lt;0, _xlfn.XLOOKUP(AB547,'02效果表'!D:D,'02效果表'!E:E), 0) +
AE547*IF(_xlfn.XLOOKUP(AD547,'02效果表'!D:D,'02效果表'!E:E)&lt;0, _xlfn.XLOOKUP(AD547,'02效果表'!D:D,'02效果表'!E:E), 0)), 1)</f>
        <v>0</v>
      </c>
      <c r="G547" s="7">
        <f>ROUND(1/6*(I547*MAX(_xlfn.XLOOKUP(H547,'02效果表'!D:D,'02效果表'!E:E),0)+K547*MAX(_xlfn.XLOOKUP(J547,'02效果表'!D:D,'02效果表'!E:E),0)+M547*MAX(_xlfn.XLOOKUP(L547,'02效果表'!D:D,'02效果表'!E:E),0)+O547*MAX(_xlfn.XLOOKUP(N547,'02效果表'!D:D,'02效果表'!E:E),0)+Q547*MAX(_xlfn.XLOOKUP(P547,'02效果表'!D:D,'02效果表'!E:E),0)+S547*MAX(_xlfn.XLOOKUP(R547,'02效果表'!D:D,'02效果表'!E:E),0)+U547*MAX(_xlfn.XLOOKUP(T547,'02效果表'!D:D,'02效果表'!E:E),0)+W547*MAX(_xlfn.XLOOKUP(V547,'02效果表'!D:D,'02效果表'!E:E),0)+Y547*MAX(_xlfn.XLOOKUP(X547,'02效果表'!D:D,'02效果表'!E:E),0)+AA547*MAX(_xlfn.XLOOKUP(Z547,'02效果表'!D:D,'02效果表'!E:E),0)+AC547*MAX(_xlfn.XLOOKUP(AB547,'02效果表'!D:D,'02效果表'!E:E),0)+AE547*MAX(_xlfn.XLOOKUP(AD547,'02效果表'!D:D,'02效果表'!E:E),0)),1)</f>
        <v>0</v>
      </c>
      <c r="H547" s="6"/>
      <c r="I547" s="6"/>
      <c r="J547" s="6"/>
      <c r="K547" s="6"/>
      <c r="L547" s="6"/>
      <c r="M547" s="6"/>
      <c r="N547" s="6"/>
      <c r="O547" s="6"/>
      <c r="P547" s="6"/>
      <c r="Q547" s="6"/>
      <c r="R547" s="6"/>
      <c r="S547" s="6"/>
      <c r="T547" s="6"/>
      <c r="U547" s="6"/>
      <c r="V547" s="6"/>
      <c r="W547" s="6"/>
      <c r="X547" s="6"/>
      <c r="Y547" s="6"/>
      <c r="Z547" s="6"/>
      <c r="AA547" s="6"/>
      <c r="AB547" s="6"/>
      <c r="AC547" s="6"/>
      <c r="AD547" s="6"/>
      <c r="AE547" s="6"/>
    </row>
    <row r="548" spans="1:31" x14ac:dyDescent="0.35">
      <c r="A548" s="6">
        <v>548</v>
      </c>
      <c r="B548" s="6" t="s">
        <v>7</v>
      </c>
      <c r="C548" s="10" t="s">
        <v>2</v>
      </c>
      <c r="D548" s="9" t="s">
        <v>1694</v>
      </c>
      <c r="E548" s="7">
        <f t="shared" si="15"/>
        <v>0</v>
      </c>
      <c r="F548" s="7">
        <f>-1*ROUND(1/6*(I548*IF(_xlfn.XLOOKUP(H548,'02效果表'!D:D,'02效果表'!E:E)&lt;0, _xlfn.XLOOKUP(H548,'02效果表'!D:D,'02效果表'!E:E), 0) +
K548*IF(_xlfn.XLOOKUP(J548,'02效果表'!D:D,'02效果表'!E:E)&lt;0, _xlfn.XLOOKUP(J548,'02效果表'!D:D,'02效果表'!E:E), 0) +
M548*IF(_xlfn.XLOOKUP(L548,'02效果表'!D:D,'02效果表'!E:E)&lt;0, _xlfn.XLOOKUP(L548,'02效果表'!D:D,'02效果表'!E:E), 0) +
O548*IF(_xlfn.XLOOKUP(N548,'02效果表'!D:D,'02效果表'!E:E)&lt;0, _xlfn.XLOOKUP(N548,'02效果表'!D:D,'02效果表'!E:E), 0) +
Q548*IF(_xlfn.XLOOKUP(P548,'02效果表'!D:D,'02效果表'!E:E)&lt;0, _xlfn.XLOOKUP(P548,'02效果表'!D:D,'02效果表'!E:E), 0) +
S548*IF(_xlfn.XLOOKUP(R548,'02效果表'!D:D,'02效果表'!E:E)&lt;0, _xlfn.XLOOKUP(R548,'02效果表'!D:D,'02效果表'!E:E), 0) +
U548*IF(_xlfn.XLOOKUP(T548,'02效果表'!D:D,'02效果表'!E:E)&lt;0, _xlfn.XLOOKUP(T548,'02效果表'!D:D,'02效果表'!E:E), 0) +
W548*IF(_xlfn.XLOOKUP(V548,'02效果表'!D:D,'02效果表'!E:E)&lt;0, _xlfn.XLOOKUP(V548,'02效果表'!D:D,'02效果表'!E:E), 0) +
Y548*IF(_xlfn.XLOOKUP(X548,'02效果表'!D:D,'02效果表'!E:E)&lt;0, _xlfn.XLOOKUP(X548,'02效果表'!D:D,'02效果表'!E:E), 0) +
AA548*IF(_xlfn.XLOOKUP(Z548,'02效果表'!D:D,'02效果表'!E:E)&lt;0, _xlfn.XLOOKUP(Z548,'02效果表'!D:D,'02效果表'!E:E), 0) +
AC548*IF(_xlfn.XLOOKUP(AB548,'02效果表'!D:D,'02效果表'!E:E)&lt;0, _xlfn.XLOOKUP(AB548,'02效果表'!D:D,'02效果表'!E:E), 0) +
AE548*IF(_xlfn.XLOOKUP(AD548,'02效果表'!D:D,'02效果表'!E:E)&lt;0, _xlfn.XLOOKUP(AD548,'02效果表'!D:D,'02效果表'!E:E), 0)), 1)</f>
        <v>0</v>
      </c>
      <c r="G548" s="7">
        <f>ROUND(1/6*(I548*MAX(_xlfn.XLOOKUP(H548,'02效果表'!D:D,'02效果表'!E:E),0)+K548*MAX(_xlfn.XLOOKUP(J548,'02效果表'!D:D,'02效果表'!E:E),0)+M548*MAX(_xlfn.XLOOKUP(L548,'02效果表'!D:D,'02效果表'!E:E),0)+O548*MAX(_xlfn.XLOOKUP(N548,'02效果表'!D:D,'02效果表'!E:E),0)+Q548*MAX(_xlfn.XLOOKUP(P548,'02效果表'!D:D,'02效果表'!E:E),0)+S548*MAX(_xlfn.XLOOKUP(R548,'02效果表'!D:D,'02效果表'!E:E),0)+U548*MAX(_xlfn.XLOOKUP(T548,'02效果表'!D:D,'02效果表'!E:E),0)+W548*MAX(_xlfn.XLOOKUP(V548,'02效果表'!D:D,'02效果表'!E:E),0)+Y548*MAX(_xlfn.XLOOKUP(X548,'02效果表'!D:D,'02效果表'!E:E),0)+AA548*MAX(_xlfn.XLOOKUP(Z548,'02效果表'!D:D,'02效果表'!E:E),0)+AC548*MAX(_xlfn.XLOOKUP(AB548,'02效果表'!D:D,'02效果表'!E:E),0)+AE548*MAX(_xlfn.XLOOKUP(AD548,'02效果表'!D:D,'02效果表'!E:E),0)),1)</f>
        <v>0</v>
      </c>
      <c r="H548" s="6"/>
      <c r="I548" s="6"/>
      <c r="J548" s="6"/>
      <c r="K548" s="6"/>
      <c r="L548" s="6"/>
      <c r="M548" s="6"/>
      <c r="N548" s="6"/>
      <c r="O548" s="6"/>
      <c r="P548" s="6"/>
      <c r="Q548" s="6"/>
      <c r="R548" s="6"/>
      <c r="S548" s="6"/>
      <c r="T548" s="6"/>
      <c r="U548" s="6"/>
      <c r="V548" s="6"/>
      <c r="W548" s="6"/>
      <c r="X548" s="6"/>
      <c r="Y548" s="6"/>
      <c r="Z548" s="6"/>
      <c r="AA548" s="6"/>
      <c r="AB548" s="6"/>
      <c r="AC548" s="6"/>
      <c r="AD548" s="6"/>
      <c r="AE548" s="6"/>
    </row>
    <row r="549" spans="1:31" x14ac:dyDescent="0.35">
      <c r="A549" s="6">
        <v>549</v>
      </c>
      <c r="B549" s="6" t="s">
        <v>7</v>
      </c>
      <c r="C549" s="10" t="s">
        <v>2</v>
      </c>
      <c r="D549" s="9" t="s">
        <v>1695</v>
      </c>
      <c r="E549" s="7">
        <f t="shared" si="15"/>
        <v>0</v>
      </c>
      <c r="F549" s="7">
        <f>-1*ROUND(1/6*(I549*IF(_xlfn.XLOOKUP(H549,'02效果表'!D:D,'02效果表'!E:E)&lt;0, _xlfn.XLOOKUP(H549,'02效果表'!D:D,'02效果表'!E:E), 0) +
K549*IF(_xlfn.XLOOKUP(J549,'02效果表'!D:D,'02效果表'!E:E)&lt;0, _xlfn.XLOOKUP(J549,'02效果表'!D:D,'02效果表'!E:E), 0) +
M549*IF(_xlfn.XLOOKUP(L549,'02效果表'!D:D,'02效果表'!E:E)&lt;0, _xlfn.XLOOKUP(L549,'02效果表'!D:D,'02效果表'!E:E), 0) +
O549*IF(_xlfn.XLOOKUP(N549,'02效果表'!D:D,'02效果表'!E:E)&lt;0, _xlfn.XLOOKUP(N549,'02效果表'!D:D,'02效果表'!E:E), 0) +
Q549*IF(_xlfn.XLOOKUP(P549,'02效果表'!D:D,'02效果表'!E:E)&lt;0, _xlfn.XLOOKUP(P549,'02效果表'!D:D,'02效果表'!E:E), 0) +
S549*IF(_xlfn.XLOOKUP(R549,'02效果表'!D:D,'02效果表'!E:E)&lt;0, _xlfn.XLOOKUP(R549,'02效果表'!D:D,'02效果表'!E:E), 0) +
U549*IF(_xlfn.XLOOKUP(T549,'02效果表'!D:D,'02效果表'!E:E)&lt;0, _xlfn.XLOOKUP(T549,'02效果表'!D:D,'02效果表'!E:E), 0) +
W549*IF(_xlfn.XLOOKUP(V549,'02效果表'!D:D,'02效果表'!E:E)&lt;0, _xlfn.XLOOKUP(V549,'02效果表'!D:D,'02效果表'!E:E), 0) +
Y549*IF(_xlfn.XLOOKUP(X549,'02效果表'!D:D,'02效果表'!E:E)&lt;0, _xlfn.XLOOKUP(X549,'02效果表'!D:D,'02效果表'!E:E), 0) +
AA549*IF(_xlfn.XLOOKUP(Z549,'02效果表'!D:D,'02效果表'!E:E)&lt;0, _xlfn.XLOOKUP(Z549,'02效果表'!D:D,'02效果表'!E:E), 0) +
AC549*IF(_xlfn.XLOOKUP(AB549,'02效果表'!D:D,'02效果表'!E:E)&lt;0, _xlfn.XLOOKUP(AB549,'02效果表'!D:D,'02效果表'!E:E), 0) +
AE549*IF(_xlfn.XLOOKUP(AD549,'02效果表'!D:D,'02效果表'!E:E)&lt;0, _xlfn.XLOOKUP(AD549,'02效果表'!D:D,'02效果表'!E:E), 0)), 1)</f>
        <v>0</v>
      </c>
      <c r="G549" s="7">
        <f>ROUND(1/6*(I549*MAX(_xlfn.XLOOKUP(H549,'02效果表'!D:D,'02效果表'!E:E),0)+K549*MAX(_xlfn.XLOOKUP(J549,'02效果表'!D:D,'02效果表'!E:E),0)+M549*MAX(_xlfn.XLOOKUP(L549,'02效果表'!D:D,'02效果表'!E:E),0)+O549*MAX(_xlfn.XLOOKUP(N549,'02效果表'!D:D,'02效果表'!E:E),0)+Q549*MAX(_xlfn.XLOOKUP(P549,'02效果表'!D:D,'02效果表'!E:E),0)+S549*MAX(_xlfn.XLOOKUP(R549,'02效果表'!D:D,'02效果表'!E:E),0)+U549*MAX(_xlfn.XLOOKUP(T549,'02效果表'!D:D,'02效果表'!E:E),0)+W549*MAX(_xlfn.XLOOKUP(V549,'02效果表'!D:D,'02效果表'!E:E),0)+Y549*MAX(_xlfn.XLOOKUP(X549,'02效果表'!D:D,'02效果表'!E:E),0)+AA549*MAX(_xlfn.XLOOKUP(Z549,'02效果表'!D:D,'02效果表'!E:E),0)+AC549*MAX(_xlfn.XLOOKUP(AB549,'02效果表'!D:D,'02效果表'!E:E),0)+AE549*MAX(_xlfn.XLOOKUP(AD549,'02效果表'!D:D,'02效果表'!E:E),0)),1)</f>
        <v>0</v>
      </c>
      <c r="H549" s="6"/>
      <c r="I549" s="6"/>
      <c r="J549" s="6"/>
      <c r="K549" s="6"/>
      <c r="L549" s="6"/>
      <c r="M549" s="6"/>
      <c r="N549" s="6"/>
      <c r="O549" s="6"/>
      <c r="P549" s="6"/>
      <c r="Q549" s="6"/>
      <c r="R549" s="6"/>
      <c r="S549" s="6"/>
      <c r="T549" s="6"/>
      <c r="U549" s="6"/>
      <c r="V549" s="6"/>
      <c r="W549" s="6"/>
      <c r="X549" s="6"/>
      <c r="Y549" s="6"/>
      <c r="Z549" s="6"/>
      <c r="AA549" s="6"/>
      <c r="AB549" s="6"/>
      <c r="AC549" s="6"/>
      <c r="AD549" s="6"/>
      <c r="AE549" s="6"/>
    </row>
    <row r="550" spans="1:31" x14ac:dyDescent="0.35">
      <c r="A550" s="6">
        <v>550</v>
      </c>
      <c r="B550" s="6" t="s">
        <v>7</v>
      </c>
      <c r="C550" s="10" t="s">
        <v>2</v>
      </c>
      <c r="D550" s="9" t="s">
        <v>1696</v>
      </c>
      <c r="E550" s="7">
        <f t="shared" si="15"/>
        <v>0</v>
      </c>
      <c r="F550" s="7">
        <f>-1*ROUND(1/6*(I550*IF(_xlfn.XLOOKUP(H550,'02效果表'!D:D,'02效果表'!E:E)&lt;0, _xlfn.XLOOKUP(H550,'02效果表'!D:D,'02效果表'!E:E), 0) +
K550*IF(_xlfn.XLOOKUP(J550,'02效果表'!D:D,'02效果表'!E:E)&lt;0, _xlfn.XLOOKUP(J550,'02效果表'!D:D,'02效果表'!E:E), 0) +
M550*IF(_xlfn.XLOOKUP(L550,'02效果表'!D:D,'02效果表'!E:E)&lt;0, _xlfn.XLOOKUP(L550,'02效果表'!D:D,'02效果表'!E:E), 0) +
O550*IF(_xlfn.XLOOKUP(N550,'02效果表'!D:D,'02效果表'!E:E)&lt;0, _xlfn.XLOOKUP(N550,'02效果表'!D:D,'02效果表'!E:E), 0) +
Q550*IF(_xlfn.XLOOKUP(P550,'02效果表'!D:D,'02效果表'!E:E)&lt;0, _xlfn.XLOOKUP(P550,'02效果表'!D:D,'02效果表'!E:E), 0) +
S550*IF(_xlfn.XLOOKUP(R550,'02效果表'!D:D,'02效果表'!E:E)&lt;0, _xlfn.XLOOKUP(R550,'02效果表'!D:D,'02效果表'!E:E), 0) +
U550*IF(_xlfn.XLOOKUP(T550,'02效果表'!D:D,'02效果表'!E:E)&lt;0, _xlfn.XLOOKUP(T550,'02效果表'!D:D,'02效果表'!E:E), 0) +
W550*IF(_xlfn.XLOOKUP(V550,'02效果表'!D:D,'02效果表'!E:E)&lt;0, _xlfn.XLOOKUP(V550,'02效果表'!D:D,'02效果表'!E:E), 0) +
Y550*IF(_xlfn.XLOOKUP(X550,'02效果表'!D:D,'02效果表'!E:E)&lt;0, _xlfn.XLOOKUP(X550,'02效果表'!D:D,'02效果表'!E:E), 0) +
AA550*IF(_xlfn.XLOOKUP(Z550,'02效果表'!D:D,'02效果表'!E:E)&lt;0, _xlfn.XLOOKUP(Z550,'02效果表'!D:D,'02效果表'!E:E), 0) +
AC550*IF(_xlfn.XLOOKUP(AB550,'02效果表'!D:D,'02效果表'!E:E)&lt;0, _xlfn.XLOOKUP(AB550,'02效果表'!D:D,'02效果表'!E:E), 0) +
AE550*IF(_xlfn.XLOOKUP(AD550,'02效果表'!D:D,'02效果表'!E:E)&lt;0, _xlfn.XLOOKUP(AD550,'02效果表'!D:D,'02效果表'!E:E), 0)), 1)</f>
        <v>0</v>
      </c>
      <c r="G550" s="7">
        <f>ROUND(1/6*(I550*MAX(_xlfn.XLOOKUP(H550,'02效果表'!D:D,'02效果表'!E:E),0)+K550*MAX(_xlfn.XLOOKUP(J550,'02效果表'!D:D,'02效果表'!E:E),0)+M550*MAX(_xlfn.XLOOKUP(L550,'02效果表'!D:D,'02效果表'!E:E),0)+O550*MAX(_xlfn.XLOOKUP(N550,'02效果表'!D:D,'02效果表'!E:E),0)+Q550*MAX(_xlfn.XLOOKUP(P550,'02效果表'!D:D,'02效果表'!E:E),0)+S550*MAX(_xlfn.XLOOKUP(R550,'02效果表'!D:D,'02效果表'!E:E),0)+U550*MAX(_xlfn.XLOOKUP(T550,'02效果表'!D:D,'02效果表'!E:E),0)+W550*MAX(_xlfn.XLOOKUP(V550,'02效果表'!D:D,'02效果表'!E:E),0)+Y550*MAX(_xlfn.XLOOKUP(X550,'02效果表'!D:D,'02效果表'!E:E),0)+AA550*MAX(_xlfn.XLOOKUP(Z550,'02效果表'!D:D,'02效果表'!E:E),0)+AC550*MAX(_xlfn.XLOOKUP(AB550,'02效果表'!D:D,'02效果表'!E:E),0)+AE550*MAX(_xlfn.XLOOKUP(AD550,'02效果表'!D:D,'02效果表'!E:E),0)),1)</f>
        <v>0</v>
      </c>
      <c r="H550" s="6"/>
      <c r="I550" s="6"/>
      <c r="J550" s="6"/>
      <c r="K550" s="6"/>
      <c r="L550" s="6"/>
      <c r="M550" s="6"/>
      <c r="N550" s="6"/>
      <c r="O550" s="6"/>
      <c r="P550" s="6"/>
      <c r="Q550" s="6"/>
      <c r="R550" s="6"/>
      <c r="S550" s="6"/>
      <c r="T550" s="6"/>
      <c r="U550" s="6"/>
      <c r="V550" s="6"/>
      <c r="W550" s="6"/>
      <c r="X550" s="6"/>
      <c r="Y550" s="6"/>
      <c r="Z550" s="6"/>
      <c r="AA550" s="6"/>
      <c r="AB550" s="6"/>
      <c r="AC550" s="6"/>
      <c r="AD550" s="6"/>
      <c r="AE550" s="6"/>
    </row>
    <row r="551" spans="1:31" x14ac:dyDescent="0.35">
      <c r="A551" s="6">
        <v>551</v>
      </c>
      <c r="B551" s="6" t="s">
        <v>7</v>
      </c>
      <c r="C551" s="10" t="s">
        <v>2</v>
      </c>
      <c r="D551" s="9" t="s">
        <v>1697</v>
      </c>
      <c r="E551" s="7">
        <f t="shared" si="15"/>
        <v>0</v>
      </c>
      <c r="F551" s="7">
        <f>-1*ROUND(1/6*(I551*IF(_xlfn.XLOOKUP(H551,'02效果表'!D:D,'02效果表'!E:E)&lt;0, _xlfn.XLOOKUP(H551,'02效果表'!D:D,'02效果表'!E:E), 0) +
K551*IF(_xlfn.XLOOKUP(J551,'02效果表'!D:D,'02效果表'!E:E)&lt;0, _xlfn.XLOOKUP(J551,'02效果表'!D:D,'02效果表'!E:E), 0) +
M551*IF(_xlfn.XLOOKUP(L551,'02效果表'!D:D,'02效果表'!E:E)&lt;0, _xlfn.XLOOKUP(L551,'02效果表'!D:D,'02效果表'!E:E), 0) +
O551*IF(_xlfn.XLOOKUP(N551,'02效果表'!D:D,'02效果表'!E:E)&lt;0, _xlfn.XLOOKUP(N551,'02效果表'!D:D,'02效果表'!E:E), 0) +
Q551*IF(_xlfn.XLOOKUP(P551,'02效果表'!D:D,'02效果表'!E:E)&lt;0, _xlfn.XLOOKUP(P551,'02效果表'!D:D,'02效果表'!E:E), 0) +
S551*IF(_xlfn.XLOOKUP(R551,'02效果表'!D:D,'02效果表'!E:E)&lt;0, _xlfn.XLOOKUP(R551,'02效果表'!D:D,'02效果表'!E:E), 0) +
U551*IF(_xlfn.XLOOKUP(T551,'02效果表'!D:D,'02效果表'!E:E)&lt;0, _xlfn.XLOOKUP(T551,'02效果表'!D:D,'02效果表'!E:E), 0) +
W551*IF(_xlfn.XLOOKUP(V551,'02效果表'!D:D,'02效果表'!E:E)&lt;0, _xlfn.XLOOKUP(V551,'02效果表'!D:D,'02效果表'!E:E), 0) +
Y551*IF(_xlfn.XLOOKUP(X551,'02效果表'!D:D,'02效果表'!E:E)&lt;0, _xlfn.XLOOKUP(X551,'02效果表'!D:D,'02效果表'!E:E), 0) +
AA551*IF(_xlfn.XLOOKUP(Z551,'02效果表'!D:D,'02效果表'!E:E)&lt;0, _xlfn.XLOOKUP(Z551,'02效果表'!D:D,'02效果表'!E:E), 0) +
AC551*IF(_xlfn.XLOOKUP(AB551,'02效果表'!D:D,'02效果表'!E:E)&lt;0, _xlfn.XLOOKUP(AB551,'02效果表'!D:D,'02效果表'!E:E), 0) +
AE551*IF(_xlfn.XLOOKUP(AD551,'02效果表'!D:D,'02效果表'!E:E)&lt;0, _xlfn.XLOOKUP(AD551,'02效果表'!D:D,'02效果表'!E:E), 0)), 1)</f>
        <v>0</v>
      </c>
      <c r="G551" s="7">
        <f>ROUND(1/6*(I551*MAX(_xlfn.XLOOKUP(H551,'02效果表'!D:D,'02效果表'!E:E),0)+K551*MAX(_xlfn.XLOOKUP(J551,'02效果表'!D:D,'02效果表'!E:E),0)+M551*MAX(_xlfn.XLOOKUP(L551,'02效果表'!D:D,'02效果表'!E:E),0)+O551*MAX(_xlfn.XLOOKUP(N551,'02效果表'!D:D,'02效果表'!E:E),0)+Q551*MAX(_xlfn.XLOOKUP(P551,'02效果表'!D:D,'02效果表'!E:E),0)+S551*MAX(_xlfn.XLOOKUP(R551,'02效果表'!D:D,'02效果表'!E:E),0)+U551*MAX(_xlfn.XLOOKUP(T551,'02效果表'!D:D,'02效果表'!E:E),0)+W551*MAX(_xlfn.XLOOKUP(V551,'02效果表'!D:D,'02效果表'!E:E),0)+Y551*MAX(_xlfn.XLOOKUP(X551,'02效果表'!D:D,'02效果表'!E:E),0)+AA551*MAX(_xlfn.XLOOKUP(Z551,'02效果表'!D:D,'02效果表'!E:E),0)+AC551*MAX(_xlfn.XLOOKUP(AB551,'02效果表'!D:D,'02效果表'!E:E),0)+AE551*MAX(_xlfn.XLOOKUP(AD551,'02效果表'!D:D,'02效果表'!E:E),0)),1)</f>
        <v>0</v>
      </c>
      <c r="H551" s="6"/>
      <c r="I551" s="6"/>
      <c r="J551" s="6"/>
      <c r="K551" s="6"/>
      <c r="L551" s="6"/>
      <c r="M551" s="6"/>
      <c r="N551" s="6"/>
      <c r="O551" s="6"/>
      <c r="P551" s="6"/>
      <c r="Q551" s="6"/>
      <c r="R551" s="6"/>
      <c r="S551" s="6"/>
      <c r="T551" s="6"/>
      <c r="U551" s="6"/>
      <c r="V551" s="6"/>
      <c r="W551" s="6"/>
      <c r="X551" s="6"/>
      <c r="Y551" s="6"/>
      <c r="Z551" s="6"/>
      <c r="AA551" s="6"/>
      <c r="AB551" s="6"/>
      <c r="AC551" s="6"/>
      <c r="AD551" s="6"/>
      <c r="AE551" s="6"/>
    </row>
    <row r="552" spans="1:31" x14ac:dyDescent="0.35">
      <c r="A552" s="6">
        <v>552</v>
      </c>
      <c r="B552" s="6" t="s">
        <v>7</v>
      </c>
      <c r="C552" s="10" t="s">
        <v>2</v>
      </c>
      <c r="D552" s="9" t="s">
        <v>1698</v>
      </c>
      <c r="E552" s="7">
        <f t="shared" si="15"/>
        <v>0</v>
      </c>
      <c r="F552" s="7">
        <f>-1*ROUND(1/6*(I552*IF(_xlfn.XLOOKUP(H552,'02效果表'!D:D,'02效果表'!E:E)&lt;0, _xlfn.XLOOKUP(H552,'02效果表'!D:D,'02效果表'!E:E), 0) +
K552*IF(_xlfn.XLOOKUP(J552,'02效果表'!D:D,'02效果表'!E:E)&lt;0, _xlfn.XLOOKUP(J552,'02效果表'!D:D,'02效果表'!E:E), 0) +
M552*IF(_xlfn.XLOOKUP(L552,'02效果表'!D:D,'02效果表'!E:E)&lt;0, _xlfn.XLOOKUP(L552,'02效果表'!D:D,'02效果表'!E:E), 0) +
O552*IF(_xlfn.XLOOKUP(N552,'02效果表'!D:D,'02效果表'!E:E)&lt;0, _xlfn.XLOOKUP(N552,'02效果表'!D:D,'02效果表'!E:E), 0) +
Q552*IF(_xlfn.XLOOKUP(P552,'02效果表'!D:D,'02效果表'!E:E)&lt;0, _xlfn.XLOOKUP(P552,'02效果表'!D:D,'02效果表'!E:E), 0) +
S552*IF(_xlfn.XLOOKUP(R552,'02效果表'!D:D,'02效果表'!E:E)&lt;0, _xlfn.XLOOKUP(R552,'02效果表'!D:D,'02效果表'!E:E), 0) +
U552*IF(_xlfn.XLOOKUP(T552,'02效果表'!D:D,'02效果表'!E:E)&lt;0, _xlfn.XLOOKUP(T552,'02效果表'!D:D,'02效果表'!E:E), 0) +
W552*IF(_xlfn.XLOOKUP(V552,'02效果表'!D:D,'02效果表'!E:E)&lt;0, _xlfn.XLOOKUP(V552,'02效果表'!D:D,'02效果表'!E:E), 0) +
Y552*IF(_xlfn.XLOOKUP(X552,'02效果表'!D:D,'02效果表'!E:E)&lt;0, _xlfn.XLOOKUP(X552,'02效果表'!D:D,'02效果表'!E:E), 0) +
AA552*IF(_xlfn.XLOOKUP(Z552,'02效果表'!D:D,'02效果表'!E:E)&lt;0, _xlfn.XLOOKUP(Z552,'02效果表'!D:D,'02效果表'!E:E), 0) +
AC552*IF(_xlfn.XLOOKUP(AB552,'02效果表'!D:D,'02效果表'!E:E)&lt;0, _xlfn.XLOOKUP(AB552,'02效果表'!D:D,'02效果表'!E:E), 0) +
AE552*IF(_xlfn.XLOOKUP(AD552,'02效果表'!D:D,'02效果表'!E:E)&lt;0, _xlfn.XLOOKUP(AD552,'02效果表'!D:D,'02效果表'!E:E), 0)), 1)</f>
        <v>0</v>
      </c>
      <c r="G552" s="7">
        <f>ROUND(1/6*(I552*MAX(_xlfn.XLOOKUP(H552,'02效果表'!D:D,'02效果表'!E:E),0)+K552*MAX(_xlfn.XLOOKUP(J552,'02效果表'!D:D,'02效果表'!E:E),0)+M552*MAX(_xlfn.XLOOKUP(L552,'02效果表'!D:D,'02效果表'!E:E),0)+O552*MAX(_xlfn.XLOOKUP(N552,'02效果表'!D:D,'02效果表'!E:E),0)+Q552*MAX(_xlfn.XLOOKUP(P552,'02效果表'!D:D,'02效果表'!E:E),0)+S552*MAX(_xlfn.XLOOKUP(R552,'02效果表'!D:D,'02效果表'!E:E),0)+U552*MAX(_xlfn.XLOOKUP(T552,'02效果表'!D:D,'02效果表'!E:E),0)+W552*MAX(_xlfn.XLOOKUP(V552,'02效果表'!D:D,'02效果表'!E:E),0)+Y552*MAX(_xlfn.XLOOKUP(X552,'02效果表'!D:D,'02效果表'!E:E),0)+AA552*MAX(_xlfn.XLOOKUP(Z552,'02效果表'!D:D,'02效果表'!E:E),0)+AC552*MAX(_xlfn.XLOOKUP(AB552,'02效果表'!D:D,'02效果表'!E:E),0)+AE552*MAX(_xlfn.XLOOKUP(AD552,'02效果表'!D:D,'02效果表'!E:E),0)),1)</f>
        <v>0</v>
      </c>
      <c r="H552" s="6"/>
      <c r="I552" s="6"/>
      <c r="J552" s="6"/>
      <c r="K552" s="6"/>
      <c r="L552" s="6"/>
      <c r="M552" s="6"/>
      <c r="N552" s="6"/>
      <c r="O552" s="6"/>
      <c r="P552" s="6"/>
      <c r="Q552" s="6"/>
      <c r="R552" s="6"/>
      <c r="S552" s="6"/>
      <c r="T552" s="6"/>
      <c r="U552" s="6"/>
      <c r="V552" s="6"/>
      <c r="W552" s="6"/>
      <c r="X552" s="6"/>
      <c r="Y552" s="6"/>
      <c r="Z552" s="6"/>
      <c r="AA552" s="6"/>
      <c r="AB552" s="6"/>
      <c r="AC552" s="6"/>
      <c r="AD552" s="6"/>
      <c r="AE552" s="6"/>
    </row>
    <row r="553" spans="1:31" x14ac:dyDescent="0.35">
      <c r="A553" s="6">
        <v>553</v>
      </c>
      <c r="B553" s="6" t="s">
        <v>7</v>
      </c>
      <c r="C553" s="10" t="s">
        <v>2</v>
      </c>
      <c r="D553" s="9" t="s">
        <v>1699</v>
      </c>
      <c r="E553" s="7">
        <f t="shared" si="15"/>
        <v>0</v>
      </c>
      <c r="F553" s="7">
        <f>-1*ROUND(1/6*(I553*IF(_xlfn.XLOOKUP(H553,'02效果表'!D:D,'02效果表'!E:E)&lt;0, _xlfn.XLOOKUP(H553,'02效果表'!D:D,'02效果表'!E:E), 0) +
K553*IF(_xlfn.XLOOKUP(J553,'02效果表'!D:D,'02效果表'!E:E)&lt;0, _xlfn.XLOOKUP(J553,'02效果表'!D:D,'02效果表'!E:E), 0) +
M553*IF(_xlfn.XLOOKUP(L553,'02效果表'!D:D,'02效果表'!E:E)&lt;0, _xlfn.XLOOKUP(L553,'02效果表'!D:D,'02效果表'!E:E), 0) +
O553*IF(_xlfn.XLOOKUP(N553,'02效果表'!D:D,'02效果表'!E:E)&lt;0, _xlfn.XLOOKUP(N553,'02效果表'!D:D,'02效果表'!E:E), 0) +
Q553*IF(_xlfn.XLOOKUP(P553,'02效果表'!D:D,'02效果表'!E:E)&lt;0, _xlfn.XLOOKUP(P553,'02效果表'!D:D,'02效果表'!E:E), 0) +
S553*IF(_xlfn.XLOOKUP(R553,'02效果表'!D:D,'02效果表'!E:E)&lt;0, _xlfn.XLOOKUP(R553,'02效果表'!D:D,'02效果表'!E:E), 0) +
U553*IF(_xlfn.XLOOKUP(T553,'02效果表'!D:D,'02效果表'!E:E)&lt;0, _xlfn.XLOOKUP(T553,'02效果表'!D:D,'02效果表'!E:E), 0) +
W553*IF(_xlfn.XLOOKUP(V553,'02效果表'!D:D,'02效果表'!E:E)&lt;0, _xlfn.XLOOKUP(V553,'02效果表'!D:D,'02效果表'!E:E), 0) +
Y553*IF(_xlfn.XLOOKUP(X553,'02效果表'!D:D,'02效果表'!E:E)&lt;0, _xlfn.XLOOKUP(X553,'02效果表'!D:D,'02效果表'!E:E), 0) +
AA553*IF(_xlfn.XLOOKUP(Z553,'02效果表'!D:D,'02效果表'!E:E)&lt;0, _xlfn.XLOOKUP(Z553,'02效果表'!D:D,'02效果表'!E:E), 0) +
AC553*IF(_xlfn.XLOOKUP(AB553,'02效果表'!D:D,'02效果表'!E:E)&lt;0, _xlfn.XLOOKUP(AB553,'02效果表'!D:D,'02效果表'!E:E), 0) +
AE553*IF(_xlfn.XLOOKUP(AD553,'02效果表'!D:D,'02效果表'!E:E)&lt;0, _xlfn.XLOOKUP(AD553,'02效果表'!D:D,'02效果表'!E:E), 0)), 1)</f>
        <v>0</v>
      </c>
      <c r="G553" s="7">
        <f>ROUND(1/6*(I553*MAX(_xlfn.XLOOKUP(H553,'02效果表'!D:D,'02效果表'!E:E),0)+K553*MAX(_xlfn.XLOOKUP(J553,'02效果表'!D:D,'02效果表'!E:E),0)+M553*MAX(_xlfn.XLOOKUP(L553,'02效果表'!D:D,'02效果表'!E:E),0)+O553*MAX(_xlfn.XLOOKUP(N553,'02效果表'!D:D,'02效果表'!E:E),0)+Q553*MAX(_xlfn.XLOOKUP(P553,'02效果表'!D:D,'02效果表'!E:E),0)+S553*MAX(_xlfn.XLOOKUP(R553,'02效果表'!D:D,'02效果表'!E:E),0)+U553*MAX(_xlfn.XLOOKUP(T553,'02效果表'!D:D,'02效果表'!E:E),0)+W553*MAX(_xlfn.XLOOKUP(V553,'02效果表'!D:D,'02效果表'!E:E),0)+Y553*MAX(_xlfn.XLOOKUP(X553,'02效果表'!D:D,'02效果表'!E:E),0)+AA553*MAX(_xlfn.XLOOKUP(Z553,'02效果表'!D:D,'02效果表'!E:E),0)+AC553*MAX(_xlfn.XLOOKUP(AB553,'02效果表'!D:D,'02效果表'!E:E),0)+AE553*MAX(_xlfn.XLOOKUP(AD553,'02效果表'!D:D,'02效果表'!E:E),0)),1)</f>
        <v>0</v>
      </c>
      <c r="H553" s="6"/>
      <c r="I553" s="6"/>
      <c r="J553" s="6"/>
      <c r="K553" s="6"/>
      <c r="L553" s="6"/>
      <c r="M553" s="6"/>
      <c r="N553" s="6"/>
      <c r="O553" s="6"/>
      <c r="P553" s="6"/>
      <c r="Q553" s="6"/>
      <c r="R553" s="6"/>
      <c r="S553" s="6"/>
      <c r="T553" s="6"/>
      <c r="U553" s="6"/>
      <c r="V553" s="6"/>
      <c r="W553" s="6"/>
      <c r="X553" s="6"/>
      <c r="Y553" s="6"/>
      <c r="Z553" s="6"/>
      <c r="AA553" s="6"/>
      <c r="AB553" s="6"/>
      <c r="AC553" s="6"/>
      <c r="AD553" s="6"/>
      <c r="AE553" s="6"/>
    </row>
    <row r="554" spans="1:31" x14ac:dyDescent="0.35">
      <c r="A554" s="6">
        <v>554</v>
      </c>
      <c r="B554" s="6" t="s">
        <v>7</v>
      </c>
      <c r="C554" s="10" t="s">
        <v>2</v>
      </c>
      <c r="D554" s="9" t="s">
        <v>1700</v>
      </c>
      <c r="E554" s="7">
        <f t="shared" si="15"/>
        <v>0</v>
      </c>
      <c r="F554" s="7">
        <f>-1*ROUND(1/6*(I554*IF(_xlfn.XLOOKUP(H554,'02效果表'!D:D,'02效果表'!E:E)&lt;0, _xlfn.XLOOKUP(H554,'02效果表'!D:D,'02效果表'!E:E), 0) +
K554*IF(_xlfn.XLOOKUP(J554,'02效果表'!D:D,'02效果表'!E:E)&lt;0, _xlfn.XLOOKUP(J554,'02效果表'!D:D,'02效果表'!E:E), 0) +
M554*IF(_xlfn.XLOOKUP(L554,'02效果表'!D:D,'02效果表'!E:E)&lt;0, _xlfn.XLOOKUP(L554,'02效果表'!D:D,'02效果表'!E:E), 0) +
O554*IF(_xlfn.XLOOKUP(N554,'02效果表'!D:D,'02效果表'!E:E)&lt;0, _xlfn.XLOOKUP(N554,'02效果表'!D:D,'02效果表'!E:E), 0) +
Q554*IF(_xlfn.XLOOKUP(P554,'02效果表'!D:D,'02效果表'!E:E)&lt;0, _xlfn.XLOOKUP(P554,'02效果表'!D:D,'02效果表'!E:E), 0) +
S554*IF(_xlfn.XLOOKUP(R554,'02效果表'!D:D,'02效果表'!E:E)&lt;0, _xlfn.XLOOKUP(R554,'02效果表'!D:D,'02效果表'!E:E), 0) +
U554*IF(_xlfn.XLOOKUP(T554,'02效果表'!D:D,'02效果表'!E:E)&lt;0, _xlfn.XLOOKUP(T554,'02效果表'!D:D,'02效果表'!E:E), 0) +
W554*IF(_xlfn.XLOOKUP(V554,'02效果表'!D:D,'02效果表'!E:E)&lt;0, _xlfn.XLOOKUP(V554,'02效果表'!D:D,'02效果表'!E:E), 0) +
Y554*IF(_xlfn.XLOOKUP(X554,'02效果表'!D:D,'02效果表'!E:E)&lt;0, _xlfn.XLOOKUP(X554,'02效果表'!D:D,'02效果表'!E:E), 0) +
AA554*IF(_xlfn.XLOOKUP(Z554,'02效果表'!D:D,'02效果表'!E:E)&lt;0, _xlfn.XLOOKUP(Z554,'02效果表'!D:D,'02效果表'!E:E), 0) +
AC554*IF(_xlfn.XLOOKUP(AB554,'02效果表'!D:D,'02效果表'!E:E)&lt;0, _xlfn.XLOOKUP(AB554,'02效果表'!D:D,'02效果表'!E:E), 0) +
AE554*IF(_xlfn.XLOOKUP(AD554,'02效果表'!D:D,'02效果表'!E:E)&lt;0, _xlfn.XLOOKUP(AD554,'02效果表'!D:D,'02效果表'!E:E), 0)), 1)</f>
        <v>0</v>
      </c>
      <c r="G554" s="7">
        <f>ROUND(1/6*(I554*MAX(_xlfn.XLOOKUP(H554,'02效果表'!D:D,'02效果表'!E:E),0)+K554*MAX(_xlfn.XLOOKUP(J554,'02效果表'!D:D,'02效果表'!E:E),0)+M554*MAX(_xlfn.XLOOKUP(L554,'02效果表'!D:D,'02效果表'!E:E),0)+O554*MAX(_xlfn.XLOOKUP(N554,'02效果表'!D:D,'02效果表'!E:E),0)+Q554*MAX(_xlfn.XLOOKUP(P554,'02效果表'!D:D,'02效果表'!E:E),0)+S554*MAX(_xlfn.XLOOKUP(R554,'02效果表'!D:D,'02效果表'!E:E),0)+U554*MAX(_xlfn.XLOOKUP(T554,'02效果表'!D:D,'02效果表'!E:E),0)+W554*MAX(_xlfn.XLOOKUP(V554,'02效果表'!D:D,'02效果表'!E:E),0)+Y554*MAX(_xlfn.XLOOKUP(X554,'02效果表'!D:D,'02效果表'!E:E),0)+AA554*MAX(_xlfn.XLOOKUP(Z554,'02效果表'!D:D,'02效果表'!E:E),0)+AC554*MAX(_xlfn.XLOOKUP(AB554,'02效果表'!D:D,'02效果表'!E:E),0)+AE554*MAX(_xlfn.XLOOKUP(AD554,'02效果表'!D:D,'02效果表'!E:E),0)),1)</f>
        <v>0</v>
      </c>
      <c r="H554" s="6"/>
      <c r="I554" s="6"/>
      <c r="J554" s="6"/>
      <c r="K554" s="6"/>
      <c r="L554" s="6"/>
      <c r="M554" s="6"/>
      <c r="N554" s="6"/>
      <c r="O554" s="6"/>
      <c r="P554" s="6"/>
      <c r="Q554" s="6"/>
      <c r="R554" s="6"/>
      <c r="S554" s="6"/>
      <c r="T554" s="6"/>
      <c r="U554" s="6"/>
      <c r="V554" s="6"/>
      <c r="W554" s="6"/>
      <c r="X554" s="6"/>
      <c r="Y554" s="6"/>
      <c r="Z554" s="6"/>
      <c r="AA554" s="6"/>
      <c r="AB554" s="6"/>
      <c r="AC554" s="6"/>
      <c r="AD554" s="6"/>
      <c r="AE554" s="6"/>
    </row>
    <row r="555" spans="1:31" x14ac:dyDescent="0.35">
      <c r="A555" s="6">
        <v>555</v>
      </c>
      <c r="B555" s="6" t="s">
        <v>7</v>
      </c>
      <c r="C555" s="10" t="s">
        <v>2</v>
      </c>
      <c r="D555" s="9" t="s">
        <v>1701</v>
      </c>
      <c r="E555" s="7">
        <f t="shared" si="15"/>
        <v>0</v>
      </c>
      <c r="F555" s="7">
        <f>-1*ROUND(1/6*(I555*IF(_xlfn.XLOOKUP(H555,'02效果表'!D:D,'02效果表'!E:E)&lt;0, _xlfn.XLOOKUP(H555,'02效果表'!D:D,'02效果表'!E:E), 0) +
K555*IF(_xlfn.XLOOKUP(J555,'02效果表'!D:D,'02效果表'!E:E)&lt;0, _xlfn.XLOOKUP(J555,'02效果表'!D:D,'02效果表'!E:E), 0) +
M555*IF(_xlfn.XLOOKUP(L555,'02效果表'!D:D,'02效果表'!E:E)&lt;0, _xlfn.XLOOKUP(L555,'02效果表'!D:D,'02效果表'!E:E), 0) +
O555*IF(_xlfn.XLOOKUP(N555,'02效果表'!D:D,'02效果表'!E:E)&lt;0, _xlfn.XLOOKUP(N555,'02效果表'!D:D,'02效果表'!E:E), 0) +
Q555*IF(_xlfn.XLOOKUP(P555,'02效果表'!D:D,'02效果表'!E:E)&lt;0, _xlfn.XLOOKUP(P555,'02效果表'!D:D,'02效果表'!E:E), 0) +
S555*IF(_xlfn.XLOOKUP(R555,'02效果表'!D:D,'02效果表'!E:E)&lt;0, _xlfn.XLOOKUP(R555,'02效果表'!D:D,'02效果表'!E:E), 0) +
U555*IF(_xlfn.XLOOKUP(T555,'02效果表'!D:D,'02效果表'!E:E)&lt;0, _xlfn.XLOOKUP(T555,'02效果表'!D:D,'02效果表'!E:E), 0) +
W555*IF(_xlfn.XLOOKUP(V555,'02效果表'!D:D,'02效果表'!E:E)&lt;0, _xlfn.XLOOKUP(V555,'02效果表'!D:D,'02效果表'!E:E), 0) +
Y555*IF(_xlfn.XLOOKUP(X555,'02效果表'!D:D,'02效果表'!E:E)&lt;0, _xlfn.XLOOKUP(X555,'02效果表'!D:D,'02效果表'!E:E), 0) +
AA555*IF(_xlfn.XLOOKUP(Z555,'02效果表'!D:D,'02效果表'!E:E)&lt;0, _xlfn.XLOOKUP(Z555,'02效果表'!D:D,'02效果表'!E:E), 0) +
AC555*IF(_xlfn.XLOOKUP(AB555,'02效果表'!D:D,'02效果表'!E:E)&lt;0, _xlfn.XLOOKUP(AB555,'02效果表'!D:D,'02效果表'!E:E), 0) +
AE555*IF(_xlfn.XLOOKUP(AD555,'02效果表'!D:D,'02效果表'!E:E)&lt;0, _xlfn.XLOOKUP(AD555,'02效果表'!D:D,'02效果表'!E:E), 0)), 1)</f>
        <v>0</v>
      </c>
      <c r="G555" s="7">
        <f>ROUND(1/6*(I555*MAX(_xlfn.XLOOKUP(H555,'02效果表'!D:D,'02效果表'!E:E),0)+K555*MAX(_xlfn.XLOOKUP(J555,'02效果表'!D:D,'02效果表'!E:E),0)+M555*MAX(_xlfn.XLOOKUP(L555,'02效果表'!D:D,'02效果表'!E:E),0)+O555*MAX(_xlfn.XLOOKUP(N555,'02效果表'!D:D,'02效果表'!E:E),0)+Q555*MAX(_xlfn.XLOOKUP(P555,'02效果表'!D:D,'02效果表'!E:E),0)+S555*MAX(_xlfn.XLOOKUP(R555,'02效果表'!D:D,'02效果表'!E:E),0)+U555*MAX(_xlfn.XLOOKUP(T555,'02效果表'!D:D,'02效果表'!E:E),0)+W555*MAX(_xlfn.XLOOKUP(V555,'02效果表'!D:D,'02效果表'!E:E),0)+Y555*MAX(_xlfn.XLOOKUP(X555,'02效果表'!D:D,'02效果表'!E:E),0)+AA555*MAX(_xlfn.XLOOKUP(Z555,'02效果表'!D:D,'02效果表'!E:E),0)+AC555*MAX(_xlfn.XLOOKUP(AB555,'02效果表'!D:D,'02效果表'!E:E),0)+AE555*MAX(_xlfn.XLOOKUP(AD555,'02效果表'!D:D,'02效果表'!E:E),0)),1)</f>
        <v>0</v>
      </c>
      <c r="H555" s="6"/>
      <c r="I555" s="6"/>
      <c r="J555" s="6"/>
      <c r="K555" s="6"/>
      <c r="L555" s="6"/>
      <c r="M555" s="6"/>
      <c r="N555" s="6"/>
      <c r="O555" s="6"/>
      <c r="P555" s="6"/>
      <c r="Q555" s="6"/>
      <c r="R555" s="6"/>
      <c r="S555" s="6"/>
      <c r="T555" s="6"/>
      <c r="U555" s="6"/>
      <c r="V555" s="6"/>
      <c r="W555" s="6"/>
      <c r="X555" s="6"/>
      <c r="Y555" s="6"/>
      <c r="Z555" s="6"/>
      <c r="AA555" s="6"/>
      <c r="AB555" s="6"/>
      <c r="AC555" s="6"/>
      <c r="AD555" s="6"/>
      <c r="AE555" s="6"/>
    </row>
    <row r="556" spans="1:31" x14ac:dyDescent="0.35">
      <c r="A556" s="6">
        <v>556</v>
      </c>
      <c r="B556" s="6" t="s">
        <v>7</v>
      </c>
      <c r="C556" s="10" t="s">
        <v>2</v>
      </c>
      <c r="D556" s="9" t="s">
        <v>1702</v>
      </c>
      <c r="E556" s="7">
        <f t="shared" si="15"/>
        <v>0</v>
      </c>
      <c r="F556" s="7">
        <f>-1*ROUND(1/6*(I556*IF(_xlfn.XLOOKUP(H556,'02效果表'!D:D,'02效果表'!E:E)&lt;0, _xlfn.XLOOKUP(H556,'02效果表'!D:D,'02效果表'!E:E), 0) +
K556*IF(_xlfn.XLOOKUP(J556,'02效果表'!D:D,'02效果表'!E:E)&lt;0, _xlfn.XLOOKUP(J556,'02效果表'!D:D,'02效果表'!E:E), 0) +
M556*IF(_xlfn.XLOOKUP(L556,'02效果表'!D:D,'02效果表'!E:E)&lt;0, _xlfn.XLOOKUP(L556,'02效果表'!D:D,'02效果表'!E:E), 0) +
O556*IF(_xlfn.XLOOKUP(N556,'02效果表'!D:D,'02效果表'!E:E)&lt;0, _xlfn.XLOOKUP(N556,'02效果表'!D:D,'02效果表'!E:E), 0) +
Q556*IF(_xlfn.XLOOKUP(P556,'02效果表'!D:D,'02效果表'!E:E)&lt;0, _xlfn.XLOOKUP(P556,'02效果表'!D:D,'02效果表'!E:E), 0) +
S556*IF(_xlfn.XLOOKUP(R556,'02效果表'!D:D,'02效果表'!E:E)&lt;0, _xlfn.XLOOKUP(R556,'02效果表'!D:D,'02效果表'!E:E), 0) +
U556*IF(_xlfn.XLOOKUP(T556,'02效果表'!D:D,'02效果表'!E:E)&lt;0, _xlfn.XLOOKUP(T556,'02效果表'!D:D,'02效果表'!E:E), 0) +
W556*IF(_xlfn.XLOOKUP(V556,'02效果表'!D:D,'02效果表'!E:E)&lt;0, _xlfn.XLOOKUP(V556,'02效果表'!D:D,'02效果表'!E:E), 0) +
Y556*IF(_xlfn.XLOOKUP(X556,'02效果表'!D:D,'02效果表'!E:E)&lt;0, _xlfn.XLOOKUP(X556,'02效果表'!D:D,'02效果表'!E:E), 0) +
AA556*IF(_xlfn.XLOOKUP(Z556,'02效果表'!D:D,'02效果表'!E:E)&lt;0, _xlfn.XLOOKUP(Z556,'02效果表'!D:D,'02效果表'!E:E), 0) +
AC556*IF(_xlfn.XLOOKUP(AB556,'02效果表'!D:D,'02效果表'!E:E)&lt;0, _xlfn.XLOOKUP(AB556,'02效果表'!D:D,'02效果表'!E:E), 0) +
AE556*IF(_xlfn.XLOOKUP(AD556,'02效果表'!D:D,'02效果表'!E:E)&lt;0, _xlfn.XLOOKUP(AD556,'02效果表'!D:D,'02效果表'!E:E), 0)), 1)</f>
        <v>0</v>
      </c>
      <c r="G556" s="7">
        <f>ROUND(1/6*(I556*MAX(_xlfn.XLOOKUP(H556,'02效果表'!D:D,'02效果表'!E:E),0)+K556*MAX(_xlfn.XLOOKUP(J556,'02效果表'!D:D,'02效果表'!E:E),0)+M556*MAX(_xlfn.XLOOKUP(L556,'02效果表'!D:D,'02效果表'!E:E),0)+O556*MAX(_xlfn.XLOOKUP(N556,'02效果表'!D:D,'02效果表'!E:E),0)+Q556*MAX(_xlfn.XLOOKUP(P556,'02效果表'!D:D,'02效果表'!E:E),0)+S556*MAX(_xlfn.XLOOKUP(R556,'02效果表'!D:D,'02效果表'!E:E),0)+U556*MAX(_xlfn.XLOOKUP(T556,'02效果表'!D:D,'02效果表'!E:E),0)+W556*MAX(_xlfn.XLOOKUP(V556,'02效果表'!D:D,'02效果表'!E:E),0)+Y556*MAX(_xlfn.XLOOKUP(X556,'02效果表'!D:D,'02效果表'!E:E),0)+AA556*MAX(_xlfn.XLOOKUP(Z556,'02效果表'!D:D,'02效果表'!E:E),0)+AC556*MAX(_xlfn.XLOOKUP(AB556,'02效果表'!D:D,'02效果表'!E:E),0)+AE556*MAX(_xlfn.XLOOKUP(AD556,'02效果表'!D:D,'02效果表'!E:E),0)),1)</f>
        <v>0</v>
      </c>
      <c r="H556" s="6"/>
      <c r="I556" s="6"/>
      <c r="J556" s="6"/>
      <c r="K556" s="6"/>
      <c r="L556" s="6"/>
      <c r="M556" s="6"/>
      <c r="N556" s="6"/>
      <c r="O556" s="6"/>
      <c r="P556" s="6"/>
      <c r="Q556" s="6"/>
      <c r="R556" s="6"/>
      <c r="S556" s="6"/>
      <c r="T556" s="6"/>
      <c r="U556" s="6"/>
      <c r="V556" s="6"/>
      <c r="W556" s="6"/>
      <c r="X556" s="6"/>
      <c r="Y556" s="6"/>
      <c r="Z556" s="6"/>
      <c r="AA556" s="6"/>
      <c r="AB556" s="6"/>
      <c r="AC556" s="6"/>
      <c r="AD556" s="6"/>
      <c r="AE556" s="6"/>
    </row>
    <row r="557" spans="1:31" x14ac:dyDescent="0.35">
      <c r="A557" s="6">
        <v>557</v>
      </c>
      <c r="B557" s="6" t="s">
        <v>7</v>
      </c>
      <c r="C557" s="10" t="s">
        <v>2</v>
      </c>
      <c r="D557" s="9" t="s">
        <v>1703</v>
      </c>
      <c r="E557" s="7">
        <f t="shared" si="15"/>
        <v>0</v>
      </c>
      <c r="F557" s="7">
        <f>-1*ROUND(1/6*(I557*IF(_xlfn.XLOOKUP(H557,'02效果表'!D:D,'02效果表'!E:E)&lt;0, _xlfn.XLOOKUP(H557,'02效果表'!D:D,'02效果表'!E:E), 0) +
K557*IF(_xlfn.XLOOKUP(J557,'02效果表'!D:D,'02效果表'!E:E)&lt;0, _xlfn.XLOOKUP(J557,'02效果表'!D:D,'02效果表'!E:E), 0) +
M557*IF(_xlfn.XLOOKUP(L557,'02效果表'!D:D,'02效果表'!E:E)&lt;0, _xlfn.XLOOKUP(L557,'02效果表'!D:D,'02效果表'!E:E), 0) +
O557*IF(_xlfn.XLOOKUP(N557,'02效果表'!D:D,'02效果表'!E:E)&lt;0, _xlfn.XLOOKUP(N557,'02效果表'!D:D,'02效果表'!E:E), 0) +
Q557*IF(_xlfn.XLOOKUP(P557,'02效果表'!D:D,'02效果表'!E:E)&lt;0, _xlfn.XLOOKUP(P557,'02效果表'!D:D,'02效果表'!E:E), 0) +
S557*IF(_xlfn.XLOOKUP(R557,'02效果表'!D:D,'02效果表'!E:E)&lt;0, _xlfn.XLOOKUP(R557,'02效果表'!D:D,'02效果表'!E:E), 0) +
U557*IF(_xlfn.XLOOKUP(T557,'02效果表'!D:D,'02效果表'!E:E)&lt;0, _xlfn.XLOOKUP(T557,'02效果表'!D:D,'02效果表'!E:E), 0) +
W557*IF(_xlfn.XLOOKUP(V557,'02效果表'!D:D,'02效果表'!E:E)&lt;0, _xlfn.XLOOKUP(V557,'02效果表'!D:D,'02效果表'!E:E), 0) +
Y557*IF(_xlfn.XLOOKUP(X557,'02效果表'!D:D,'02效果表'!E:E)&lt;0, _xlfn.XLOOKUP(X557,'02效果表'!D:D,'02效果表'!E:E), 0) +
AA557*IF(_xlfn.XLOOKUP(Z557,'02效果表'!D:D,'02效果表'!E:E)&lt;0, _xlfn.XLOOKUP(Z557,'02效果表'!D:D,'02效果表'!E:E), 0) +
AC557*IF(_xlfn.XLOOKUP(AB557,'02效果表'!D:D,'02效果表'!E:E)&lt;0, _xlfn.XLOOKUP(AB557,'02效果表'!D:D,'02效果表'!E:E), 0) +
AE557*IF(_xlfn.XLOOKUP(AD557,'02效果表'!D:D,'02效果表'!E:E)&lt;0, _xlfn.XLOOKUP(AD557,'02效果表'!D:D,'02效果表'!E:E), 0)), 1)</f>
        <v>0</v>
      </c>
      <c r="G557" s="7">
        <f>ROUND(1/6*(I557*MAX(_xlfn.XLOOKUP(H557,'02效果表'!D:D,'02效果表'!E:E),0)+K557*MAX(_xlfn.XLOOKUP(J557,'02效果表'!D:D,'02效果表'!E:E),0)+M557*MAX(_xlfn.XLOOKUP(L557,'02效果表'!D:D,'02效果表'!E:E),0)+O557*MAX(_xlfn.XLOOKUP(N557,'02效果表'!D:D,'02效果表'!E:E),0)+Q557*MAX(_xlfn.XLOOKUP(P557,'02效果表'!D:D,'02效果表'!E:E),0)+S557*MAX(_xlfn.XLOOKUP(R557,'02效果表'!D:D,'02效果表'!E:E),0)+U557*MAX(_xlfn.XLOOKUP(T557,'02效果表'!D:D,'02效果表'!E:E),0)+W557*MAX(_xlfn.XLOOKUP(V557,'02效果表'!D:D,'02效果表'!E:E),0)+Y557*MAX(_xlfn.XLOOKUP(X557,'02效果表'!D:D,'02效果表'!E:E),0)+AA557*MAX(_xlfn.XLOOKUP(Z557,'02效果表'!D:D,'02效果表'!E:E),0)+AC557*MAX(_xlfn.XLOOKUP(AB557,'02效果表'!D:D,'02效果表'!E:E),0)+AE557*MAX(_xlfn.XLOOKUP(AD557,'02效果表'!D:D,'02效果表'!E:E),0)),1)</f>
        <v>0</v>
      </c>
      <c r="H557" s="6"/>
      <c r="I557" s="6"/>
      <c r="J557" s="6"/>
      <c r="K557" s="6"/>
      <c r="L557" s="6"/>
      <c r="M557" s="6"/>
      <c r="N557" s="6"/>
      <c r="O557" s="6"/>
      <c r="P557" s="6"/>
      <c r="Q557" s="6"/>
      <c r="R557" s="6"/>
      <c r="S557" s="6"/>
      <c r="T557" s="6"/>
      <c r="U557" s="6"/>
      <c r="V557" s="6"/>
      <c r="W557" s="6"/>
      <c r="X557" s="6"/>
      <c r="Y557" s="6"/>
      <c r="Z557" s="6"/>
      <c r="AA557" s="6"/>
      <c r="AB557" s="6"/>
      <c r="AC557" s="6"/>
      <c r="AD557" s="6"/>
      <c r="AE557" s="6"/>
    </row>
    <row r="558" spans="1:31" x14ac:dyDescent="0.35">
      <c r="A558" s="6">
        <v>558</v>
      </c>
      <c r="B558" s="6" t="s">
        <v>7</v>
      </c>
      <c r="C558" s="10" t="s">
        <v>2</v>
      </c>
      <c r="D558" s="9" t="s">
        <v>1704</v>
      </c>
      <c r="E558" s="7">
        <f t="shared" si="15"/>
        <v>0</v>
      </c>
      <c r="F558" s="7">
        <f>-1*ROUND(1/6*(I558*IF(_xlfn.XLOOKUP(H558,'02效果表'!D:D,'02效果表'!E:E)&lt;0, _xlfn.XLOOKUP(H558,'02效果表'!D:D,'02效果表'!E:E), 0) +
K558*IF(_xlfn.XLOOKUP(J558,'02效果表'!D:D,'02效果表'!E:E)&lt;0, _xlfn.XLOOKUP(J558,'02效果表'!D:D,'02效果表'!E:E), 0) +
M558*IF(_xlfn.XLOOKUP(L558,'02效果表'!D:D,'02效果表'!E:E)&lt;0, _xlfn.XLOOKUP(L558,'02效果表'!D:D,'02效果表'!E:E), 0) +
O558*IF(_xlfn.XLOOKUP(N558,'02效果表'!D:D,'02效果表'!E:E)&lt;0, _xlfn.XLOOKUP(N558,'02效果表'!D:D,'02效果表'!E:E), 0) +
Q558*IF(_xlfn.XLOOKUP(P558,'02效果表'!D:D,'02效果表'!E:E)&lt;0, _xlfn.XLOOKUP(P558,'02效果表'!D:D,'02效果表'!E:E), 0) +
S558*IF(_xlfn.XLOOKUP(R558,'02效果表'!D:D,'02效果表'!E:E)&lt;0, _xlfn.XLOOKUP(R558,'02效果表'!D:D,'02效果表'!E:E), 0) +
U558*IF(_xlfn.XLOOKUP(T558,'02效果表'!D:D,'02效果表'!E:E)&lt;0, _xlfn.XLOOKUP(T558,'02效果表'!D:D,'02效果表'!E:E), 0) +
W558*IF(_xlfn.XLOOKUP(V558,'02效果表'!D:D,'02效果表'!E:E)&lt;0, _xlfn.XLOOKUP(V558,'02效果表'!D:D,'02效果表'!E:E), 0) +
Y558*IF(_xlfn.XLOOKUP(X558,'02效果表'!D:D,'02效果表'!E:E)&lt;0, _xlfn.XLOOKUP(X558,'02效果表'!D:D,'02效果表'!E:E), 0) +
AA558*IF(_xlfn.XLOOKUP(Z558,'02效果表'!D:D,'02效果表'!E:E)&lt;0, _xlfn.XLOOKUP(Z558,'02效果表'!D:D,'02效果表'!E:E), 0) +
AC558*IF(_xlfn.XLOOKUP(AB558,'02效果表'!D:D,'02效果表'!E:E)&lt;0, _xlfn.XLOOKUP(AB558,'02效果表'!D:D,'02效果表'!E:E), 0) +
AE558*IF(_xlfn.XLOOKUP(AD558,'02效果表'!D:D,'02效果表'!E:E)&lt;0, _xlfn.XLOOKUP(AD558,'02效果表'!D:D,'02效果表'!E:E), 0)), 1)</f>
        <v>0</v>
      </c>
      <c r="G558" s="7">
        <f>ROUND(1/6*(I558*MAX(_xlfn.XLOOKUP(H558,'02效果表'!D:D,'02效果表'!E:E),0)+K558*MAX(_xlfn.XLOOKUP(J558,'02效果表'!D:D,'02效果表'!E:E),0)+M558*MAX(_xlfn.XLOOKUP(L558,'02效果表'!D:D,'02效果表'!E:E),0)+O558*MAX(_xlfn.XLOOKUP(N558,'02效果表'!D:D,'02效果表'!E:E),0)+Q558*MAX(_xlfn.XLOOKUP(P558,'02效果表'!D:D,'02效果表'!E:E),0)+S558*MAX(_xlfn.XLOOKUP(R558,'02效果表'!D:D,'02效果表'!E:E),0)+U558*MAX(_xlfn.XLOOKUP(T558,'02效果表'!D:D,'02效果表'!E:E),0)+W558*MAX(_xlfn.XLOOKUP(V558,'02效果表'!D:D,'02效果表'!E:E),0)+Y558*MAX(_xlfn.XLOOKUP(X558,'02效果表'!D:D,'02效果表'!E:E),0)+AA558*MAX(_xlfn.XLOOKUP(Z558,'02效果表'!D:D,'02效果表'!E:E),0)+AC558*MAX(_xlfn.XLOOKUP(AB558,'02效果表'!D:D,'02效果表'!E:E),0)+AE558*MAX(_xlfn.XLOOKUP(AD558,'02效果表'!D:D,'02效果表'!E:E),0)),1)</f>
        <v>0</v>
      </c>
      <c r="H558" s="6"/>
      <c r="I558" s="6"/>
      <c r="J558" s="6"/>
      <c r="K558" s="6"/>
      <c r="L558" s="6"/>
      <c r="M558" s="6"/>
      <c r="N558" s="6"/>
      <c r="O558" s="6"/>
      <c r="P558" s="6"/>
      <c r="Q558" s="6"/>
      <c r="R558" s="6"/>
      <c r="S558" s="6"/>
      <c r="T558" s="6"/>
      <c r="U558" s="6"/>
      <c r="V558" s="6"/>
      <c r="W558" s="6"/>
      <c r="X558" s="6"/>
      <c r="Y558" s="6"/>
      <c r="Z558" s="6"/>
      <c r="AA558" s="6"/>
      <c r="AB558" s="6"/>
      <c r="AC558" s="6"/>
      <c r="AD558" s="6"/>
      <c r="AE558" s="6"/>
    </row>
    <row r="559" spans="1:31" x14ac:dyDescent="0.35">
      <c r="A559" s="6">
        <v>559</v>
      </c>
      <c r="B559" s="6" t="s">
        <v>7</v>
      </c>
      <c r="C559" s="10" t="s">
        <v>2</v>
      </c>
      <c r="D559" s="9" t="s">
        <v>1705</v>
      </c>
      <c r="E559" s="7">
        <f t="shared" si="15"/>
        <v>0</v>
      </c>
      <c r="F559" s="7">
        <f>-1*ROUND(1/6*(I559*IF(_xlfn.XLOOKUP(H559,'02效果表'!D:D,'02效果表'!E:E)&lt;0, _xlfn.XLOOKUP(H559,'02效果表'!D:D,'02效果表'!E:E), 0) +
K559*IF(_xlfn.XLOOKUP(J559,'02效果表'!D:D,'02效果表'!E:E)&lt;0, _xlfn.XLOOKUP(J559,'02效果表'!D:D,'02效果表'!E:E), 0) +
M559*IF(_xlfn.XLOOKUP(L559,'02效果表'!D:D,'02效果表'!E:E)&lt;0, _xlfn.XLOOKUP(L559,'02效果表'!D:D,'02效果表'!E:E), 0) +
O559*IF(_xlfn.XLOOKUP(N559,'02效果表'!D:D,'02效果表'!E:E)&lt;0, _xlfn.XLOOKUP(N559,'02效果表'!D:D,'02效果表'!E:E), 0) +
Q559*IF(_xlfn.XLOOKUP(P559,'02效果表'!D:D,'02效果表'!E:E)&lt;0, _xlfn.XLOOKUP(P559,'02效果表'!D:D,'02效果表'!E:E), 0) +
S559*IF(_xlfn.XLOOKUP(R559,'02效果表'!D:D,'02效果表'!E:E)&lt;0, _xlfn.XLOOKUP(R559,'02效果表'!D:D,'02效果表'!E:E), 0) +
U559*IF(_xlfn.XLOOKUP(T559,'02效果表'!D:D,'02效果表'!E:E)&lt;0, _xlfn.XLOOKUP(T559,'02效果表'!D:D,'02效果表'!E:E), 0) +
W559*IF(_xlfn.XLOOKUP(V559,'02效果表'!D:D,'02效果表'!E:E)&lt;0, _xlfn.XLOOKUP(V559,'02效果表'!D:D,'02效果表'!E:E), 0) +
Y559*IF(_xlfn.XLOOKUP(X559,'02效果表'!D:D,'02效果表'!E:E)&lt;0, _xlfn.XLOOKUP(X559,'02效果表'!D:D,'02效果表'!E:E), 0) +
AA559*IF(_xlfn.XLOOKUP(Z559,'02效果表'!D:D,'02效果表'!E:E)&lt;0, _xlfn.XLOOKUP(Z559,'02效果表'!D:D,'02效果表'!E:E), 0) +
AC559*IF(_xlfn.XLOOKUP(AB559,'02效果表'!D:D,'02效果表'!E:E)&lt;0, _xlfn.XLOOKUP(AB559,'02效果表'!D:D,'02效果表'!E:E), 0) +
AE559*IF(_xlfn.XLOOKUP(AD559,'02效果表'!D:D,'02效果表'!E:E)&lt;0, _xlfn.XLOOKUP(AD559,'02效果表'!D:D,'02效果表'!E:E), 0)), 1)</f>
        <v>0</v>
      </c>
      <c r="G559" s="7">
        <f>ROUND(1/6*(I559*MAX(_xlfn.XLOOKUP(H559,'02效果表'!D:D,'02效果表'!E:E),0)+K559*MAX(_xlfn.XLOOKUP(J559,'02效果表'!D:D,'02效果表'!E:E),0)+M559*MAX(_xlfn.XLOOKUP(L559,'02效果表'!D:D,'02效果表'!E:E),0)+O559*MAX(_xlfn.XLOOKUP(N559,'02效果表'!D:D,'02效果表'!E:E),0)+Q559*MAX(_xlfn.XLOOKUP(P559,'02效果表'!D:D,'02效果表'!E:E),0)+S559*MAX(_xlfn.XLOOKUP(R559,'02效果表'!D:D,'02效果表'!E:E),0)+U559*MAX(_xlfn.XLOOKUP(T559,'02效果表'!D:D,'02效果表'!E:E),0)+W559*MAX(_xlfn.XLOOKUP(V559,'02效果表'!D:D,'02效果表'!E:E),0)+Y559*MAX(_xlfn.XLOOKUP(X559,'02效果表'!D:D,'02效果表'!E:E),0)+AA559*MAX(_xlfn.XLOOKUP(Z559,'02效果表'!D:D,'02效果表'!E:E),0)+AC559*MAX(_xlfn.XLOOKUP(AB559,'02效果表'!D:D,'02效果表'!E:E),0)+AE559*MAX(_xlfn.XLOOKUP(AD559,'02效果表'!D:D,'02效果表'!E:E),0)),1)</f>
        <v>0</v>
      </c>
      <c r="H559" s="6"/>
      <c r="I559" s="6"/>
      <c r="J559" s="6"/>
      <c r="K559" s="6"/>
      <c r="L559" s="6"/>
      <c r="M559" s="6"/>
      <c r="N559" s="6"/>
      <c r="O559" s="6"/>
      <c r="P559" s="6"/>
      <c r="Q559" s="6"/>
      <c r="R559" s="6"/>
      <c r="S559" s="6"/>
      <c r="T559" s="6"/>
      <c r="U559" s="6"/>
      <c r="V559" s="6"/>
      <c r="W559" s="6"/>
      <c r="X559" s="6"/>
      <c r="Y559" s="6"/>
      <c r="Z559" s="6"/>
      <c r="AA559" s="6"/>
      <c r="AB559" s="6"/>
      <c r="AC559" s="6"/>
      <c r="AD559" s="6"/>
      <c r="AE559" s="6"/>
    </row>
    <row r="560" spans="1:31" x14ac:dyDescent="0.35">
      <c r="A560" s="6">
        <v>560</v>
      </c>
      <c r="B560" s="6" t="s">
        <v>7</v>
      </c>
      <c r="C560" s="10" t="s">
        <v>2</v>
      </c>
      <c r="D560" s="9" t="s">
        <v>1706</v>
      </c>
      <c r="E560" s="7">
        <f t="shared" si="15"/>
        <v>0</v>
      </c>
      <c r="F560" s="7">
        <f>-1*ROUND(1/6*(I560*IF(_xlfn.XLOOKUP(H560,'02效果表'!D:D,'02效果表'!E:E)&lt;0, _xlfn.XLOOKUP(H560,'02效果表'!D:D,'02效果表'!E:E), 0) +
K560*IF(_xlfn.XLOOKUP(J560,'02效果表'!D:D,'02效果表'!E:E)&lt;0, _xlfn.XLOOKUP(J560,'02效果表'!D:D,'02效果表'!E:E), 0) +
M560*IF(_xlfn.XLOOKUP(L560,'02效果表'!D:D,'02效果表'!E:E)&lt;0, _xlfn.XLOOKUP(L560,'02效果表'!D:D,'02效果表'!E:E), 0) +
O560*IF(_xlfn.XLOOKUP(N560,'02效果表'!D:D,'02效果表'!E:E)&lt;0, _xlfn.XLOOKUP(N560,'02效果表'!D:D,'02效果表'!E:E), 0) +
Q560*IF(_xlfn.XLOOKUP(P560,'02效果表'!D:D,'02效果表'!E:E)&lt;0, _xlfn.XLOOKUP(P560,'02效果表'!D:D,'02效果表'!E:E), 0) +
S560*IF(_xlfn.XLOOKUP(R560,'02效果表'!D:D,'02效果表'!E:E)&lt;0, _xlfn.XLOOKUP(R560,'02效果表'!D:D,'02效果表'!E:E), 0) +
U560*IF(_xlfn.XLOOKUP(T560,'02效果表'!D:D,'02效果表'!E:E)&lt;0, _xlfn.XLOOKUP(T560,'02效果表'!D:D,'02效果表'!E:E), 0) +
W560*IF(_xlfn.XLOOKUP(V560,'02效果表'!D:D,'02效果表'!E:E)&lt;0, _xlfn.XLOOKUP(V560,'02效果表'!D:D,'02效果表'!E:E), 0) +
Y560*IF(_xlfn.XLOOKUP(X560,'02效果表'!D:D,'02效果表'!E:E)&lt;0, _xlfn.XLOOKUP(X560,'02效果表'!D:D,'02效果表'!E:E), 0) +
AA560*IF(_xlfn.XLOOKUP(Z560,'02效果表'!D:D,'02效果表'!E:E)&lt;0, _xlfn.XLOOKUP(Z560,'02效果表'!D:D,'02效果表'!E:E), 0) +
AC560*IF(_xlfn.XLOOKUP(AB560,'02效果表'!D:D,'02效果表'!E:E)&lt;0, _xlfn.XLOOKUP(AB560,'02效果表'!D:D,'02效果表'!E:E), 0) +
AE560*IF(_xlfn.XLOOKUP(AD560,'02效果表'!D:D,'02效果表'!E:E)&lt;0, _xlfn.XLOOKUP(AD560,'02效果表'!D:D,'02效果表'!E:E), 0)), 1)</f>
        <v>0</v>
      </c>
      <c r="G560" s="7">
        <f>ROUND(1/6*(I560*MAX(_xlfn.XLOOKUP(H560,'02效果表'!D:D,'02效果表'!E:E),0)+K560*MAX(_xlfn.XLOOKUP(J560,'02效果表'!D:D,'02效果表'!E:E),0)+M560*MAX(_xlfn.XLOOKUP(L560,'02效果表'!D:D,'02效果表'!E:E),0)+O560*MAX(_xlfn.XLOOKUP(N560,'02效果表'!D:D,'02效果表'!E:E),0)+Q560*MAX(_xlfn.XLOOKUP(P560,'02效果表'!D:D,'02效果表'!E:E),0)+S560*MAX(_xlfn.XLOOKUP(R560,'02效果表'!D:D,'02效果表'!E:E),0)+U560*MAX(_xlfn.XLOOKUP(T560,'02效果表'!D:D,'02效果表'!E:E),0)+W560*MAX(_xlfn.XLOOKUP(V560,'02效果表'!D:D,'02效果表'!E:E),0)+Y560*MAX(_xlfn.XLOOKUP(X560,'02效果表'!D:D,'02效果表'!E:E),0)+AA560*MAX(_xlfn.XLOOKUP(Z560,'02效果表'!D:D,'02效果表'!E:E),0)+AC560*MAX(_xlfn.XLOOKUP(AB560,'02效果表'!D:D,'02效果表'!E:E),0)+AE560*MAX(_xlfn.XLOOKUP(AD560,'02效果表'!D:D,'02效果表'!E:E),0)),1)</f>
        <v>0</v>
      </c>
      <c r="H560" s="6"/>
      <c r="I560" s="6"/>
      <c r="J560" s="6"/>
      <c r="K560" s="6"/>
      <c r="L560" s="6"/>
      <c r="M560" s="6"/>
      <c r="N560" s="6"/>
      <c r="O560" s="6"/>
      <c r="P560" s="6"/>
      <c r="Q560" s="6"/>
      <c r="R560" s="6"/>
      <c r="S560" s="6"/>
      <c r="T560" s="6"/>
      <c r="U560" s="6"/>
      <c r="V560" s="6"/>
      <c r="W560" s="6"/>
      <c r="X560" s="6"/>
      <c r="Y560" s="6"/>
      <c r="Z560" s="6"/>
      <c r="AA560" s="6"/>
      <c r="AB560" s="6"/>
      <c r="AC560" s="6"/>
      <c r="AD560" s="6"/>
      <c r="AE560" s="6"/>
    </row>
    <row r="561" spans="1:31" x14ac:dyDescent="0.35">
      <c r="A561" s="6">
        <v>561</v>
      </c>
      <c r="B561" s="6" t="s">
        <v>7</v>
      </c>
      <c r="C561" s="10" t="s">
        <v>2</v>
      </c>
      <c r="D561" s="9"/>
      <c r="E561" s="7">
        <f t="shared" si="15"/>
        <v>0</v>
      </c>
      <c r="F561" s="7">
        <f>-1*ROUND(1/6*(I561*IF(_xlfn.XLOOKUP(H561,'02效果表'!D:D,'02效果表'!E:E)&lt;0, _xlfn.XLOOKUP(H561,'02效果表'!D:D,'02效果表'!E:E), 0) +
K561*IF(_xlfn.XLOOKUP(J561,'02效果表'!D:D,'02效果表'!E:E)&lt;0, _xlfn.XLOOKUP(J561,'02效果表'!D:D,'02效果表'!E:E), 0) +
M561*IF(_xlfn.XLOOKUP(L561,'02效果表'!D:D,'02效果表'!E:E)&lt;0, _xlfn.XLOOKUP(L561,'02效果表'!D:D,'02效果表'!E:E), 0) +
O561*IF(_xlfn.XLOOKUP(N561,'02效果表'!D:D,'02效果表'!E:E)&lt;0, _xlfn.XLOOKUP(N561,'02效果表'!D:D,'02效果表'!E:E), 0) +
Q561*IF(_xlfn.XLOOKUP(P561,'02效果表'!D:D,'02效果表'!E:E)&lt;0, _xlfn.XLOOKUP(P561,'02效果表'!D:D,'02效果表'!E:E), 0) +
S561*IF(_xlfn.XLOOKUP(R561,'02效果表'!D:D,'02效果表'!E:E)&lt;0, _xlfn.XLOOKUP(R561,'02效果表'!D:D,'02效果表'!E:E), 0) +
U561*IF(_xlfn.XLOOKUP(T561,'02效果表'!D:D,'02效果表'!E:E)&lt;0, _xlfn.XLOOKUP(T561,'02效果表'!D:D,'02效果表'!E:E), 0) +
W561*IF(_xlfn.XLOOKUP(V561,'02效果表'!D:D,'02效果表'!E:E)&lt;0, _xlfn.XLOOKUP(V561,'02效果表'!D:D,'02效果表'!E:E), 0) +
Y561*IF(_xlfn.XLOOKUP(X561,'02效果表'!D:D,'02效果表'!E:E)&lt;0, _xlfn.XLOOKUP(X561,'02效果表'!D:D,'02效果表'!E:E), 0) +
AA561*IF(_xlfn.XLOOKUP(Z561,'02效果表'!D:D,'02效果表'!E:E)&lt;0, _xlfn.XLOOKUP(Z561,'02效果表'!D:D,'02效果表'!E:E), 0) +
AC561*IF(_xlfn.XLOOKUP(AB561,'02效果表'!D:D,'02效果表'!E:E)&lt;0, _xlfn.XLOOKUP(AB561,'02效果表'!D:D,'02效果表'!E:E), 0) +
AE561*IF(_xlfn.XLOOKUP(AD561,'02效果表'!D:D,'02效果表'!E:E)&lt;0, _xlfn.XLOOKUP(AD561,'02效果表'!D:D,'02效果表'!E:E), 0)), 1)</f>
        <v>0</v>
      </c>
      <c r="G561" s="7">
        <f>ROUND(1/6*(I561*MAX(_xlfn.XLOOKUP(H561,'02效果表'!D:D,'02效果表'!E:E),0)+K561*MAX(_xlfn.XLOOKUP(J561,'02效果表'!D:D,'02效果表'!E:E),0)+M561*MAX(_xlfn.XLOOKUP(L561,'02效果表'!D:D,'02效果表'!E:E),0)+O561*MAX(_xlfn.XLOOKUP(N561,'02效果表'!D:D,'02效果表'!E:E),0)+Q561*MAX(_xlfn.XLOOKUP(P561,'02效果表'!D:D,'02效果表'!E:E),0)+S561*MAX(_xlfn.XLOOKUP(R561,'02效果表'!D:D,'02效果表'!E:E),0)+U561*MAX(_xlfn.XLOOKUP(T561,'02效果表'!D:D,'02效果表'!E:E),0)+W561*MAX(_xlfn.XLOOKUP(V561,'02效果表'!D:D,'02效果表'!E:E),0)+Y561*MAX(_xlfn.XLOOKUP(X561,'02效果表'!D:D,'02效果表'!E:E),0)+AA561*MAX(_xlfn.XLOOKUP(Z561,'02效果表'!D:D,'02效果表'!E:E),0)+AC561*MAX(_xlfn.XLOOKUP(AB561,'02效果表'!D:D,'02效果表'!E:E),0)+AE561*MAX(_xlfn.XLOOKUP(AD561,'02效果表'!D:D,'02效果表'!E:E),0)),1)</f>
        <v>0</v>
      </c>
      <c r="H561" s="6"/>
      <c r="I561" s="6"/>
      <c r="J561" s="6"/>
      <c r="K561" s="6"/>
      <c r="L561" s="6"/>
      <c r="M561" s="6"/>
      <c r="N561" s="6"/>
      <c r="O561" s="6"/>
      <c r="P561" s="6"/>
      <c r="Q561" s="6"/>
      <c r="R561" s="6"/>
      <c r="S561" s="6"/>
      <c r="T561" s="6"/>
      <c r="U561" s="6"/>
      <c r="V561" s="6"/>
      <c r="W561" s="6"/>
      <c r="X561" s="6"/>
      <c r="Y561" s="6"/>
      <c r="Z561" s="6"/>
      <c r="AA561" s="6"/>
      <c r="AB561" s="6"/>
      <c r="AC561" s="6"/>
      <c r="AD561" s="6"/>
      <c r="AE561" s="6"/>
    </row>
    <row r="562" spans="1:31" x14ac:dyDescent="0.35">
      <c r="A562" s="6">
        <v>562</v>
      </c>
      <c r="B562" s="6" t="s">
        <v>7</v>
      </c>
      <c r="C562" s="10" t="s">
        <v>2</v>
      </c>
      <c r="D562" s="9"/>
      <c r="E562" s="7">
        <f t="shared" si="15"/>
        <v>0</v>
      </c>
      <c r="F562" s="7">
        <f>-1*ROUND(1/6*(I562*IF(_xlfn.XLOOKUP(H562,'02效果表'!D:D,'02效果表'!E:E)&lt;0, _xlfn.XLOOKUP(H562,'02效果表'!D:D,'02效果表'!E:E), 0) +
K562*IF(_xlfn.XLOOKUP(J562,'02效果表'!D:D,'02效果表'!E:E)&lt;0, _xlfn.XLOOKUP(J562,'02效果表'!D:D,'02效果表'!E:E), 0) +
M562*IF(_xlfn.XLOOKUP(L562,'02效果表'!D:D,'02效果表'!E:E)&lt;0, _xlfn.XLOOKUP(L562,'02效果表'!D:D,'02效果表'!E:E), 0) +
O562*IF(_xlfn.XLOOKUP(N562,'02效果表'!D:D,'02效果表'!E:E)&lt;0, _xlfn.XLOOKUP(N562,'02效果表'!D:D,'02效果表'!E:E), 0) +
Q562*IF(_xlfn.XLOOKUP(P562,'02效果表'!D:D,'02效果表'!E:E)&lt;0, _xlfn.XLOOKUP(P562,'02效果表'!D:D,'02效果表'!E:E), 0) +
S562*IF(_xlfn.XLOOKUP(R562,'02效果表'!D:D,'02效果表'!E:E)&lt;0, _xlfn.XLOOKUP(R562,'02效果表'!D:D,'02效果表'!E:E), 0) +
U562*IF(_xlfn.XLOOKUP(T562,'02效果表'!D:D,'02效果表'!E:E)&lt;0, _xlfn.XLOOKUP(T562,'02效果表'!D:D,'02效果表'!E:E), 0) +
W562*IF(_xlfn.XLOOKUP(V562,'02效果表'!D:D,'02效果表'!E:E)&lt;0, _xlfn.XLOOKUP(V562,'02效果表'!D:D,'02效果表'!E:E), 0) +
Y562*IF(_xlfn.XLOOKUP(X562,'02效果表'!D:D,'02效果表'!E:E)&lt;0, _xlfn.XLOOKUP(X562,'02效果表'!D:D,'02效果表'!E:E), 0) +
AA562*IF(_xlfn.XLOOKUP(Z562,'02效果表'!D:D,'02效果表'!E:E)&lt;0, _xlfn.XLOOKUP(Z562,'02效果表'!D:D,'02效果表'!E:E), 0) +
AC562*IF(_xlfn.XLOOKUP(AB562,'02效果表'!D:D,'02效果表'!E:E)&lt;0, _xlfn.XLOOKUP(AB562,'02效果表'!D:D,'02效果表'!E:E), 0) +
AE562*IF(_xlfn.XLOOKUP(AD562,'02效果表'!D:D,'02效果表'!E:E)&lt;0, _xlfn.XLOOKUP(AD562,'02效果表'!D:D,'02效果表'!E:E), 0)), 1)</f>
        <v>0</v>
      </c>
      <c r="G562" s="7">
        <f>ROUND(1/6*(I562*MAX(_xlfn.XLOOKUP(H562,'02效果表'!D:D,'02效果表'!E:E),0)+K562*MAX(_xlfn.XLOOKUP(J562,'02效果表'!D:D,'02效果表'!E:E),0)+M562*MAX(_xlfn.XLOOKUP(L562,'02效果表'!D:D,'02效果表'!E:E),0)+O562*MAX(_xlfn.XLOOKUP(N562,'02效果表'!D:D,'02效果表'!E:E),0)+Q562*MAX(_xlfn.XLOOKUP(P562,'02效果表'!D:D,'02效果表'!E:E),0)+S562*MAX(_xlfn.XLOOKUP(R562,'02效果表'!D:D,'02效果表'!E:E),0)+U562*MAX(_xlfn.XLOOKUP(T562,'02效果表'!D:D,'02效果表'!E:E),0)+W562*MAX(_xlfn.XLOOKUP(V562,'02效果表'!D:D,'02效果表'!E:E),0)+Y562*MAX(_xlfn.XLOOKUP(X562,'02效果表'!D:D,'02效果表'!E:E),0)+AA562*MAX(_xlfn.XLOOKUP(Z562,'02效果表'!D:D,'02效果表'!E:E),0)+AC562*MAX(_xlfn.XLOOKUP(AB562,'02效果表'!D:D,'02效果表'!E:E),0)+AE562*MAX(_xlfn.XLOOKUP(AD562,'02效果表'!D:D,'02效果表'!E:E),0)),1)</f>
        <v>0</v>
      </c>
      <c r="H562" s="6"/>
      <c r="I562" s="6"/>
      <c r="J562" s="6"/>
      <c r="K562" s="6"/>
      <c r="L562" s="6"/>
      <c r="M562" s="6"/>
      <c r="N562" s="6"/>
      <c r="O562" s="6"/>
      <c r="P562" s="6"/>
      <c r="Q562" s="6"/>
      <c r="R562" s="6"/>
      <c r="S562" s="6"/>
      <c r="T562" s="6"/>
      <c r="U562" s="6"/>
      <c r="V562" s="6"/>
      <c r="W562" s="6"/>
      <c r="X562" s="6"/>
      <c r="Y562" s="6"/>
      <c r="Z562" s="6"/>
      <c r="AA562" s="6"/>
      <c r="AB562" s="6"/>
      <c r="AC562" s="6"/>
      <c r="AD562" s="6"/>
      <c r="AE562" s="6"/>
    </row>
    <row r="563" spans="1:31" x14ac:dyDescent="0.35">
      <c r="A563" s="6">
        <v>563</v>
      </c>
      <c r="B563" s="6" t="s">
        <v>7</v>
      </c>
      <c r="C563" s="10" t="s">
        <v>2</v>
      </c>
      <c r="D563" s="9"/>
      <c r="E563" s="7">
        <f t="shared" si="15"/>
        <v>0</v>
      </c>
      <c r="F563" s="7">
        <f>-1*ROUND(1/6*(I563*IF(_xlfn.XLOOKUP(H563,'02效果表'!D:D,'02效果表'!E:E)&lt;0, _xlfn.XLOOKUP(H563,'02效果表'!D:D,'02效果表'!E:E), 0) +
K563*IF(_xlfn.XLOOKUP(J563,'02效果表'!D:D,'02效果表'!E:E)&lt;0, _xlfn.XLOOKUP(J563,'02效果表'!D:D,'02效果表'!E:E), 0) +
M563*IF(_xlfn.XLOOKUP(L563,'02效果表'!D:D,'02效果表'!E:E)&lt;0, _xlfn.XLOOKUP(L563,'02效果表'!D:D,'02效果表'!E:E), 0) +
O563*IF(_xlfn.XLOOKUP(N563,'02效果表'!D:D,'02效果表'!E:E)&lt;0, _xlfn.XLOOKUP(N563,'02效果表'!D:D,'02效果表'!E:E), 0) +
Q563*IF(_xlfn.XLOOKUP(P563,'02效果表'!D:D,'02效果表'!E:E)&lt;0, _xlfn.XLOOKUP(P563,'02效果表'!D:D,'02效果表'!E:E), 0) +
S563*IF(_xlfn.XLOOKUP(R563,'02效果表'!D:D,'02效果表'!E:E)&lt;0, _xlfn.XLOOKUP(R563,'02效果表'!D:D,'02效果表'!E:E), 0) +
U563*IF(_xlfn.XLOOKUP(T563,'02效果表'!D:D,'02效果表'!E:E)&lt;0, _xlfn.XLOOKUP(T563,'02效果表'!D:D,'02效果表'!E:E), 0) +
W563*IF(_xlfn.XLOOKUP(V563,'02效果表'!D:D,'02效果表'!E:E)&lt;0, _xlfn.XLOOKUP(V563,'02效果表'!D:D,'02效果表'!E:E), 0) +
Y563*IF(_xlfn.XLOOKUP(X563,'02效果表'!D:D,'02效果表'!E:E)&lt;0, _xlfn.XLOOKUP(X563,'02效果表'!D:D,'02效果表'!E:E), 0) +
AA563*IF(_xlfn.XLOOKUP(Z563,'02效果表'!D:D,'02效果表'!E:E)&lt;0, _xlfn.XLOOKUP(Z563,'02效果表'!D:D,'02效果表'!E:E), 0) +
AC563*IF(_xlfn.XLOOKUP(AB563,'02效果表'!D:D,'02效果表'!E:E)&lt;0, _xlfn.XLOOKUP(AB563,'02效果表'!D:D,'02效果表'!E:E), 0) +
AE563*IF(_xlfn.XLOOKUP(AD563,'02效果表'!D:D,'02效果表'!E:E)&lt;0, _xlfn.XLOOKUP(AD563,'02效果表'!D:D,'02效果表'!E:E), 0)), 1)</f>
        <v>0</v>
      </c>
      <c r="G563" s="7">
        <f>ROUND(1/6*(I563*MAX(_xlfn.XLOOKUP(H563,'02效果表'!D:D,'02效果表'!E:E),0)+K563*MAX(_xlfn.XLOOKUP(J563,'02效果表'!D:D,'02效果表'!E:E),0)+M563*MAX(_xlfn.XLOOKUP(L563,'02效果表'!D:D,'02效果表'!E:E),0)+O563*MAX(_xlfn.XLOOKUP(N563,'02效果表'!D:D,'02效果表'!E:E),0)+Q563*MAX(_xlfn.XLOOKUP(P563,'02效果表'!D:D,'02效果表'!E:E),0)+S563*MAX(_xlfn.XLOOKUP(R563,'02效果表'!D:D,'02效果表'!E:E),0)+U563*MAX(_xlfn.XLOOKUP(T563,'02效果表'!D:D,'02效果表'!E:E),0)+W563*MAX(_xlfn.XLOOKUP(V563,'02效果表'!D:D,'02效果表'!E:E),0)+Y563*MAX(_xlfn.XLOOKUP(X563,'02效果表'!D:D,'02效果表'!E:E),0)+AA563*MAX(_xlfn.XLOOKUP(Z563,'02效果表'!D:D,'02效果表'!E:E),0)+AC563*MAX(_xlfn.XLOOKUP(AB563,'02效果表'!D:D,'02效果表'!E:E),0)+AE563*MAX(_xlfn.XLOOKUP(AD563,'02效果表'!D:D,'02效果表'!E:E),0)),1)</f>
        <v>0</v>
      </c>
      <c r="H563" s="6"/>
      <c r="I563" s="6"/>
      <c r="J563" s="6"/>
      <c r="K563" s="6"/>
      <c r="L563" s="6"/>
      <c r="M563" s="6"/>
      <c r="N563" s="6"/>
      <c r="O563" s="6"/>
      <c r="P563" s="6"/>
      <c r="Q563" s="6"/>
      <c r="R563" s="6"/>
      <c r="S563" s="6"/>
      <c r="T563" s="6"/>
      <c r="U563" s="6"/>
      <c r="V563" s="6"/>
      <c r="W563" s="6"/>
      <c r="X563" s="6"/>
      <c r="Y563" s="6"/>
      <c r="Z563" s="6"/>
      <c r="AA563" s="6"/>
      <c r="AB563" s="6"/>
      <c r="AC563" s="6"/>
      <c r="AD563" s="6"/>
      <c r="AE563" s="6"/>
    </row>
    <row r="564" spans="1:31" x14ac:dyDescent="0.35">
      <c r="A564" s="6">
        <v>564</v>
      </c>
      <c r="B564" s="6" t="s">
        <v>7</v>
      </c>
      <c r="C564" s="10" t="s">
        <v>2</v>
      </c>
      <c r="D564" s="9"/>
      <c r="E564" s="7">
        <f t="shared" si="15"/>
        <v>0</v>
      </c>
      <c r="F564" s="7">
        <f>-1*ROUND(1/6*(I564*IF(_xlfn.XLOOKUP(H564,'02效果表'!D:D,'02效果表'!E:E)&lt;0, _xlfn.XLOOKUP(H564,'02效果表'!D:D,'02效果表'!E:E), 0) +
K564*IF(_xlfn.XLOOKUP(J564,'02效果表'!D:D,'02效果表'!E:E)&lt;0, _xlfn.XLOOKUP(J564,'02效果表'!D:D,'02效果表'!E:E), 0) +
M564*IF(_xlfn.XLOOKUP(L564,'02效果表'!D:D,'02效果表'!E:E)&lt;0, _xlfn.XLOOKUP(L564,'02效果表'!D:D,'02效果表'!E:E), 0) +
O564*IF(_xlfn.XLOOKUP(N564,'02效果表'!D:D,'02效果表'!E:E)&lt;0, _xlfn.XLOOKUP(N564,'02效果表'!D:D,'02效果表'!E:E), 0) +
Q564*IF(_xlfn.XLOOKUP(P564,'02效果表'!D:D,'02效果表'!E:E)&lt;0, _xlfn.XLOOKUP(P564,'02效果表'!D:D,'02效果表'!E:E), 0) +
S564*IF(_xlfn.XLOOKUP(R564,'02效果表'!D:D,'02效果表'!E:E)&lt;0, _xlfn.XLOOKUP(R564,'02效果表'!D:D,'02效果表'!E:E), 0) +
U564*IF(_xlfn.XLOOKUP(T564,'02效果表'!D:D,'02效果表'!E:E)&lt;0, _xlfn.XLOOKUP(T564,'02效果表'!D:D,'02效果表'!E:E), 0) +
W564*IF(_xlfn.XLOOKUP(V564,'02效果表'!D:D,'02效果表'!E:E)&lt;0, _xlfn.XLOOKUP(V564,'02效果表'!D:D,'02效果表'!E:E), 0) +
Y564*IF(_xlfn.XLOOKUP(X564,'02效果表'!D:D,'02效果表'!E:E)&lt;0, _xlfn.XLOOKUP(X564,'02效果表'!D:D,'02效果表'!E:E), 0) +
AA564*IF(_xlfn.XLOOKUP(Z564,'02效果表'!D:D,'02效果表'!E:E)&lt;0, _xlfn.XLOOKUP(Z564,'02效果表'!D:D,'02效果表'!E:E), 0) +
AC564*IF(_xlfn.XLOOKUP(AB564,'02效果表'!D:D,'02效果表'!E:E)&lt;0, _xlfn.XLOOKUP(AB564,'02效果表'!D:D,'02效果表'!E:E), 0) +
AE564*IF(_xlfn.XLOOKUP(AD564,'02效果表'!D:D,'02效果表'!E:E)&lt;0, _xlfn.XLOOKUP(AD564,'02效果表'!D:D,'02效果表'!E:E), 0)), 1)</f>
        <v>0</v>
      </c>
      <c r="G564" s="7">
        <f>ROUND(1/6*(I564*MAX(_xlfn.XLOOKUP(H564,'02效果表'!D:D,'02效果表'!E:E),0)+K564*MAX(_xlfn.XLOOKUP(J564,'02效果表'!D:D,'02效果表'!E:E),0)+M564*MAX(_xlfn.XLOOKUP(L564,'02效果表'!D:D,'02效果表'!E:E),0)+O564*MAX(_xlfn.XLOOKUP(N564,'02效果表'!D:D,'02效果表'!E:E),0)+Q564*MAX(_xlfn.XLOOKUP(P564,'02效果表'!D:D,'02效果表'!E:E),0)+S564*MAX(_xlfn.XLOOKUP(R564,'02效果表'!D:D,'02效果表'!E:E),0)+U564*MAX(_xlfn.XLOOKUP(T564,'02效果表'!D:D,'02效果表'!E:E),0)+W564*MAX(_xlfn.XLOOKUP(V564,'02效果表'!D:D,'02效果表'!E:E),0)+Y564*MAX(_xlfn.XLOOKUP(X564,'02效果表'!D:D,'02效果表'!E:E),0)+AA564*MAX(_xlfn.XLOOKUP(Z564,'02效果表'!D:D,'02效果表'!E:E),0)+AC564*MAX(_xlfn.XLOOKUP(AB564,'02效果表'!D:D,'02效果表'!E:E),0)+AE564*MAX(_xlfn.XLOOKUP(AD564,'02效果表'!D:D,'02效果表'!E:E),0)),1)</f>
        <v>0</v>
      </c>
      <c r="H564" s="6"/>
      <c r="I564" s="6"/>
      <c r="J564" s="6"/>
      <c r="K564" s="6"/>
      <c r="L564" s="6"/>
      <c r="M564" s="6"/>
      <c r="N564" s="6"/>
      <c r="O564" s="6"/>
      <c r="P564" s="6"/>
      <c r="Q564" s="6"/>
      <c r="R564" s="6"/>
      <c r="S564" s="6"/>
      <c r="T564" s="6"/>
      <c r="U564" s="6"/>
      <c r="V564" s="6"/>
      <c r="W564" s="6"/>
      <c r="X564" s="6"/>
      <c r="Y564" s="6"/>
      <c r="Z564" s="6"/>
      <c r="AA564" s="6"/>
      <c r="AB564" s="6"/>
      <c r="AC564" s="6"/>
      <c r="AD564" s="6"/>
      <c r="AE564" s="6"/>
    </row>
    <row r="565" spans="1:31" x14ac:dyDescent="0.35">
      <c r="A565" s="6">
        <v>565</v>
      </c>
      <c r="B565" s="6" t="s">
        <v>7</v>
      </c>
      <c r="C565" s="10" t="s">
        <v>2</v>
      </c>
      <c r="D565" s="9"/>
      <c r="E565" s="7">
        <f t="shared" si="15"/>
        <v>0</v>
      </c>
      <c r="F565" s="7">
        <f>-1*ROUND(1/6*(I565*IF(_xlfn.XLOOKUP(H565,'02效果表'!D:D,'02效果表'!E:E)&lt;0, _xlfn.XLOOKUP(H565,'02效果表'!D:D,'02效果表'!E:E), 0) +
K565*IF(_xlfn.XLOOKUP(J565,'02效果表'!D:D,'02效果表'!E:E)&lt;0, _xlfn.XLOOKUP(J565,'02效果表'!D:D,'02效果表'!E:E), 0) +
M565*IF(_xlfn.XLOOKUP(L565,'02效果表'!D:D,'02效果表'!E:E)&lt;0, _xlfn.XLOOKUP(L565,'02效果表'!D:D,'02效果表'!E:E), 0) +
O565*IF(_xlfn.XLOOKUP(N565,'02效果表'!D:D,'02效果表'!E:E)&lt;0, _xlfn.XLOOKUP(N565,'02效果表'!D:D,'02效果表'!E:E), 0) +
Q565*IF(_xlfn.XLOOKUP(P565,'02效果表'!D:D,'02效果表'!E:E)&lt;0, _xlfn.XLOOKUP(P565,'02效果表'!D:D,'02效果表'!E:E), 0) +
S565*IF(_xlfn.XLOOKUP(R565,'02效果表'!D:D,'02效果表'!E:E)&lt;0, _xlfn.XLOOKUP(R565,'02效果表'!D:D,'02效果表'!E:E), 0) +
U565*IF(_xlfn.XLOOKUP(T565,'02效果表'!D:D,'02效果表'!E:E)&lt;0, _xlfn.XLOOKUP(T565,'02效果表'!D:D,'02效果表'!E:E), 0) +
W565*IF(_xlfn.XLOOKUP(V565,'02效果表'!D:D,'02效果表'!E:E)&lt;0, _xlfn.XLOOKUP(V565,'02效果表'!D:D,'02效果表'!E:E), 0) +
Y565*IF(_xlfn.XLOOKUP(X565,'02效果表'!D:D,'02效果表'!E:E)&lt;0, _xlfn.XLOOKUP(X565,'02效果表'!D:D,'02效果表'!E:E), 0) +
AA565*IF(_xlfn.XLOOKUP(Z565,'02效果表'!D:D,'02效果表'!E:E)&lt;0, _xlfn.XLOOKUP(Z565,'02效果表'!D:D,'02效果表'!E:E), 0) +
AC565*IF(_xlfn.XLOOKUP(AB565,'02效果表'!D:D,'02效果表'!E:E)&lt;0, _xlfn.XLOOKUP(AB565,'02效果表'!D:D,'02效果表'!E:E), 0) +
AE565*IF(_xlfn.XLOOKUP(AD565,'02效果表'!D:D,'02效果表'!E:E)&lt;0, _xlfn.XLOOKUP(AD565,'02效果表'!D:D,'02效果表'!E:E), 0)), 1)</f>
        <v>0</v>
      </c>
      <c r="G565" s="7">
        <f>ROUND(1/6*(I565*MAX(_xlfn.XLOOKUP(H565,'02效果表'!D:D,'02效果表'!E:E),0)+K565*MAX(_xlfn.XLOOKUP(J565,'02效果表'!D:D,'02效果表'!E:E),0)+M565*MAX(_xlfn.XLOOKUP(L565,'02效果表'!D:D,'02效果表'!E:E),0)+O565*MAX(_xlfn.XLOOKUP(N565,'02效果表'!D:D,'02效果表'!E:E),0)+Q565*MAX(_xlfn.XLOOKUP(P565,'02效果表'!D:D,'02效果表'!E:E),0)+S565*MAX(_xlfn.XLOOKUP(R565,'02效果表'!D:D,'02效果表'!E:E),0)+U565*MAX(_xlfn.XLOOKUP(T565,'02效果表'!D:D,'02效果表'!E:E),0)+W565*MAX(_xlfn.XLOOKUP(V565,'02效果表'!D:D,'02效果表'!E:E),0)+Y565*MAX(_xlfn.XLOOKUP(X565,'02效果表'!D:D,'02效果表'!E:E),0)+AA565*MAX(_xlfn.XLOOKUP(Z565,'02效果表'!D:D,'02效果表'!E:E),0)+AC565*MAX(_xlfn.XLOOKUP(AB565,'02效果表'!D:D,'02效果表'!E:E),0)+AE565*MAX(_xlfn.XLOOKUP(AD565,'02效果表'!D:D,'02效果表'!E:E),0)),1)</f>
        <v>0</v>
      </c>
      <c r="H565" s="6"/>
      <c r="I565" s="6"/>
      <c r="J565" s="6"/>
      <c r="K565" s="6"/>
      <c r="L565" s="6"/>
      <c r="M565" s="6"/>
      <c r="N565" s="6"/>
      <c r="O565" s="6"/>
      <c r="P565" s="6"/>
      <c r="Q565" s="6"/>
      <c r="R565" s="6"/>
      <c r="S565" s="6"/>
      <c r="T565" s="6"/>
      <c r="U565" s="6"/>
      <c r="V565" s="6"/>
      <c r="W565" s="6"/>
      <c r="X565" s="6"/>
      <c r="Y565" s="6"/>
      <c r="Z565" s="6"/>
      <c r="AA565" s="6"/>
      <c r="AB565" s="6"/>
      <c r="AC565" s="6"/>
      <c r="AD565" s="6"/>
      <c r="AE565" s="6"/>
    </row>
    <row r="566" spans="1:31" x14ac:dyDescent="0.35">
      <c r="A566" s="6">
        <v>566</v>
      </c>
      <c r="B566" s="6" t="s">
        <v>7</v>
      </c>
      <c r="C566" s="10" t="s">
        <v>2</v>
      </c>
      <c r="D566" s="9"/>
      <c r="E566" s="7">
        <f t="shared" si="15"/>
        <v>0</v>
      </c>
      <c r="F566" s="7">
        <f>-1*ROUND(1/6*(I566*IF(_xlfn.XLOOKUP(H566,'02效果表'!D:D,'02效果表'!E:E)&lt;0, _xlfn.XLOOKUP(H566,'02效果表'!D:D,'02效果表'!E:E), 0) +
K566*IF(_xlfn.XLOOKUP(J566,'02效果表'!D:D,'02效果表'!E:E)&lt;0, _xlfn.XLOOKUP(J566,'02效果表'!D:D,'02效果表'!E:E), 0) +
M566*IF(_xlfn.XLOOKUP(L566,'02效果表'!D:D,'02效果表'!E:E)&lt;0, _xlfn.XLOOKUP(L566,'02效果表'!D:D,'02效果表'!E:E), 0) +
O566*IF(_xlfn.XLOOKUP(N566,'02效果表'!D:D,'02效果表'!E:E)&lt;0, _xlfn.XLOOKUP(N566,'02效果表'!D:D,'02效果表'!E:E), 0) +
Q566*IF(_xlfn.XLOOKUP(P566,'02效果表'!D:D,'02效果表'!E:E)&lt;0, _xlfn.XLOOKUP(P566,'02效果表'!D:D,'02效果表'!E:E), 0) +
S566*IF(_xlfn.XLOOKUP(R566,'02效果表'!D:D,'02效果表'!E:E)&lt;0, _xlfn.XLOOKUP(R566,'02效果表'!D:D,'02效果表'!E:E), 0) +
U566*IF(_xlfn.XLOOKUP(T566,'02效果表'!D:D,'02效果表'!E:E)&lt;0, _xlfn.XLOOKUP(T566,'02效果表'!D:D,'02效果表'!E:E), 0) +
W566*IF(_xlfn.XLOOKUP(V566,'02效果表'!D:D,'02效果表'!E:E)&lt;0, _xlfn.XLOOKUP(V566,'02效果表'!D:D,'02效果表'!E:E), 0) +
Y566*IF(_xlfn.XLOOKUP(X566,'02效果表'!D:D,'02效果表'!E:E)&lt;0, _xlfn.XLOOKUP(X566,'02效果表'!D:D,'02效果表'!E:E), 0) +
AA566*IF(_xlfn.XLOOKUP(Z566,'02效果表'!D:D,'02效果表'!E:E)&lt;0, _xlfn.XLOOKUP(Z566,'02效果表'!D:D,'02效果表'!E:E), 0) +
AC566*IF(_xlfn.XLOOKUP(AB566,'02效果表'!D:D,'02效果表'!E:E)&lt;0, _xlfn.XLOOKUP(AB566,'02效果表'!D:D,'02效果表'!E:E), 0) +
AE566*IF(_xlfn.XLOOKUP(AD566,'02效果表'!D:D,'02效果表'!E:E)&lt;0, _xlfn.XLOOKUP(AD566,'02效果表'!D:D,'02效果表'!E:E), 0)), 1)</f>
        <v>0</v>
      </c>
      <c r="G566" s="7">
        <f>ROUND(1/6*(I566*MAX(_xlfn.XLOOKUP(H566,'02效果表'!D:D,'02效果表'!E:E),0)+K566*MAX(_xlfn.XLOOKUP(J566,'02效果表'!D:D,'02效果表'!E:E),0)+M566*MAX(_xlfn.XLOOKUP(L566,'02效果表'!D:D,'02效果表'!E:E),0)+O566*MAX(_xlfn.XLOOKUP(N566,'02效果表'!D:D,'02效果表'!E:E),0)+Q566*MAX(_xlfn.XLOOKUP(P566,'02效果表'!D:D,'02效果表'!E:E),0)+S566*MAX(_xlfn.XLOOKUP(R566,'02效果表'!D:D,'02效果表'!E:E),0)+U566*MAX(_xlfn.XLOOKUP(T566,'02效果表'!D:D,'02效果表'!E:E),0)+W566*MAX(_xlfn.XLOOKUP(V566,'02效果表'!D:D,'02效果表'!E:E),0)+Y566*MAX(_xlfn.XLOOKUP(X566,'02效果表'!D:D,'02效果表'!E:E),0)+AA566*MAX(_xlfn.XLOOKUP(Z566,'02效果表'!D:D,'02效果表'!E:E),0)+AC566*MAX(_xlfn.XLOOKUP(AB566,'02效果表'!D:D,'02效果表'!E:E),0)+AE566*MAX(_xlfn.XLOOKUP(AD566,'02效果表'!D:D,'02效果表'!E:E),0)),1)</f>
        <v>0</v>
      </c>
      <c r="H566" s="6"/>
      <c r="I566" s="6"/>
      <c r="J566" s="6"/>
      <c r="K566" s="6"/>
      <c r="L566" s="6"/>
      <c r="M566" s="6"/>
      <c r="N566" s="6"/>
      <c r="O566" s="6"/>
      <c r="P566" s="6"/>
      <c r="Q566" s="6"/>
      <c r="R566" s="6"/>
      <c r="S566" s="6"/>
      <c r="T566" s="6"/>
      <c r="U566" s="6"/>
      <c r="V566" s="6"/>
      <c r="W566" s="6"/>
      <c r="X566" s="6"/>
      <c r="Y566" s="6"/>
      <c r="Z566" s="6"/>
      <c r="AA566" s="6"/>
      <c r="AB566" s="6"/>
      <c r="AC566" s="6"/>
      <c r="AD566" s="6"/>
      <c r="AE566" s="6"/>
    </row>
    <row r="567" spans="1:31" x14ac:dyDescent="0.35">
      <c r="A567" s="6">
        <v>567</v>
      </c>
      <c r="B567" s="6" t="s">
        <v>7</v>
      </c>
      <c r="C567" s="10" t="s">
        <v>2</v>
      </c>
      <c r="D567" s="9"/>
      <c r="E567" s="7">
        <f t="shared" si="15"/>
        <v>0</v>
      </c>
      <c r="F567" s="7">
        <f>-1*ROUND(1/6*(I567*IF(_xlfn.XLOOKUP(H567,'02效果表'!D:D,'02效果表'!E:E)&lt;0, _xlfn.XLOOKUP(H567,'02效果表'!D:D,'02效果表'!E:E), 0) +
K567*IF(_xlfn.XLOOKUP(J567,'02效果表'!D:D,'02效果表'!E:E)&lt;0, _xlfn.XLOOKUP(J567,'02效果表'!D:D,'02效果表'!E:E), 0) +
M567*IF(_xlfn.XLOOKUP(L567,'02效果表'!D:D,'02效果表'!E:E)&lt;0, _xlfn.XLOOKUP(L567,'02效果表'!D:D,'02效果表'!E:E), 0) +
O567*IF(_xlfn.XLOOKUP(N567,'02效果表'!D:D,'02效果表'!E:E)&lt;0, _xlfn.XLOOKUP(N567,'02效果表'!D:D,'02效果表'!E:E), 0) +
Q567*IF(_xlfn.XLOOKUP(P567,'02效果表'!D:D,'02效果表'!E:E)&lt;0, _xlfn.XLOOKUP(P567,'02效果表'!D:D,'02效果表'!E:E), 0) +
S567*IF(_xlfn.XLOOKUP(R567,'02效果表'!D:D,'02效果表'!E:E)&lt;0, _xlfn.XLOOKUP(R567,'02效果表'!D:D,'02效果表'!E:E), 0) +
U567*IF(_xlfn.XLOOKUP(T567,'02效果表'!D:D,'02效果表'!E:E)&lt;0, _xlfn.XLOOKUP(T567,'02效果表'!D:D,'02效果表'!E:E), 0) +
W567*IF(_xlfn.XLOOKUP(V567,'02效果表'!D:D,'02效果表'!E:E)&lt;0, _xlfn.XLOOKUP(V567,'02效果表'!D:D,'02效果表'!E:E), 0) +
Y567*IF(_xlfn.XLOOKUP(X567,'02效果表'!D:D,'02效果表'!E:E)&lt;0, _xlfn.XLOOKUP(X567,'02效果表'!D:D,'02效果表'!E:E), 0) +
AA567*IF(_xlfn.XLOOKUP(Z567,'02效果表'!D:D,'02效果表'!E:E)&lt;0, _xlfn.XLOOKUP(Z567,'02效果表'!D:D,'02效果表'!E:E), 0) +
AC567*IF(_xlfn.XLOOKUP(AB567,'02效果表'!D:D,'02效果表'!E:E)&lt;0, _xlfn.XLOOKUP(AB567,'02效果表'!D:D,'02效果表'!E:E), 0) +
AE567*IF(_xlfn.XLOOKUP(AD567,'02效果表'!D:D,'02效果表'!E:E)&lt;0, _xlfn.XLOOKUP(AD567,'02效果表'!D:D,'02效果表'!E:E), 0)), 1)</f>
        <v>0</v>
      </c>
      <c r="G567" s="7">
        <f>ROUND(1/6*(I567*MAX(_xlfn.XLOOKUP(H567,'02效果表'!D:D,'02效果表'!E:E),0)+K567*MAX(_xlfn.XLOOKUP(J567,'02效果表'!D:D,'02效果表'!E:E),0)+M567*MAX(_xlfn.XLOOKUP(L567,'02效果表'!D:D,'02效果表'!E:E),0)+O567*MAX(_xlfn.XLOOKUP(N567,'02效果表'!D:D,'02效果表'!E:E),0)+Q567*MAX(_xlfn.XLOOKUP(P567,'02效果表'!D:D,'02效果表'!E:E),0)+S567*MAX(_xlfn.XLOOKUP(R567,'02效果表'!D:D,'02效果表'!E:E),0)+U567*MAX(_xlfn.XLOOKUP(T567,'02效果表'!D:D,'02效果表'!E:E),0)+W567*MAX(_xlfn.XLOOKUP(V567,'02效果表'!D:D,'02效果表'!E:E),0)+Y567*MAX(_xlfn.XLOOKUP(X567,'02效果表'!D:D,'02效果表'!E:E),0)+AA567*MAX(_xlfn.XLOOKUP(Z567,'02效果表'!D:D,'02效果表'!E:E),0)+AC567*MAX(_xlfn.XLOOKUP(AB567,'02效果表'!D:D,'02效果表'!E:E),0)+AE567*MAX(_xlfn.XLOOKUP(AD567,'02效果表'!D:D,'02效果表'!E:E),0)),1)</f>
        <v>0</v>
      </c>
      <c r="H567" s="6"/>
      <c r="I567" s="6"/>
      <c r="J567" s="6"/>
      <c r="K567" s="6"/>
      <c r="L567" s="6"/>
      <c r="M567" s="6"/>
      <c r="N567" s="6"/>
      <c r="O567" s="6"/>
      <c r="P567" s="6"/>
      <c r="Q567" s="6"/>
      <c r="R567" s="6"/>
      <c r="S567" s="6"/>
      <c r="T567" s="6"/>
      <c r="U567" s="6"/>
      <c r="V567" s="6"/>
      <c r="W567" s="6"/>
      <c r="X567" s="6"/>
      <c r="Y567" s="6"/>
      <c r="Z567" s="6"/>
      <c r="AA567" s="6"/>
      <c r="AB567" s="6"/>
      <c r="AC567" s="6"/>
      <c r="AD567" s="6"/>
      <c r="AE567" s="6"/>
    </row>
    <row r="568" spans="1:31" x14ac:dyDescent="0.35">
      <c r="A568" s="6">
        <v>568</v>
      </c>
      <c r="B568" s="6" t="s">
        <v>7</v>
      </c>
      <c r="C568" s="10" t="s">
        <v>2</v>
      </c>
      <c r="D568" s="9"/>
      <c r="E568" s="7">
        <f t="shared" si="15"/>
        <v>0</v>
      </c>
      <c r="F568" s="7">
        <f>-1*ROUND(1/6*(I568*IF(_xlfn.XLOOKUP(H568,'02效果表'!D:D,'02效果表'!E:E)&lt;0, _xlfn.XLOOKUP(H568,'02效果表'!D:D,'02效果表'!E:E), 0) +
K568*IF(_xlfn.XLOOKUP(J568,'02效果表'!D:D,'02效果表'!E:E)&lt;0, _xlfn.XLOOKUP(J568,'02效果表'!D:D,'02效果表'!E:E), 0) +
M568*IF(_xlfn.XLOOKUP(L568,'02效果表'!D:D,'02效果表'!E:E)&lt;0, _xlfn.XLOOKUP(L568,'02效果表'!D:D,'02效果表'!E:E), 0) +
O568*IF(_xlfn.XLOOKUP(N568,'02效果表'!D:D,'02效果表'!E:E)&lt;0, _xlfn.XLOOKUP(N568,'02效果表'!D:D,'02效果表'!E:E), 0) +
Q568*IF(_xlfn.XLOOKUP(P568,'02效果表'!D:D,'02效果表'!E:E)&lt;0, _xlfn.XLOOKUP(P568,'02效果表'!D:D,'02效果表'!E:E), 0) +
S568*IF(_xlfn.XLOOKUP(R568,'02效果表'!D:D,'02效果表'!E:E)&lt;0, _xlfn.XLOOKUP(R568,'02效果表'!D:D,'02效果表'!E:E), 0) +
U568*IF(_xlfn.XLOOKUP(T568,'02效果表'!D:D,'02效果表'!E:E)&lt;0, _xlfn.XLOOKUP(T568,'02效果表'!D:D,'02效果表'!E:E), 0) +
W568*IF(_xlfn.XLOOKUP(V568,'02效果表'!D:D,'02效果表'!E:E)&lt;0, _xlfn.XLOOKUP(V568,'02效果表'!D:D,'02效果表'!E:E), 0) +
Y568*IF(_xlfn.XLOOKUP(X568,'02效果表'!D:D,'02效果表'!E:E)&lt;0, _xlfn.XLOOKUP(X568,'02效果表'!D:D,'02效果表'!E:E), 0) +
AA568*IF(_xlfn.XLOOKUP(Z568,'02效果表'!D:D,'02效果表'!E:E)&lt;0, _xlfn.XLOOKUP(Z568,'02效果表'!D:D,'02效果表'!E:E), 0) +
AC568*IF(_xlfn.XLOOKUP(AB568,'02效果表'!D:D,'02效果表'!E:E)&lt;0, _xlfn.XLOOKUP(AB568,'02效果表'!D:D,'02效果表'!E:E), 0) +
AE568*IF(_xlfn.XLOOKUP(AD568,'02效果表'!D:D,'02效果表'!E:E)&lt;0, _xlfn.XLOOKUP(AD568,'02效果表'!D:D,'02效果表'!E:E), 0)), 1)</f>
        <v>0</v>
      </c>
      <c r="G568" s="7">
        <f>ROUND(1/6*(I568*MAX(_xlfn.XLOOKUP(H568,'02效果表'!D:D,'02效果表'!E:E),0)+K568*MAX(_xlfn.XLOOKUP(J568,'02效果表'!D:D,'02效果表'!E:E),0)+M568*MAX(_xlfn.XLOOKUP(L568,'02效果表'!D:D,'02效果表'!E:E),0)+O568*MAX(_xlfn.XLOOKUP(N568,'02效果表'!D:D,'02效果表'!E:E),0)+Q568*MAX(_xlfn.XLOOKUP(P568,'02效果表'!D:D,'02效果表'!E:E),0)+S568*MAX(_xlfn.XLOOKUP(R568,'02效果表'!D:D,'02效果表'!E:E),0)+U568*MAX(_xlfn.XLOOKUP(T568,'02效果表'!D:D,'02效果表'!E:E),0)+W568*MAX(_xlfn.XLOOKUP(V568,'02效果表'!D:D,'02效果表'!E:E),0)+Y568*MAX(_xlfn.XLOOKUP(X568,'02效果表'!D:D,'02效果表'!E:E),0)+AA568*MAX(_xlfn.XLOOKUP(Z568,'02效果表'!D:D,'02效果表'!E:E),0)+AC568*MAX(_xlfn.XLOOKUP(AB568,'02效果表'!D:D,'02效果表'!E:E),0)+AE568*MAX(_xlfn.XLOOKUP(AD568,'02效果表'!D:D,'02效果表'!E:E),0)),1)</f>
        <v>0</v>
      </c>
      <c r="H568" s="6"/>
      <c r="I568" s="6"/>
      <c r="J568" s="6"/>
      <c r="K568" s="6"/>
      <c r="L568" s="6"/>
      <c r="M568" s="6"/>
      <c r="N568" s="6"/>
      <c r="O568" s="6"/>
      <c r="P568" s="6"/>
      <c r="Q568" s="6"/>
      <c r="R568" s="6"/>
      <c r="S568" s="6"/>
      <c r="T568" s="6"/>
      <c r="U568" s="6"/>
      <c r="V568" s="6"/>
      <c r="W568" s="6"/>
      <c r="X568" s="6"/>
      <c r="Y568" s="6"/>
      <c r="Z568" s="6"/>
      <c r="AA568" s="6"/>
      <c r="AB568" s="6"/>
      <c r="AC568" s="6"/>
      <c r="AD568" s="6"/>
      <c r="AE568" s="6"/>
    </row>
    <row r="569" spans="1:31" x14ac:dyDescent="0.35">
      <c r="A569" s="6">
        <v>569</v>
      </c>
      <c r="B569" s="6" t="s">
        <v>7</v>
      </c>
      <c r="C569" s="10" t="s">
        <v>16</v>
      </c>
      <c r="D569" s="9" t="s">
        <v>1707</v>
      </c>
      <c r="E569" s="7">
        <f t="shared" si="15"/>
        <v>0</v>
      </c>
      <c r="F569" s="7">
        <f>-1*ROUND(1/6*(I569*IF(_xlfn.XLOOKUP(H569,'02效果表'!D:D,'02效果表'!E:E)&lt;0, _xlfn.XLOOKUP(H569,'02效果表'!D:D,'02效果表'!E:E), 0) +
K569*IF(_xlfn.XLOOKUP(J569,'02效果表'!D:D,'02效果表'!E:E)&lt;0, _xlfn.XLOOKUP(J569,'02效果表'!D:D,'02效果表'!E:E), 0) +
M569*IF(_xlfn.XLOOKUP(L569,'02效果表'!D:D,'02效果表'!E:E)&lt;0, _xlfn.XLOOKUP(L569,'02效果表'!D:D,'02效果表'!E:E), 0) +
O569*IF(_xlfn.XLOOKUP(N569,'02效果表'!D:D,'02效果表'!E:E)&lt;0, _xlfn.XLOOKUP(N569,'02效果表'!D:D,'02效果表'!E:E), 0) +
Q569*IF(_xlfn.XLOOKUP(P569,'02效果表'!D:D,'02效果表'!E:E)&lt;0, _xlfn.XLOOKUP(P569,'02效果表'!D:D,'02效果表'!E:E), 0) +
S569*IF(_xlfn.XLOOKUP(R569,'02效果表'!D:D,'02效果表'!E:E)&lt;0, _xlfn.XLOOKUP(R569,'02效果表'!D:D,'02效果表'!E:E), 0) +
U569*IF(_xlfn.XLOOKUP(T569,'02效果表'!D:D,'02效果表'!E:E)&lt;0, _xlfn.XLOOKUP(T569,'02效果表'!D:D,'02效果表'!E:E), 0) +
W569*IF(_xlfn.XLOOKUP(V569,'02效果表'!D:D,'02效果表'!E:E)&lt;0, _xlfn.XLOOKUP(V569,'02效果表'!D:D,'02效果表'!E:E), 0) +
Y569*IF(_xlfn.XLOOKUP(X569,'02效果表'!D:D,'02效果表'!E:E)&lt;0, _xlfn.XLOOKUP(X569,'02效果表'!D:D,'02效果表'!E:E), 0) +
AA569*IF(_xlfn.XLOOKUP(Z569,'02效果表'!D:D,'02效果表'!E:E)&lt;0, _xlfn.XLOOKUP(Z569,'02效果表'!D:D,'02效果表'!E:E), 0) +
AC569*IF(_xlfn.XLOOKUP(AB569,'02效果表'!D:D,'02效果表'!E:E)&lt;0, _xlfn.XLOOKUP(AB569,'02效果表'!D:D,'02效果表'!E:E), 0) +
AE569*IF(_xlfn.XLOOKUP(AD569,'02效果表'!D:D,'02效果表'!E:E)&lt;0, _xlfn.XLOOKUP(AD569,'02效果表'!D:D,'02效果表'!E:E), 0)), 1)</f>
        <v>0</v>
      </c>
      <c r="G569" s="7">
        <f>ROUND(1/6*(I569*MAX(_xlfn.XLOOKUP(H569,'02效果表'!D:D,'02效果表'!E:E),0)+K569*MAX(_xlfn.XLOOKUP(J569,'02效果表'!D:D,'02效果表'!E:E),0)+M569*MAX(_xlfn.XLOOKUP(L569,'02效果表'!D:D,'02效果表'!E:E),0)+O569*MAX(_xlfn.XLOOKUP(N569,'02效果表'!D:D,'02效果表'!E:E),0)+Q569*MAX(_xlfn.XLOOKUP(P569,'02效果表'!D:D,'02效果表'!E:E),0)+S569*MAX(_xlfn.XLOOKUP(R569,'02效果表'!D:D,'02效果表'!E:E),0)+U569*MAX(_xlfn.XLOOKUP(T569,'02效果表'!D:D,'02效果表'!E:E),0)+W569*MAX(_xlfn.XLOOKUP(V569,'02效果表'!D:D,'02效果表'!E:E),0)+Y569*MAX(_xlfn.XLOOKUP(X569,'02效果表'!D:D,'02效果表'!E:E),0)+AA569*MAX(_xlfn.XLOOKUP(Z569,'02效果表'!D:D,'02效果表'!E:E),0)+AC569*MAX(_xlfn.XLOOKUP(AB569,'02效果表'!D:D,'02效果表'!E:E),0)+AE569*MAX(_xlfn.XLOOKUP(AD569,'02效果表'!D:D,'02效果表'!E:E),0)),1)</f>
        <v>0</v>
      </c>
      <c r="H569" s="6"/>
      <c r="I569" s="6"/>
      <c r="J569" s="6"/>
      <c r="K569" s="6"/>
      <c r="L569" s="6"/>
      <c r="M569" s="6"/>
      <c r="N569" s="6"/>
      <c r="O569" s="6"/>
      <c r="P569" s="6"/>
      <c r="Q569" s="6"/>
      <c r="R569" s="6"/>
      <c r="S569" s="6"/>
      <c r="T569" s="6"/>
      <c r="U569" s="6"/>
      <c r="V569" s="6"/>
      <c r="W569" s="6"/>
      <c r="X569" s="6"/>
      <c r="Y569" s="6"/>
      <c r="Z569" s="6"/>
      <c r="AA569" s="6"/>
      <c r="AB569" s="6"/>
      <c r="AC569" s="6"/>
      <c r="AD569" s="6"/>
      <c r="AE569" s="6"/>
    </row>
    <row r="570" spans="1:31" x14ac:dyDescent="0.35">
      <c r="A570" s="6">
        <v>570</v>
      </c>
      <c r="B570" s="6" t="s">
        <v>7</v>
      </c>
      <c r="C570" s="10" t="s">
        <v>16</v>
      </c>
      <c r="D570" s="9" t="s">
        <v>1708</v>
      </c>
      <c r="E570" s="7">
        <f t="shared" si="15"/>
        <v>0</v>
      </c>
      <c r="F570" s="7">
        <f>-1*ROUND(1/6*(I570*IF(_xlfn.XLOOKUP(H570,'02效果表'!D:D,'02效果表'!E:E)&lt;0, _xlfn.XLOOKUP(H570,'02效果表'!D:D,'02效果表'!E:E), 0) +
K570*IF(_xlfn.XLOOKUP(J570,'02效果表'!D:D,'02效果表'!E:E)&lt;0, _xlfn.XLOOKUP(J570,'02效果表'!D:D,'02效果表'!E:E), 0) +
M570*IF(_xlfn.XLOOKUP(L570,'02效果表'!D:D,'02效果表'!E:E)&lt;0, _xlfn.XLOOKUP(L570,'02效果表'!D:D,'02效果表'!E:E), 0) +
O570*IF(_xlfn.XLOOKUP(N570,'02效果表'!D:D,'02效果表'!E:E)&lt;0, _xlfn.XLOOKUP(N570,'02效果表'!D:D,'02效果表'!E:E), 0) +
Q570*IF(_xlfn.XLOOKUP(P570,'02效果表'!D:D,'02效果表'!E:E)&lt;0, _xlfn.XLOOKUP(P570,'02效果表'!D:D,'02效果表'!E:E), 0) +
S570*IF(_xlfn.XLOOKUP(R570,'02效果表'!D:D,'02效果表'!E:E)&lt;0, _xlfn.XLOOKUP(R570,'02效果表'!D:D,'02效果表'!E:E), 0) +
U570*IF(_xlfn.XLOOKUP(T570,'02效果表'!D:D,'02效果表'!E:E)&lt;0, _xlfn.XLOOKUP(T570,'02效果表'!D:D,'02效果表'!E:E), 0) +
W570*IF(_xlfn.XLOOKUP(V570,'02效果表'!D:D,'02效果表'!E:E)&lt;0, _xlfn.XLOOKUP(V570,'02效果表'!D:D,'02效果表'!E:E), 0) +
Y570*IF(_xlfn.XLOOKUP(X570,'02效果表'!D:D,'02效果表'!E:E)&lt;0, _xlfn.XLOOKUP(X570,'02效果表'!D:D,'02效果表'!E:E), 0) +
AA570*IF(_xlfn.XLOOKUP(Z570,'02效果表'!D:D,'02效果表'!E:E)&lt;0, _xlfn.XLOOKUP(Z570,'02效果表'!D:D,'02效果表'!E:E), 0) +
AC570*IF(_xlfn.XLOOKUP(AB570,'02效果表'!D:D,'02效果表'!E:E)&lt;0, _xlfn.XLOOKUP(AB570,'02效果表'!D:D,'02效果表'!E:E), 0) +
AE570*IF(_xlfn.XLOOKUP(AD570,'02效果表'!D:D,'02效果表'!E:E)&lt;0, _xlfn.XLOOKUP(AD570,'02效果表'!D:D,'02效果表'!E:E), 0)), 1)</f>
        <v>0</v>
      </c>
      <c r="G570" s="7">
        <f>ROUND(1/6*(I570*MAX(_xlfn.XLOOKUP(H570,'02效果表'!D:D,'02效果表'!E:E),0)+K570*MAX(_xlfn.XLOOKUP(J570,'02效果表'!D:D,'02效果表'!E:E),0)+M570*MAX(_xlfn.XLOOKUP(L570,'02效果表'!D:D,'02效果表'!E:E),0)+O570*MAX(_xlfn.XLOOKUP(N570,'02效果表'!D:D,'02效果表'!E:E),0)+Q570*MAX(_xlfn.XLOOKUP(P570,'02效果表'!D:D,'02效果表'!E:E),0)+S570*MAX(_xlfn.XLOOKUP(R570,'02效果表'!D:D,'02效果表'!E:E),0)+U570*MAX(_xlfn.XLOOKUP(T570,'02效果表'!D:D,'02效果表'!E:E),0)+W570*MAX(_xlfn.XLOOKUP(V570,'02效果表'!D:D,'02效果表'!E:E),0)+Y570*MAX(_xlfn.XLOOKUP(X570,'02效果表'!D:D,'02效果表'!E:E),0)+AA570*MAX(_xlfn.XLOOKUP(Z570,'02效果表'!D:D,'02效果表'!E:E),0)+AC570*MAX(_xlfn.XLOOKUP(AB570,'02效果表'!D:D,'02效果表'!E:E),0)+AE570*MAX(_xlfn.XLOOKUP(AD570,'02效果表'!D:D,'02效果表'!E:E),0)),1)</f>
        <v>0</v>
      </c>
      <c r="H570" s="6"/>
      <c r="I570" s="6"/>
      <c r="J570" s="6"/>
      <c r="K570" s="6"/>
      <c r="L570" s="6"/>
      <c r="M570" s="6"/>
      <c r="N570" s="6"/>
      <c r="O570" s="6"/>
      <c r="P570" s="6"/>
      <c r="Q570" s="6"/>
      <c r="R570" s="6"/>
      <c r="S570" s="6"/>
      <c r="T570" s="6"/>
      <c r="U570" s="6"/>
      <c r="V570" s="6"/>
      <c r="W570" s="6"/>
      <c r="X570" s="6"/>
      <c r="Y570" s="6"/>
      <c r="Z570" s="6"/>
      <c r="AA570" s="6"/>
      <c r="AB570" s="6"/>
      <c r="AC570" s="6"/>
      <c r="AD570" s="6"/>
      <c r="AE570" s="6"/>
    </row>
    <row r="571" spans="1:31" x14ac:dyDescent="0.35">
      <c r="A571" s="6">
        <v>571</v>
      </c>
      <c r="B571" s="6" t="s">
        <v>7</v>
      </c>
      <c r="C571" s="10" t="s">
        <v>16</v>
      </c>
      <c r="D571" s="9" t="s">
        <v>1709</v>
      </c>
      <c r="E571" s="7">
        <f t="shared" si="15"/>
        <v>0</v>
      </c>
      <c r="F571" s="7">
        <f>-1*ROUND(1/6*(I571*IF(_xlfn.XLOOKUP(H571,'02效果表'!D:D,'02效果表'!E:E)&lt;0, _xlfn.XLOOKUP(H571,'02效果表'!D:D,'02效果表'!E:E), 0) +
K571*IF(_xlfn.XLOOKUP(J571,'02效果表'!D:D,'02效果表'!E:E)&lt;0, _xlfn.XLOOKUP(J571,'02效果表'!D:D,'02效果表'!E:E), 0) +
M571*IF(_xlfn.XLOOKUP(L571,'02效果表'!D:D,'02效果表'!E:E)&lt;0, _xlfn.XLOOKUP(L571,'02效果表'!D:D,'02效果表'!E:E), 0) +
O571*IF(_xlfn.XLOOKUP(N571,'02效果表'!D:D,'02效果表'!E:E)&lt;0, _xlfn.XLOOKUP(N571,'02效果表'!D:D,'02效果表'!E:E), 0) +
Q571*IF(_xlfn.XLOOKUP(P571,'02效果表'!D:D,'02效果表'!E:E)&lt;0, _xlfn.XLOOKUP(P571,'02效果表'!D:D,'02效果表'!E:E), 0) +
S571*IF(_xlfn.XLOOKUP(R571,'02效果表'!D:D,'02效果表'!E:E)&lt;0, _xlfn.XLOOKUP(R571,'02效果表'!D:D,'02效果表'!E:E), 0) +
U571*IF(_xlfn.XLOOKUP(T571,'02效果表'!D:D,'02效果表'!E:E)&lt;0, _xlfn.XLOOKUP(T571,'02效果表'!D:D,'02效果表'!E:E), 0) +
W571*IF(_xlfn.XLOOKUP(V571,'02效果表'!D:D,'02效果表'!E:E)&lt;0, _xlfn.XLOOKUP(V571,'02效果表'!D:D,'02效果表'!E:E), 0) +
Y571*IF(_xlfn.XLOOKUP(X571,'02效果表'!D:D,'02效果表'!E:E)&lt;0, _xlfn.XLOOKUP(X571,'02效果表'!D:D,'02效果表'!E:E), 0) +
AA571*IF(_xlfn.XLOOKUP(Z571,'02效果表'!D:D,'02效果表'!E:E)&lt;0, _xlfn.XLOOKUP(Z571,'02效果表'!D:D,'02效果表'!E:E), 0) +
AC571*IF(_xlfn.XLOOKUP(AB571,'02效果表'!D:D,'02效果表'!E:E)&lt;0, _xlfn.XLOOKUP(AB571,'02效果表'!D:D,'02效果表'!E:E), 0) +
AE571*IF(_xlfn.XLOOKUP(AD571,'02效果表'!D:D,'02效果表'!E:E)&lt;0, _xlfn.XLOOKUP(AD571,'02效果表'!D:D,'02效果表'!E:E), 0)), 1)</f>
        <v>0</v>
      </c>
      <c r="G571" s="7">
        <f>ROUND(1/6*(I571*MAX(_xlfn.XLOOKUP(H571,'02效果表'!D:D,'02效果表'!E:E),0)+K571*MAX(_xlfn.XLOOKUP(J571,'02效果表'!D:D,'02效果表'!E:E),0)+M571*MAX(_xlfn.XLOOKUP(L571,'02效果表'!D:D,'02效果表'!E:E),0)+O571*MAX(_xlfn.XLOOKUP(N571,'02效果表'!D:D,'02效果表'!E:E),0)+Q571*MAX(_xlfn.XLOOKUP(P571,'02效果表'!D:D,'02效果表'!E:E),0)+S571*MAX(_xlfn.XLOOKUP(R571,'02效果表'!D:D,'02效果表'!E:E),0)+U571*MAX(_xlfn.XLOOKUP(T571,'02效果表'!D:D,'02效果表'!E:E),0)+W571*MAX(_xlfn.XLOOKUP(V571,'02效果表'!D:D,'02效果表'!E:E),0)+Y571*MAX(_xlfn.XLOOKUP(X571,'02效果表'!D:D,'02效果表'!E:E),0)+AA571*MAX(_xlfn.XLOOKUP(Z571,'02效果表'!D:D,'02效果表'!E:E),0)+AC571*MAX(_xlfn.XLOOKUP(AB571,'02效果表'!D:D,'02效果表'!E:E),0)+AE571*MAX(_xlfn.XLOOKUP(AD571,'02效果表'!D:D,'02效果表'!E:E),0)),1)</f>
        <v>0</v>
      </c>
      <c r="H571" s="6"/>
      <c r="I571" s="6"/>
      <c r="J571" s="6"/>
      <c r="K571" s="6"/>
      <c r="L571" s="6"/>
      <c r="M571" s="6"/>
      <c r="N571" s="6"/>
      <c r="O571" s="6"/>
      <c r="P571" s="6"/>
      <c r="Q571" s="6"/>
      <c r="R571" s="6"/>
      <c r="S571" s="6"/>
      <c r="T571" s="6"/>
      <c r="U571" s="6"/>
      <c r="V571" s="6"/>
      <c r="W571" s="6"/>
      <c r="X571" s="6"/>
      <c r="Y571" s="6"/>
      <c r="Z571" s="6"/>
      <c r="AA571" s="6"/>
      <c r="AB571" s="6"/>
      <c r="AC571" s="6"/>
      <c r="AD571" s="6"/>
      <c r="AE571" s="6"/>
    </row>
    <row r="572" spans="1:31" x14ac:dyDescent="0.35">
      <c r="A572" s="6">
        <v>572</v>
      </c>
      <c r="B572" s="6" t="s">
        <v>7</v>
      </c>
      <c r="C572" s="10" t="s">
        <v>16</v>
      </c>
      <c r="D572" s="9" t="s">
        <v>1710</v>
      </c>
      <c r="E572" s="7">
        <f t="shared" si="15"/>
        <v>0</v>
      </c>
      <c r="F572" s="7">
        <f>-1*ROUND(1/6*(I572*IF(_xlfn.XLOOKUP(H572,'02效果表'!D:D,'02效果表'!E:E)&lt;0, _xlfn.XLOOKUP(H572,'02效果表'!D:D,'02效果表'!E:E), 0) +
K572*IF(_xlfn.XLOOKUP(J572,'02效果表'!D:D,'02效果表'!E:E)&lt;0, _xlfn.XLOOKUP(J572,'02效果表'!D:D,'02效果表'!E:E), 0) +
M572*IF(_xlfn.XLOOKUP(L572,'02效果表'!D:D,'02效果表'!E:E)&lt;0, _xlfn.XLOOKUP(L572,'02效果表'!D:D,'02效果表'!E:E), 0) +
O572*IF(_xlfn.XLOOKUP(N572,'02效果表'!D:D,'02效果表'!E:E)&lt;0, _xlfn.XLOOKUP(N572,'02效果表'!D:D,'02效果表'!E:E), 0) +
Q572*IF(_xlfn.XLOOKUP(P572,'02效果表'!D:D,'02效果表'!E:E)&lt;0, _xlfn.XLOOKUP(P572,'02效果表'!D:D,'02效果表'!E:E), 0) +
S572*IF(_xlfn.XLOOKUP(R572,'02效果表'!D:D,'02效果表'!E:E)&lt;0, _xlfn.XLOOKUP(R572,'02效果表'!D:D,'02效果表'!E:E), 0) +
U572*IF(_xlfn.XLOOKUP(T572,'02效果表'!D:D,'02效果表'!E:E)&lt;0, _xlfn.XLOOKUP(T572,'02效果表'!D:D,'02效果表'!E:E), 0) +
W572*IF(_xlfn.XLOOKUP(V572,'02效果表'!D:D,'02效果表'!E:E)&lt;0, _xlfn.XLOOKUP(V572,'02效果表'!D:D,'02效果表'!E:E), 0) +
Y572*IF(_xlfn.XLOOKUP(X572,'02效果表'!D:D,'02效果表'!E:E)&lt;0, _xlfn.XLOOKUP(X572,'02效果表'!D:D,'02效果表'!E:E), 0) +
AA572*IF(_xlfn.XLOOKUP(Z572,'02效果表'!D:D,'02效果表'!E:E)&lt;0, _xlfn.XLOOKUP(Z572,'02效果表'!D:D,'02效果表'!E:E), 0) +
AC572*IF(_xlfn.XLOOKUP(AB572,'02效果表'!D:D,'02效果表'!E:E)&lt;0, _xlfn.XLOOKUP(AB572,'02效果表'!D:D,'02效果表'!E:E), 0) +
AE572*IF(_xlfn.XLOOKUP(AD572,'02效果表'!D:D,'02效果表'!E:E)&lt;0, _xlfn.XLOOKUP(AD572,'02效果表'!D:D,'02效果表'!E:E), 0)), 1)</f>
        <v>0</v>
      </c>
      <c r="G572" s="7">
        <f>ROUND(1/6*(I572*MAX(_xlfn.XLOOKUP(H572,'02效果表'!D:D,'02效果表'!E:E),0)+K572*MAX(_xlfn.XLOOKUP(J572,'02效果表'!D:D,'02效果表'!E:E),0)+M572*MAX(_xlfn.XLOOKUP(L572,'02效果表'!D:D,'02效果表'!E:E),0)+O572*MAX(_xlfn.XLOOKUP(N572,'02效果表'!D:D,'02效果表'!E:E),0)+Q572*MAX(_xlfn.XLOOKUP(P572,'02效果表'!D:D,'02效果表'!E:E),0)+S572*MAX(_xlfn.XLOOKUP(R572,'02效果表'!D:D,'02效果表'!E:E),0)+U572*MAX(_xlfn.XLOOKUP(T572,'02效果表'!D:D,'02效果表'!E:E),0)+W572*MAX(_xlfn.XLOOKUP(V572,'02效果表'!D:D,'02效果表'!E:E),0)+Y572*MAX(_xlfn.XLOOKUP(X572,'02效果表'!D:D,'02效果表'!E:E),0)+AA572*MAX(_xlfn.XLOOKUP(Z572,'02效果表'!D:D,'02效果表'!E:E),0)+AC572*MAX(_xlfn.XLOOKUP(AB572,'02效果表'!D:D,'02效果表'!E:E),0)+AE572*MAX(_xlfn.XLOOKUP(AD572,'02效果表'!D:D,'02效果表'!E:E),0)),1)</f>
        <v>0</v>
      </c>
      <c r="H572" s="6"/>
      <c r="I572" s="6"/>
      <c r="J572" s="6"/>
      <c r="K572" s="6"/>
      <c r="L572" s="6"/>
      <c r="M572" s="6"/>
      <c r="N572" s="6"/>
      <c r="O572" s="6"/>
      <c r="P572" s="6"/>
      <c r="Q572" s="6"/>
      <c r="R572" s="6"/>
      <c r="S572" s="6"/>
      <c r="T572" s="6"/>
      <c r="U572" s="6"/>
      <c r="V572" s="6"/>
      <c r="W572" s="6"/>
      <c r="X572" s="6"/>
      <c r="Y572" s="6"/>
      <c r="Z572" s="6"/>
      <c r="AA572" s="6"/>
      <c r="AB572" s="6"/>
      <c r="AC572" s="6"/>
      <c r="AD572" s="6"/>
      <c r="AE572" s="6"/>
    </row>
    <row r="573" spans="1:31" x14ac:dyDescent="0.35">
      <c r="A573" s="6">
        <v>573</v>
      </c>
      <c r="B573" s="6" t="s">
        <v>7</v>
      </c>
      <c r="C573" s="10" t="s">
        <v>16</v>
      </c>
      <c r="D573" s="9" t="s">
        <v>1711</v>
      </c>
      <c r="E573" s="7">
        <f t="shared" si="15"/>
        <v>0</v>
      </c>
      <c r="F573" s="7">
        <f>-1*ROUND(1/6*(I573*IF(_xlfn.XLOOKUP(H573,'02效果表'!D:D,'02效果表'!E:E)&lt;0, _xlfn.XLOOKUP(H573,'02效果表'!D:D,'02效果表'!E:E), 0) +
K573*IF(_xlfn.XLOOKUP(J573,'02效果表'!D:D,'02效果表'!E:E)&lt;0, _xlfn.XLOOKUP(J573,'02效果表'!D:D,'02效果表'!E:E), 0) +
M573*IF(_xlfn.XLOOKUP(L573,'02效果表'!D:D,'02效果表'!E:E)&lt;0, _xlfn.XLOOKUP(L573,'02效果表'!D:D,'02效果表'!E:E), 0) +
O573*IF(_xlfn.XLOOKUP(N573,'02效果表'!D:D,'02效果表'!E:E)&lt;0, _xlfn.XLOOKUP(N573,'02效果表'!D:D,'02效果表'!E:E), 0) +
Q573*IF(_xlfn.XLOOKUP(P573,'02效果表'!D:D,'02效果表'!E:E)&lt;0, _xlfn.XLOOKUP(P573,'02效果表'!D:D,'02效果表'!E:E), 0) +
S573*IF(_xlfn.XLOOKUP(R573,'02效果表'!D:D,'02效果表'!E:E)&lt;0, _xlfn.XLOOKUP(R573,'02效果表'!D:D,'02效果表'!E:E), 0) +
U573*IF(_xlfn.XLOOKUP(T573,'02效果表'!D:D,'02效果表'!E:E)&lt;0, _xlfn.XLOOKUP(T573,'02效果表'!D:D,'02效果表'!E:E), 0) +
W573*IF(_xlfn.XLOOKUP(V573,'02效果表'!D:D,'02效果表'!E:E)&lt;0, _xlfn.XLOOKUP(V573,'02效果表'!D:D,'02效果表'!E:E), 0) +
Y573*IF(_xlfn.XLOOKUP(X573,'02效果表'!D:D,'02效果表'!E:E)&lt;0, _xlfn.XLOOKUP(X573,'02效果表'!D:D,'02效果表'!E:E), 0) +
AA573*IF(_xlfn.XLOOKUP(Z573,'02效果表'!D:D,'02效果表'!E:E)&lt;0, _xlfn.XLOOKUP(Z573,'02效果表'!D:D,'02效果表'!E:E), 0) +
AC573*IF(_xlfn.XLOOKUP(AB573,'02效果表'!D:D,'02效果表'!E:E)&lt;0, _xlfn.XLOOKUP(AB573,'02效果表'!D:D,'02效果表'!E:E), 0) +
AE573*IF(_xlfn.XLOOKUP(AD573,'02效果表'!D:D,'02效果表'!E:E)&lt;0, _xlfn.XLOOKUP(AD573,'02效果表'!D:D,'02效果表'!E:E), 0)), 1)</f>
        <v>0</v>
      </c>
      <c r="G573" s="7">
        <f>ROUND(1/6*(I573*MAX(_xlfn.XLOOKUP(H573,'02效果表'!D:D,'02效果表'!E:E),0)+K573*MAX(_xlfn.XLOOKUP(J573,'02效果表'!D:D,'02效果表'!E:E),0)+M573*MAX(_xlfn.XLOOKUP(L573,'02效果表'!D:D,'02效果表'!E:E),0)+O573*MAX(_xlfn.XLOOKUP(N573,'02效果表'!D:D,'02效果表'!E:E),0)+Q573*MAX(_xlfn.XLOOKUP(P573,'02效果表'!D:D,'02效果表'!E:E),0)+S573*MAX(_xlfn.XLOOKUP(R573,'02效果表'!D:D,'02效果表'!E:E),0)+U573*MAX(_xlfn.XLOOKUP(T573,'02效果表'!D:D,'02效果表'!E:E),0)+W573*MAX(_xlfn.XLOOKUP(V573,'02效果表'!D:D,'02效果表'!E:E),0)+Y573*MAX(_xlfn.XLOOKUP(X573,'02效果表'!D:D,'02效果表'!E:E),0)+AA573*MAX(_xlfn.XLOOKUP(Z573,'02效果表'!D:D,'02效果表'!E:E),0)+AC573*MAX(_xlfn.XLOOKUP(AB573,'02效果表'!D:D,'02效果表'!E:E),0)+AE573*MAX(_xlfn.XLOOKUP(AD573,'02效果表'!D:D,'02效果表'!E:E),0)),1)</f>
        <v>0</v>
      </c>
      <c r="H573" s="6"/>
      <c r="I573" s="6"/>
      <c r="J573" s="6"/>
      <c r="K573" s="6"/>
      <c r="L573" s="6"/>
      <c r="M573" s="6"/>
      <c r="N573" s="6"/>
      <c r="O573" s="6"/>
      <c r="P573" s="6"/>
      <c r="Q573" s="6"/>
      <c r="R573" s="6"/>
      <c r="S573" s="6"/>
      <c r="T573" s="6"/>
      <c r="U573" s="6"/>
      <c r="V573" s="6"/>
      <c r="W573" s="6"/>
      <c r="X573" s="6"/>
      <c r="Y573" s="6"/>
      <c r="Z573" s="6"/>
      <c r="AA573" s="6"/>
      <c r="AB573" s="6"/>
      <c r="AC573" s="6"/>
      <c r="AD573" s="6"/>
      <c r="AE573" s="6"/>
    </row>
    <row r="574" spans="1:31" x14ac:dyDescent="0.35">
      <c r="A574" s="6">
        <v>574</v>
      </c>
      <c r="B574" s="6" t="s">
        <v>7</v>
      </c>
      <c r="C574" s="10" t="s">
        <v>16</v>
      </c>
      <c r="D574" s="9" t="s">
        <v>1712</v>
      </c>
      <c r="E574" s="7">
        <f t="shared" si="15"/>
        <v>0</v>
      </c>
      <c r="F574" s="7">
        <f>-1*ROUND(1/6*(I574*IF(_xlfn.XLOOKUP(H574,'02效果表'!D:D,'02效果表'!E:E)&lt;0, _xlfn.XLOOKUP(H574,'02效果表'!D:D,'02效果表'!E:E), 0) +
K574*IF(_xlfn.XLOOKUP(J574,'02效果表'!D:D,'02效果表'!E:E)&lt;0, _xlfn.XLOOKUP(J574,'02效果表'!D:D,'02效果表'!E:E), 0) +
M574*IF(_xlfn.XLOOKUP(L574,'02效果表'!D:D,'02效果表'!E:E)&lt;0, _xlfn.XLOOKUP(L574,'02效果表'!D:D,'02效果表'!E:E), 0) +
O574*IF(_xlfn.XLOOKUP(N574,'02效果表'!D:D,'02效果表'!E:E)&lt;0, _xlfn.XLOOKUP(N574,'02效果表'!D:D,'02效果表'!E:E), 0) +
Q574*IF(_xlfn.XLOOKUP(P574,'02效果表'!D:D,'02效果表'!E:E)&lt;0, _xlfn.XLOOKUP(P574,'02效果表'!D:D,'02效果表'!E:E), 0) +
S574*IF(_xlfn.XLOOKUP(R574,'02效果表'!D:D,'02效果表'!E:E)&lt;0, _xlfn.XLOOKUP(R574,'02效果表'!D:D,'02效果表'!E:E), 0) +
U574*IF(_xlfn.XLOOKUP(T574,'02效果表'!D:D,'02效果表'!E:E)&lt;0, _xlfn.XLOOKUP(T574,'02效果表'!D:D,'02效果表'!E:E), 0) +
W574*IF(_xlfn.XLOOKUP(V574,'02效果表'!D:D,'02效果表'!E:E)&lt;0, _xlfn.XLOOKUP(V574,'02效果表'!D:D,'02效果表'!E:E), 0) +
Y574*IF(_xlfn.XLOOKUP(X574,'02效果表'!D:D,'02效果表'!E:E)&lt;0, _xlfn.XLOOKUP(X574,'02效果表'!D:D,'02效果表'!E:E), 0) +
AA574*IF(_xlfn.XLOOKUP(Z574,'02效果表'!D:D,'02效果表'!E:E)&lt;0, _xlfn.XLOOKUP(Z574,'02效果表'!D:D,'02效果表'!E:E), 0) +
AC574*IF(_xlfn.XLOOKUP(AB574,'02效果表'!D:D,'02效果表'!E:E)&lt;0, _xlfn.XLOOKUP(AB574,'02效果表'!D:D,'02效果表'!E:E), 0) +
AE574*IF(_xlfn.XLOOKUP(AD574,'02效果表'!D:D,'02效果表'!E:E)&lt;0, _xlfn.XLOOKUP(AD574,'02效果表'!D:D,'02效果表'!E:E), 0)), 1)</f>
        <v>0</v>
      </c>
      <c r="G574" s="7">
        <f>ROUND(1/6*(I574*MAX(_xlfn.XLOOKUP(H574,'02效果表'!D:D,'02效果表'!E:E),0)+K574*MAX(_xlfn.XLOOKUP(J574,'02效果表'!D:D,'02效果表'!E:E),0)+M574*MAX(_xlfn.XLOOKUP(L574,'02效果表'!D:D,'02效果表'!E:E),0)+O574*MAX(_xlfn.XLOOKUP(N574,'02效果表'!D:D,'02效果表'!E:E),0)+Q574*MAX(_xlfn.XLOOKUP(P574,'02效果表'!D:D,'02效果表'!E:E),0)+S574*MAX(_xlfn.XLOOKUP(R574,'02效果表'!D:D,'02效果表'!E:E),0)+U574*MAX(_xlfn.XLOOKUP(T574,'02效果表'!D:D,'02效果表'!E:E),0)+W574*MAX(_xlfn.XLOOKUP(V574,'02效果表'!D:D,'02效果表'!E:E),0)+Y574*MAX(_xlfn.XLOOKUP(X574,'02效果表'!D:D,'02效果表'!E:E),0)+AA574*MAX(_xlfn.XLOOKUP(Z574,'02效果表'!D:D,'02效果表'!E:E),0)+AC574*MAX(_xlfn.XLOOKUP(AB574,'02效果表'!D:D,'02效果表'!E:E),0)+AE574*MAX(_xlfn.XLOOKUP(AD574,'02效果表'!D:D,'02效果表'!E:E),0)),1)</f>
        <v>0</v>
      </c>
      <c r="H574" s="6"/>
      <c r="I574" s="6"/>
      <c r="J574" s="6"/>
      <c r="K574" s="6"/>
      <c r="L574" s="6"/>
      <c r="M574" s="6"/>
      <c r="N574" s="6"/>
      <c r="O574" s="6"/>
      <c r="P574" s="6"/>
      <c r="Q574" s="6"/>
      <c r="R574" s="6"/>
      <c r="S574" s="6"/>
      <c r="T574" s="6"/>
      <c r="U574" s="6"/>
      <c r="V574" s="6"/>
      <c r="W574" s="6"/>
      <c r="X574" s="6"/>
      <c r="Y574" s="6"/>
      <c r="Z574" s="6"/>
      <c r="AA574" s="6"/>
      <c r="AB574" s="6"/>
      <c r="AC574" s="6"/>
      <c r="AD574" s="6"/>
      <c r="AE574" s="6"/>
    </row>
    <row r="575" spans="1:31" x14ac:dyDescent="0.35">
      <c r="A575" s="6">
        <v>575</v>
      </c>
      <c r="B575" s="6" t="s">
        <v>7</v>
      </c>
      <c r="C575" s="10" t="s">
        <v>16</v>
      </c>
      <c r="D575" s="9" t="s">
        <v>1713</v>
      </c>
      <c r="E575" s="7">
        <f t="shared" si="15"/>
        <v>0</v>
      </c>
      <c r="F575" s="7">
        <f>-1*ROUND(1/6*(I575*IF(_xlfn.XLOOKUP(H575,'02效果表'!D:D,'02效果表'!E:E)&lt;0, _xlfn.XLOOKUP(H575,'02效果表'!D:D,'02效果表'!E:E), 0) +
K575*IF(_xlfn.XLOOKUP(J575,'02效果表'!D:D,'02效果表'!E:E)&lt;0, _xlfn.XLOOKUP(J575,'02效果表'!D:D,'02效果表'!E:E), 0) +
M575*IF(_xlfn.XLOOKUP(L575,'02效果表'!D:D,'02效果表'!E:E)&lt;0, _xlfn.XLOOKUP(L575,'02效果表'!D:D,'02效果表'!E:E), 0) +
O575*IF(_xlfn.XLOOKUP(N575,'02效果表'!D:D,'02效果表'!E:E)&lt;0, _xlfn.XLOOKUP(N575,'02效果表'!D:D,'02效果表'!E:E), 0) +
Q575*IF(_xlfn.XLOOKUP(P575,'02效果表'!D:D,'02效果表'!E:E)&lt;0, _xlfn.XLOOKUP(P575,'02效果表'!D:D,'02效果表'!E:E), 0) +
S575*IF(_xlfn.XLOOKUP(R575,'02效果表'!D:D,'02效果表'!E:E)&lt;0, _xlfn.XLOOKUP(R575,'02效果表'!D:D,'02效果表'!E:E), 0) +
U575*IF(_xlfn.XLOOKUP(T575,'02效果表'!D:D,'02效果表'!E:E)&lt;0, _xlfn.XLOOKUP(T575,'02效果表'!D:D,'02效果表'!E:E), 0) +
W575*IF(_xlfn.XLOOKUP(V575,'02效果表'!D:D,'02效果表'!E:E)&lt;0, _xlfn.XLOOKUP(V575,'02效果表'!D:D,'02效果表'!E:E), 0) +
Y575*IF(_xlfn.XLOOKUP(X575,'02效果表'!D:D,'02效果表'!E:E)&lt;0, _xlfn.XLOOKUP(X575,'02效果表'!D:D,'02效果表'!E:E), 0) +
AA575*IF(_xlfn.XLOOKUP(Z575,'02效果表'!D:D,'02效果表'!E:E)&lt;0, _xlfn.XLOOKUP(Z575,'02效果表'!D:D,'02效果表'!E:E), 0) +
AC575*IF(_xlfn.XLOOKUP(AB575,'02效果表'!D:D,'02效果表'!E:E)&lt;0, _xlfn.XLOOKUP(AB575,'02效果表'!D:D,'02效果表'!E:E), 0) +
AE575*IF(_xlfn.XLOOKUP(AD575,'02效果表'!D:D,'02效果表'!E:E)&lt;0, _xlfn.XLOOKUP(AD575,'02效果表'!D:D,'02效果表'!E:E), 0)), 1)</f>
        <v>0</v>
      </c>
      <c r="G575" s="7">
        <f>ROUND(1/6*(I575*MAX(_xlfn.XLOOKUP(H575,'02效果表'!D:D,'02效果表'!E:E),0)+K575*MAX(_xlfn.XLOOKUP(J575,'02效果表'!D:D,'02效果表'!E:E),0)+M575*MAX(_xlfn.XLOOKUP(L575,'02效果表'!D:D,'02效果表'!E:E),0)+O575*MAX(_xlfn.XLOOKUP(N575,'02效果表'!D:D,'02效果表'!E:E),0)+Q575*MAX(_xlfn.XLOOKUP(P575,'02效果表'!D:D,'02效果表'!E:E),0)+S575*MAX(_xlfn.XLOOKUP(R575,'02效果表'!D:D,'02效果表'!E:E),0)+U575*MAX(_xlfn.XLOOKUP(T575,'02效果表'!D:D,'02效果表'!E:E),0)+W575*MAX(_xlfn.XLOOKUP(V575,'02效果表'!D:D,'02效果表'!E:E),0)+Y575*MAX(_xlfn.XLOOKUP(X575,'02效果表'!D:D,'02效果表'!E:E),0)+AA575*MAX(_xlfn.XLOOKUP(Z575,'02效果表'!D:D,'02效果表'!E:E),0)+AC575*MAX(_xlfn.XLOOKUP(AB575,'02效果表'!D:D,'02效果表'!E:E),0)+AE575*MAX(_xlfn.XLOOKUP(AD575,'02效果表'!D:D,'02效果表'!E:E),0)),1)</f>
        <v>0</v>
      </c>
      <c r="H575" s="6"/>
      <c r="I575" s="6"/>
      <c r="J575" s="6"/>
      <c r="K575" s="6"/>
      <c r="L575" s="6"/>
      <c r="M575" s="6"/>
      <c r="N575" s="6"/>
      <c r="O575" s="6"/>
      <c r="P575" s="6"/>
      <c r="Q575" s="6"/>
      <c r="R575" s="6"/>
      <c r="S575" s="6"/>
      <c r="T575" s="6"/>
      <c r="U575" s="6"/>
      <c r="V575" s="6"/>
      <c r="W575" s="6"/>
      <c r="X575" s="6"/>
      <c r="Y575" s="6"/>
      <c r="Z575" s="6"/>
      <c r="AA575" s="6"/>
      <c r="AB575" s="6"/>
      <c r="AC575" s="6"/>
      <c r="AD575" s="6"/>
      <c r="AE575" s="6"/>
    </row>
    <row r="576" spans="1:31" x14ac:dyDescent="0.35">
      <c r="A576" s="6">
        <v>576</v>
      </c>
      <c r="B576" s="6" t="s">
        <v>7</v>
      </c>
      <c r="C576" s="10" t="s">
        <v>16</v>
      </c>
      <c r="D576" s="9" t="s">
        <v>1714</v>
      </c>
      <c r="E576" s="7">
        <f t="shared" si="15"/>
        <v>0</v>
      </c>
      <c r="F576" s="7">
        <f>-1*ROUND(1/6*(I576*IF(_xlfn.XLOOKUP(H576,'02效果表'!D:D,'02效果表'!E:E)&lt;0, _xlfn.XLOOKUP(H576,'02效果表'!D:D,'02效果表'!E:E), 0) +
K576*IF(_xlfn.XLOOKUP(J576,'02效果表'!D:D,'02效果表'!E:E)&lt;0, _xlfn.XLOOKUP(J576,'02效果表'!D:D,'02效果表'!E:E), 0) +
M576*IF(_xlfn.XLOOKUP(L576,'02效果表'!D:D,'02效果表'!E:E)&lt;0, _xlfn.XLOOKUP(L576,'02效果表'!D:D,'02效果表'!E:E), 0) +
O576*IF(_xlfn.XLOOKUP(N576,'02效果表'!D:D,'02效果表'!E:E)&lt;0, _xlfn.XLOOKUP(N576,'02效果表'!D:D,'02效果表'!E:E), 0) +
Q576*IF(_xlfn.XLOOKUP(P576,'02效果表'!D:D,'02效果表'!E:E)&lt;0, _xlfn.XLOOKUP(P576,'02效果表'!D:D,'02效果表'!E:E), 0) +
S576*IF(_xlfn.XLOOKUP(R576,'02效果表'!D:D,'02效果表'!E:E)&lt;0, _xlfn.XLOOKUP(R576,'02效果表'!D:D,'02效果表'!E:E), 0) +
U576*IF(_xlfn.XLOOKUP(T576,'02效果表'!D:D,'02效果表'!E:E)&lt;0, _xlfn.XLOOKUP(T576,'02效果表'!D:D,'02效果表'!E:E), 0) +
W576*IF(_xlfn.XLOOKUP(V576,'02效果表'!D:D,'02效果表'!E:E)&lt;0, _xlfn.XLOOKUP(V576,'02效果表'!D:D,'02效果表'!E:E), 0) +
Y576*IF(_xlfn.XLOOKUP(X576,'02效果表'!D:D,'02效果表'!E:E)&lt;0, _xlfn.XLOOKUP(X576,'02效果表'!D:D,'02效果表'!E:E), 0) +
AA576*IF(_xlfn.XLOOKUP(Z576,'02效果表'!D:D,'02效果表'!E:E)&lt;0, _xlfn.XLOOKUP(Z576,'02效果表'!D:D,'02效果表'!E:E), 0) +
AC576*IF(_xlfn.XLOOKUP(AB576,'02效果表'!D:D,'02效果表'!E:E)&lt;0, _xlfn.XLOOKUP(AB576,'02效果表'!D:D,'02效果表'!E:E), 0) +
AE576*IF(_xlfn.XLOOKUP(AD576,'02效果表'!D:D,'02效果表'!E:E)&lt;0, _xlfn.XLOOKUP(AD576,'02效果表'!D:D,'02效果表'!E:E), 0)), 1)</f>
        <v>0</v>
      </c>
      <c r="G576" s="7">
        <f>ROUND(1/6*(I576*MAX(_xlfn.XLOOKUP(H576,'02效果表'!D:D,'02效果表'!E:E),0)+K576*MAX(_xlfn.XLOOKUP(J576,'02效果表'!D:D,'02效果表'!E:E),0)+M576*MAX(_xlfn.XLOOKUP(L576,'02效果表'!D:D,'02效果表'!E:E),0)+O576*MAX(_xlfn.XLOOKUP(N576,'02效果表'!D:D,'02效果表'!E:E),0)+Q576*MAX(_xlfn.XLOOKUP(P576,'02效果表'!D:D,'02效果表'!E:E),0)+S576*MAX(_xlfn.XLOOKUP(R576,'02效果表'!D:D,'02效果表'!E:E),0)+U576*MAX(_xlfn.XLOOKUP(T576,'02效果表'!D:D,'02效果表'!E:E),0)+W576*MAX(_xlfn.XLOOKUP(V576,'02效果表'!D:D,'02效果表'!E:E),0)+Y576*MAX(_xlfn.XLOOKUP(X576,'02效果表'!D:D,'02效果表'!E:E),0)+AA576*MAX(_xlfn.XLOOKUP(Z576,'02效果表'!D:D,'02效果表'!E:E),0)+AC576*MAX(_xlfn.XLOOKUP(AB576,'02效果表'!D:D,'02效果表'!E:E),0)+AE576*MAX(_xlfn.XLOOKUP(AD576,'02效果表'!D:D,'02效果表'!E:E),0)),1)</f>
        <v>0</v>
      </c>
      <c r="H576" s="6"/>
      <c r="I576" s="6"/>
      <c r="J576" s="6"/>
      <c r="K576" s="6"/>
      <c r="L576" s="6"/>
      <c r="M576" s="6"/>
      <c r="N576" s="6"/>
      <c r="O576" s="6"/>
      <c r="P576" s="6"/>
      <c r="Q576" s="6"/>
      <c r="R576" s="6"/>
      <c r="S576" s="6"/>
      <c r="T576" s="6"/>
      <c r="U576" s="6"/>
      <c r="V576" s="6"/>
      <c r="W576" s="6"/>
      <c r="X576" s="6"/>
      <c r="Y576" s="6"/>
      <c r="Z576" s="6"/>
      <c r="AA576" s="6"/>
      <c r="AB576" s="6"/>
      <c r="AC576" s="6"/>
      <c r="AD576" s="6"/>
      <c r="AE576" s="6"/>
    </row>
    <row r="577" spans="1:31" x14ac:dyDescent="0.35">
      <c r="A577" s="6">
        <v>577</v>
      </c>
      <c r="B577" s="6" t="s">
        <v>7</v>
      </c>
      <c r="C577" s="10" t="s">
        <v>16</v>
      </c>
      <c r="D577" s="9" t="s">
        <v>1715</v>
      </c>
      <c r="E577" s="7">
        <f t="shared" si="15"/>
        <v>0</v>
      </c>
      <c r="F577" s="7">
        <f>-1*ROUND(1/6*(I577*IF(_xlfn.XLOOKUP(H577,'02效果表'!D:D,'02效果表'!E:E)&lt;0, _xlfn.XLOOKUP(H577,'02效果表'!D:D,'02效果表'!E:E), 0) +
K577*IF(_xlfn.XLOOKUP(J577,'02效果表'!D:D,'02效果表'!E:E)&lt;0, _xlfn.XLOOKUP(J577,'02效果表'!D:D,'02效果表'!E:E), 0) +
M577*IF(_xlfn.XLOOKUP(L577,'02效果表'!D:D,'02效果表'!E:E)&lt;0, _xlfn.XLOOKUP(L577,'02效果表'!D:D,'02效果表'!E:E), 0) +
O577*IF(_xlfn.XLOOKUP(N577,'02效果表'!D:D,'02效果表'!E:E)&lt;0, _xlfn.XLOOKUP(N577,'02效果表'!D:D,'02效果表'!E:E), 0) +
Q577*IF(_xlfn.XLOOKUP(P577,'02效果表'!D:D,'02效果表'!E:E)&lt;0, _xlfn.XLOOKUP(P577,'02效果表'!D:D,'02效果表'!E:E), 0) +
S577*IF(_xlfn.XLOOKUP(R577,'02效果表'!D:D,'02效果表'!E:E)&lt;0, _xlfn.XLOOKUP(R577,'02效果表'!D:D,'02效果表'!E:E), 0) +
U577*IF(_xlfn.XLOOKUP(T577,'02效果表'!D:D,'02效果表'!E:E)&lt;0, _xlfn.XLOOKUP(T577,'02效果表'!D:D,'02效果表'!E:E), 0) +
W577*IF(_xlfn.XLOOKUP(V577,'02效果表'!D:D,'02效果表'!E:E)&lt;0, _xlfn.XLOOKUP(V577,'02效果表'!D:D,'02效果表'!E:E), 0) +
Y577*IF(_xlfn.XLOOKUP(X577,'02效果表'!D:D,'02效果表'!E:E)&lt;0, _xlfn.XLOOKUP(X577,'02效果表'!D:D,'02效果表'!E:E), 0) +
AA577*IF(_xlfn.XLOOKUP(Z577,'02效果表'!D:D,'02效果表'!E:E)&lt;0, _xlfn.XLOOKUP(Z577,'02效果表'!D:D,'02效果表'!E:E), 0) +
AC577*IF(_xlfn.XLOOKUP(AB577,'02效果表'!D:D,'02效果表'!E:E)&lt;0, _xlfn.XLOOKUP(AB577,'02效果表'!D:D,'02效果表'!E:E), 0) +
AE577*IF(_xlfn.XLOOKUP(AD577,'02效果表'!D:D,'02效果表'!E:E)&lt;0, _xlfn.XLOOKUP(AD577,'02效果表'!D:D,'02效果表'!E:E), 0)), 1)</f>
        <v>0</v>
      </c>
      <c r="G577" s="7">
        <f>ROUND(1/6*(I577*MAX(_xlfn.XLOOKUP(H577,'02效果表'!D:D,'02效果表'!E:E),0)+K577*MAX(_xlfn.XLOOKUP(J577,'02效果表'!D:D,'02效果表'!E:E),0)+M577*MAX(_xlfn.XLOOKUP(L577,'02效果表'!D:D,'02效果表'!E:E),0)+O577*MAX(_xlfn.XLOOKUP(N577,'02效果表'!D:D,'02效果表'!E:E),0)+Q577*MAX(_xlfn.XLOOKUP(P577,'02效果表'!D:D,'02效果表'!E:E),0)+S577*MAX(_xlfn.XLOOKUP(R577,'02效果表'!D:D,'02效果表'!E:E),0)+U577*MAX(_xlfn.XLOOKUP(T577,'02效果表'!D:D,'02效果表'!E:E),0)+W577*MAX(_xlfn.XLOOKUP(V577,'02效果表'!D:D,'02效果表'!E:E),0)+Y577*MAX(_xlfn.XLOOKUP(X577,'02效果表'!D:D,'02效果表'!E:E),0)+AA577*MAX(_xlfn.XLOOKUP(Z577,'02效果表'!D:D,'02效果表'!E:E),0)+AC577*MAX(_xlfn.XLOOKUP(AB577,'02效果表'!D:D,'02效果表'!E:E),0)+AE577*MAX(_xlfn.XLOOKUP(AD577,'02效果表'!D:D,'02效果表'!E:E),0)),1)</f>
        <v>0</v>
      </c>
      <c r="H577" s="6"/>
      <c r="I577" s="6"/>
      <c r="J577" s="6"/>
      <c r="K577" s="6"/>
      <c r="L577" s="6"/>
      <c r="M577" s="6"/>
      <c r="N577" s="6"/>
      <c r="O577" s="6"/>
      <c r="P577" s="6"/>
      <c r="Q577" s="6"/>
      <c r="R577" s="6"/>
      <c r="S577" s="6"/>
      <c r="T577" s="6"/>
      <c r="U577" s="6"/>
      <c r="V577" s="6"/>
      <c r="W577" s="6"/>
      <c r="X577" s="6"/>
      <c r="Y577" s="6"/>
      <c r="Z577" s="6"/>
      <c r="AA577" s="6"/>
      <c r="AB577" s="6"/>
      <c r="AC577" s="6"/>
      <c r="AD577" s="6"/>
      <c r="AE577" s="6"/>
    </row>
    <row r="578" spans="1:31" x14ac:dyDescent="0.35">
      <c r="A578" s="6">
        <v>578</v>
      </c>
      <c r="B578" s="6" t="s">
        <v>7</v>
      </c>
      <c r="C578" s="10" t="s">
        <v>16</v>
      </c>
      <c r="D578" s="9" t="s">
        <v>1716</v>
      </c>
      <c r="E578" s="7">
        <f t="shared" ref="E578:E641" si="16">ROUND(G578-F578,0)</f>
        <v>0</v>
      </c>
      <c r="F578" s="7">
        <f>-1*ROUND(1/6*(I578*IF(_xlfn.XLOOKUP(H578,'02效果表'!D:D,'02效果表'!E:E)&lt;0, _xlfn.XLOOKUP(H578,'02效果表'!D:D,'02效果表'!E:E), 0) +
K578*IF(_xlfn.XLOOKUP(J578,'02效果表'!D:D,'02效果表'!E:E)&lt;0, _xlfn.XLOOKUP(J578,'02效果表'!D:D,'02效果表'!E:E), 0) +
M578*IF(_xlfn.XLOOKUP(L578,'02效果表'!D:D,'02效果表'!E:E)&lt;0, _xlfn.XLOOKUP(L578,'02效果表'!D:D,'02效果表'!E:E), 0) +
O578*IF(_xlfn.XLOOKUP(N578,'02效果表'!D:D,'02效果表'!E:E)&lt;0, _xlfn.XLOOKUP(N578,'02效果表'!D:D,'02效果表'!E:E), 0) +
Q578*IF(_xlfn.XLOOKUP(P578,'02效果表'!D:D,'02效果表'!E:E)&lt;0, _xlfn.XLOOKUP(P578,'02效果表'!D:D,'02效果表'!E:E), 0) +
S578*IF(_xlfn.XLOOKUP(R578,'02效果表'!D:D,'02效果表'!E:E)&lt;0, _xlfn.XLOOKUP(R578,'02效果表'!D:D,'02效果表'!E:E), 0) +
U578*IF(_xlfn.XLOOKUP(T578,'02效果表'!D:D,'02效果表'!E:E)&lt;0, _xlfn.XLOOKUP(T578,'02效果表'!D:D,'02效果表'!E:E), 0) +
W578*IF(_xlfn.XLOOKUP(V578,'02效果表'!D:D,'02效果表'!E:E)&lt;0, _xlfn.XLOOKUP(V578,'02效果表'!D:D,'02效果表'!E:E), 0) +
Y578*IF(_xlfn.XLOOKUP(X578,'02效果表'!D:D,'02效果表'!E:E)&lt;0, _xlfn.XLOOKUP(X578,'02效果表'!D:D,'02效果表'!E:E), 0) +
AA578*IF(_xlfn.XLOOKUP(Z578,'02效果表'!D:D,'02效果表'!E:E)&lt;0, _xlfn.XLOOKUP(Z578,'02效果表'!D:D,'02效果表'!E:E), 0) +
AC578*IF(_xlfn.XLOOKUP(AB578,'02效果表'!D:D,'02效果表'!E:E)&lt;0, _xlfn.XLOOKUP(AB578,'02效果表'!D:D,'02效果表'!E:E), 0) +
AE578*IF(_xlfn.XLOOKUP(AD578,'02效果表'!D:D,'02效果表'!E:E)&lt;0, _xlfn.XLOOKUP(AD578,'02效果表'!D:D,'02效果表'!E:E), 0)), 1)</f>
        <v>0</v>
      </c>
      <c r="G578" s="7">
        <f>ROUND(1/6*(I578*MAX(_xlfn.XLOOKUP(H578,'02效果表'!D:D,'02效果表'!E:E),0)+K578*MAX(_xlfn.XLOOKUP(J578,'02效果表'!D:D,'02效果表'!E:E),0)+M578*MAX(_xlfn.XLOOKUP(L578,'02效果表'!D:D,'02效果表'!E:E),0)+O578*MAX(_xlfn.XLOOKUP(N578,'02效果表'!D:D,'02效果表'!E:E),0)+Q578*MAX(_xlfn.XLOOKUP(P578,'02效果表'!D:D,'02效果表'!E:E),0)+S578*MAX(_xlfn.XLOOKUP(R578,'02效果表'!D:D,'02效果表'!E:E),0)+U578*MAX(_xlfn.XLOOKUP(T578,'02效果表'!D:D,'02效果表'!E:E),0)+W578*MAX(_xlfn.XLOOKUP(V578,'02效果表'!D:D,'02效果表'!E:E),0)+Y578*MAX(_xlfn.XLOOKUP(X578,'02效果表'!D:D,'02效果表'!E:E),0)+AA578*MAX(_xlfn.XLOOKUP(Z578,'02效果表'!D:D,'02效果表'!E:E),0)+AC578*MAX(_xlfn.XLOOKUP(AB578,'02效果表'!D:D,'02效果表'!E:E),0)+AE578*MAX(_xlfn.XLOOKUP(AD578,'02效果表'!D:D,'02效果表'!E:E),0)),1)</f>
        <v>0</v>
      </c>
      <c r="H578" s="6"/>
      <c r="I578" s="6"/>
      <c r="J578" s="6"/>
      <c r="K578" s="6"/>
      <c r="L578" s="6"/>
      <c r="M578" s="6"/>
      <c r="N578" s="6"/>
      <c r="O578" s="6"/>
      <c r="P578" s="6"/>
      <c r="Q578" s="6"/>
      <c r="R578" s="6"/>
      <c r="S578" s="6"/>
      <c r="T578" s="6"/>
      <c r="U578" s="6"/>
      <c r="V578" s="6"/>
      <c r="W578" s="6"/>
      <c r="X578" s="6"/>
      <c r="Y578" s="6"/>
      <c r="Z578" s="6"/>
      <c r="AA578" s="6"/>
      <c r="AB578" s="6"/>
      <c r="AC578" s="6"/>
      <c r="AD578" s="6"/>
      <c r="AE578" s="6"/>
    </row>
    <row r="579" spans="1:31" x14ac:dyDescent="0.35">
      <c r="A579" s="6">
        <v>579</v>
      </c>
      <c r="B579" s="6" t="s">
        <v>7</v>
      </c>
      <c r="C579" s="10" t="s">
        <v>16</v>
      </c>
      <c r="D579" s="9" t="s">
        <v>1717</v>
      </c>
      <c r="E579" s="7">
        <f t="shared" si="16"/>
        <v>0</v>
      </c>
      <c r="F579" s="7">
        <f>-1*ROUND(1/6*(I579*IF(_xlfn.XLOOKUP(H579,'02效果表'!D:D,'02效果表'!E:E)&lt;0, _xlfn.XLOOKUP(H579,'02效果表'!D:D,'02效果表'!E:E), 0) +
K579*IF(_xlfn.XLOOKUP(J579,'02效果表'!D:D,'02效果表'!E:E)&lt;0, _xlfn.XLOOKUP(J579,'02效果表'!D:D,'02效果表'!E:E), 0) +
M579*IF(_xlfn.XLOOKUP(L579,'02效果表'!D:D,'02效果表'!E:E)&lt;0, _xlfn.XLOOKUP(L579,'02效果表'!D:D,'02效果表'!E:E), 0) +
O579*IF(_xlfn.XLOOKUP(N579,'02效果表'!D:D,'02效果表'!E:E)&lt;0, _xlfn.XLOOKUP(N579,'02效果表'!D:D,'02效果表'!E:E), 0) +
Q579*IF(_xlfn.XLOOKUP(P579,'02效果表'!D:D,'02效果表'!E:E)&lt;0, _xlfn.XLOOKUP(P579,'02效果表'!D:D,'02效果表'!E:E), 0) +
S579*IF(_xlfn.XLOOKUP(R579,'02效果表'!D:D,'02效果表'!E:E)&lt;0, _xlfn.XLOOKUP(R579,'02效果表'!D:D,'02效果表'!E:E), 0) +
U579*IF(_xlfn.XLOOKUP(T579,'02效果表'!D:D,'02效果表'!E:E)&lt;0, _xlfn.XLOOKUP(T579,'02效果表'!D:D,'02效果表'!E:E), 0) +
W579*IF(_xlfn.XLOOKUP(V579,'02效果表'!D:D,'02效果表'!E:E)&lt;0, _xlfn.XLOOKUP(V579,'02效果表'!D:D,'02效果表'!E:E), 0) +
Y579*IF(_xlfn.XLOOKUP(X579,'02效果表'!D:D,'02效果表'!E:E)&lt;0, _xlfn.XLOOKUP(X579,'02效果表'!D:D,'02效果表'!E:E), 0) +
AA579*IF(_xlfn.XLOOKUP(Z579,'02效果表'!D:D,'02效果表'!E:E)&lt;0, _xlfn.XLOOKUP(Z579,'02效果表'!D:D,'02效果表'!E:E), 0) +
AC579*IF(_xlfn.XLOOKUP(AB579,'02效果表'!D:D,'02效果表'!E:E)&lt;0, _xlfn.XLOOKUP(AB579,'02效果表'!D:D,'02效果表'!E:E), 0) +
AE579*IF(_xlfn.XLOOKUP(AD579,'02效果表'!D:D,'02效果表'!E:E)&lt;0, _xlfn.XLOOKUP(AD579,'02效果表'!D:D,'02效果表'!E:E), 0)), 1)</f>
        <v>0</v>
      </c>
      <c r="G579" s="7">
        <f>ROUND(1/6*(I579*MAX(_xlfn.XLOOKUP(H579,'02效果表'!D:D,'02效果表'!E:E),0)+K579*MAX(_xlfn.XLOOKUP(J579,'02效果表'!D:D,'02效果表'!E:E),0)+M579*MAX(_xlfn.XLOOKUP(L579,'02效果表'!D:D,'02效果表'!E:E),0)+O579*MAX(_xlfn.XLOOKUP(N579,'02效果表'!D:D,'02效果表'!E:E),0)+Q579*MAX(_xlfn.XLOOKUP(P579,'02效果表'!D:D,'02效果表'!E:E),0)+S579*MAX(_xlfn.XLOOKUP(R579,'02效果表'!D:D,'02效果表'!E:E),0)+U579*MAX(_xlfn.XLOOKUP(T579,'02效果表'!D:D,'02效果表'!E:E),0)+W579*MAX(_xlfn.XLOOKUP(V579,'02效果表'!D:D,'02效果表'!E:E),0)+Y579*MAX(_xlfn.XLOOKUP(X579,'02效果表'!D:D,'02效果表'!E:E),0)+AA579*MAX(_xlfn.XLOOKUP(Z579,'02效果表'!D:D,'02效果表'!E:E),0)+AC579*MAX(_xlfn.XLOOKUP(AB579,'02效果表'!D:D,'02效果表'!E:E),0)+AE579*MAX(_xlfn.XLOOKUP(AD579,'02效果表'!D:D,'02效果表'!E:E),0)),1)</f>
        <v>0</v>
      </c>
      <c r="H579" s="6"/>
      <c r="I579" s="6"/>
      <c r="J579" s="6"/>
      <c r="K579" s="6"/>
      <c r="L579" s="6"/>
      <c r="M579" s="6"/>
      <c r="N579" s="6"/>
      <c r="O579" s="6"/>
      <c r="P579" s="6"/>
      <c r="Q579" s="6"/>
      <c r="R579" s="6"/>
      <c r="S579" s="6"/>
      <c r="T579" s="6"/>
      <c r="U579" s="6"/>
      <c r="V579" s="6"/>
      <c r="W579" s="6"/>
      <c r="X579" s="6"/>
      <c r="Y579" s="6"/>
      <c r="Z579" s="6"/>
      <c r="AA579" s="6"/>
      <c r="AB579" s="6"/>
      <c r="AC579" s="6"/>
      <c r="AD579" s="6"/>
      <c r="AE579" s="6"/>
    </row>
    <row r="580" spans="1:31" x14ac:dyDescent="0.35">
      <c r="A580" s="6">
        <v>580</v>
      </c>
      <c r="B580" s="6" t="s">
        <v>7</v>
      </c>
      <c r="C580" s="10" t="s">
        <v>16</v>
      </c>
      <c r="D580" s="9" t="s">
        <v>1718</v>
      </c>
      <c r="E580" s="7">
        <f t="shared" si="16"/>
        <v>0</v>
      </c>
      <c r="F580" s="7">
        <f>-1*ROUND(1/6*(I580*IF(_xlfn.XLOOKUP(H580,'02效果表'!D:D,'02效果表'!E:E)&lt;0, _xlfn.XLOOKUP(H580,'02效果表'!D:D,'02效果表'!E:E), 0) +
K580*IF(_xlfn.XLOOKUP(J580,'02效果表'!D:D,'02效果表'!E:E)&lt;0, _xlfn.XLOOKUP(J580,'02效果表'!D:D,'02效果表'!E:E), 0) +
M580*IF(_xlfn.XLOOKUP(L580,'02效果表'!D:D,'02效果表'!E:E)&lt;0, _xlfn.XLOOKUP(L580,'02效果表'!D:D,'02效果表'!E:E), 0) +
O580*IF(_xlfn.XLOOKUP(N580,'02效果表'!D:D,'02效果表'!E:E)&lt;0, _xlfn.XLOOKUP(N580,'02效果表'!D:D,'02效果表'!E:E), 0) +
Q580*IF(_xlfn.XLOOKUP(P580,'02效果表'!D:D,'02效果表'!E:E)&lt;0, _xlfn.XLOOKUP(P580,'02效果表'!D:D,'02效果表'!E:E), 0) +
S580*IF(_xlfn.XLOOKUP(R580,'02效果表'!D:D,'02效果表'!E:E)&lt;0, _xlfn.XLOOKUP(R580,'02效果表'!D:D,'02效果表'!E:E), 0) +
U580*IF(_xlfn.XLOOKUP(T580,'02效果表'!D:D,'02效果表'!E:E)&lt;0, _xlfn.XLOOKUP(T580,'02效果表'!D:D,'02效果表'!E:E), 0) +
W580*IF(_xlfn.XLOOKUP(V580,'02效果表'!D:D,'02效果表'!E:E)&lt;0, _xlfn.XLOOKUP(V580,'02效果表'!D:D,'02效果表'!E:E), 0) +
Y580*IF(_xlfn.XLOOKUP(X580,'02效果表'!D:D,'02效果表'!E:E)&lt;0, _xlfn.XLOOKUP(X580,'02效果表'!D:D,'02效果表'!E:E), 0) +
AA580*IF(_xlfn.XLOOKUP(Z580,'02效果表'!D:D,'02效果表'!E:E)&lt;0, _xlfn.XLOOKUP(Z580,'02效果表'!D:D,'02效果表'!E:E), 0) +
AC580*IF(_xlfn.XLOOKUP(AB580,'02效果表'!D:D,'02效果表'!E:E)&lt;0, _xlfn.XLOOKUP(AB580,'02效果表'!D:D,'02效果表'!E:E), 0) +
AE580*IF(_xlfn.XLOOKUP(AD580,'02效果表'!D:D,'02效果表'!E:E)&lt;0, _xlfn.XLOOKUP(AD580,'02效果表'!D:D,'02效果表'!E:E), 0)), 1)</f>
        <v>0</v>
      </c>
      <c r="G580" s="7">
        <f>ROUND(1/6*(I580*MAX(_xlfn.XLOOKUP(H580,'02效果表'!D:D,'02效果表'!E:E),0)+K580*MAX(_xlfn.XLOOKUP(J580,'02效果表'!D:D,'02效果表'!E:E),0)+M580*MAX(_xlfn.XLOOKUP(L580,'02效果表'!D:D,'02效果表'!E:E),0)+O580*MAX(_xlfn.XLOOKUP(N580,'02效果表'!D:D,'02效果表'!E:E),0)+Q580*MAX(_xlfn.XLOOKUP(P580,'02效果表'!D:D,'02效果表'!E:E),0)+S580*MAX(_xlfn.XLOOKUP(R580,'02效果表'!D:D,'02效果表'!E:E),0)+U580*MAX(_xlfn.XLOOKUP(T580,'02效果表'!D:D,'02效果表'!E:E),0)+W580*MAX(_xlfn.XLOOKUP(V580,'02效果表'!D:D,'02效果表'!E:E),0)+Y580*MAX(_xlfn.XLOOKUP(X580,'02效果表'!D:D,'02效果表'!E:E),0)+AA580*MAX(_xlfn.XLOOKUP(Z580,'02效果表'!D:D,'02效果表'!E:E),0)+AC580*MAX(_xlfn.XLOOKUP(AB580,'02效果表'!D:D,'02效果表'!E:E),0)+AE580*MAX(_xlfn.XLOOKUP(AD580,'02效果表'!D:D,'02效果表'!E:E),0)),1)</f>
        <v>0</v>
      </c>
      <c r="H580" s="6"/>
      <c r="I580" s="6"/>
      <c r="J580" s="6"/>
      <c r="K580" s="6"/>
      <c r="L580" s="6"/>
      <c r="M580" s="6"/>
      <c r="N580" s="6"/>
      <c r="O580" s="6"/>
      <c r="P580" s="6"/>
      <c r="Q580" s="6"/>
      <c r="R580" s="6"/>
      <c r="S580" s="6"/>
      <c r="T580" s="6"/>
      <c r="U580" s="6"/>
      <c r="V580" s="6"/>
      <c r="W580" s="6"/>
      <c r="X580" s="6"/>
      <c r="Y580" s="6"/>
      <c r="Z580" s="6"/>
      <c r="AA580" s="6"/>
      <c r="AB580" s="6"/>
      <c r="AC580" s="6"/>
      <c r="AD580" s="6"/>
      <c r="AE580" s="6"/>
    </row>
    <row r="581" spans="1:31" x14ac:dyDescent="0.35">
      <c r="A581" s="6">
        <v>581</v>
      </c>
      <c r="B581" s="6" t="s">
        <v>7</v>
      </c>
      <c r="C581" s="10" t="s">
        <v>16</v>
      </c>
      <c r="D581" s="9" t="s">
        <v>1719</v>
      </c>
      <c r="E581" s="7">
        <f t="shared" si="16"/>
        <v>0</v>
      </c>
      <c r="F581" s="7">
        <f>-1*ROUND(1/6*(I581*IF(_xlfn.XLOOKUP(H581,'02效果表'!D:D,'02效果表'!E:E)&lt;0, _xlfn.XLOOKUP(H581,'02效果表'!D:D,'02效果表'!E:E), 0) +
K581*IF(_xlfn.XLOOKUP(J581,'02效果表'!D:D,'02效果表'!E:E)&lt;0, _xlfn.XLOOKUP(J581,'02效果表'!D:D,'02效果表'!E:E), 0) +
M581*IF(_xlfn.XLOOKUP(L581,'02效果表'!D:D,'02效果表'!E:E)&lt;0, _xlfn.XLOOKUP(L581,'02效果表'!D:D,'02效果表'!E:E), 0) +
O581*IF(_xlfn.XLOOKUP(N581,'02效果表'!D:D,'02效果表'!E:E)&lt;0, _xlfn.XLOOKUP(N581,'02效果表'!D:D,'02效果表'!E:E), 0) +
Q581*IF(_xlfn.XLOOKUP(P581,'02效果表'!D:D,'02效果表'!E:E)&lt;0, _xlfn.XLOOKUP(P581,'02效果表'!D:D,'02效果表'!E:E), 0) +
S581*IF(_xlfn.XLOOKUP(R581,'02效果表'!D:D,'02效果表'!E:E)&lt;0, _xlfn.XLOOKUP(R581,'02效果表'!D:D,'02效果表'!E:E), 0) +
U581*IF(_xlfn.XLOOKUP(T581,'02效果表'!D:D,'02效果表'!E:E)&lt;0, _xlfn.XLOOKUP(T581,'02效果表'!D:D,'02效果表'!E:E), 0) +
W581*IF(_xlfn.XLOOKUP(V581,'02效果表'!D:D,'02效果表'!E:E)&lt;0, _xlfn.XLOOKUP(V581,'02效果表'!D:D,'02效果表'!E:E), 0) +
Y581*IF(_xlfn.XLOOKUP(X581,'02效果表'!D:D,'02效果表'!E:E)&lt;0, _xlfn.XLOOKUP(X581,'02效果表'!D:D,'02效果表'!E:E), 0) +
AA581*IF(_xlfn.XLOOKUP(Z581,'02效果表'!D:D,'02效果表'!E:E)&lt;0, _xlfn.XLOOKUP(Z581,'02效果表'!D:D,'02效果表'!E:E), 0) +
AC581*IF(_xlfn.XLOOKUP(AB581,'02效果表'!D:D,'02效果表'!E:E)&lt;0, _xlfn.XLOOKUP(AB581,'02效果表'!D:D,'02效果表'!E:E), 0) +
AE581*IF(_xlfn.XLOOKUP(AD581,'02效果表'!D:D,'02效果表'!E:E)&lt;0, _xlfn.XLOOKUP(AD581,'02效果表'!D:D,'02效果表'!E:E), 0)), 1)</f>
        <v>0</v>
      </c>
      <c r="G581" s="7">
        <f>ROUND(1/6*(I581*MAX(_xlfn.XLOOKUP(H581,'02效果表'!D:D,'02效果表'!E:E),0)+K581*MAX(_xlfn.XLOOKUP(J581,'02效果表'!D:D,'02效果表'!E:E),0)+M581*MAX(_xlfn.XLOOKUP(L581,'02效果表'!D:D,'02效果表'!E:E),0)+O581*MAX(_xlfn.XLOOKUP(N581,'02效果表'!D:D,'02效果表'!E:E),0)+Q581*MAX(_xlfn.XLOOKUP(P581,'02效果表'!D:D,'02效果表'!E:E),0)+S581*MAX(_xlfn.XLOOKUP(R581,'02效果表'!D:D,'02效果表'!E:E),0)+U581*MAX(_xlfn.XLOOKUP(T581,'02效果表'!D:D,'02效果表'!E:E),0)+W581*MAX(_xlfn.XLOOKUP(V581,'02效果表'!D:D,'02效果表'!E:E),0)+Y581*MAX(_xlfn.XLOOKUP(X581,'02效果表'!D:D,'02效果表'!E:E),0)+AA581*MAX(_xlfn.XLOOKUP(Z581,'02效果表'!D:D,'02效果表'!E:E),0)+AC581*MAX(_xlfn.XLOOKUP(AB581,'02效果表'!D:D,'02效果表'!E:E),0)+AE581*MAX(_xlfn.XLOOKUP(AD581,'02效果表'!D:D,'02效果表'!E:E),0)),1)</f>
        <v>0</v>
      </c>
      <c r="H581" s="6"/>
      <c r="I581" s="6"/>
      <c r="J581" s="6"/>
      <c r="K581" s="6"/>
      <c r="L581" s="6"/>
      <c r="M581" s="6"/>
      <c r="N581" s="6"/>
      <c r="O581" s="6"/>
      <c r="P581" s="6"/>
      <c r="Q581" s="6"/>
      <c r="R581" s="6"/>
      <c r="S581" s="6"/>
      <c r="T581" s="6"/>
      <c r="U581" s="6"/>
      <c r="V581" s="6"/>
      <c r="W581" s="6"/>
      <c r="X581" s="6"/>
      <c r="Y581" s="6"/>
      <c r="Z581" s="6"/>
      <c r="AA581" s="6"/>
      <c r="AB581" s="6"/>
      <c r="AC581" s="6"/>
      <c r="AD581" s="6"/>
      <c r="AE581" s="6"/>
    </row>
    <row r="582" spans="1:31" x14ac:dyDescent="0.35">
      <c r="A582" s="6">
        <v>582</v>
      </c>
      <c r="B582" s="6" t="s">
        <v>7</v>
      </c>
      <c r="C582" s="10" t="s">
        <v>16</v>
      </c>
      <c r="D582" s="9" t="s">
        <v>1720</v>
      </c>
      <c r="E582" s="7">
        <f t="shared" si="16"/>
        <v>0</v>
      </c>
      <c r="F582" s="7">
        <f>-1*ROUND(1/6*(I582*IF(_xlfn.XLOOKUP(H582,'02效果表'!D:D,'02效果表'!E:E)&lt;0, _xlfn.XLOOKUP(H582,'02效果表'!D:D,'02效果表'!E:E), 0) +
K582*IF(_xlfn.XLOOKUP(J582,'02效果表'!D:D,'02效果表'!E:E)&lt;0, _xlfn.XLOOKUP(J582,'02效果表'!D:D,'02效果表'!E:E), 0) +
M582*IF(_xlfn.XLOOKUP(L582,'02效果表'!D:D,'02效果表'!E:E)&lt;0, _xlfn.XLOOKUP(L582,'02效果表'!D:D,'02效果表'!E:E), 0) +
O582*IF(_xlfn.XLOOKUP(N582,'02效果表'!D:D,'02效果表'!E:E)&lt;0, _xlfn.XLOOKUP(N582,'02效果表'!D:D,'02效果表'!E:E), 0) +
Q582*IF(_xlfn.XLOOKUP(P582,'02效果表'!D:D,'02效果表'!E:E)&lt;0, _xlfn.XLOOKUP(P582,'02效果表'!D:D,'02效果表'!E:E), 0) +
S582*IF(_xlfn.XLOOKUP(R582,'02效果表'!D:D,'02效果表'!E:E)&lt;0, _xlfn.XLOOKUP(R582,'02效果表'!D:D,'02效果表'!E:E), 0) +
U582*IF(_xlfn.XLOOKUP(T582,'02效果表'!D:D,'02效果表'!E:E)&lt;0, _xlfn.XLOOKUP(T582,'02效果表'!D:D,'02效果表'!E:E), 0) +
W582*IF(_xlfn.XLOOKUP(V582,'02效果表'!D:D,'02效果表'!E:E)&lt;0, _xlfn.XLOOKUP(V582,'02效果表'!D:D,'02效果表'!E:E), 0) +
Y582*IF(_xlfn.XLOOKUP(X582,'02效果表'!D:D,'02效果表'!E:E)&lt;0, _xlfn.XLOOKUP(X582,'02效果表'!D:D,'02效果表'!E:E), 0) +
AA582*IF(_xlfn.XLOOKUP(Z582,'02效果表'!D:D,'02效果表'!E:E)&lt;0, _xlfn.XLOOKUP(Z582,'02效果表'!D:D,'02效果表'!E:E), 0) +
AC582*IF(_xlfn.XLOOKUP(AB582,'02效果表'!D:D,'02效果表'!E:E)&lt;0, _xlfn.XLOOKUP(AB582,'02效果表'!D:D,'02效果表'!E:E), 0) +
AE582*IF(_xlfn.XLOOKUP(AD582,'02效果表'!D:D,'02效果表'!E:E)&lt;0, _xlfn.XLOOKUP(AD582,'02效果表'!D:D,'02效果表'!E:E), 0)), 1)</f>
        <v>0</v>
      </c>
      <c r="G582" s="7">
        <f>ROUND(1/6*(I582*MAX(_xlfn.XLOOKUP(H582,'02效果表'!D:D,'02效果表'!E:E),0)+K582*MAX(_xlfn.XLOOKUP(J582,'02效果表'!D:D,'02效果表'!E:E),0)+M582*MAX(_xlfn.XLOOKUP(L582,'02效果表'!D:D,'02效果表'!E:E),0)+O582*MAX(_xlfn.XLOOKUP(N582,'02效果表'!D:D,'02效果表'!E:E),0)+Q582*MAX(_xlfn.XLOOKUP(P582,'02效果表'!D:D,'02效果表'!E:E),0)+S582*MAX(_xlfn.XLOOKUP(R582,'02效果表'!D:D,'02效果表'!E:E),0)+U582*MAX(_xlfn.XLOOKUP(T582,'02效果表'!D:D,'02效果表'!E:E),0)+W582*MAX(_xlfn.XLOOKUP(V582,'02效果表'!D:D,'02效果表'!E:E),0)+Y582*MAX(_xlfn.XLOOKUP(X582,'02效果表'!D:D,'02效果表'!E:E),0)+AA582*MAX(_xlfn.XLOOKUP(Z582,'02效果表'!D:D,'02效果表'!E:E),0)+AC582*MAX(_xlfn.XLOOKUP(AB582,'02效果表'!D:D,'02效果表'!E:E),0)+AE582*MAX(_xlfn.XLOOKUP(AD582,'02效果表'!D:D,'02效果表'!E:E),0)),1)</f>
        <v>0</v>
      </c>
      <c r="H582" s="6"/>
      <c r="I582" s="6"/>
      <c r="J582" s="6"/>
      <c r="K582" s="6"/>
      <c r="L582" s="6"/>
      <c r="M582" s="6"/>
      <c r="N582" s="6"/>
      <c r="O582" s="6"/>
      <c r="P582" s="6"/>
      <c r="Q582" s="6"/>
      <c r="R582" s="6"/>
      <c r="S582" s="6"/>
      <c r="T582" s="6"/>
      <c r="U582" s="6"/>
      <c r="V582" s="6"/>
      <c r="W582" s="6"/>
      <c r="X582" s="6"/>
      <c r="Y582" s="6"/>
      <c r="Z582" s="6"/>
      <c r="AA582" s="6"/>
      <c r="AB582" s="6"/>
      <c r="AC582" s="6"/>
      <c r="AD582" s="6"/>
      <c r="AE582" s="6"/>
    </row>
    <row r="583" spans="1:31" x14ac:dyDescent="0.35">
      <c r="A583" s="6">
        <v>583</v>
      </c>
      <c r="B583" s="6" t="s">
        <v>7</v>
      </c>
      <c r="C583" s="10" t="s">
        <v>16</v>
      </c>
      <c r="D583" s="9" t="s">
        <v>1721</v>
      </c>
      <c r="E583" s="7">
        <f t="shared" si="16"/>
        <v>0</v>
      </c>
      <c r="F583" s="7">
        <f>-1*ROUND(1/6*(I583*IF(_xlfn.XLOOKUP(H583,'02效果表'!D:D,'02效果表'!E:E)&lt;0, _xlfn.XLOOKUP(H583,'02效果表'!D:D,'02效果表'!E:E), 0) +
K583*IF(_xlfn.XLOOKUP(J583,'02效果表'!D:D,'02效果表'!E:E)&lt;0, _xlfn.XLOOKUP(J583,'02效果表'!D:D,'02效果表'!E:E), 0) +
M583*IF(_xlfn.XLOOKUP(L583,'02效果表'!D:D,'02效果表'!E:E)&lt;0, _xlfn.XLOOKUP(L583,'02效果表'!D:D,'02效果表'!E:E), 0) +
O583*IF(_xlfn.XLOOKUP(N583,'02效果表'!D:D,'02效果表'!E:E)&lt;0, _xlfn.XLOOKUP(N583,'02效果表'!D:D,'02效果表'!E:E), 0) +
Q583*IF(_xlfn.XLOOKUP(P583,'02效果表'!D:D,'02效果表'!E:E)&lt;0, _xlfn.XLOOKUP(P583,'02效果表'!D:D,'02效果表'!E:E), 0) +
S583*IF(_xlfn.XLOOKUP(R583,'02效果表'!D:D,'02效果表'!E:E)&lt;0, _xlfn.XLOOKUP(R583,'02效果表'!D:D,'02效果表'!E:E), 0) +
U583*IF(_xlfn.XLOOKUP(T583,'02效果表'!D:D,'02效果表'!E:E)&lt;0, _xlfn.XLOOKUP(T583,'02效果表'!D:D,'02效果表'!E:E), 0) +
W583*IF(_xlfn.XLOOKUP(V583,'02效果表'!D:D,'02效果表'!E:E)&lt;0, _xlfn.XLOOKUP(V583,'02效果表'!D:D,'02效果表'!E:E), 0) +
Y583*IF(_xlfn.XLOOKUP(X583,'02效果表'!D:D,'02效果表'!E:E)&lt;0, _xlfn.XLOOKUP(X583,'02效果表'!D:D,'02效果表'!E:E), 0) +
AA583*IF(_xlfn.XLOOKUP(Z583,'02效果表'!D:D,'02效果表'!E:E)&lt;0, _xlfn.XLOOKUP(Z583,'02效果表'!D:D,'02效果表'!E:E), 0) +
AC583*IF(_xlfn.XLOOKUP(AB583,'02效果表'!D:D,'02效果表'!E:E)&lt;0, _xlfn.XLOOKUP(AB583,'02效果表'!D:D,'02效果表'!E:E), 0) +
AE583*IF(_xlfn.XLOOKUP(AD583,'02效果表'!D:D,'02效果表'!E:E)&lt;0, _xlfn.XLOOKUP(AD583,'02效果表'!D:D,'02效果表'!E:E), 0)), 1)</f>
        <v>0</v>
      </c>
      <c r="G583" s="7">
        <f>ROUND(1/6*(I583*MAX(_xlfn.XLOOKUP(H583,'02效果表'!D:D,'02效果表'!E:E),0)+K583*MAX(_xlfn.XLOOKUP(J583,'02效果表'!D:D,'02效果表'!E:E),0)+M583*MAX(_xlfn.XLOOKUP(L583,'02效果表'!D:D,'02效果表'!E:E),0)+O583*MAX(_xlfn.XLOOKUP(N583,'02效果表'!D:D,'02效果表'!E:E),0)+Q583*MAX(_xlfn.XLOOKUP(P583,'02效果表'!D:D,'02效果表'!E:E),0)+S583*MAX(_xlfn.XLOOKUP(R583,'02效果表'!D:D,'02效果表'!E:E),0)+U583*MAX(_xlfn.XLOOKUP(T583,'02效果表'!D:D,'02效果表'!E:E),0)+W583*MAX(_xlfn.XLOOKUP(V583,'02效果表'!D:D,'02效果表'!E:E),0)+Y583*MAX(_xlfn.XLOOKUP(X583,'02效果表'!D:D,'02效果表'!E:E),0)+AA583*MAX(_xlfn.XLOOKUP(Z583,'02效果表'!D:D,'02效果表'!E:E),0)+AC583*MAX(_xlfn.XLOOKUP(AB583,'02效果表'!D:D,'02效果表'!E:E),0)+AE583*MAX(_xlfn.XLOOKUP(AD583,'02效果表'!D:D,'02效果表'!E:E),0)),1)</f>
        <v>0</v>
      </c>
      <c r="H583" s="6"/>
      <c r="I583" s="6"/>
      <c r="J583" s="6"/>
      <c r="K583" s="6"/>
      <c r="L583" s="6"/>
      <c r="M583" s="6"/>
      <c r="N583" s="6"/>
      <c r="O583" s="6"/>
      <c r="P583" s="6"/>
      <c r="Q583" s="6"/>
      <c r="R583" s="6"/>
      <c r="S583" s="6"/>
      <c r="T583" s="6"/>
      <c r="U583" s="6"/>
      <c r="V583" s="6"/>
      <c r="W583" s="6"/>
      <c r="X583" s="6"/>
      <c r="Y583" s="6"/>
      <c r="Z583" s="6"/>
      <c r="AA583" s="6"/>
      <c r="AB583" s="6"/>
      <c r="AC583" s="6"/>
      <c r="AD583" s="6"/>
      <c r="AE583" s="6"/>
    </row>
    <row r="584" spans="1:31" x14ac:dyDescent="0.35">
      <c r="A584" s="6">
        <v>584</v>
      </c>
      <c r="B584" s="6" t="s">
        <v>7</v>
      </c>
      <c r="C584" s="10" t="s">
        <v>16</v>
      </c>
      <c r="D584" s="9" t="s">
        <v>1722</v>
      </c>
      <c r="E584" s="7">
        <f t="shared" si="16"/>
        <v>0</v>
      </c>
      <c r="F584" s="7">
        <f>-1*ROUND(1/6*(I584*IF(_xlfn.XLOOKUP(H584,'02效果表'!D:D,'02效果表'!E:E)&lt;0, _xlfn.XLOOKUP(H584,'02效果表'!D:D,'02效果表'!E:E), 0) +
K584*IF(_xlfn.XLOOKUP(J584,'02效果表'!D:D,'02效果表'!E:E)&lt;0, _xlfn.XLOOKUP(J584,'02效果表'!D:D,'02效果表'!E:E), 0) +
M584*IF(_xlfn.XLOOKUP(L584,'02效果表'!D:D,'02效果表'!E:E)&lt;0, _xlfn.XLOOKUP(L584,'02效果表'!D:D,'02效果表'!E:E), 0) +
O584*IF(_xlfn.XLOOKUP(N584,'02效果表'!D:D,'02效果表'!E:E)&lt;0, _xlfn.XLOOKUP(N584,'02效果表'!D:D,'02效果表'!E:E), 0) +
Q584*IF(_xlfn.XLOOKUP(P584,'02效果表'!D:D,'02效果表'!E:E)&lt;0, _xlfn.XLOOKUP(P584,'02效果表'!D:D,'02效果表'!E:E), 0) +
S584*IF(_xlfn.XLOOKUP(R584,'02效果表'!D:D,'02效果表'!E:E)&lt;0, _xlfn.XLOOKUP(R584,'02效果表'!D:D,'02效果表'!E:E), 0) +
U584*IF(_xlfn.XLOOKUP(T584,'02效果表'!D:D,'02效果表'!E:E)&lt;0, _xlfn.XLOOKUP(T584,'02效果表'!D:D,'02效果表'!E:E), 0) +
W584*IF(_xlfn.XLOOKUP(V584,'02效果表'!D:D,'02效果表'!E:E)&lt;0, _xlfn.XLOOKUP(V584,'02效果表'!D:D,'02效果表'!E:E), 0) +
Y584*IF(_xlfn.XLOOKUP(X584,'02效果表'!D:D,'02效果表'!E:E)&lt;0, _xlfn.XLOOKUP(X584,'02效果表'!D:D,'02效果表'!E:E), 0) +
AA584*IF(_xlfn.XLOOKUP(Z584,'02效果表'!D:D,'02效果表'!E:E)&lt;0, _xlfn.XLOOKUP(Z584,'02效果表'!D:D,'02效果表'!E:E), 0) +
AC584*IF(_xlfn.XLOOKUP(AB584,'02效果表'!D:D,'02效果表'!E:E)&lt;0, _xlfn.XLOOKUP(AB584,'02效果表'!D:D,'02效果表'!E:E), 0) +
AE584*IF(_xlfn.XLOOKUP(AD584,'02效果表'!D:D,'02效果表'!E:E)&lt;0, _xlfn.XLOOKUP(AD584,'02效果表'!D:D,'02效果表'!E:E), 0)), 1)</f>
        <v>0</v>
      </c>
      <c r="G584" s="7">
        <f>ROUND(1/6*(I584*MAX(_xlfn.XLOOKUP(H584,'02效果表'!D:D,'02效果表'!E:E),0)+K584*MAX(_xlfn.XLOOKUP(J584,'02效果表'!D:D,'02效果表'!E:E),0)+M584*MAX(_xlfn.XLOOKUP(L584,'02效果表'!D:D,'02效果表'!E:E),0)+O584*MAX(_xlfn.XLOOKUP(N584,'02效果表'!D:D,'02效果表'!E:E),0)+Q584*MAX(_xlfn.XLOOKUP(P584,'02效果表'!D:D,'02效果表'!E:E),0)+S584*MAX(_xlfn.XLOOKUP(R584,'02效果表'!D:D,'02效果表'!E:E),0)+U584*MAX(_xlfn.XLOOKUP(T584,'02效果表'!D:D,'02效果表'!E:E),0)+W584*MAX(_xlfn.XLOOKUP(V584,'02效果表'!D:D,'02效果表'!E:E),0)+Y584*MAX(_xlfn.XLOOKUP(X584,'02效果表'!D:D,'02效果表'!E:E),0)+AA584*MAX(_xlfn.XLOOKUP(Z584,'02效果表'!D:D,'02效果表'!E:E),0)+AC584*MAX(_xlfn.XLOOKUP(AB584,'02效果表'!D:D,'02效果表'!E:E),0)+AE584*MAX(_xlfn.XLOOKUP(AD584,'02效果表'!D:D,'02效果表'!E:E),0)),1)</f>
        <v>0</v>
      </c>
      <c r="H584" s="6"/>
      <c r="I584" s="6"/>
      <c r="J584" s="6"/>
      <c r="K584" s="6"/>
      <c r="L584" s="6"/>
      <c r="M584" s="6"/>
      <c r="N584" s="6"/>
      <c r="O584" s="6"/>
      <c r="P584" s="6"/>
      <c r="Q584" s="6"/>
      <c r="R584" s="6"/>
      <c r="S584" s="6"/>
      <c r="T584" s="6"/>
      <c r="U584" s="6"/>
      <c r="V584" s="6"/>
      <c r="W584" s="6"/>
      <c r="X584" s="6"/>
      <c r="Y584" s="6"/>
      <c r="Z584" s="6"/>
      <c r="AA584" s="6"/>
      <c r="AB584" s="6"/>
      <c r="AC584" s="6"/>
      <c r="AD584" s="6"/>
      <c r="AE584" s="6"/>
    </row>
    <row r="585" spans="1:31" x14ac:dyDescent="0.35">
      <c r="A585" s="6">
        <v>585</v>
      </c>
      <c r="B585" s="6" t="s">
        <v>7</v>
      </c>
      <c r="C585" s="10" t="s">
        <v>16</v>
      </c>
      <c r="D585" s="9" t="s">
        <v>1723</v>
      </c>
      <c r="E585" s="7">
        <f t="shared" si="16"/>
        <v>0</v>
      </c>
      <c r="F585" s="7">
        <f>-1*ROUND(1/6*(I585*IF(_xlfn.XLOOKUP(H585,'02效果表'!D:D,'02效果表'!E:E)&lt;0, _xlfn.XLOOKUP(H585,'02效果表'!D:D,'02效果表'!E:E), 0) +
K585*IF(_xlfn.XLOOKUP(J585,'02效果表'!D:D,'02效果表'!E:E)&lt;0, _xlfn.XLOOKUP(J585,'02效果表'!D:D,'02效果表'!E:E), 0) +
M585*IF(_xlfn.XLOOKUP(L585,'02效果表'!D:D,'02效果表'!E:E)&lt;0, _xlfn.XLOOKUP(L585,'02效果表'!D:D,'02效果表'!E:E), 0) +
O585*IF(_xlfn.XLOOKUP(N585,'02效果表'!D:D,'02效果表'!E:E)&lt;0, _xlfn.XLOOKUP(N585,'02效果表'!D:D,'02效果表'!E:E), 0) +
Q585*IF(_xlfn.XLOOKUP(P585,'02效果表'!D:D,'02效果表'!E:E)&lt;0, _xlfn.XLOOKUP(P585,'02效果表'!D:D,'02效果表'!E:E), 0) +
S585*IF(_xlfn.XLOOKUP(R585,'02效果表'!D:D,'02效果表'!E:E)&lt;0, _xlfn.XLOOKUP(R585,'02效果表'!D:D,'02效果表'!E:E), 0) +
U585*IF(_xlfn.XLOOKUP(T585,'02效果表'!D:D,'02效果表'!E:E)&lt;0, _xlfn.XLOOKUP(T585,'02效果表'!D:D,'02效果表'!E:E), 0) +
W585*IF(_xlfn.XLOOKUP(V585,'02效果表'!D:D,'02效果表'!E:E)&lt;0, _xlfn.XLOOKUP(V585,'02效果表'!D:D,'02效果表'!E:E), 0) +
Y585*IF(_xlfn.XLOOKUP(X585,'02效果表'!D:D,'02效果表'!E:E)&lt;0, _xlfn.XLOOKUP(X585,'02效果表'!D:D,'02效果表'!E:E), 0) +
AA585*IF(_xlfn.XLOOKUP(Z585,'02效果表'!D:D,'02效果表'!E:E)&lt;0, _xlfn.XLOOKUP(Z585,'02效果表'!D:D,'02效果表'!E:E), 0) +
AC585*IF(_xlfn.XLOOKUP(AB585,'02效果表'!D:D,'02效果表'!E:E)&lt;0, _xlfn.XLOOKUP(AB585,'02效果表'!D:D,'02效果表'!E:E), 0) +
AE585*IF(_xlfn.XLOOKUP(AD585,'02效果表'!D:D,'02效果表'!E:E)&lt;0, _xlfn.XLOOKUP(AD585,'02效果表'!D:D,'02效果表'!E:E), 0)), 1)</f>
        <v>0</v>
      </c>
      <c r="G585" s="7">
        <f>ROUND(1/6*(I585*MAX(_xlfn.XLOOKUP(H585,'02效果表'!D:D,'02效果表'!E:E),0)+K585*MAX(_xlfn.XLOOKUP(J585,'02效果表'!D:D,'02效果表'!E:E),0)+M585*MAX(_xlfn.XLOOKUP(L585,'02效果表'!D:D,'02效果表'!E:E),0)+O585*MAX(_xlfn.XLOOKUP(N585,'02效果表'!D:D,'02效果表'!E:E),0)+Q585*MAX(_xlfn.XLOOKUP(P585,'02效果表'!D:D,'02效果表'!E:E),0)+S585*MAX(_xlfn.XLOOKUP(R585,'02效果表'!D:D,'02效果表'!E:E),0)+U585*MAX(_xlfn.XLOOKUP(T585,'02效果表'!D:D,'02效果表'!E:E),0)+W585*MAX(_xlfn.XLOOKUP(V585,'02效果表'!D:D,'02效果表'!E:E),0)+Y585*MAX(_xlfn.XLOOKUP(X585,'02效果表'!D:D,'02效果表'!E:E),0)+AA585*MAX(_xlfn.XLOOKUP(Z585,'02效果表'!D:D,'02效果表'!E:E),0)+AC585*MAX(_xlfn.XLOOKUP(AB585,'02效果表'!D:D,'02效果表'!E:E),0)+AE585*MAX(_xlfn.XLOOKUP(AD585,'02效果表'!D:D,'02效果表'!E:E),0)),1)</f>
        <v>0</v>
      </c>
      <c r="H585" s="6"/>
      <c r="I585" s="6"/>
      <c r="J585" s="6"/>
      <c r="K585" s="6"/>
      <c r="L585" s="6"/>
      <c r="M585" s="6"/>
      <c r="N585" s="6"/>
      <c r="O585" s="6"/>
      <c r="P585" s="6"/>
      <c r="Q585" s="6"/>
      <c r="R585" s="6"/>
      <c r="S585" s="6"/>
      <c r="T585" s="6"/>
      <c r="U585" s="6"/>
      <c r="V585" s="6"/>
      <c r="W585" s="6"/>
      <c r="X585" s="6"/>
      <c r="Y585" s="6"/>
      <c r="Z585" s="6"/>
      <c r="AA585" s="6"/>
      <c r="AB585" s="6"/>
      <c r="AC585" s="6"/>
      <c r="AD585" s="6"/>
      <c r="AE585" s="6"/>
    </row>
    <row r="586" spans="1:31" x14ac:dyDescent="0.35">
      <c r="A586" s="6">
        <v>586</v>
      </c>
      <c r="B586" s="6" t="s">
        <v>7</v>
      </c>
      <c r="C586" s="10" t="s">
        <v>16</v>
      </c>
      <c r="D586" s="9" t="s">
        <v>1724</v>
      </c>
      <c r="E586" s="7">
        <f t="shared" si="16"/>
        <v>0</v>
      </c>
      <c r="F586" s="7">
        <f>-1*ROUND(1/6*(I586*IF(_xlfn.XLOOKUP(H586,'02效果表'!D:D,'02效果表'!E:E)&lt;0, _xlfn.XLOOKUP(H586,'02效果表'!D:D,'02效果表'!E:E), 0) +
K586*IF(_xlfn.XLOOKUP(J586,'02效果表'!D:D,'02效果表'!E:E)&lt;0, _xlfn.XLOOKUP(J586,'02效果表'!D:D,'02效果表'!E:E), 0) +
M586*IF(_xlfn.XLOOKUP(L586,'02效果表'!D:D,'02效果表'!E:E)&lt;0, _xlfn.XLOOKUP(L586,'02效果表'!D:D,'02效果表'!E:E), 0) +
O586*IF(_xlfn.XLOOKUP(N586,'02效果表'!D:D,'02效果表'!E:E)&lt;0, _xlfn.XLOOKUP(N586,'02效果表'!D:D,'02效果表'!E:E), 0) +
Q586*IF(_xlfn.XLOOKUP(P586,'02效果表'!D:D,'02效果表'!E:E)&lt;0, _xlfn.XLOOKUP(P586,'02效果表'!D:D,'02效果表'!E:E), 0) +
S586*IF(_xlfn.XLOOKUP(R586,'02效果表'!D:D,'02效果表'!E:E)&lt;0, _xlfn.XLOOKUP(R586,'02效果表'!D:D,'02效果表'!E:E), 0) +
U586*IF(_xlfn.XLOOKUP(T586,'02效果表'!D:D,'02效果表'!E:E)&lt;0, _xlfn.XLOOKUP(T586,'02效果表'!D:D,'02效果表'!E:E), 0) +
W586*IF(_xlfn.XLOOKUP(V586,'02效果表'!D:D,'02效果表'!E:E)&lt;0, _xlfn.XLOOKUP(V586,'02效果表'!D:D,'02效果表'!E:E), 0) +
Y586*IF(_xlfn.XLOOKUP(X586,'02效果表'!D:D,'02效果表'!E:E)&lt;0, _xlfn.XLOOKUP(X586,'02效果表'!D:D,'02效果表'!E:E), 0) +
AA586*IF(_xlfn.XLOOKUP(Z586,'02效果表'!D:D,'02效果表'!E:E)&lt;0, _xlfn.XLOOKUP(Z586,'02效果表'!D:D,'02效果表'!E:E), 0) +
AC586*IF(_xlfn.XLOOKUP(AB586,'02效果表'!D:D,'02效果表'!E:E)&lt;0, _xlfn.XLOOKUP(AB586,'02效果表'!D:D,'02效果表'!E:E), 0) +
AE586*IF(_xlfn.XLOOKUP(AD586,'02效果表'!D:D,'02效果表'!E:E)&lt;0, _xlfn.XLOOKUP(AD586,'02效果表'!D:D,'02效果表'!E:E), 0)), 1)</f>
        <v>0</v>
      </c>
      <c r="G586" s="7">
        <f>ROUND(1/6*(I586*MAX(_xlfn.XLOOKUP(H586,'02效果表'!D:D,'02效果表'!E:E),0)+K586*MAX(_xlfn.XLOOKUP(J586,'02效果表'!D:D,'02效果表'!E:E),0)+M586*MAX(_xlfn.XLOOKUP(L586,'02效果表'!D:D,'02效果表'!E:E),0)+O586*MAX(_xlfn.XLOOKUP(N586,'02效果表'!D:D,'02效果表'!E:E),0)+Q586*MAX(_xlfn.XLOOKUP(P586,'02效果表'!D:D,'02效果表'!E:E),0)+S586*MAX(_xlfn.XLOOKUP(R586,'02效果表'!D:D,'02效果表'!E:E),0)+U586*MAX(_xlfn.XLOOKUP(T586,'02效果表'!D:D,'02效果表'!E:E),0)+W586*MAX(_xlfn.XLOOKUP(V586,'02效果表'!D:D,'02效果表'!E:E),0)+Y586*MAX(_xlfn.XLOOKUP(X586,'02效果表'!D:D,'02效果表'!E:E),0)+AA586*MAX(_xlfn.XLOOKUP(Z586,'02效果表'!D:D,'02效果表'!E:E),0)+AC586*MAX(_xlfn.XLOOKUP(AB586,'02效果表'!D:D,'02效果表'!E:E),0)+AE586*MAX(_xlfn.XLOOKUP(AD586,'02效果表'!D:D,'02效果表'!E:E),0)),1)</f>
        <v>0</v>
      </c>
      <c r="H586" s="6"/>
      <c r="I586" s="6"/>
      <c r="J586" s="6"/>
      <c r="K586" s="6"/>
      <c r="L586" s="6"/>
      <c r="M586" s="6"/>
      <c r="N586" s="6"/>
      <c r="O586" s="6"/>
      <c r="P586" s="6"/>
      <c r="Q586" s="6"/>
      <c r="R586" s="6"/>
      <c r="S586" s="6"/>
      <c r="T586" s="6"/>
      <c r="U586" s="6"/>
      <c r="V586" s="6"/>
      <c r="W586" s="6"/>
      <c r="X586" s="6"/>
      <c r="Y586" s="6"/>
      <c r="Z586" s="6"/>
      <c r="AA586" s="6"/>
      <c r="AB586" s="6"/>
      <c r="AC586" s="6"/>
      <c r="AD586" s="6"/>
      <c r="AE586" s="6"/>
    </row>
    <row r="587" spans="1:31" x14ac:dyDescent="0.35">
      <c r="A587" s="6">
        <v>587</v>
      </c>
      <c r="B587" s="6" t="s">
        <v>7</v>
      </c>
      <c r="C587" s="10" t="s">
        <v>16</v>
      </c>
      <c r="D587" s="9" t="s">
        <v>1725</v>
      </c>
      <c r="E587" s="7">
        <f t="shared" si="16"/>
        <v>0</v>
      </c>
      <c r="F587" s="7">
        <f>-1*ROUND(1/6*(I587*IF(_xlfn.XLOOKUP(H587,'02效果表'!D:D,'02效果表'!E:E)&lt;0, _xlfn.XLOOKUP(H587,'02效果表'!D:D,'02效果表'!E:E), 0) +
K587*IF(_xlfn.XLOOKUP(J587,'02效果表'!D:D,'02效果表'!E:E)&lt;0, _xlfn.XLOOKUP(J587,'02效果表'!D:D,'02效果表'!E:E), 0) +
M587*IF(_xlfn.XLOOKUP(L587,'02效果表'!D:D,'02效果表'!E:E)&lt;0, _xlfn.XLOOKUP(L587,'02效果表'!D:D,'02效果表'!E:E), 0) +
O587*IF(_xlfn.XLOOKUP(N587,'02效果表'!D:D,'02效果表'!E:E)&lt;0, _xlfn.XLOOKUP(N587,'02效果表'!D:D,'02效果表'!E:E), 0) +
Q587*IF(_xlfn.XLOOKUP(P587,'02效果表'!D:D,'02效果表'!E:E)&lt;0, _xlfn.XLOOKUP(P587,'02效果表'!D:D,'02效果表'!E:E), 0) +
S587*IF(_xlfn.XLOOKUP(R587,'02效果表'!D:D,'02效果表'!E:E)&lt;0, _xlfn.XLOOKUP(R587,'02效果表'!D:D,'02效果表'!E:E), 0) +
U587*IF(_xlfn.XLOOKUP(T587,'02效果表'!D:D,'02效果表'!E:E)&lt;0, _xlfn.XLOOKUP(T587,'02效果表'!D:D,'02效果表'!E:E), 0) +
W587*IF(_xlfn.XLOOKUP(V587,'02效果表'!D:D,'02效果表'!E:E)&lt;0, _xlfn.XLOOKUP(V587,'02效果表'!D:D,'02效果表'!E:E), 0) +
Y587*IF(_xlfn.XLOOKUP(X587,'02效果表'!D:D,'02效果表'!E:E)&lt;0, _xlfn.XLOOKUP(X587,'02效果表'!D:D,'02效果表'!E:E), 0) +
AA587*IF(_xlfn.XLOOKUP(Z587,'02效果表'!D:D,'02效果表'!E:E)&lt;0, _xlfn.XLOOKUP(Z587,'02效果表'!D:D,'02效果表'!E:E), 0) +
AC587*IF(_xlfn.XLOOKUP(AB587,'02效果表'!D:D,'02效果表'!E:E)&lt;0, _xlfn.XLOOKUP(AB587,'02效果表'!D:D,'02效果表'!E:E), 0) +
AE587*IF(_xlfn.XLOOKUP(AD587,'02效果表'!D:D,'02效果表'!E:E)&lt;0, _xlfn.XLOOKUP(AD587,'02效果表'!D:D,'02效果表'!E:E), 0)), 1)</f>
        <v>0</v>
      </c>
      <c r="G587" s="7">
        <f>ROUND(1/6*(I587*MAX(_xlfn.XLOOKUP(H587,'02效果表'!D:D,'02效果表'!E:E),0)+K587*MAX(_xlfn.XLOOKUP(J587,'02效果表'!D:D,'02效果表'!E:E),0)+M587*MAX(_xlfn.XLOOKUP(L587,'02效果表'!D:D,'02效果表'!E:E),0)+O587*MAX(_xlfn.XLOOKUP(N587,'02效果表'!D:D,'02效果表'!E:E),0)+Q587*MAX(_xlfn.XLOOKUP(P587,'02效果表'!D:D,'02效果表'!E:E),0)+S587*MAX(_xlfn.XLOOKUP(R587,'02效果表'!D:D,'02效果表'!E:E),0)+U587*MAX(_xlfn.XLOOKUP(T587,'02效果表'!D:D,'02效果表'!E:E),0)+W587*MAX(_xlfn.XLOOKUP(V587,'02效果表'!D:D,'02效果表'!E:E),0)+Y587*MAX(_xlfn.XLOOKUP(X587,'02效果表'!D:D,'02效果表'!E:E),0)+AA587*MAX(_xlfn.XLOOKUP(Z587,'02效果表'!D:D,'02效果表'!E:E),0)+AC587*MAX(_xlfn.XLOOKUP(AB587,'02效果表'!D:D,'02效果表'!E:E),0)+AE587*MAX(_xlfn.XLOOKUP(AD587,'02效果表'!D:D,'02效果表'!E:E),0)),1)</f>
        <v>0</v>
      </c>
      <c r="H587" s="6"/>
      <c r="I587" s="6"/>
      <c r="J587" s="6"/>
      <c r="K587" s="6"/>
      <c r="L587" s="6"/>
      <c r="M587" s="6"/>
      <c r="N587" s="6"/>
      <c r="O587" s="6"/>
      <c r="P587" s="6"/>
      <c r="Q587" s="6"/>
      <c r="R587" s="6"/>
      <c r="S587" s="6"/>
      <c r="T587" s="6"/>
      <c r="U587" s="6"/>
      <c r="V587" s="6"/>
      <c r="W587" s="6"/>
      <c r="X587" s="6"/>
      <c r="Y587" s="6"/>
      <c r="Z587" s="6"/>
      <c r="AA587" s="6"/>
      <c r="AB587" s="6"/>
      <c r="AC587" s="6"/>
      <c r="AD587" s="6"/>
      <c r="AE587" s="6"/>
    </row>
    <row r="588" spans="1:31" x14ac:dyDescent="0.35">
      <c r="A588" s="6">
        <v>588</v>
      </c>
      <c r="B588" s="6" t="s">
        <v>7</v>
      </c>
      <c r="C588" s="10" t="s">
        <v>16</v>
      </c>
      <c r="D588" s="9" t="s">
        <v>1726</v>
      </c>
      <c r="E588" s="7">
        <f t="shared" si="16"/>
        <v>0</v>
      </c>
      <c r="F588" s="7">
        <f>-1*ROUND(1/6*(I588*IF(_xlfn.XLOOKUP(H588,'02效果表'!D:D,'02效果表'!E:E)&lt;0, _xlfn.XLOOKUP(H588,'02效果表'!D:D,'02效果表'!E:E), 0) +
K588*IF(_xlfn.XLOOKUP(J588,'02效果表'!D:D,'02效果表'!E:E)&lt;0, _xlfn.XLOOKUP(J588,'02效果表'!D:D,'02效果表'!E:E), 0) +
M588*IF(_xlfn.XLOOKUP(L588,'02效果表'!D:D,'02效果表'!E:E)&lt;0, _xlfn.XLOOKUP(L588,'02效果表'!D:D,'02效果表'!E:E), 0) +
O588*IF(_xlfn.XLOOKUP(N588,'02效果表'!D:D,'02效果表'!E:E)&lt;0, _xlfn.XLOOKUP(N588,'02效果表'!D:D,'02效果表'!E:E), 0) +
Q588*IF(_xlfn.XLOOKUP(P588,'02效果表'!D:D,'02效果表'!E:E)&lt;0, _xlfn.XLOOKUP(P588,'02效果表'!D:D,'02效果表'!E:E), 0) +
S588*IF(_xlfn.XLOOKUP(R588,'02效果表'!D:D,'02效果表'!E:E)&lt;0, _xlfn.XLOOKUP(R588,'02效果表'!D:D,'02效果表'!E:E), 0) +
U588*IF(_xlfn.XLOOKUP(T588,'02效果表'!D:D,'02效果表'!E:E)&lt;0, _xlfn.XLOOKUP(T588,'02效果表'!D:D,'02效果表'!E:E), 0) +
W588*IF(_xlfn.XLOOKUP(V588,'02效果表'!D:D,'02效果表'!E:E)&lt;0, _xlfn.XLOOKUP(V588,'02效果表'!D:D,'02效果表'!E:E), 0) +
Y588*IF(_xlfn.XLOOKUP(X588,'02效果表'!D:D,'02效果表'!E:E)&lt;0, _xlfn.XLOOKUP(X588,'02效果表'!D:D,'02效果表'!E:E), 0) +
AA588*IF(_xlfn.XLOOKUP(Z588,'02效果表'!D:D,'02效果表'!E:E)&lt;0, _xlfn.XLOOKUP(Z588,'02效果表'!D:D,'02效果表'!E:E), 0) +
AC588*IF(_xlfn.XLOOKUP(AB588,'02效果表'!D:D,'02效果表'!E:E)&lt;0, _xlfn.XLOOKUP(AB588,'02效果表'!D:D,'02效果表'!E:E), 0) +
AE588*IF(_xlfn.XLOOKUP(AD588,'02效果表'!D:D,'02效果表'!E:E)&lt;0, _xlfn.XLOOKUP(AD588,'02效果表'!D:D,'02效果表'!E:E), 0)), 1)</f>
        <v>0</v>
      </c>
      <c r="G588" s="7">
        <f>ROUND(1/6*(I588*MAX(_xlfn.XLOOKUP(H588,'02效果表'!D:D,'02效果表'!E:E),0)+K588*MAX(_xlfn.XLOOKUP(J588,'02效果表'!D:D,'02效果表'!E:E),0)+M588*MAX(_xlfn.XLOOKUP(L588,'02效果表'!D:D,'02效果表'!E:E),0)+O588*MAX(_xlfn.XLOOKUP(N588,'02效果表'!D:D,'02效果表'!E:E),0)+Q588*MAX(_xlfn.XLOOKUP(P588,'02效果表'!D:D,'02效果表'!E:E),0)+S588*MAX(_xlfn.XLOOKUP(R588,'02效果表'!D:D,'02效果表'!E:E),0)+U588*MAX(_xlfn.XLOOKUP(T588,'02效果表'!D:D,'02效果表'!E:E),0)+W588*MAX(_xlfn.XLOOKUP(V588,'02效果表'!D:D,'02效果表'!E:E),0)+Y588*MAX(_xlfn.XLOOKUP(X588,'02效果表'!D:D,'02效果表'!E:E),0)+AA588*MAX(_xlfn.XLOOKUP(Z588,'02效果表'!D:D,'02效果表'!E:E),0)+AC588*MAX(_xlfn.XLOOKUP(AB588,'02效果表'!D:D,'02效果表'!E:E),0)+AE588*MAX(_xlfn.XLOOKUP(AD588,'02效果表'!D:D,'02效果表'!E:E),0)),1)</f>
        <v>0</v>
      </c>
      <c r="H588" s="6"/>
      <c r="I588" s="6"/>
      <c r="J588" s="6"/>
      <c r="K588" s="6"/>
      <c r="L588" s="6"/>
      <c r="M588" s="6"/>
      <c r="N588" s="6"/>
      <c r="O588" s="6"/>
      <c r="P588" s="6"/>
      <c r="Q588" s="6"/>
      <c r="R588" s="6"/>
      <c r="S588" s="6"/>
      <c r="T588" s="6"/>
      <c r="U588" s="6"/>
      <c r="V588" s="6"/>
      <c r="W588" s="6"/>
      <c r="X588" s="6"/>
      <c r="Y588" s="6"/>
      <c r="Z588" s="6"/>
      <c r="AA588" s="6"/>
      <c r="AB588" s="6"/>
      <c r="AC588" s="6"/>
      <c r="AD588" s="6"/>
      <c r="AE588" s="6"/>
    </row>
    <row r="589" spans="1:31" x14ac:dyDescent="0.35">
      <c r="A589" s="6">
        <v>589</v>
      </c>
      <c r="B589" s="6" t="s">
        <v>7</v>
      </c>
      <c r="C589" s="10" t="s">
        <v>16</v>
      </c>
      <c r="D589" s="9" t="s">
        <v>1727</v>
      </c>
      <c r="E589" s="7">
        <f t="shared" si="16"/>
        <v>0</v>
      </c>
      <c r="F589" s="7">
        <f>-1*ROUND(1/6*(I589*IF(_xlfn.XLOOKUP(H589,'02效果表'!D:D,'02效果表'!E:E)&lt;0, _xlfn.XLOOKUP(H589,'02效果表'!D:D,'02效果表'!E:E), 0) +
K589*IF(_xlfn.XLOOKUP(J589,'02效果表'!D:D,'02效果表'!E:E)&lt;0, _xlfn.XLOOKUP(J589,'02效果表'!D:D,'02效果表'!E:E), 0) +
M589*IF(_xlfn.XLOOKUP(L589,'02效果表'!D:D,'02效果表'!E:E)&lt;0, _xlfn.XLOOKUP(L589,'02效果表'!D:D,'02效果表'!E:E), 0) +
O589*IF(_xlfn.XLOOKUP(N589,'02效果表'!D:D,'02效果表'!E:E)&lt;0, _xlfn.XLOOKUP(N589,'02效果表'!D:D,'02效果表'!E:E), 0) +
Q589*IF(_xlfn.XLOOKUP(P589,'02效果表'!D:D,'02效果表'!E:E)&lt;0, _xlfn.XLOOKUP(P589,'02效果表'!D:D,'02效果表'!E:E), 0) +
S589*IF(_xlfn.XLOOKUP(R589,'02效果表'!D:D,'02效果表'!E:E)&lt;0, _xlfn.XLOOKUP(R589,'02效果表'!D:D,'02效果表'!E:E), 0) +
U589*IF(_xlfn.XLOOKUP(T589,'02效果表'!D:D,'02效果表'!E:E)&lt;0, _xlfn.XLOOKUP(T589,'02效果表'!D:D,'02效果表'!E:E), 0) +
W589*IF(_xlfn.XLOOKUP(V589,'02效果表'!D:D,'02效果表'!E:E)&lt;0, _xlfn.XLOOKUP(V589,'02效果表'!D:D,'02效果表'!E:E), 0) +
Y589*IF(_xlfn.XLOOKUP(X589,'02效果表'!D:D,'02效果表'!E:E)&lt;0, _xlfn.XLOOKUP(X589,'02效果表'!D:D,'02效果表'!E:E), 0) +
AA589*IF(_xlfn.XLOOKUP(Z589,'02效果表'!D:D,'02效果表'!E:E)&lt;0, _xlfn.XLOOKUP(Z589,'02效果表'!D:D,'02效果表'!E:E), 0) +
AC589*IF(_xlfn.XLOOKUP(AB589,'02效果表'!D:D,'02效果表'!E:E)&lt;0, _xlfn.XLOOKUP(AB589,'02效果表'!D:D,'02效果表'!E:E), 0) +
AE589*IF(_xlfn.XLOOKUP(AD589,'02效果表'!D:D,'02效果表'!E:E)&lt;0, _xlfn.XLOOKUP(AD589,'02效果表'!D:D,'02效果表'!E:E), 0)), 1)</f>
        <v>0</v>
      </c>
      <c r="G589" s="7">
        <f>ROUND(1/6*(I589*MAX(_xlfn.XLOOKUP(H589,'02效果表'!D:D,'02效果表'!E:E),0)+K589*MAX(_xlfn.XLOOKUP(J589,'02效果表'!D:D,'02效果表'!E:E),0)+M589*MAX(_xlfn.XLOOKUP(L589,'02效果表'!D:D,'02效果表'!E:E),0)+O589*MAX(_xlfn.XLOOKUP(N589,'02效果表'!D:D,'02效果表'!E:E),0)+Q589*MAX(_xlfn.XLOOKUP(P589,'02效果表'!D:D,'02效果表'!E:E),0)+S589*MAX(_xlfn.XLOOKUP(R589,'02效果表'!D:D,'02效果表'!E:E),0)+U589*MAX(_xlfn.XLOOKUP(T589,'02效果表'!D:D,'02效果表'!E:E),0)+W589*MAX(_xlfn.XLOOKUP(V589,'02效果表'!D:D,'02效果表'!E:E),0)+Y589*MAX(_xlfn.XLOOKUP(X589,'02效果表'!D:D,'02效果表'!E:E),0)+AA589*MAX(_xlfn.XLOOKUP(Z589,'02效果表'!D:D,'02效果表'!E:E),0)+AC589*MAX(_xlfn.XLOOKUP(AB589,'02效果表'!D:D,'02效果表'!E:E),0)+AE589*MAX(_xlfn.XLOOKUP(AD589,'02效果表'!D:D,'02效果表'!E:E),0)),1)</f>
        <v>0</v>
      </c>
      <c r="H589" s="6"/>
      <c r="I589" s="6"/>
      <c r="J589" s="6"/>
      <c r="K589" s="6"/>
      <c r="L589" s="6"/>
      <c r="M589" s="6"/>
      <c r="N589" s="6"/>
      <c r="O589" s="6"/>
      <c r="P589" s="6"/>
      <c r="Q589" s="6"/>
      <c r="R589" s="6"/>
      <c r="S589" s="6"/>
      <c r="T589" s="6"/>
      <c r="U589" s="6"/>
      <c r="V589" s="6"/>
      <c r="W589" s="6"/>
      <c r="X589" s="6"/>
      <c r="Y589" s="6"/>
      <c r="Z589" s="6"/>
      <c r="AA589" s="6"/>
      <c r="AB589" s="6"/>
      <c r="AC589" s="6"/>
      <c r="AD589" s="6"/>
      <c r="AE589" s="6"/>
    </row>
    <row r="590" spans="1:31" x14ac:dyDescent="0.35">
      <c r="A590" s="6">
        <v>590</v>
      </c>
      <c r="B590" s="6" t="s">
        <v>7</v>
      </c>
      <c r="C590" s="10" t="s">
        <v>16</v>
      </c>
      <c r="D590" s="9" t="s">
        <v>1728</v>
      </c>
      <c r="E590" s="7">
        <f t="shared" si="16"/>
        <v>0</v>
      </c>
      <c r="F590" s="7">
        <f>-1*ROUND(1/6*(I590*IF(_xlfn.XLOOKUP(H590,'02效果表'!D:D,'02效果表'!E:E)&lt;0, _xlfn.XLOOKUP(H590,'02效果表'!D:D,'02效果表'!E:E), 0) +
K590*IF(_xlfn.XLOOKUP(J590,'02效果表'!D:D,'02效果表'!E:E)&lt;0, _xlfn.XLOOKUP(J590,'02效果表'!D:D,'02效果表'!E:E), 0) +
M590*IF(_xlfn.XLOOKUP(L590,'02效果表'!D:D,'02效果表'!E:E)&lt;0, _xlfn.XLOOKUP(L590,'02效果表'!D:D,'02效果表'!E:E), 0) +
O590*IF(_xlfn.XLOOKUP(N590,'02效果表'!D:D,'02效果表'!E:E)&lt;0, _xlfn.XLOOKUP(N590,'02效果表'!D:D,'02效果表'!E:E), 0) +
Q590*IF(_xlfn.XLOOKUP(P590,'02效果表'!D:D,'02效果表'!E:E)&lt;0, _xlfn.XLOOKUP(P590,'02效果表'!D:D,'02效果表'!E:E), 0) +
S590*IF(_xlfn.XLOOKUP(R590,'02效果表'!D:D,'02效果表'!E:E)&lt;0, _xlfn.XLOOKUP(R590,'02效果表'!D:D,'02效果表'!E:E), 0) +
U590*IF(_xlfn.XLOOKUP(T590,'02效果表'!D:D,'02效果表'!E:E)&lt;0, _xlfn.XLOOKUP(T590,'02效果表'!D:D,'02效果表'!E:E), 0) +
W590*IF(_xlfn.XLOOKUP(V590,'02效果表'!D:D,'02效果表'!E:E)&lt;0, _xlfn.XLOOKUP(V590,'02效果表'!D:D,'02效果表'!E:E), 0) +
Y590*IF(_xlfn.XLOOKUP(X590,'02效果表'!D:D,'02效果表'!E:E)&lt;0, _xlfn.XLOOKUP(X590,'02效果表'!D:D,'02效果表'!E:E), 0) +
AA590*IF(_xlfn.XLOOKUP(Z590,'02效果表'!D:D,'02效果表'!E:E)&lt;0, _xlfn.XLOOKUP(Z590,'02效果表'!D:D,'02效果表'!E:E), 0) +
AC590*IF(_xlfn.XLOOKUP(AB590,'02效果表'!D:D,'02效果表'!E:E)&lt;0, _xlfn.XLOOKUP(AB590,'02效果表'!D:D,'02效果表'!E:E), 0) +
AE590*IF(_xlfn.XLOOKUP(AD590,'02效果表'!D:D,'02效果表'!E:E)&lt;0, _xlfn.XLOOKUP(AD590,'02效果表'!D:D,'02效果表'!E:E), 0)), 1)</f>
        <v>0</v>
      </c>
      <c r="G590" s="7">
        <f>ROUND(1/6*(I590*MAX(_xlfn.XLOOKUP(H590,'02效果表'!D:D,'02效果表'!E:E),0)+K590*MAX(_xlfn.XLOOKUP(J590,'02效果表'!D:D,'02效果表'!E:E),0)+M590*MAX(_xlfn.XLOOKUP(L590,'02效果表'!D:D,'02效果表'!E:E),0)+O590*MAX(_xlfn.XLOOKUP(N590,'02效果表'!D:D,'02效果表'!E:E),0)+Q590*MAX(_xlfn.XLOOKUP(P590,'02效果表'!D:D,'02效果表'!E:E),0)+S590*MAX(_xlfn.XLOOKUP(R590,'02效果表'!D:D,'02效果表'!E:E),0)+U590*MAX(_xlfn.XLOOKUP(T590,'02效果表'!D:D,'02效果表'!E:E),0)+W590*MAX(_xlfn.XLOOKUP(V590,'02效果表'!D:D,'02效果表'!E:E),0)+Y590*MAX(_xlfn.XLOOKUP(X590,'02效果表'!D:D,'02效果表'!E:E),0)+AA590*MAX(_xlfn.XLOOKUP(Z590,'02效果表'!D:D,'02效果表'!E:E),0)+AC590*MAX(_xlfn.XLOOKUP(AB590,'02效果表'!D:D,'02效果表'!E:E),0)+AE590*MAX(_xlfn.XLOOKUP(AD590,'02效果表'!D:D,'02效果表'!E:E),0)),1)</f>
        <v>0</v>
      </c>
      <c r="H590" s="6"/>
      <c r="I590" s="6"/>
      <c r="J590" s="6"/>
      <c r="K590" s="6"/>
      <c r="L590" s="6"/>
      <c r="M590" s="6"/>
      <c r="N590" s="6"/>
      <c r="O590" s="6"/>
      <c r="P590" s="6"/>
      <c r="Q590" s="6"/>
      <c r="R590" s="6"/>
      <c r="S590" s="6"/>
      <c r="T590" s="6"/>
      <c r="U590" s="6"/>
      <c r="V590" s="6"/>
      <c r="W590" s="6"/>
      <c r="X590" s="6"/>
      <c r="Y590" s="6"/>
      <c r="Z590" s="6"/>
      <c r="AA590" s="6"/>
      <c r="AB590" s="6"/>
      <c r="AC590" s="6"/>
      <c r="AD590" s="6"/>
      <c r="AE590" s="6"/>
    </row>
    <row r="591" spans="1:31" x14ac:dyDescent="0.35">
      <c r="A591" s="6">
        <v>591</v>
      </c>
      <c r="B591" s="6" t="s">
        <v>7</v>
      </c>
      <c r="C591" s="10" t="s">
        <v>16</v>
      </c>
      <c r="D591" s="9" t="s">
        <v>1729</v>
      </c>
      <c r="E591" s="7">
        <f t="shared" si="16"/>
        <v>0</v>
      </c>
      <c r="F591" s="7">
        <f>-1*ROUND(1/6*(I591*IF(_xlfn.XLOOKUP(H591,'02效果表'!D:D,'02效果表'!E:E)&lt;0, _xlfn.XLOOKUP(H591,'02效果表'!D:D,'02效果表'!E:E), 0) +
K591*IF(_xlfn.XLOOKUP(J591,'02效果表'!D:D,'02效果表'!E:E)&lt;0, _xlfn.XLOOKUP(J591,'02效果表'!D:D,'02效果表'!E:E), 0) +
M591*IF(_xlfn.XLOOKUP(L591,'02效果表'!D:D,'02效果表'!E:E)&lt;0, _xlfn.XLOOKUP(L591,'02效果表'!D:D,'02效果表'!E:E), 0) +
O591*IF(_xlfn.XLOOKUP(N591,'02效果表'!D:D,'02效果表'!E:E)&lt;0, _xlfn.XLOOKUP(N591,'02效果表'!D:D,'02效果表'!E:E), 0) +
Q591*IF(_xlfn.XLOOKUP(P591,'02效果表'!D:D,'02效果表'!E:E)&lt;0, _xlfn.XLOOKUP(P591,'02效果表'!D:D,'02效果表'!E:E), 0) +
S591*IF(_xlfn.XLOOKUP(R591,'02效果表'!D:D,'02效果表'!E:E)&lt;0, _xlfn.XLOOKUP(R591,'02效果表'!D:D,'02效果表'!E:E), 0) +
U591*IF(_xlfn.XLOOKUP(T591,'02效果表'!D:D,'02效果表'!E:E)&lt;0, _xlfn.XLOOKUP(T591,'02效果表'!D:D,'02效果表'!E:E), 0) +
W591*IF(_xlfn.XLOOKUP(V591,'02效果表'!D:D,'02效果表'!E:E)&lt;0, _xlfn.XLOOKUP(V591,'02效果表'!D:D,'02效果表'!E:E), 0) +
Y591*IF(_xlfn.XLOOKUP(X591,'02效果表'!D:D,'02效果表'!E:E)&lt;0, _xlfn.XLOOKUP(X591,'02效果表'!D:D,'02效果表'!E:E), 0) +
AA591*IF(_xlfn.XLOOKUP(Z591,'02效果表'!D:D,'02效果表'!E:E)&lt;0, _xlfn.XLOOKUP(Z591,'02效果表'!D:D,'02效果表'!E:E), 0) +
AC591*IF(_xlfn.XLOOKUP(AB591,'02效果表'!D:D,'02效果表'!E:E)&lt;0, _xlfn.XLOOKUP(AB591,'02效果表'!D:D,'02效果表'!E:E), 0) +
AE591*IF(_xlfn.XLOOKUP(AD591,'02效果表'!D:D,'02效果表'!E:E)&lt;0, _xlfn.XLOOKUP(AD591,'02效果表'!D:D,'02效果表'!E:E), 0)), 1)</f>
        <v>0</v>
      </c>
      <c r="G591" s="7">
        <f>ROUND(1/6*(I591*MAX(_xlfn.XLOOKUP(H591,'02效果表'!D:D,'02效果表'!E:E),0)+K591*MAX(_xlfn.XLOOKUP(J591,'02效果表'!D:D,'02效果表'!E:E),0)+M591*MAX(_xlfn.XLOOKUP(L591,'02效果表'!D:D,'02效果表'!E:E),0)+O591*MAX(_xlfn.XLOOKUP(N591,'02效果表'!D:D,'02效果表'!E:E),0)+Q591*MAX(_xlfn.XLOOKUP(P591,'02效果表'!D:D,'02效果表'!E:E),0)+S591*MAX(_xlfn.XLOOKUP(R591,'02效果表'!D:D,'02效果表'!E:E),0)+U591*MAX(_xlfn.XLOOKUP(T591,'02效果表'!D:D,'02效果表'!E:E),0)+W591*MAX(_xlfn.XLOOKUP(V591,'02效果表'!D:D,'02效果表'!E:E),0)+Y591*MAX(_xlfn.XLOOKUP(X591,'02效果表'!D:D,'02效果表'!E:E),0)+AA591*MAX(_xlfn.XLOOKUP(Z591,'02效果表'!D:D,'02效果表'!E:E),0)+AC591*MAX(_xlfn.XLOOKUP(AB591,'02效果表'!D:D,'02效果表'!E:E),0)+AE591*MAX(_xlfn.XLOOKUP(AD591,'02效果表'!D:D,'02效果表'!E:E),0)),1)</f>
        <v>0</v>
      </c>
      <c r="H591" s="6"/>
      <c r="I591" s="6"/>
      <c r="J591" s="6"/>
      <c r="K591" s="6"/>
      <c r="L591" s="6"/>
      <c r="M591" s="6"/>
      <c r="N591" s="6"/>
      <c r="O591" s="6"/>
      <c r="P591" s="6"/>
      <c r="Q591" s="6"/>
      <c r="R591" s="6"/>
      <c r="S591" s="6"/>
      <c r="T591" s="6"/>
      <c r="U591" s="6"/>
      <c r="V591" s="6"/>
      <c r="W591" s="6"/>
      <c r="X591" s="6"/>
      <c r="Y591" s="6"/>
      <c r="Z591" s="6"/>
      <c r="AA591" s="6"/>
      <c r="AB591" s="6"/>
      <c r="AC591" s="6"/>
      <c r="AD591" s="6"/>
      <c r="AE591" s="6"/>
    </row>
    <row r="592" spans="1:31" x14ac:dyDescent="0.35">
      <c r="A592" s="6">
        <v>592</v>
      </c>
      <c r="B592" s="6" t="s">
        <v>7</v>
      </c>
      <c r="C592" s="10" t="s">
        <v>16</v>
      </c>
      <c r="D592" s="9" t="s">
        <v>1730</v>
      </c>
      <c r="E592" s="7">
        <f t="shared" si="16"/>
        <v>0</v>
      </c>
      <c r="F592" s="7">
        <f>-1*ROUND(1/6*(I592*IF(_xlfn.XLOOKUP(H592,'02效果表'!D:D,'02效果表'!E:E)&lt;0, _xlfn.XLOOKUP(H592,'02效果表'!D:D,'02效果表'!E:E), 0) +
K592*IF(_xlfn.XLOOKUP(J592,'02效果表'!D:D,'02效果表'!E:E)&lt;0, _xlfn.XLOOKUP(J592,'02效果表'!D:D,'02效果表'!E:E), 0) +
M592*IF(_xlfn.XLOOKUP(L592,'02效果表'!D:D,'02效果表'!E:E)&lt;0, _xlfn.XLOOKUP(L592,'02效果表'!D:D,'02效果表'!E:E), 0) +
O592*IF(_xlfn.XLOOKUP(N592,'02效果表'!D:D,'02效果表'!E:E)&lt;0, _xlfn.XLOOKUP(N592,'02效果表'!D:D,'02效果表'!E:E), 0) +
Q592*IF(_xlfn.XLOOKUP(P592,'02效果表'!D:D,'02效果表'!E:E)&lt;0, _xlfn.XLOOKUP(P592,'02效果表'!D:D,'02效果表'!E:E), 0) +
S592*IF(_xlfn.XLOOKUP(R592,'02效果表'!D:D,'02效果表'!E:E)&lt;0, _xlfn.XLOOKUP(R592,'02效果表'!D:D,'02效果表'!E:E), 0) +
U592*IF(_xlfn.XLOOKUP(T592,'02效果表'!D:D,'02效果表'!E:E)&lt;0, _xlfn.XLOOKUP(T592,'02效果表'!D:D,'02效果表'!E:E), 0) +
W592*IF(_xlfn.XLOOKUP(V592,'02效果表'!D:D,'02效果表'!E:E)&lt;0, _xlfn.XLOOKUP(V592,'02效果表'!D:D,'02效果表'!E:E), 0) +
Y592*IF(_xlfn.XLOOKUP(X592,'02效果表'!D:D,'02效果表'!E:E)&lt;0, _xlfn.XLOOKUP(X592,'02效果表'!D:D,'02效果表'!E:E), 0) +
AA592*IF(_xlfn.XLOOKUP(Z592,'02效果表'!D:D,'02效果表'!E:E)&lt;0, _xlfn.XLOOKUP(Z592,'02效果表'!D:D,'02效果表'!E:E), 0) +
AC592*IF(_xlfn.XLOOKUP(AB592,'02效果表'!D:D,'02效果表'!E:E)&lt;0, _xlfn.XLOOKUP(AB592,'02效果表'!D:D,'02效果表'!E:E), 0) +
AE592*IF(_xlfn.XLOOKUP(AD592,'02效果表'!D:D,'02效果表'!E:E)&lt;0, _xlfn.XLOOKUP(AD592,'02效果表'!D:D,'02效果表'!E:E), 0)), 1)</f>
        <v>0</v>
      </c>
      <c r="G592" s="7">
        <f>ROUND(1/6*(I592*MAX(_xlfn.XLOOKUP(H592,'02效果表'!D:D,'02效果表'!E:E),0)+K592*MAX(_xlfn.XLOOKUP(J592,'02效果表'!D:D,'02效果表'!E:E),0)+M592*MAX(_xlfn.XLOOKUP(L592,'02效果表'!D:D,'02效果表'!E:E),0)+O592*MAX(_xlfn.XLOOKUP(N592,'02效果表'!D:D,'02效果表'!E:E),0)+Q592*MAX(_xlfn.XLOOKUP(P592,'02效果表'!D:D,'02效果表'!E:E),0)+S592*MAX(_xlfn.XLOOKUP(R592,'02效果表'!D:D,'02效果表'!E:E),0)+U592*MAX(_xlfn.XLOOKUP(T592,'02效果表'!D:D,'02效果表'!E:E),0)+W592*MAX(_xlfn.XLOOKUP(V592,'02效果表'!D:D,'02效果表'!E:E),0)+Y592*MAX(_xlfn.XLOOKUP(X592,'02效果表'!D:D,'02效果表'!E:E),0)+AA592*MAX(_xlfn.XLOOKUP(Z592,'02效果表'!D:D,'02效果表'!E:E),0)+AC592*MAX(_xlfn.XLOOKUP(AB592,'02效果表'!D:D,'02效果表'!E:E),0)+AE592*MAX(_xlfn.XLOOKUP(AD592,'02效果表'!D:D,'02效果表'!E:E),0)),1)</f>
        <v>0</v>
      </c>
      <c r="H592" s="6"/>
      <c r="I592" s="6"/>
      <c r="J592" s="6"/>
      <c r="K592" s="6"/>
      <c r="L592" s="6"/>
      <c r="M592" s="6"/>
      <c r="N592" s="6"/>
      <c r="O592" s="6"/>
      <c r="P592" s="6"/>
      <c r="Q592" s="6"/>
      <c r="R592" s="6"/>
      <c r="S592" s="6"/>
      <c r="T592" s="6"/>
      <c r="U592" s="6"/>
      <c r="V592" s="6"/>
      <c r="W592" s="6"/>
      <c r="X592" s="6"/>
      <c r="Y592" s="6"/>
      <c r="Z592" s="6"/>
      <c r="AA592" s="6"/>
      <c r="AB592" s="6"/>
      <c r="AC592" s="6"/>
      <c r="AD592" s="6"/>
      <c r="AE592" s="6"/>
    </row>
    <row r="593" spans="1:31" x14ac:dyDescent="0.35">
      <c r="A593" s="6">
        <v>593</v>
      </c>
      <c r="B593" s="6" t="s">
        <v>7</v>
      </c>
      <c r="C593" s="10" t="s">
        <v>16</v>
      </c>
      <c r="D593" s="9" t="s">
        <v>1731</v>
      </c>
      <c r="E593" s="7">
        <f t="shared" si="16"/>
        <v>0</v>
      </c>
      <c r="F593" s="7">
        <f>-1*ROUND(1/6*(I593*IF(_xlfn.XLOOKUP(H593,'02效果表'!D:D,'02效果表'!E:E)&lt;0, _xlfn.XLOOKUP(H593,'02效果表'!D:D,'02效果表'!E:E), 0) +
K593*IF(_xlfn.XLOOKUP(J593,'02效果表'!D:D,'02效果表'!E:E)&lt;0, _xlfn.XLOOKUP(J593,'02效果表'!D:D,'02效果表'!E:E), 0) +
M593*IF(_xlfn.XLOOKUP(L593,'02效果表'!D:D,'02效果表'!E:E)&lt;0, _xlfn.XLOOKUP(L593,'02效果表'!D:D,'02效果表'!E:E), 0) +
O593*IF(_xlfn.XLOOKUP(N593,'02效果表'!D:D,'02效果表'!E:E)&lt;0, _xlfn.XLOOKUP(N593,'02效果表'!D:D,'02效果表'!E:E), 0) +
Q593*IF(_xlfn.XLOOKUP(P593,'02效果表'!D:D,'02效果表'!E:E)&lt;0, _xlfn.XLOOKUP(P593,'02效果表'!D:D,'02效果表'!E:E), 0) +
S593*IF(_xlfn.XLOOKUP(R593,'02效果表'!D:D,'02效果表'!E:E)&lt;0, _xlfn.XLOOKUP(R593,'02效果表'!D:D,'02效果表'!E:E), 0) +
U593*IF(_xlfn.XLOOKUP(T593,'02效果表'!D:D,'02效果表'!E:E)&lt;0, _xlfn.XLOOKUP(T593,'02效果表'!D:D,'02效果表'!E:E), 0) +
W593*IF(_xlfn.XLOOKUP(V593,'02效果表'!D:D,'02效果表'!E:E)&lt;0, _xlfn.XLOOKUP(V593,'02效果表'!D:D,'02效果表'!E:E), 0) +
Y593*IF(_xlfn.XLOOKUP(X593,'02效果表'!D:D,'02效果表'!E:E)&lt;0, _xlfn.XLOOKUP(X593,'02效果表'!D:D,'02效果表'!E:E), 0) +
AA593*IF(_xlfn.XLOOKUP(Z593,'02效果表'!D:D,'02效果表'!E:E)&lt;0, _xlfn.XLOOKUP(Z593,'02效果表'!D:D,'02效果表'!E:E), 0) +
AC593*IF(_xlfn.XLOOKUP(AB593,'02效果表'!D:D,'02效果表'!E:E)&lt;0, _xlfn.XLOOKUP(AB593,'02效果表'!D:D,'02效果表'!E:E), 0) +
AE593*IF(_xlfn.XLOOKUP(AD593,'02效果表'!D:D,'02效果表'!E:E)&lt;0, _xlfn.XLOOKUP(AD593,'02效果表'!D:D,'02效果表'!E:E), 0)), 1)</f>
        <v>0</v>
      </c>
      <c r="G593" s="7">
        <f>ROUND(1/6*(I593*MAX(_xlfn.XLOOKUP(H593,'02效果表'!D:D,'02效果表'!E:E),0)+K593*MAX(_xlfn.XLOOKUP(J593,'02效果表'!D:D,'02效果表'!E:E),0)+M593*MAX(_xlfn.XLOOKUP(L593,'02效果表'!D:D,'02效果表'!E:E),0)+O593*MAX(_xlfn.XLOOKUP(N593,'02效果表'!D:D,'02效果表'!E:E),0)+Q593*MAX(_xlfn.XLOOKUP(P593,'02效果表'!D:D,'02效果表'!E:E),0)+S593*MAX(_xlfn.XLOOKUP(R593,'02效果表'!D:D,'02效果表'!E:E),0)+U593*MAX(_xlfn.XLOOKUP(T593,'02效果表'!D:D,'02效果表'!E:E),0)+W593*MAX(_xlfn.XLOOKUP(V593,'02效果表'!D:D,'02效果表'!E:E),0)+Y593*MAX(_xlfn.XLOOKUP(X593,'02效果表'!D:D,'02效果表'!E:E),0)+AA593*MAX(_xlfn.XLOOKUP(Z593,'02效果表'!D:D,'02效果表'!E:E),0)+AC593*MAX(_xlfn.XLOOKUP(AB593,'02效果表'!D:D,'02效果表'!E:E),0)+AE593*MAX(_xlfn.XLOOKUP(AD593,'02效果表'!D:D,'02效果表'!E:E),0)),1)</f>
        <v>0</v>
      </c>
      <c r="H593" s="6"/>
      <c r="I593" s="6"/>
      <c r="J593" s="6"/>
      <c r="K593" s="6"/>
      <c r="L593" s="6"/>
      <c r="M593" s="6"/>
      <c r="N593" s="6"/>
      <c r="O593" s="6"/>
      <c r="P593" s="6"/>
      <c r="Q593" s="6"/>
      <c r="R593" s="6"/>
      <c r="S593" s="6"/>
      <c r="T593" s="6"/>
      <c r="U593" s="6"/>
      <c r="V593" s="6"/>
      <c r="W593" s="6"/>
      <c r="X593" s="6"/>
      <c r="Y593" s="6"/>
      <c r="Z593" s="6"/>
      <c r="AA593" s="6"/>
      <c r="AB593" s="6"/>
      <c r="AC593" s="6"/>
      <c r="AD593" s="6"/>
      <c r="AE593" s="6"/>
    </row>
    <row r="594" spans="1:31" x14ac:dyDescent="0.35">
      <c r="A594" s="6">
        <v>594</v>
      </c>
      <c r="B594" s="6" t="s">
        <v>7</v>
      </c>
      <c r="C594" s="10" t="s">
        <v>16</v>
      </c>
      <c r="D594" s="9"/>
      <c r="E594" s="7">
        <f t="shared" si="16"/>
        <v>0</v>
      </c>
      <c r="F594" s="7">
        <f>-1*ROUND(1/6*(I594*IF(_xlfn.XLOOKUP(H594,'02效果表'!D:D,'02效果表'!E:E)&lt;0, _xlfn.XLOOKUP(H594,'02效果表'!D:D,'02效果表'!E:E), 0) +
K594*IF(_xlfn.XLOOKUP(J594,'02效果表'!D:D,'02效果表'!E:E)&lt;0, _xlfn.XLOOKUP(J594,'02效果表'!D:D,'02效果表'!E:E), 0) +
M594*IF(_xlfn.XLOOKUP(L594,'02效果表'!D:D,'02效果表'!E:E)&lt;0, _xlfn.XLOOKUP(L594,'02效果表'!D:D,'02效果表'!E:E), 0) +
O594*IF(_xlfn.XLOOKUP(N594,'02效果表'!D:D,'02效果表'!E:E)&lt;0, _xlfn.XLOOKUP(N594,'02效果表'!D:D,'02效果表'!E:E), 0) +
Q594*IF(_xlfn.XLOOKUP(P594,'02效果表'!D:D,'02效果表'!E:E)&lt;0, _xlfn.XLOOKUP(P594,'02效果表'!D:D,'02效果表'!E:E), 0) +
S594*IF(_xlfn.XLOOKUP(R594,'02效果表'!D:D,'02效果表'!E:E)&lt;0, _xlfn.XLOOKUP(R594,'02效果表'!D:D,'02效果表'!E:E), 0) +
U594*IF(_xlfn.XLOOKUP(T594,'02效果表'!D:D,'02效果表'!E:E)&lt;0, _xlfn.XLOOKUP(T594,'02效果表'!D:D,'02效果表'!E:E), 0) +
W594*IF(_xlfn.XLOOKUP(V594,'02效果表'!D:D,'02效果表'!E:E)&lt;0, _xlfn.XLOOKUP(V594,'02效果表'!D:D,'02效果表'!E:E), 0) +
Y594*IF(_xlfn.XLOOKUP(X594,'02效果表'!D:D,'02效果表'!E:E)&lt;0, _xlfn.XLOOKUP(X594,'02效果表'!D:D,'02效果表'!E:E), 0) +
AA594*IF(_xlfn.XLOOKUP(Z594,'02效果表'!D:D,'02效果表'!E:E)&lt;0, _xlfn.XLOOKUP(Z594,'02效果表'!D:D,'02效果表'!E:E), 0) +
AC594*IF(_xlfn.XLOOKUP(AB594,'02效果表'!D:D,'02效果表'!E:E)&lt;0, _xlfn.XLOOKUP(AB594,'02效果表'!D:D,'02效果表'!E:E), 0) +
AE594*IF(_xlfn.XLOOKUP(AD594,'02效果表'!D:D,'02效果表'!E:E)&lt;0, _xlfn.XLOOKUP(AD594,'02效果表'!D:D,'02效果表'!E:E), 0)), 1)</f>
        <v>0</v>
      </c>
      <c r="G594" s="7">
        <f>ROUND(1/6*(I594*MAX(_xlfn.XLOOKUP(H594,'02效果表'!D:D,'02效果表'!E:E),0)+K594*MAX(_xlfn.XLOOKUP(J594,'02效果表'!D:D,'02效果表'!E:E),0)+M594*MAX(_xlfn.XLOOKUP(L594,'02效果表'!D:D,'02效果表'!E:E),0)+O594*MAX(_xlfn.XLOOKUP(N594,'02效果表'!D:D,'02效果表'!E:E),0)+Q594*MAX(_xlfn.XLOOKUP(P594,'02效果表'!D:D,'02效果表'!E:E),0)+S594*MAX(_xlfn.XLOOKUP(R594,'02效果表'!D:D,'02效果表'!E:E),0)+U594*MAX(_xlfn.XLOOKUP(T594,'02效果表'!D:D,'02效果表'!E:E),0)+W594*MAX(_xlfn.XLOOKUP(V594,'02效果表'!D:D,'02效果表'!E:E),0)+Y594*MAX(_xlfn.XLOOKUP(X594,'02效果表'!D:D,'02效果表'!E:E),0)+AA594*MAX(_xlfn.XLOOKUP(Z594,'02效果表'!D:D,'02效果表'!E:E),0)+AC594*MAX(_xlfn.XLOOKUP(AB594,'02效果表'!D:D,'02效果表'!E:E),0)+AE594*MAX(_xlfn.XLOOKUP(AD594,'02效果表'!D:D,'02效果表'!E:E),0)),1)</f>
        <v>0</v>
      </c>
      <c r="H594" s="6"/>
      <c r="I594" s="6"/>
      <c r="J594" s="6"/>
      <c r="K594" s="6"/>
      <c r="L594" s="6"/>
      <c r="M594" s="6"/>
      <c r="N594" s="6"/>
      <c r="O594" s="6"/>
      <c r="P594" s="6"/>
      <c r="Q594" s="6"/>
      <c r="R594" s="6"/>
      <c r="S594" s="6"/>
      <c r="T594" s="6"/>
      <c r="U594" s="6"/>
      <c r="V594" s="6"/>
      <c r="W594" s="6"/>
      <c r="X594" s="6"/>
      <c r="Y594" s="6"/>
      <c r="Z594" s="6"/>
      <c r="AA594" s="6"/>
      <c r="AB594" s="6"/>
      <c r="AC594" s="6"/>
      <c r="AD594" s="6"/>
      <c r="AE594" s="6"/>
    </row>
    <row r="595" spans="1:31" x14ac:dyDescent="0.35">
      <c r="A595" s="6">
        <v>595</v>
      </c>
      <c r="B595" s="6" t="s">
        <v>7</v>
      </c>
      <c r="C595" s="10" t="s">
        <v>16</v>
      </c>
      <c r="D595" s="9"/>
      <c r="E595" s="7">
        <f t="shared" si="16"/>
        <v>0</v>
      </c>
      <c r="F595" s="7">
        <f>-1*ROUND(1/6*(I595*IF(_xlfn.XLOOKUP(H595,'02效果表'!D:D,'02效果表'!E:E)&lt;0, _xlfn.XLOOKUP(H595,'02效果表'!D:D,'02效果表'!E:E), 0) +
K595*IF(_xlfn.XLOOKUP(J595,'02效果表'!D:D,'02效果表'!E:E)&lt;0, _xlfn.XLOOKUP(J595,'02效果表'!D:D,'02效果表'!E:E), 0) +
M595*IF(_xlfn.XLOOKUP(L595,'02效果表'!D:D,'02效果表'!E:E)&lt;0, _xlfn.XLOOKUP(L595,'02效果表'!D:D,'02效果表'!E:E), 0) +
O595*IF(_xlfn.XLOOKUP(N595,'02效果表'!D:D,'02效果表'!E:E)&lt;0, _xlfn.XLOOKUP(N595,'02效果表'!D:D,'02效果表'!E:E), 0) +
Q595*IF(_xlfn.XLOOKUP(P595,'02效果表'!D:D,'02效果表'!E:E)&lt;0, _xlfn.XLOOKUP(P595,'02效果表'!D:D,'02效果表'!E:E), 0) +
S595*IF(_xlfn.XLOOKUP(R595,'02效果表'!D:D,'02效果表'!E:E)&lt;0, _xlfn.XLOOKUP(R595,'02效果表'!D:D,'02效果表'!E:E), 0) +
U595*IF(_xlfn.XLOOKUP(T595,'02效果表'!D:D,'02效果表'!E:E)&lt;0, _xlfn.XLOOKUP(T595,'02效果表'!D:D,'02效果表'!E:E), 0) +
W595*IF(_xlfn.XLOOKUP(V595,'02效果表'!D:D,'02效果表'!E:E)&lt;0, _xlfn.XLOOKUP(V595,'02效果表'!D:D,'02效果表'!E:E), 0) +
Y595*IF(_xlfn.XLOOKUP(X595,'02效果表'!D:D,'02效果表'!E:E)&lt;0, _xlfn.XLOOKUP(X595,'02效果表'!D:D,'02效果表'!E:E), 0) +
AA595*IF(_xlfn.XLOOKUP(Z595,'02效果表'!D:D,'02效果表'!E:E)&lt;0, _xlfn.XLOOKUP(Z595,'02效果表'!D:D,'02效果表'!E:E), 0) +
AC595*IF(_xlfn.XLOOKUP(AB595,'02效果表'!D:D,'02效果表'!E:E)&lt;0, _xlfn.XLOOKUP(AB595,'02效果表'!D:D,'02效果表'!E:E), 0) +
AE595*IF(_xlfn.XLOOKUP(AD595,'02效果表'!D:D,'02效果表'!E:E)&lt;0, _xlfn.XLOOKUP(AD595,'02效果表'!D:D,'02效果表'!E:E), 0)), 1)</f>
        <v>0</v>
      </c>
      <c r="G595" s="7">
        <f>ROUND(1/6*(I595*MAX(_xlfn.XLOOKUP(H595,'02效果表'!D:D,'02效果表'!E:E),0)+K595*MAX(_xlfn.XLOOKUP(J595,'02效果表'!D:D,'02效果表'!E:E),0)+M595*MAX(_xlfn.XLOOKUP(L595,'02效果表'!D:D,'02效果表'!E:E),0)+O595*MAX(_xlfn.XLOOKUP(N595,'02效果表'!D:D,'02效果表'!E:E),0)+Q595*MAX(_xlfn.XLOOKUP(P595,'02效果表'!D:D,'02效果表'!E:E),0)+S595*MAX(_xlfn.XLOOKUP(R595,'02效果表'!D:D,'02效果表'!E:E),0)+U595*MAX(_xlfn.XLOOKUP(T595,'02效果表'!D:D,'02效果表'!E:E),0)+W595*MAX(_xlfn.XLOOKUP(V595,'02效果表'!D:D,'02效果表'!E:E),0)+Y595*MAX(_xlfn.XLOOKUP(X595,'02效果表'!D:D,'02效果表'!E:E),0)+AA595*MAX(_xlfn.XLOOKUP(Z595,'02效果表'!D:D,'02效果表'!E:E),0)+AC595*MAX(_xlfn.XLOOKUP(AB595,'02效果表'!D:D,'02效果表'!E:E),0)+AE595*MAX(_xlfn.XLOOKUP(AD595,'02效果表'!D:D,'02效果表'!E:E),0)),1)</f>
        <v>0</v>
      </c>
      <c r="H595" s="6"/>
      <c r="I595" s="6"/>
      <c r="J595" s="6"/>
      <c r="K595" s="6"/>
      <c r="L595" s="6"/>
      <c r="M595" s="6"/>
      <c r="N595" s="6"/>
      <c r="O595" s="6"/>
      <c r="P595" s="6"/>
      <c r="Q595" s="6"/>
      <c r="R595" s="6"/>
      <c r="S595" s="6"/>
      <c r="T595" s="6"/>
      <c r="U595" s="6"/>
      <c r="V595" s="6"/>
      <c r="W595" s="6"/>
      <c r="X595" s="6"/>
      <c r="Y595" s="6"/>
      <c r="Z595" s="6"/>
      <c r="AA595" s="6"/>
      <c r="AB595" s="6"/>
      <c r="AC595" s="6"/>
      <c r="AD595" s="6"/>
      <c r="AE595" s="6"/>
    </row>
    <row r="596" spans="1:31" x14ac:dyDescent="0.35">
      <c r="A596" s="6">
        <v>596</v>
      </c>
      <c r="B596" s="6" t="s">
        <v>7</v>
      </c>
      <c r="C596" s="10" t="s">
        <v>16</v>
      </c>
      <c r="D596" s="9"/>
      <c r="E596" s="7">
        <f t="shared" si="16"/>
        <v>0</v>
      </c>
      <c r="F596" s="7">
        <f>-1*ROUND(1/6*(I596*IF(_xlfn.XLOOKUP(H596,'02效果表'!D:D,'02效果表'!E:E)&lt;0, _xlfn.XLOOKUP(H596,'02效果表'!D:D,'02效果表'!E:E), 0) +
K596*IF(_xlfn.XLOOKUP(J596,'02效果表'!D:D,'02效果表'!E:E)&lt;0, _xlfn.XLOOKUP(J596,'02效果表'!D:D,'02效果表'!E:E), 0) +
M596*IF(_xlfn.XLOOKUP(L596,'02效果表'!D:D,'02效果表'!E:E)&lt;0, _xlfn.XLOOKUP(L596,'02效果表'!D:D,'02效果表'!E:E), 0) +
O596*IF(_xlfn.XLOOKUP(N596,'02效果表'!D:D,'02效果表'!E:E)&lt;0, _xlfn.XLOOKUP(N596,'02效果表'!D:D,'02效果表'!E:E), 0) +
Q596*IF(_xlfn.XLOOKUP(P596,'02效果表'!D:D,'02效果表'!E:E)&lt;0, _xlfn.XLOOKUP(P596,'02效果表'!D:D,'02效果表'!E:E), 0) +
S596*IF(_xlfn.XLOOKUP(R596,'02效果表'!D:D,'02效果表'!E:E)&lt;0, _xlfn.XLOOKUP(R596,'02效果表'!D:D,'02效果表'!E:E), 0) +
U596*IF(_xlfn.XLOOKUP(T596,'02效果表'!D:D,'02效果表'!E:E)&lt;0, _xlfn.XLOOKUP(T596,'02效果表'!D:D,'02效果表'!E:E), 0) +
W596*IF(_xlfn.XLOOKUP(V596,'02效果表'!D:D,'02效果表'!E:E)&lt;0, _xlfn.XLOOKUP(V596,'02效果表'!D:D,'02效果表'!E:E), 0) +
Y596*IF(_xlfn.XLOOKUP(X596,'02效果表'!D:D,'02效果表'!E:E)&lt;0, _xlfn.XLOOKUP(X596,'02效果表'!D:D,'02效果表'!E:E), 0) +
AA596*IF(_xlfn.XLOOKUP(Z596,'02效果表'!D:D,'02效果表'!E:E)&lt;0, _xlfn.XLOOKUP(Z596,'02效果表'!D:D,'02效果表'!E:E), 0) +
AC596*IF(_xlfn.XLOOKUP(AB596,'02效果表'!D:D,'02效果表'!E:E)&lt;0, _xlfn.XLOOKUP(AB596,'02效果表'!D:D,'02效果表'!E:E), 0) +
AE596*IF(_xlfn.XLOOKUP(AD596,'02效果表'!D:D,'02效果表'!E:E)&lt;0, _xlfn.XLOOKUP(AD596,'02效果表'!D:D,'02效果表'!E:E), 0)), 1)</f>
        <v>0</v>
      </c>
      <c r="G596" s="7">
        <f>ROUND(1/6*(I596*MAX(_xlfn.XLOOKUP(H596,'02效果表'!D:D,'02效果表'!E:E),0)+K596*MAX(_xlfn.XLOOKUP(J596,'02效果表'!D:D,'02效果表'!E:E),0)+M596*MAX(_xlfn.XLOOKUP(L596,'02效果表'!D:D,'02效果表'!E:E),0)+O596*MAX(_xlfn.XLOOKUP(N596,'02效果表'!D:D,'02效果表'!E:E),0)+Q596*MAX(_xlfn.XLOOKUP(P596,'02效果表'!D:D,'02效果表'!E:E),0)+S596*MAX(_xlfn.XLOOKUP(R596,'02效果表'!D:D,'02效果表'!E:E),0)+U596*MAX(_xlfn.XLOOKUP(T596,'02效果表'!D:D,'02效果表'!E:E),0)+W596*MAX(_xlfn.XLOOKUP(V596,'02效果表'!D:D,'02效果表'!E:E),0)+Y596*MAX(_xlfn.XLOOKUP(X596,'02效果表'!D:D,'02效果表'!E:E),0)+AA596*MAX(_xlfn.XLOOKUP(Z596,'02效果表'!D:D,'02效果表'!E:E),0)+AC596*MAX(_xlfn.XLOOKUP(AB596,'02效果表'!D:D,'02效果表'!E:E),0)+AE596*MAX(_xlfn.XLOOKUP(AD596,'02效果表'!D:D,'02效果表'!E:E),0)),1)</f>
        <v>0</v>
      </c>
      <c r="H596" s="6"/>
      <c r="I596" s="6"/>
      <c r="J596" s="6"/>
      <c r="K596" s="6"/>
      <c r="L596" s="6"/>
      <c r="M596" s="6"/>
      <c r="N596" s="6"/>
      <c r="O596" s="6"/>
      <c r="P596" s="6"/>
      <c r="Q596" s="6"/>
      <c r="R596" s="6"/>
      <c r="S596" s="6"/>
      <c r="T596" s="6"/>
      <c r="U596" s="6"/>
      <c r="V596" s="6"/>
      <c r="W596" s="6"/>
      <c r="X596" s="6"/>
      <c r="Y596" s="6"/>
      <c r="Z596" s="6"/>
      <c r="AA596" s="6"/>
      <c r="AB596" s="6"/>
      <c r="AC596" s="6"/>
      <c r="AD596" s="6"/>
      <c r="AE596" s="6"/>
    </row>
    <row r="597" spans="1:31" x14ac:dyDescent="0.35">
      <c r="A597" s="6">
        <v>597</v>
      </c>
      <c r="B597" s="6" t="s">
        <v>7</v>
      </c>
      <c r="C597" s="10" t="s">
        <v>16</v>
      </c>
      <c r="D597" s="9"/>
      <c r="E597" s="7">
        <f t="shared" si="16"/>
        <v>0</v>
      </c>
      <c r="F597" s="7">
        <f>-1*ROUND(1/6*(I597*IF(_xlfn.XLOOKUP(H597,'02效果表'!D:D,'02效果表'!E:E)&lt;0, _xlfn.XLOOKUP(H597,'02效果表'!D:D,'02效果表'!E:E), 0) +
K597*IF(_xlfn.XLOOKUP(J597,'02效果表'!D:D,'02效果表'!E:E)&lt;0, _xlfn.XLOOKUP(J597,'02效果表'!D:D,'02效果表'!E:E), 0) +
M597*IF(_xlfn.XLOOKUP(L597,'02效果表'!D:D,'02效果表'!E:E)&lt;0, _xlfn.XLOOKUP(L597,'02效果表'!D:D,'02效果表'!E:E), 0) +
O597*IF(_xlfn.XLOOKUP(N597,'02效果表'!D:D,'02效果表'!E:E)&lt;0, _xlfn.XLOOKUP(N597,'02效果表'!D:D,'02效果表'!E:E), 0) +
Q597*IF(_xlfn.XLOOKUP(P597,'02效果表'!D:D,'02效果表'!E:E)&lt;0, _xlfn.XLOOKUP(P597,'02效果表'!D:D,'02效果表'!E:E), 0) +
S597*IF(_xlfn.XLOOKUP(R597,'02效果表'!D:D,'02效果表'!E:E)&lt;0, _xlfn.XLOOKUP(R597,'02效果表'!D:D,'02效果表'!E:E), 0) +
U597*IF(_xlfn.XLOOKUP(T597,'02效果表'!D:D,'02效果表'!E:E)&lt;0, _xlfn.XLOOKUP(T597,'02效果表'!D:D,'02效果表'!E:E), 0) +
W597*IF(_xlfn.XLOOKUP(V597,'02效果表'!D:D,'02效果表'!E:E)&lt;0, _xlfn.XLOOKUP(V597,'02效果表'!D:D,'02效果表'!E:E), 0) +
Y597*IF(_xlfn.XLOOKUP(X597,'02效果表'!D:D,'02效果表'!E:E)&lt;0, _xlfn.XLOOKUP(X597,'02效果表'!D:D,'02效果表'!E:E), 0) +
AA597*IF(_xlfn.XLOOKUP(Z597,'02效果表'!D:D,'02效果表'!E:E)&lt;0, _xlfn.XLOOKUP(Z597,'02效果表'!D:D,'02效果表'!E:E), 0) +
AC597*IF(_xlfn.XLOOKUP(AB597,'02效果表'!D:D,'02效果表'!E:E)&lt;0, _xlfn.XLOOKUP(AB597,'02效果表'!D:D,'02效果表'!E:E), 0) +
AE597*IF(_xlfn.XLOOKUP(AD597,'02效果表'!D:D,'02效果表'!E:E)&lt;0, _xlfn.XLOOKUP(AD597,'02效果表'!D:D,'02效果表'!E:E), 0)), 1)</f>
        <v>0</v>
      </c>
      <c r="G597" s="7">
        <f>ROUND(1/6*(I597*MAX(_xlfn.XLOOKUP(H597,'02效果表'!D:D,'02效果表'!E:E),0)+K597*MAX(_xlfn.XLOOKUP(J597,'02效果表'!D:D,'02效果表'!E:E),0)+M597*MAX(_xlfn.XLOOKUP(L597,'02效果表'!D:D,'02效果表'!E:E),0)+O597*MAX(_xlfn.XLOOKUP(N597,'02效果表'!D:D,'02效果表'!E:E),0)+Q597*MAX(_xlfn.XLOOKUP(P597,'02效果表'!D:D,'02效果表'!E:E),0)+S597*MAX(_xlfn.XLOOKUP(R597,'02效果表'!D:D,'02效果表'!E:E),0)+U597*MAX(_xlfn.XLOOKUP(T597,'02效果表'!D:D,'02效果表'!E:E),0)+W597*MAX(_xlfn.XLOOKUP(V597,'02效果表'!D:D,'02效果表'!E:E),0)+Y597*MAX(_xlfn.XLOOKUP(X597,'02效果表'!D:D,'02效果表'!E:E),0)+AA597*MAX(_xlfn.XLOOKUP(Z597,'02效果表'!D:D,'02效果表'!E:E),0)+AC597*MAX(_xlfn.XLOOKUP(AB597,'02效果表'!D:D,'02效果表'!E:E),0)+AE597*MAX(_xlfn.XLOOKUP(AD597,'02效果表'!D:D,'02效果表'!E:E),0)),1)</f>
        <v>0</v>
      </c>
      <c r="H597" s="6"/>
      <c r="I597" s="6"/>
      <c r="J597" s="6"/>
      <c r="K597" s="6"/>
      <c r="L597" s="6"/>
      <c r="M597" s="6"/>
      <c r="N597" s="6"/>
      <c r="O597" s="6"/>
      <c r="P597" s="6"/>
      <c r="Q597" s="6"/>
      <c r="R597" s="6"/>
      <c r="S597" s="6"/>
      <c r="T597" s="6"/>
      <c r="U597" s="6"/>
      <c r="V597" s="6"/>
      <c r="W597" s="6"/>
      <c r="X597" s="6"/>
      <c r="Y597" s="6"/>
      <c r="Z597" s="6"/>
      <c r="AA597" s="6"/>
      <c r="AB597" s="6"/>
      <c r="AC597" s="6"/>
      <c r="AD597" s="6"/>
      <c r="AE597" s="6"/>
    </row>
    <row r="598" spans="1:31" x14ac:dyDescent="0.35">
      <c r="A598" s="6">
        <v>598</v>
      </c>
      <c r="B598" s="6" t="s">
        <v>7</v>
      </c>
      <c r="C598" s="10" t="s">
        <v>16</v>
      </c>
      <c r="D598" s="9"/>
      <c r="E598" s="7">
        <f t="shared" si="16"/>
        <v>0</v>
      </c>
      <c r="F598" s="7">
        <f>-1*ROUND(1/6*(I598*IF(_xlfn.XLOOKUP(H598,'02效果表'!D:D,'02效果表'!E:E)&lt;0, _xlfn.XLOOKUP(H598,'02效果表'!D:D,'02效果表'!E:E), 0) +
K598*IF(_xlfn.XLOOKUP(J598,'02效果表'!D:D,'02效果表'!E:E)&lt;0, _xlfn.XLOOKUP(J598,'02效果表'!D:D,'02效果表'!E:E), 0) +
M598*IF(_xlfn.XLOOKUP(L598,'02效果表'!D:D,'02效果表'!E:E)&lt;0, _xlfn.XLOOKUP(L598,'02效果表'!D:D,'02效果表'!E:E), 0) +
O598*IF(_xlfn.XLOOKUP(N598,'02效果表'!D:D,'02效果表'!E:E)&lt;0, _xlfn.XLOOKUP(N598,'02效果表'!D:D,'02效果表'!E:E), 0) +
Q598*IF(_xlfn.XLOOKUP(P598,'02效果表'!D:D,'02效果表'!E:E)&lt;0, _xlfn.XLOOKUP(P598,'02效果表'!D:D,'02效果表'!E:E), 0) +
S598*IF(_xlfn.XLOOKUP(R598,'02效果表'!D:D,'02效果表'!E:E)&lt;0, _xlfn.XLOOKUP(R598,'02效果表'!D:D,'02效果表'!E:E), 0) +
U598*IF(_xlfn.XLOOKUP(T598,'02效果表'!D:D,'02效果表'!E:E)&lt;0, _xlfn.XLOOKUP(T598,'02效果表'!D:D,'02效果表'!E:E), 0) +
W598*IF(_xlfn.XLOOKUP(V598,'02效果表'!D:D,'02效果表'!E:E)&lt;0, _xlfn.XLOOKUP(V598,'02效果表'!D:D,'02效果表'!E:E), 0) +
Y598*IF(_xlfn.XLOOKUP(X598,'02效果表'!D:D,'02效果表'!E:E)&lt;0, _xlfn.XLOOKUP(X598,'02效果表'!D:D,'02效果表'!E:E), 0) +
AA598*IF(_xlfn.XLOOKUP(Z598,'02效果表'!D:D,'02效果表'!E:E)&lt;0, _xlfn.XLOOKUP(Z598,'02效果表'!D:D,'02效果表'!E:E), 0) +
AC598*IF(_xlfn.XLOOKUP(AB598,'02效果表'!D:D,'02效果表'!E:E)&lt;0, _xlfn.XLOOKUP(AB598,'02效果表'!D:D,'02效果表'!E:E), 0) +
AE598*IF(_xlfn.XLOOKUP(AD598,'02效果表'!D:D,'02效果表'!E:E)&lt;0, _xlfn.XLOOKUP(AD598,'02效果表'!D:D,'02效果表'!E:E), 0)), 1)</f>
        <v>0</v>
      </c>
      <c r="G598" s="7">
        <f>ROUND(1/6*(I598*MAX(_xlfn.XLOOKUP(H598,'02效果表'!D:D,'02效果表'!E:E),0)+K598*MAX(_xlfn.XLOOKUP(J598,'02效果表'!D:D,'02效果表'!E:E),0)+M598*MAX(_xlfn.XLOOKUP(L598,'02效果表'!D:D,'02效果表'!E:E),0)+O598*MAX(_xlfn.XLOOKUP(N598,'02效果表'!D:D,'02效果表'!E:E),0)+Q598*MAX(_xlfn.XLOOKUP(P598,'02效果表'!D:D,'02效果表'!E:E),0)+S598*MAX(_xlfn.XLOOKUP(R598,'02效果表'!D:D,'02效果表'!E:E),0)+U598*MAX(_xlfn.XLOOKUP(T598,'02效果表'!D:D,'02效果表'!E:E),0)+W598*MAX(_xlfn.XLOOKUP(V598,'02效果表'!D:D,'02效果表'!E:E),0)+Y598*MAX(_xlfn.XLOOKUP(X598,'02效果表'!D:D,'02效果表'!E:E),0)+AA598*MAX(_xlfn.XLOOKUP(Z598,'02效果表'!D:D,'02效果表'!E:E),0)+AC598*MAX(_xlfn.XLOOKUP(AB598,'02效果表'!D:D,'02效果表'!E:E),0)+AE598*MAX(_xlfn.XLOOKUP(AD598,'02效果表'!D:D,'02效果表'!E:E),0)),1)</f>
        <v>0</v>
      </c>
      <c r="H598" s="6"/>
      <c r="I598" s="6"/>
      <c r="J598" s="6"/>
      <c r="K598" s="6"/>
      <c r="L598" s="6"/>
      <c r="M598" s="6"/>
      <c r="N598" s="6"/>
      <c r="O598" s="6"/>
      <c r="P598" s="6"/>
      <c r="Q598" s="6"/>
      <c r="R598" s="6"/>
      <c r="S598" s="6"/>
      <c r="T598" s="6"/>
      <c r="U598" s="6"/>
      <c r="V598" s="6"/>
      <c r="W598" s="6"/>
      <c r="X598" s="6"/>
      <c r="Y598" s="6"/>
      <c r="Z598" s="6"/>
      <c r="AA598" s="6"/>
      <c r="AB598" s="6"/>
      <c r="AC598" s="6"/>
      <c r="AD598" s="6"/>
      <c r="AE598" s="6"/>
    </row>
    <row r="599" spans="1:31" x14ac:dyDescent="0.35">
      <c r="A599" s="6">
        <v>599</v>
      </c>
      <c r="B599" s="6" t="s">
        <v>7</v>
      </c>
      <c r="C599" s="10" t="s">
        <v>16</v>
      </c>
      <c r="D599" s="9"/>
      <c r="E599" s="7">
        <f t="shared" si="16"/>
        <v>0</v>
      </c>
      <c r="F599" s="7">
        <f>-1*ROUND(1/6*(I599*IF(_xlfn.XLOOKUP(H599,'02效果表'!D:D,'02效果表'!E:E)&lt;0, _xlfn.XLOOKUP(H599,'02效果表'!D:D,'02效果表'!E:E), 0) +
K599*IF(_xlfn.XLOOKUP(J599,'02效果表'!D:D,'02效果表'!E:E)&lt;0, _xlfn.XLOOKUP(J599,'02效果表'!D:D,'02效果表'!E:E), 0) +
M599*IF(_xlfn.XLOOKUP(L599,'02效果表'!D:D,'02效果表'!E:E)&lt;0, _xlfn.XLOOKUP(L599,'02效果表'!D:D,'02效果表'!E:E), 0) +
O599*IF(_xlfn.XLOOKUP(N599,'02效果表'!D:D,'02效果表'!E:E)&lt;0, _xlfn.XLOOKUP(N599,'02效果表'!D:D,'02效果表'!E:E), 0) +
Q599*IF(_xlfn.XLOOKUP(P599,'02效果表'!D:D,'02效果表'!E:E)&lt;0, _xlfn.XLOOKUP(P599,'02效果表'!D:D,'02效果表'!E:E), 0) +
S599*IF(_xlfn.XLOOKUP(R599,'02效果表'!D:D,'02效果表'!E:E)&lt;0, _xlfn.XLOOKUP(R599,'02效果表'!D:D,'02效果表'!E:E), 0) +
U599*IF(_xlfn.XLOOKUP(T599,'02效果表'!D:D,'02效果表'!E:E)&lt;0, _xlfn.XLOOKUP(T599,'02效果表'!D:D,'02效果表'!E:E), 0) +
W599*IF(_xlfn.XLOOKUP(V599,'02效果表'!D:D,'02效果表'!E:E)&lt;0, _xlfn.XLOOKUP(V599,'02效果表'!D:D,'02效果表'!E:E), 0) +
Y599*IF(_xlfn.XLOOKUP(X599,'02效果表'!D:D,'02效果表'!E:E)&lt;0, _xlfn.XLOOKUP(X599,'02效果表'!D:D,'02效果表'!E:E), 0) +
AA599*IF(_xlfn.XLOOKUP(Z599,'02效果表'!D:D,'02效果表'!E:E)&lt;0, _xlfn.XLOOKUP(Z599,'02效果表'!D:D,'02效果表'!E:E), 0) +
AC599*IF(_xlfn.XLOOKUP(AB599,'02效果表'!D:D,'02效果表'!E:E)&lt;0, _xlfn.XLOOKUP(AB599,'02效果表'!D:D,'02效果表'!E:E), 0) +
AE599*IF(_xlfn.XLOOKUP(AD599,'02效果表'!D:D,'02效果表'!E:E)&lt;0, _xlfn.XLOOKUP(AD599,'02效果表'!D:D,'02效果表'!E:E), 0)), 1)</f>
        <v>0</v>
      </c>
      <c r="G599" s="7">
        <f>ROUND(1/6*(I599*MAX(_xlfn.XLOOKUP(H599,'02效果表'!D:D,'02效果表'!E:E),0)+K599*MAX(_xlfn.XLOOKUP(J599,'02效果表'!D:D,'02效果表'!E:E),0)+M599*MAX(_xlfn.XLOOKUP(L599,'02效果表'!D:D,'02效果表'!E:E),0)+O599*MAX(_xlfn.XLOOKUP(N599,'02效果表'!D:D,'02效果表'!E:E),0)+Q599*MAX(_xlfn.XLOOKUP(P599,'02效果表'!D:D,'02效果表'!E:E),0)+S599*MAX(_xlfn.XLOOKUP(R599,'02效果表'!D:D,'02效果表'!E:E),0)+U599*MAX(_xlfn.XLOOKUP(T599,'02效果表'!D:D,'02效果表'!E:E),0)+W599*MAX(_xlfn.XLOOKUP(V599,'02效果表'!D:D,'02效果表'!E:E),0)+Y599*MAX(_xlfn.XLOOKUP(X599,'02效果表'!D:D,'02效果表'!E:E),0)+AA599*MAX(_xlfn.XLOOKUP(Z599,'02效果表'!D:D,'02效果表'!E:E),0)+AC599*MAX(_xlfn.XLOOKUP(AB599,'02效果表'!D:D,'02效果表'!E:E),0)+AE599*MAX(_xlfn.XLOOKUP(AD599,'02效果表'!D:D,'02效果表'!E:E),0)),1)</f>
        <v>0</v>
      </c>
      <c r="H599" s="6"/>
      <c r="I599" s="6"/>
      <c r="J599" s="6"/>
      <c r="K599" s="6"/>
      <c r="L599" s="6"/>
      <c r="M599" s="6"/>
      <c r="N599" s="6"/>
      <c r="O599" s="6"/>
      <c r="P599" s="6"/>
      <c r="Q599" s="6"/>
      <c r="R599" s="6"/>
      <c r="S599" s="6"/>
      <c r="T599" s="6"/>
      <c r="U599" s="6"/>
      <c r="V599" s="6"/>
      <c r="W599" s="6"/>
      <c r="X599" s="6"/>
      <c r="Y599" s="6"/>
      <c r="Z599" s="6"/>
      <c r="AA599" s="6"/>
      <c r="AB599" s="6"/>
      <c r="AC599" s="6"/>
      <c r="AD599" s="6"/>
      <c r="AE599" s="6"/>
    </row>
    <row r="600" spans="1:31" x14ac:dyDescent="0.35">
      <c r="A600" s="6">
        <v>600</v>
      </c>
      <c r="B600" s="6" t="s">
        <v>7</v>
      </c>
      <c r="C600" s="10" t="s">
        <v>16</v>
      </c>
      <c r="D600" s="9"/>
      <c r="E600" s="7">
        <f t="shared" si="16"/>
        <v>0</v>
      </c>
      <c r="F600" s="7">
        <f>-1*ROUND(1/6*(I600*IF(_xlfn.XLOOKUP(H600,'02效果表'!D:D,'02效果表'!E:E)&lt;0, _xlfn.XLOOKUP(H600,'02效果表'!D:D,'02效果表'!E:E), 0) +
K600*IF(_xlfn.XLOOKUP(J600,'02效果表'!D:D,'02效果表'!E:E)&lt;0, _xlfn.XLOOKUP(J600,'02效果表'!D:D,'02效果表'!E:E), 0) +
M600*IF(_xlfn.XLOOKUP(L600,'02效果表'!D:D,'02效果表'!E:E)&lt;0, _xlfn.XLOOKUP(L600,'02效果表'!D:D,'02效果表'!E:E), 0) +
O600*IF(_xlfn.XLOOKUP(N600,'02效果表'!D:D,'02效果表'!E:E)&lt;0, _xlfn.XLOOKUP(N600,'02效果表'!D:D,'02效果表'!E:E), 0) +
Q600*IF(_xlfn.XLOOKUP(P600,'02效果表'!D:D,'02效果表'!E:E)&lt;0, _xlfn.XLOOKUP(P600,'02效果表'!D:D,'02效果表'!E:E), 0) +
S600*IF(_xlfn.XLOOKUP(R600,'02效果表'!D:D,'02效果表'!E:E)&lt;0, _xlfn.XLOOKUP(R600,'02效果表'!D:D,'02效果表'!E:E), 0) +
U600*IF(_xlfn.XLOOKUP(T600,'02效果表'!D:D,'02效果表'!E:E)&lt;0, _xlfn.XLOOKUP(T600,'02效果表'!D:D,'02效果表'!E:E), 0) +
W600*IF(_xlfn.XLOOKUP(V600,'02效果表'!D:D,'02效果表'!E:E)&lt;0, _xlfn.XLOOKUP(V600,'02效果表'!D:D,'02效果表'!E:E), 0) +
Y600*IF(_xlfn.XLOOKUP(X600,'02效果表'!D:D,'02效果表'!E:E)&lt;0, _xlfn.XLOOKUP(X600,'02效果表'!D:D,'02效果表'!E:E), 0) +
AA600*IF(_xlfn.XLOOKUP(Z600,'02效果表'!D:D,'02效果表'!E:E)&lt;0, _xlfn.XLOOKUP(Z600,'02效果表'!D:D,'02效果表'!E:E), 0) +
AC600*IF(_xlfn.XLOOKUP(AB600,'02效果表'!D:D,'02效果表'!E:E)&lt;0, _xlfn.XLOOKUP(AB600,'02效果表'!D:D,'02效果表'!E:E), 0) +
AE600*IF(_xlfn.XLOOKUP(AD600,'02效果表'!D:D,'02效果表'!E:E)&lt;0, _xlfn.XLOOKUP(AD600,'02效果表'!D:D,'02效果表'!E:E), 0)), 1)</f>
        <v>0</v>
      </c>
      <c r="G600" s="7">
        <f>ROUND(1/6*(I600*MAX(_xlfn.XLOOKUP(H600,'02效果表'!D:D,'02效果表'!E:E),0)+K600*MAX(_xlfn.XLOOKUP(J600,'02效果表'!D:D,'02效果表'!E:E),0)+M600*MAX(_xlfn.XLOOKUP(L600,'02效果表'!D:D,'02效果表'!E:E),0)+O600*MAX(_xlfn.XLOOKUP(N600,'02效果表'!D:D,'02效果表'!E:E),0)+Q600*MAX(_xlfn.XLOOKUP(P600,'02效果表'!D:D,'02效果表'!E:E),0)+S600*MAX(_xlfn.XLOOKUP(R600,'02效果表'!D:D,'02效果表'!E:E),0)+U600*MAX(_xlfn.XLOOKUP(T600,'02效果表'!D:D,'02效果表'!E:E),0)+W600*MAX(_xlfn.XLOOKUP(V600,'02效果表'!D:D,'02效果表'!E:E),0)+Y600*MAX(_xlfn.XLOOKUP(X600,'02效果表'!D:D,'02效果表'!E:E),0)+AA600*MAX(_xlfn.XLOOKUP(Z600,'02效果表'!D:D,'02效果表'!E:E),0)+AC600*MAX(_xlfn.XLOOKUP(AB600,'02效果表'!D:D,'02效果表'!E:E),0)+AE600*MAX(_xlfn.XLOOKUP(AD600,'02效果表'!D:D,'02效果表'!E:E),0)),1)</f>
        <v>0</v>
      </c>
      <c r="H600" s="6"/>
      <c r="I600" s="6"/>
      <c r="J600" s="6"/>
      <c r="K600" s="6"/>
      <c r="L600" s="6"/>
      <c r="M600" s="6"/>
      <c r="N600" s="6"/>
      <c r="O600" s="6"/>
      <c r="P600" s="6"/>
      <c r="Q600" s="6"/>
      <c r="R600" s="6"/>
      <c r="S600" s="6"/>
      <c r="T600" s="6"/>
      <c r="U600" s="6"/>
      <c r="V600" s="6"/>
      <c r="W600" s="6"/>
      <c r="X600" s="6"/>
      <c r="Y600" s="6"/>
      <c r="Z600" s="6"/>
      <c r="AA600" s="6"/>
      <c r="AB600" s="6"/>
      <c r="AC600" s="6"/>
      <c r="AD600" s="6"/>
      <c r="AE600" s="6"/>
    </row>
    <row r="601" spans="1:31" x14ac:dyDescent="0.35">
      <c r="A601" s="6">
        <v>601</v>
      </c>
      <c r="B601" s="6" t="s">
        <v>7</v>
      </c>
      <c r="C601" s="10" t="s">
        <v>17</v>
      </c>
      <c r="D601" s="9" t="s">
        <v>1732</v>
      </c>
      <c r="E601" s="7">
        <f t="shared" si="16"/>
        <v>0</v>
      </c>
      <c r="F601" s="7">
        <f>-1*ROUND(1/6*(I601*IF(_xlfn.XLOOKUP(H601,'02效果表'!D:D,'02效果表'!E:E)&lt;0, _xlfn.XLOOKUP(H601,'02效果表'!D:D,'02效果表'!E:E), 0) +
K601*IF(_xlfn.XLOOKUP(J601,'02效果表'!D:D,'02效果表'!E:E)&lt;0, _xlfn.XLOOKUP(J601,'02效果表'!D:D,'02效果表'!E:E), 0) +
M601*IF(_xlfn.XLOOKUP(L601,'02效果表'!D:D,'02效果表'!E:E)&lt;0, _xlfn.XLOOKUP(L601,'02效果表'!D:D,'02效果表'!E:E), 0) +
O601*IF(_xlfn.XLOOKUP(N601,'02效果表'!D:D,'02效果表'!E:E)&lt;0, _xlfn.XLOOKUP(N601,'02效果表'!D:D,'02效果表'!E:E), 0) +
Q601*IF(_xlfn.XLOOKUP(P601,'02效果表'!D:D,'02效果表'!E:E)&lt;0, _xlfn.XLOOKUP(P601,'02效果表'!D:D,'02效果表'!E:E), 0) +
S601*IF(_xlfn.XLOOKUP(R601,'02效果表'!D:D,'02效果表'!E:E)&lt;0, _xlfn.XLOOKUP(R601,'02效果表'!D:D,'02效果表'!E:E), 0) +
U601*IF(_xlfn.XLOOKUP(T601,'02效果表'!D:D,'02效果表'!E:E)&lt;0, _xlfn.XLOOKUP(T601,'02效果表'!D:D,'02效果表'!E:E), 0) +
W601*IF(_xlfn.XLOOKUP(V601,'02效果表'!D:D,'02效果表'!E:E)&lt;0, _xlfn.XLOOKUP(V601,'02效果表'!D:D,'02效果表'!E:E), 0) +
Y601*IF(_xlfn.XLOOKUP(X601,'02效果表'!D:D,'02效果表'!E:E)&lt;0, _xlfn.XLOOKUP(X601,'02效果表'!D:D,'02效果表'!E:E), 0) +
AA601*IF(_xlfn.XLOOKUP(Z601,'02效果表'!D:D,'02效果表'!E:E)&lt;0, _xlfn.XLOOKUP(Z601,'02效果表'!D:D,'02效果表'!E:E), 0) +
AC601*IF(_xlfn.XLOOKUP(AB601,'02效果表'!D:D,'02效果表'!E:E)&lt;0, _xlfn.XLOOKUP(AB601,'02效果表'!D:D,'02效果表'!E:E), 0) +
AE601*IF(_xlfn.XLOOKUP(AD601,'02效果表'!D:D,'02效果表'!E:E)&lt;0, _xlfn.XLOOKUP(AD601,'02效果表'!D:D,'02效果表'!E:E), 0)), 1)</f>
        <v>0</v>
      </c>
      <c r="G601" s="7">
        <f>ROUND(1/6*(I601*MAX(_xlfn.XLOOKUP(H601,'02效果表'!D:D,'02效果表'!E:E),0)+K601*MAX(_xlfn.XLOOKUP(J601,'02效果表'!D:D,'02效果表'!E:E),0)+M601*MAX(_xlfn.XLOOKUP(L601,'02效果表'!D:D,'02效果表'!E:E),0)+O601*MAX(_xlfn.XLOOKUP(N601,'02效果表'!D:D,'02效果表'!E:E),0)+Q601*MAX(_xlfn.XLOOKUP(P601,'02效果表'!D:D,'02效果表'!E:E),0)+S601*MAX(_xlfn.XLOOKUP(R601,'02效果表'!D:D,'02效果表'!E:E),0)+U601*MAX(_xlfn.XLOOKUP(T601,'02效果表'!D:D,'02效果表'!E:E),0)+W601*MAX(_xlfn.XLOOKUP(V601,'02效果表'!D:D,'02效果表'!E:E),0)+Y601*MAX(_xlfn.XLOOKUP(X601,'02效果表'!D:D,'02效果表'!E:E),0)+AA601*MAX(_xlfn.XLOOKUP(Z601,'02效果表'!D:D,'02效果表'!E:E),0)+AC601*MAX(_xlfn.XLOOKUP(AB601,'02效果表'!D:D,'02效果表'!E:E),0)+AE601*MAX(_xlfn.XLOOKUP(AD601,'02效果表'!D:D,'02效果表'!E:E),0)),1)</f>
        <v>0</v>
      </c>
      <c r="H601" s="6"/>
      <c r="I601" s="6"/>
      <c r="J601" s="6"/>
      <c r="K601" s="6"/>
      <c r="L601" s="6"/>
      <c r="M601" s="6"/>
      <c r="N601" s="6"/>
      <c r="O601" s="6"/>
      <c r="P601" s="6"/>
      <c r="Q601" s="6"/>
      <c r="R601" s="6"/>
      <c r="S601" s="6"/>
      <c r="T601" s="6"/>
      <c r="U601" s="6"/>
      <c r="V601" s="6"/>
      <c r="W601" s="6"/>
      <c r="X601" s="6"/>
      <c r="Y601" s="6"/>
      <c r="Z601" s="6"/>
      <c r="AA601" s="6"/>
      <c r="AB601" s="6"/>
      <c r="AC601" s="6"/>
      <c r="AD601" s="6"/>
      <c r="AE601" s="6"/>
    </row>
    <row r="602" spans="1:31" x14ac:dyDescent="0.35">
      <c r="A602" s="6">
        <v>602</v>
      </c>
      <c r="B602" s="6" t="s">
        <v>7</v>
      </c>
      <c r="C602" s="10" t="s">
        <v>17</v>
      </c>
      <c r="D602" s="9" t="s">
        <v>1733</v>
      </c>
      <c r="E602" s="7">
        <f t="shared" si="16"/>
        <v>0</v>
      </c>
      <c r="F602" s="7">
        <f>-1*ROUND(1/6*(I602*IF(_xlfn.XLOOKUP(H602,'02效果表'!D:D,'02效果表'!E:E)&lt;0, _xlfn.XLOOKUP(H602,'02效果表'!D:D,'02效果表'!E:E), 0) +
K602*IF(_xlfn.XLOOKUP(J602,'02效果表'!D:D,'02效果表'!E:E)&lt;0, _xlfn.XLOOKUP(J602,'02效果表'!D:D,'02效果表'!E:E), 0) +
M602*IF(_xlfn.XLOOKUP(L602,'02效果表'!D:D,'02效果表'!E:E)&lt;0, _xlfn.XLOOKUP(L602,'02效果表'!D:D,'02效果表'!E:E), 0) +
O602*IF(_xlfn.XLOOKUP(N602,'02效果表'!D:D,'02效果表'!E:E)&lt;0, _xlfn.XLOOKUP(N602,'02效果表'!D:D,'02效果表'!E:E), 0) +
Q602*IF(_xlfn.XLOOKUP(P602,'02效果表'!D:D,'02效果表'!E:E)&lt;0, _xlfn.XLOOKUP(P602,'02效果表'!D:D,'02效果表'!E:E), 0) +
S602*IF(_xlfn.XLOOKUP(R602,'02效果表'!D:D,'02效果表'!E:E)&lt;0, _xlfn.XLOOKUP(R602,'02效果表'!D:D,'02效果表'!E:E), 0) +
U602*IF(_xlfn.XLOOKUP(T602,'02效果表'!D:D,'02效果表'!E:E)&lt;0, _xlfn.XLOOKUP(T602,'02效果表'!D:D,'02效果表'!E:E), 0) +
W602*IF(_xlfn.XLOOKUP(V602,'02效果表'!D:D,'02效果表'!E:E)&lt;0, _xlfn.XLOOKUP(V602,'02效果表'!D:D,'02效果表'!E:E), 0) +
Y602*IF(_xlfn.XLOOKUP(X602,'02效果表'!D:D,'02效果表'!E:E)&lt;0, _xlfn.XLOOKUP(X602,'02效果表'!D:D,'02效果表'!E:E), 0) +
AA602*IF(_xlfn.XLOOKUP(Z602,'02效果表'!D:D,'02效果表'!E:E)&lt;0, _xlfn.XLOOKUP(Z602,'02效果表'!D:D,'02效果表'!E:E), 0) +
AC602*IF(_xlfn.XLOOKUP(AB602,'02效果表'!D:D,'02效果表'!E:E)&lt;0, _xlfn.XLOOKUP(AB602,'02效果表'!D:D,'02效果表'!E:E), 0) +
AE602*IF(_xlfn.XLOOKUP(AD602,'02效果表'!D:D,'02效果表'!E:E)&lt;0, _xlfn.XLOOKUP(AD602,'02效果表'!D:D,'02效果表'!E:E), 0)), 1)</f>
        <v>0</v>
      </c>
      <c r="G602" s="7">
        <f>ROUND(1/6*(I602*MAX(_xlfn.XLOOKUP(H602,'02效果表'!D:D,'02效果表'!E:E),0)+K602*MAX(_xlfn.XLOOKUP(J602,'02效果表'!D:D,'02效果表'!E:E),0)+M602*MAX(_xlfn.XLOOKUP(L602,'02效果表'!D:D,'02效果表'!E:E),0)+O602*MAX(_xlfn.XLOOKUP(N602,'02效果表'!D:D,'02效果表'!E:E),0)+Q602*MAX(_xlfn.XLOOKUP(P602,'02效果表'!D:D,'02效果表'!E:E),0)+S602*MAX(_xlfn.XLOOKUP(R602,'02效果表'!D:D,'02效果表'!E:E),0)+U602*MAX(_xlfn.XLOOKUP(T602,'02效果表'!D:D,'02效果表'!E:E),0)+W602*MAX(_xlfn.XLOOKUP(V602,'02效果表'!D:D,'02效果表'!E:E),0)+Y602*MAX(_xlfn.XLOOKUP(X602,'02效果表'!D:D,'02效果表'!E:E),0)+AA602*MAX(_xlfn.XLOOKUP(Z602,'02效果表'!D:D,'02效果表'!E:E),0)+AC602*MAX(_xlfn.XLOOKUP(AB602,'02效果表'!D:D,'02效果表'!E:E),0)+AE602*MAX(_xlfn.XLOOKUP(AD602,'02效果表'!D:D,'02效果表'!E:E),0)),1)</f>
        <v>0</v>
      </c>
      <c r="H602" s="6"/>
      <c r="I602" s="6"/>
      <c r="J602" s="6"/>
      <c r="K602" s="6"/>
      <c r="L602" s="6"/>
      <c r="M602" s="6"/>
      <c r="N602" s="6"/>
      <c r="O602" s="6"/>
      <c r="P602" s="6"/>
      <c r="Q602" s="6"/>
      <c r="R602" s="6"/>
      <c r="S602" s="6"/>
      <c r="T602" s="6"/>
      <c r="U602" s="6"/>
      <c r="V602" s="6"/>
      <c r="W602" s="6"/>
      <c r="X602" s="6"/>
      <c r="Y602" s="6"/>
      <c r="Z602" s="6"/>
      <c r="AA602" s="6"/>
      <c r="AB602" s="6"/>
      <c r="AC602" s="6"/>
      <c r="AD602" s="6"/>
      <c r="AE602" s="6"/>
    </row>
    <row r="603" spans="1:31" x14ac:dyDescent="0.35">
      <c r="A603" s="6">
        <v>603</v>
      </c>
      <c r="B603" s="6" t="s">
        <v>7</v>
      </c>
      <c r="C603" s="10" t="s">
        <v>17</v>
      </c>
      <c r="D603" s="9" t="s">
        <v>1734</v>
      </c>
      <c r="E603" s="7">
        <f t="shared" si="16"/>
        <v>0</v>
      </c>
      <c r="F603" s="7">
        <f>-1*ROUND(1/6*(I603*IF(_xlfn.XLOOKUP(H603,'02效果表'!D:D,'02效果表'!E:E)&lt;0, _xlfn.XLOOKUP(H603,'02效果表'!D:D,'02效果表'!E:E), 0) +
K603*IF(_xlfn.XLOOKUP(J603,'02效果表'!D:D,'02效果表'!E:E)&lt;0, _xlfn.XLOOKUP(J603,'02效果表'!D:D,'02效果表'!E:E), 0) +
M603*IF(_xlfn.XLOOKUP(L603,'02效果表'!D:D,'02效果表'!E:E)&lt;0, _xlfn.XLOOKUP(L603,'02效果表'!D:D,'02效果表'!E:E), 0) +
O603*IF(_xlfn.XLOOKUP(N603,'02效果表'!D:D,'02效果表'!E:E)&lt;0, _xlfn.XLOOKUP(N603,'02效果表'!D:D,'02效果表'!E:E), 0) +
Q603*IF(_xlfn.XLOOKUP(P603,'02效果表'!D:D,'02效果表'!E:E)&lt;0, _xlfn.XLOOKUP(P603,'02效果表'!D:D,'02效果表'!E:E), 0) +
S603*IF(_xlfn.XLOOKUP(R603,'02效果表'!D:D,'02效果表'!E:E)&lt;0, _xlfn.XLOOKUP(R603,'02效果表'!D:D,'02效果表'!E:E), 0) +
U603*IF(_xlfn.XLOOKUP(T603,'02效果表'!D:D,'02效果表'!E:E)&lt;0, _xlfn.XLOOKUP(T603,'02效果表'!D:D,'02效果表'!E:E), 0) +
W603*IF(_xlfn.XLOOKUP(V603,'02效果表'!D:D,'02效果表'!E:E)&lt;0, _xlfn.XLOOKUP(V603,'02效果表'!D:D,'02效果表'!E:E), 0) +
Y603*IF(_xlfn.XLOOKUP(X603,'02效果表'!D:D,'02效果表'!E:E)&lt;0, _xlfn.XLOOKUP(X603,'02效果表'!D:D,'02效果表'!E:E), 0) +
AA603*IF(_xlfn.XLOOKUP(Z603,'02效果表'!D:D,'02效果表'!E:E)&lt;0, _xlfn.XLOOKUP(Z603,'02效果表'!D:D,'02效果表'!E:E), 0) +
AC603*IF(_xlfn.XLOOKUP(AB603,'02效果表'!D:D,'02效果表'!E:E)&lt;0, _xlfn.XLOOKUP(AB603,'02效果表'!D:D,'02效果表'!E:E), 0) +
AE603*IF(_xlfn.XLOOKUP(AD603,'02效果表'!D:D,'02效果表'!E:E)&lt;0, _xlfn.XLOOKUP(AD603,'02效果表'!D:D,'02效果表'!E:E), 0)), 1)</f>
        <v>0</v>
      </c>
      <c r="G603" s="7">
        <f>ROUND(1/6*(I603*MAX(_xlfn.XLOOKUP(H603,'02效果表'!D:D,'02效果表'!E:E),0)+K603*MAX(_xlfn.XLOOKUP(J603,'02效果表'!D:D,'02效果表'!E:E),0)+M603*MAX(_xlfn.XLOOKUP(L603,'02效果表'!D:D,'02效果表'!E:E),0)+O603*MAX(_xlfn.XLOOKUP(N603,'02效果表'!D:D,'02效果表'!E:E),0)+Q603*MAX(_xlfn.XLOOKUP(P603,'02效果表'!D:D,'02效果表'!E:E),0)+S603*MAX(_xlfn.XLOOKUP(R603,'02效果表'!D:D,'02效果表'!E:E),0)+U603*MAX(_xlfn.XLOOKUP(T603,'02效果表'!D:D,'02效果表'!E:E),0)+W603*MAX(_xlfn.XLOOKUP(V603,'02效果表'!D:D,'02效果表'!E:E),0)+Y603*MAX(_xlfn.XLOOKUP(X603,'02效果表'!D:D,'02效果表'!E:E),0)+AA603*MAX(_xlfn.XLOOKUP(Z603,'02效果表'!D:D,'02效果表'!E:E),0)+AC603*MAX(_xlfn.XLOOKUP(AB603,'02效果表'!D:D,'02效果表'!E:E),0)+AE603*MAX(_xlfn.XLOOKUP(AD603,'02效果表'!D:D,'02效果表'!E:E),0)),1)</f>
        <v>0</v>
      </c>
      <c r="H603" s="6"/>
      <c r="I603" s="6"/>
      <c r="J603" s="6"/>
      <c r="K603" s="6"/>
      <c r="L603" s="6"/>
      <c r="M603" s="6"/>
      <c r="N603" s="6"/>
      <c r="O603" s="6"/>
      <c r="P603" s="6"/>
      <c r="Q603" s="6"/>
      <c r="R603" s="6"/>
      <c r="S603" s="6"/>
      <c r="T603" s="6"/>
      <c r="U603" s="6"/>
      <c r="V603" s="6"/>
      <c r="W603" s="6"/>
      <c r="X603" s="6"/>
      <c r="Y603" s="6"/>
      <c r="Z603" s="6"/>
      <c r="AA603" s="6"/>
      <c r="AB603" s="6"/>
      <c r="AC603" s="6"/>
      <c r="AD603" s="6"/>
      <c r="AE603" s="6"/>
    </row>
    <row r="604" spans="1:31" x14ac:dyDescent="0.35">
      <c r="A604" s="6">
        <v>604</v>
      </c>
      <c r="B604" s="6" t="s">
        <v>7</v>
      </c>
      <c r="C604" s="10" t="s">
        <v>17</v>
      </c>
      <c r="D604" s="9" t="s">
        <v>1735</v>
      </c>
      <c r="E604" s="7">
        <f t="shared" si="16"/>
        <v>0</v>
      </c>
      <c r="F604" s="7">
        <f>-1*ROUND(1/6*(I604*IF(_xlfn.XLOOKUP(H604,'02效果表'!D:D,'02效果表'!E:E)&lt;0, _xlfn.XLOOKUP(H604,'02效果表'!D:D,'02效果表'!E:E), 0) +
K604*IF(_xlfn.XLOOKUP(J604,'02效果表'!D:D,'02效果表'!E:E)&lt;0, _xlfn.XLOOKUP(J604,'02效果表'!D:D,'02效果表'!E:E), 0) +
M604*IF(_xlfn.XLOOKUP(L604,'02效果表'!D:D,'02效果表'!E:E)&lt;0, _xlfn.XLOOKUP(L604,'02效果表'!D:D,'02效果表'!E:E), 0) +
O604*IF(_xlfn.XLOOKUP(N604,'02效果表'!D:D,'02效果表'!E:E)&lt;0, _xlfn.XLOOKUP(N604,'02效果表'!D:D,'02效果表'!E:E), 0) +
Q604*IF(_xlfn.XLOOKUP(P604,'02效果表'!D:D,'02效果表'!E:E)&lt;0, _xlfn.XLOOKUP(P604,'02效果表'!D:D,'02效果表'!E:E), 0) +
S604*IF(_xlfn.XLOOKUP(R604,'02效果表'!D:D,'02效果表'!E:E)&lt;0, _xlfn.XLOOKUP(R604,'02效果表'!D:D,'02效果表'!E:E), 0) +
U604*IF(_xlfn.XLOOKUP(T604,'02效果表'!D:D,'02效果表'!E:E)&lt;0, _xlfn.XLOOKUP(T604,'02效果表'!D:D,'02效果表'!E:E), 0) +
W604*IF(_xlfn.XLOOKUP(V604,'02效果表'!D:D,'02效果表'!E:E)&lt;0, _xlfn.XLOOKUP(V604,'02效果表'!D:D,'02效果表'!E:E), 0) +
Y604*IF(_xlfn.XLOOKUP(X604,'02效果表'!D:D,'02效果表'!E:E)&lt;0, _xlfn.XLOOKUP(X604,'02效果表'!D:D,'02效果表'!E:E), 0) +
AA604*IF(_xlfn.XLOOKUP(Z604,'02效果表'!D:D,'02效果表'!E:E)&lt;0, _xlfn.XLOOKUP(Z604,'02效果表'!D:D,'02效果表'!E:E), 0) +
AC604*IF(_xlfn.XLOOKUP(AB604,'02效果表'!D:D,'02效果表'!E:E)&lt;0, _xlfn.XLOOKUP(AB604,'02效果表'!D:D,'02效果表'!E:E), 0) +
AE604*IF(_xlfn.XLOOKUP(AD604,'02效果表'!D:D,'02效果表'!E:E)&lt;0, _xlfn.XLOOKUP(AD604,'02效果表'!D:D,'02效果表'!E:E), 0)), 1)</f>
        <v>0</v>
      </c>
      <c r="G604" s="7">
        <f>ROUND(1/6*(I604*MAX(_xlfn.XLOOKUP(H604,'02效果表'!D:D,'02效果表'!E:E),0)+K604*MAX(_xlfn.XLOOKUP(J604,'02效果表'!D:D,'02效果表'!E:E),0)+M604*MAX(_xlfn.XLOOKUP(L604,'02效果表'!D:D,'02效果表'!E:E),0)+O604*MAX(_xlfn.XLOOKUP(N604,'02效果表'!D:D,'02效果表'!E:E),0)+Q604*MAX(_xlfn.XLOOKUP(P604,'02效果表'!D:D,'02效果表'!E:E),0)+S604*MAX(_xlfn.XLOOKUP(R604,'02效果表'!D:D,'02效果表'!E:E),0)+U604*MAX(_xlfn.XLOOKUP(T604,'02效果表'!D:D,'02效果表'!E:E),0)+W604*MAX(_xlfn.XLOOKUP(V604,'02效果表'!D:D,'02效果表'!E:E),0)+Y604*MAX(_xlfn.XLOOKUP(X604,'02效果表'!D:D,'02效果表'!E:E),0)+AA604*MAX(_xlfn.XLOOKUP(Z604,'02效果表'!D:D,'02效果表'!E:E),0)+AC604*MAX(_xlfn.XLOOKUP(AB604,'02效果表'!D:D,'02效果表'!E:E),0)+AE604*MAX(_xlfn.XLOOKUP(AD604,'02效果表'!D:D,'02效果表'!E:E),0)),1)</f>
        <v>0</v>
      </c>
      <c r="H604" s="6"/>
      <c r="I604" s="6"/>
      <c r="J604" s="6"/>
      <c r="K604" s="6"/>
      <c r="L604" s="6"/>
      <c r="M604" s="6"/>
      <c r="N604" s="6"/>
      <c r="O604" s="6"/>
      <c r="P604" s="6"/>
      <c r="Q604" s="6"/>
      <c r="R604" s="6"/>
      <c r="S604" s="6"/>
      <c r="T604" s="6"/>
      <c r="U604" s="6"/>
      <c r="V604" s="6"/>
      <c r="W604" s="6"/>
      <c r="X604" s="6"/>
      <c r="Y604" s="6"/>
      <c r="Z604" s="6"/>
      <c r="AA604" s="6"/>
      <c r="AB604" s="6"/>
      <c r="AC604" s="6"/>
      <c r="AD604" s="6"/>
      <c r="AE604" s="6"/>
    </row>
    <row r="605" spans="1:31" x14ac:dyDescent="0.35">
      <c r="A605" s="6">
        <v>605</v>
      </c>
      <c r="B605" s="6" t="s">
        <v>7</v>
      </c>
      <c r="C605" s="10" t="s">
        <v>17</v>
      </c>
      <c r="D605" s="9" t="s">
        <v>1736</v>
      </c>
      <c r="E605" s="7">
        <f t="shared" si="16"/>
        <v>0</v>
      </c>
      <c r="F605" s="7">
        <f>-1*ROUND(1/6*(I605*IF(_xlfn.XLOOKUP(H605,'02效果表'!D:D,'02效果表'!E:E)&lt;0, _xlfn.XLOOKUP(H605,'02效果表'!D:D,'02效果表'!E:E), 0) +
K605*IF(_xlfn.XLOOKUP(J605,'02效果表'!D:D,'02效果表'!E:E)&lt;0, _xlfn.XLOOKUP(J605,'02效果表'!D:D,'02效果表'!E:E), 0) +
M605*IF(_xlfn.XLOOKUP(L605,'02效果表'!D:D,'02效果表'!E:E)&lt;0, _xlfn.XLOOKUP(L605,'02效果表'!D:D,'02效果表'!E:E), 0) +
O605*IF(_xlfn.XLOOKUP(N605,'02效果表'!D:D,'02效果表'!E:E)&lt;0, _xlfn.XLOOKUP(N605,'02效果表'!D:D,'02效果表'!E:E), 0) +
Q605*IF(_xlfn.XLOOKUP(P605,'02效果表'!D:D,'02效果表'!E:E)&lt;0, _xlfn.XLOOKUP(P605,'02效果表'!D:D,'02效果表'!E:E), 0) +
S605*IF(_xlfn.XLOOKUP(R605,'02效果表'!D:D,'02效果表'!E:E)&lt;0, _xlfn.XLOOKUP(R605,'02效果表'!D:D,'02效果表'!E:E), 0) +
U605*IF(_xlfn.XLOOKUP(T605,'02效果表'!D:D,'02效果表'!E:E)&lt;0, _xlfn.XLOOKUP(T605,'02效果表'!D:D,'02效果表'!E:E), 0) +
W605*IF(_xlfn.XLOOKUP(V605,'02效果表'!D:D,'02效果表'!E:E)&lt;0, _xlfn.XLOOKUP(V605,'02效果表'!D:D,'02效果表'!E:E), 0) +
Y605*IF(_xlfn.XLOOKUP(X605,'02效果表'!D:D,'02效果表'!E:E)&lt;0, _xlfn.XLOOKUP(X605,'02效果表'!D:D,'02效果表'!E:E), 0) +
AA605*IF(_xlfn.XLOOKUP(Z605,'02效果表'!D:D,'02效果表'!E:E)&lt;0, _xlfn.XLOOKUP(Z605,'02效果表'!D:D,'02效果表'!E:E), 0) +
AC605*IF(_xlfn.XLOOKUP(AB605,'02效果表'!D:D,'02效果表'!E:E)&lt;0, _xlfn.XLOOKUP(AB605,'02效果表'!D:D,'02效果表'!E:E), 0) +
AE605*IF(_xlfn.XLOOKUP(AD605,'02效果表'!D:D,'02效果表'!E:E)&lt;0, _xlfn.XLOOKUP(AD605,'02效果表'!D:D,'02效果表'!E:E), 0)), 1)</f>
        <v>0</v>
      </c>
      <c r="G605" s="7">
        <f>ROUND(1/6*(I605*MAX(_xlfn.XLOOKUP(H605,'02效果表'!D:D,'02效果表'!E:E),0)+K605*MAX(_xlfn.XLOOKUP(J605,'02效果表'!D:D,'02效果表'!E:E),0)+M605*MAX(_xlfn.XLOOKUP(L605,'02效果表'!D:D,'02效果表'!E:E),0)+O605*MAX(_xlfn.XLOOKUP(N605,'02效果表'!D:D,'02效果表'!E:E),0)+Q605*MAX(_xlfn.XLOOKUP(P605,'02效果表'!D:D,'02效果表'!E:E),0)+S605*MAX(_xlfn.XLOOKUP(R605,'02效果表'!D:D,'02效果表'!E:E),0)+U605*MAX(_xlfn.XLOOKUP(T605,'02效果表'!D:D,'02效果表'!E:E),0)+W605*MAX(_xlfn.XLOOKUP(V605,'02效果表'!D:D,'02效果表'!E:E),0)+Y605*MAX(_xlfn.XLOOKUP(X605,'02效果表'!D:D,'02效果表'!E:E),0)+AA605*MAX(_xlfn.XLOOKUP(Z605,'02效果表'!D:D,'02效果表'!E:E),0)+AC605*MAX(_xlfn.XLOOKUP(AB605,'02效果表'!D:D,'02效果表'!E:E),0)+AE605*MAX(_xlfn.XLOOKUP(AD605,'02效果表'!D:D,'02效果表'!E:E),0)),1)</f>
        <v>0</v>
      </c>
      <c r="H605" s="6"/>
      <c r="I605" s="6"/>
      <c r="J605" s="6"/>
      <c r="K605" s="6"/>
      <c r="L605" s="6"/>
      <c r="M605" s="6"/>
      <c r="N605" s="6"/>
      <c r="O605" s="6"/>
      <c r="P605" s="6"/>
      <c r="Q605" s="6"/>
      <c r="R605" s="6"/>
      <c r="S605" s="6"/>
      <c r="T605" s="6"/>
      <c r="U605" s="6"/>
      <c r="V605" s="6"/>
      <c r="W605" s="6"/>
      <c r="X605" s="6"/>
      <c r="Y605" s="6"/>
      <c r="Z605" s="6"/>
      <c r="AA605" s="6"/>
      <c r="AB605" s="6"/>
      <c r="AC605" s="6"/>
      <c r="AD605" s="6"/>
      <c r="AE605" s="6"/>
    </row>
    <row r="606" spans="1:31" x14ac:dyDescent="0.35">
      <c r="A606" s="6">
        <v>606</v>
      </c>
      <c r="B606" s="6" t="s">
        <v>7</v>
      </c>
      <c r="C606" s="10" t="s">
        <v>17</v>
      </c>
      <c r="D606" s="9" t="s">
        <v>1737</v>
      </c>
      <c r="E606" s="7">
        <f t="shared" si="16"/>
        <v>0</v>
      </c>
      <c r="F606" s="7">
        <f>-1*ROUND(1/6*(I606*IF(_xlfn.XLOOKUP(H606,'02效果表'!D:D,'02效果表'!E:E)&lt;0, _xlfn.XLOOKUP(H606,'02效果表'!D:D,'02效果表'!E:E), 0) +
K606*IF(_xlfn.XLOOKUP(J606,'02效果表'!D:D,'02效果表'!E:E)&lt;0, _xlfn.XLOOKUP(J606,'02效果表'!D:D,'02效果表'!E:E), 0) +
M606*IF(_xlfn.XLOOKUP(L606,'02效果表'!D:D,'02效果表'!E:E)&lt;0, _xlfn.XLOOKUP(L606,'02效果表'!D:D,'02效果表'!E:E), 0) +
O606*IF(_xlfn.XLOOKUP(N606,'02效果表'!D:D,'02效果表'!E:E)&lt;0, _xlfn.XLOOKUP(N606,'02效果表'!D:D,'02效果表'!E:E), 0) +
Q606*IF(_xlfn.XLOOKUP(P606,'02效果表'!D:D,'02效果表'!E:E)&lt;0, _xlfn.XLOOKUP(P606,'02效果表'!D:D,'02效果表'!E:E), 0) +
S606*IF(_xlfn.XLOOKUP(R606,'02效果表'!D:D,'02效果表'!E:E)&lt;0, _xlfn.XLOOKUP(R606,'02效果表'!D:D,'02效果表'!E:E), 0) +
U606*IF(_xlfn.XLOOKUP(T606,'02效果表'!D:D,'02效果表'!E:E)&lt;0, _xlfn.XLOOKUP(T606,'02效果表'!D:D,'02效果表'!E:E), 0) +
W606*IF(_xlfn.XLOOKUP(V606,'02效果表'!D:D,'02效果表'!E:E)&lt;0, _xlfn.XLOOKUP(V606,'02效果表'!D:D,'02效果表'!E:E), 0) +
Y606*IF(_xlfn.XLOOKUP(X606,'02效果表'!D:D,'02效果表'!E:E)&lt;0, _xlfn.XLOOKUP(X606,'02效果表'!D:D,'02效果表'!E:E), 0) +
AA606*IF(_xlfn.XLOOKUP(Z606,'02效果表'!D:D,'02效果表'!E:E)&lt;0, _xlfn.XLOOKUP(Z606,'02效果表'!D:D,'02效果表'!E:E), 0) +
AC606*IF(_xlfn.XLOOKUP(AB606,'02效果表'!D:D,'02效果表'!E:E)&lt;0, _xlfn.XLOOKUP(AB606,'02效果表'!D:D,'02效果表'!E:E), 0) +
AE606*IF(_xlfn.XLOOKUP(AD606,'02效果表'!D:D,'02效果表'!E:E)&lt;0, _xlfn.XLOOKUP(AD606,'02效果表'!D:D,'02效果表'!E:E), 0)), 1)</f>
        <v>0</v>
      </c>
      <c r="G606" s="7">
        <f>ROUND(1/6*(I606*MAX(_xlfn.XLOOKUP(H606,'02效果表'!D:D,'02效果表'!E:E),0)+K606*MAX(_xlfn.XLOOKUP(J606,'02效果表'!D:D,'02效果表'!E:E),0)+M606*MAX(_xlfn.XLOOKUP(L606,'02效果表'!D:D,'02效果表'!E:E),0)+O606*MAX(_xlfn.XLOOKUP(N606,'02效果表'!D:D,'02效果表'!E:E),0)+Q606*MAX(_xlfn.XLOOKUP(P606,'02效果表'!D:D,'02效果表'!E:E),0)+S606*MAX(_xlfn.XLOOKUP(R606,'02效果表'!D:D,'02效果表'!E:E),0)+U606*MAX(_xlfn.XLOOKUP(T606,'02效果表'!D:D,'02效果表'!E:E),0)+W606*MAX(_xlfn.XLOOKUP(V606,'02效果表'!D:D,'02效果表'!E:E),0)+Y606*MAX(_xlfn.XLOOKUP(X606,'02效果表'!D:D,'02效果表'!E:E),0)+AA606*MAX(_xlfn.XLOOKUP(Z606,'02效果表'!D:D,'02效果表'!E:E),0)+AC606*MAX(_xlfn.XLOOKUP(AB606,'02效果表'!D:D,'02效果表'!E:E),0)+AE606*MAX(_xlfn.XLOOKUP(AD606,'02效果表'!D:D,'02效果表'!E:E),0)),1)</f>
        <v>0</v>
      </c>
      <c r="H606" s="6"/>
      <c r="I606" s="6"/>
      <c r="J606" s="6"/>
      <c r="K606" s="6"/>
      <c r="L606" s="6"/>
      <c r="M606" s="6"/>
      <c r="N606" s="6"/>
      <c r="O606" s="6"/>
      <c r="P606" s="6"/>
      <c r="Q606" s="6"/>
      <c r="R606" s="6"/>
      <c r="S606" s="6"/>
      <c r="T606" s="6"/>
      <c r="U606" s="6"/>
      <c r="V606" s="6"/>
      <c r="W606" s="6"/>
      <c r="X606" s="6"/>
      <c r="Y606" s="6"/>
      <c r="Z606" s="6"/>
      <c r="AA606" s="6"/>
      <c r="AB606" s="6"/>
      <c r="AC606" s="6"/>
      <c r="AD606" s="6"/>
      <c r="AE606" s="6"/>
    </row>
    <row r="607" spans="1:31" x14ac:dyDescent="0.35">
      <c r="A607" s="6">
        <v>607</v>
      </c>
      <c r="B607" s="6" t="s">
        <v>7</v>
      </c>
      <c r="C607" s="10" t="s">
        <v>17</v>
      </c>
      <c r="D607" s="9" t="s">
        <v>1738</v>
      </c>
      <c r="E607" s="7">
        <f t="shared" si="16"/>
        <v>0</v>
      </c>
      <c r="F607" s="7">
        <f>-1*ROUND(1/6*(I607*IF(_xlfn.XLOOKUP(H607,'02效果表'!D:D,'02效果表'!E:E)&lt;0, _xlfn.XLOOKUP(H607,'02效果表'!D:D,'02效果表'!E:E), 0) +
K607*IF(_xlfn.XLOOKUP(J607,'02效果表'!D:D,'02效果表'!E:E)&lt;0, _xlfn.XLOOKUP(J607,'02效果表'!D:D,'02效果表'!E:E), 0) +
M607*IF(_xlfn.XLOOKUP(L607,'02效果表'!D:D,'02效果表'!E:E)&lt;0, _xlfn.XLOOKUP(L607,'02效果表'!D:D,'02效果表'!E:E), 0) +
O607*IF(_xlfn.XLOOKUP(N607,'02效果表'!D:D,'02效果表'!E:E)&lt;0, _xlfn.XLOOKUP(N607,'02效果表'!D:D,'02效果表'!E:E), 0) +
Q607*IF(_xlfn.XLOOKUP(P607,'02效果表'!D:D,'02效果表'!E:E)&lt;0, _xlfn.XLOOKUP(P607,'02效果表'!D:D,'02效果表'!E:E), 0) +
S607*IF(_xlfn.XLOOKUP(R607,'02效果表'!D:D,'02效果表'!E:E)&lt;0, _xlfn.XLOOKUP(R607,'02效果表'!D:D,'02效果表'!E:E), 0) +
U607*IF(_xlfn.XLOOKUP(T607,'02效果表'!D:D,'02效果表'!E:E)&lt;0, _xlfn.XLOOKUP(T607,'02效果表'!D:D,'02效果表'!E:E), 0) +
W607*IF(_xlfn.XLOOKUP(V607,'02效果表'!D:D,'02效果表'!E:E)&lt;0, _xlfn.XLOOKUP(V607,'02效果表'!D:D,'02效果表'!E:E), 0) +
Y607*IF(_xlfn.XLOOKUP(X607,'02效果表'!D:D,'02效果表'!E:E)&lt;0, _xlfn.XLOOKUP(X607,'02效果表'!D:D,'02效果表'!E:E), 0) +
AA607*IF(_xlfn.XLOOKUP(Z607,'02效果表'!D:D,'02效果表'!E:E)&lt;0, _xlfn.XLOOKUP(Z607,'02效果表'!D:D,'02效果表'!E:E), 0) +
AC607*IF(_xlfn.XLOOKUP(AB607,'02效果表'!D:D,'02效果表'!E:E)&lt;0, _xlfn.XLOOKUP(AB607,'02效果表'!D:D,'02效果表'!E:E), 0) +
AE607*IF(_xlfn.XLOOKUP(AD607,'02效果表'!D:D,'02效果表'!E:E)&lt;0, _xlfn.XLOOKUP(AD607,'02效果表'!D:D,'02效果表'!E:E), 0)), 1)</f>
        <v>0</v>
      </c>
      <c r="G607" s="7">
        <f>ROUND(1/6*(I607*MAX(_xlfn.XLOOKUP(H607,'02效果表'!D:D,'02效果表'!E:E),0)+K607*MAX(_xlfn.XLOOKUP(J607,'02效果表'!D:D,'02效果表'!E:E),0)+M607*MAX(_xlfn.XLOOKUP(L607,'02效果表'!D:D,'02效果表'!E:E),0)+O607*MAX(_xlfn.XLOOKUP(N607,'02效果表'!D:D,'02效果表'!E:E),0)+Q607*MAX(_xlfn.XLOOKUP(P607,'02效果表'!D:D,'02效果表'!E:E),0)+S607*MAX(_xlfn.XLOOKUP(R607,'02效果表'!D:D,'02效果表'!E:E),0)+U607*MAX(_xlfn.XLOOKUP(T607,'02效果表'!D:D,'02效果表'!E:E),0)+W607*MAX(_xlfn.XLOOKUP(V607,'02效果表'!D:D,'02效果表'!E:E),0)+Y607*MAX(_xlfn.XLOOKUP(X607,'02效果表'!D:D,'02效果表'!E:E),0)+AA607*MAX(_xlfn.XLOOKUP(Z607,'02效果表'!D:D,'02效果表'!E:E),0)+AC607*MAX(_xlfn.XLOOKUP(AB607,'02效果表'!D:D,'02效果表'!E:E),0)+AE607*MAX(_xlfn.XLOOKUP(AD607,'02效果表'!D:D,'02效果表'!E:E),0)),1)</f>
        <v>0</v>
      </c>
      <c r="H607" s="6"/>
      <c r="I607" s="6"/>
      <c r="J607" s="6"/>
      <c r="K607" s="6"/>
      <c r="L607" s="6"/>
      <c r="M607" s="6"/>
      <c r="N607" s="6"/>
      <c r="O607" s="6"/>
      <c r="P607" s="6"/>
      <c r="Q607" s="6"/>
      <c r="R607" s="6"/>
      <c r="S607" s="6"/>
      <c r="T607" s="6"/>
      <c r="U607" s="6"/>
      <c r="V607" s="6"/>
      <c r="W607" s="6"/>
      <c r="X607" s="6"/>
      <c r="Y607" s="6"/>
      <c r="Z607" s="6"/>
      <c r="AA607" s="6"/>
      <c r="AB607" s="6"/>
      <c r="AC607" s="6"/>
      <c r="AD607" s="6"/>
      <c r="AE607" s="6"/>
    </row>
    <row r="608" spans="1:31" x14ac:dyDescent="0.35">
      <c r="A608" s="6">
        <v>608</v>
      </c>
      <c r="B608" s="6" t="s">
        <v>7</v>
      </c>
      <c r="C608" s="10" t="s">
        <v>17</v>
      </c>
      <c r="D608" s="9" t="s">
        <v>1739</v>
      </c>
      <c r="E608" s="7">
        <f t="shared" si="16"/>
        <v>0</v>
      </c>
      <c r="F608" s="7">
        <f>-1*ROUND(1/6*(I608*IF(_xlfn.XLOOKUP(H608,'02效果表'!D:D,'02效果表'!E:E)&lt;0, _xlfn.XLOOKUP(H608,'02效果表'!D:D,'02效果表'!E:E), 0) +
K608*IF(_xlfn.XLOOKUP(J608,'02效果表'!D:D,'02效果表'!E:E)&lt;0, _xlfn.XLOOKUP(J608,'02效果表'!D:D,'02效果表'!E:E), 0) +
M608*IF(_xlfn.XLOOKUP(L608,'02效果表'!D:D,'02效果表'!E:E)&lt;0, _xlfn.XLOOKUP(L608,'02效果表'!D:D,'02效果表'!E:E), 0) +
O608*IF(_xlfn.XLOOKUP(N608,'02效果表'!D:D,'02效果表'!E:E)&lt;0, _xlfn.XLOOKUP(N608,'02效果表'!D:D,'02效果表'!E:E), 0) +
Q608*IF(_xlfn.XLOOKUP(P608,'02效果表'!D:D,'02效果表'!E:E)&lt;0, _xlfn.XLOOKUP(P608,'02效果表'!D:D,'02效果表'!E:E), 0) +
S608*IF(_xlfn.XLOOKUP(R608,'02效果表'!D:D,'02效果表'!E:E)&lt;0, _xlfn.XLOOKUP(R608,'02效果表'!D:D,'02效果表'!E:E), 0) +
U608*IF(_xlfn.XLOOKUP(T608,'02效果表'!D:D,'02效果表'!E:E)&lt;0, _xlfn.XLOOKUP(T608,'02效果表'!D:D,'02效果表'!E:E), 0) +
W608*IF(_xlfn.XLOOKUP(V608,'02效果表'!D:D,'02效果表'!E:E)&lt;0, _xlfn.XLOOKUP(V608,'02效果表'!D:D,'02效果表'!E:E), 0) +
Y608*IF(_xlfn.XLOOKUP(X608,'02效果表'!D:D,'02效果表'!E:E)&lt;0, _xlfn.XLOOKUP(X608,'02效果表'!D:D,'02效果表'!E:E), 0) +
AA608*IF(_xlfn.XLOOKUP(Z608,'02效果表'!D:D,'02效果表'!E:E)&lt;0, _xlfn.XLOOKUP(Z608,'02效果表'!D:D,'02效果表'!E:E), 0) +
AC608*IF(_xlfn.XLOOKUP(AB608,'02效果表'!D:D,'02效果表'!E:E)&lt;0, _xlfn.XLOOKUP(AB608,'02效果表'!D:D,'02效果表'!E:E), 0) +
AE608*IF(_xlfn.XLOOKUP(AD608,'02效果表'!D:D,'02效果表'!E:E)&lt;0, _xlfn.XLOOKUP(AD608,'02效果表'!D:D,'02效果表'!E:E), 0)), 1)</f>
        <v>0</v>
      </c>
      <c r="G608" s="7">
        <f>ROUND(1/6*(I608*MAX(_xlfn.XLOOKUP(H608,'02效果表'!D:D,'02效果表'!E:E),0)+K608*MAX(_xlfn.XLOOKUP(J608,'02效果表'!D:D,'02效果表'!E:E),0)+M608*MAX(_xlfn.XLOOKUP(L608,'02效果表'!D:D,'02效果表'!E:E),0)+O608*MAX(_xlfn.XLOOKUP(N608,'02效果表'!D:D,'02效果表'!E:E),0)+Q608*MAX(_xlfn.XLOOKUP(P608,'02效果表'!D:D,'02效果表'!E:E),0)+S608*MAX(_xlfn.XLOOKUP(R608,'02效果表'!D:D,'02效果表'!E:E),0)+U608*MAX(_xlfn.XLOOKUP(T608,'02效果表'!D:D,'02效果表'!E:E),0)+W608*MAX(_xlfn.XLOOKUP(V608,'02效果表'!D:D,'02效果表'!E:E),0)+Y608*MAX(_xlfn.XLOOKUP(X608,'02效果表'!D:D,'02效果表'!E:E),0)+AA608*MAX(_xlfn.XLOOKUP(Z608,'02效果表'!D:D,'02效果表'!E:E),0)+AC608*MAX(_xlfn.XLOOKUP(AB608,'02效果表'!D:D,'02效果表'!E:E),0)+AE608*MAX(_xlfn.XLOOKUP(AD608,'02效果表'!D:D,'02效果表'!E:E),0)),1)</f>
        <v>0</v>
      </c>
      <c r="H608" s="6"/>
      <c r="I608" s="6"/>
      <c r="J608" s="6"/>
      <c r="K608" s="6"/>
      <c r="L608" s="6"/>
      <c r="M608" s="6"/>
      <c r="N608" s="6"/>
      <c r="O608" s="6"/>
      <c r="P608" s="6"/>
      <c r="Q608" s="6"/>
      <c r="R608" s="6"/>
      <c r="S608" s="6"/>
      <c r="T608" s="6"/>
      <c r="U608" s="6"/>
      <c r="V608" s="6"/>
      <c r="W608" s="6"/>
      <c r="X608" s="6"/>
      <c r="Y608" s="6"/>
      <c r="Z608" s="6"/>
      <c r="AA608" s="6"/>
      <c r="AB608" s="6"/>
      <c r="AC608" s="6"/>
      <c r="AD608" s="6"/>
      <c r="AE608" s="6"/>
    </row>
    <row r="609" spans="1:31" x14ac:dyDescent="0.35">
      <c r="A609" s="6">
        <v>609</v>
      </c>
      <c r="B609" s="6" t="s">
        <v>7</v>
      </c>
      <c r="C609" s="10" t="s">
        <v>17</v>
      </c>
      <c r="D609" s="9" t="s">
        <v>1740</v>
      </c>
      <c r="E609" s="7">
        <f t="shared" si="16"/>
        <v>0</v>
      </c>
      <c r="F609" s="7">
        <f>-1*ROUND(1/6*(I609*IF(_xlfn.XLOOKUP(H609,'02效果表'!D:D,'02效果表'!E:E)&lt;0, _xlfn.XLOOKUP(H609,'02效果表'!D:D,'02效果表'!E:E), 0) +
K609*IF(_xlfn.XLOOKUP(J609,'02效果表'!D:D,'02效果表'!E:E)&lt;0, _xlfn.XLOOKUP(J609,'02效果表'!D:D,'02效果表'!E:E), 0) +
M609*IF(_xlfn.XLOOKUP(L609,'02效果表'!D:D,'02效果表'!E:E)&lt;0, _xlfn.XLOOKUP(L609,'02效果表'!D:D,'02效果表'!E:E), 0) +
O609*IF(_xlfn.XLOOKUP(N609,'02效果表'!D:D,'02效果表'!E:E)&lt;0, _xlfn.XLOOKUP(N609,'02效果表'!D:D,'02效果表'!E:E), 0) +
Q609*IF(_xlfn.XLOOKUP(P609,'02效果表'!D:D,'02效果表'!E:E)&lt;0, _xlfn.XLOOKUP(P609,'02效果表'!D:D,'02效果表'!E:E), 0) +
S609*IF(_xlfn.XLOOKUP(R609,'02效果表'!D:D,'02效果表'!E:E)&lt;0, _xlfn.XLOOKUP(R609,'02效果表'!D:D,'02效果表'!E:E), 0) +
U609*IF(_xlfn.XLOOKUP(T609,'02效果表'!D:D,'02效果表'!E:E)&lt;0, _xlfn.XLOOKUP(T609,'02效果表'!D:D,'02效果表'!E:E), 0) +
W609*IF(_xlfn.XLOOKUP(V609,'02效果表'!D:D,'02效果表'!E:E)&lt;0, _xlfn.XLOOKUP(V609,'02效果表'!D:D,'02效果表'!E:E), 0) +
Y609*IF(_xlfn.XLOOKUP(X609,'02效果表'!D:D,'02效果表'!E:E)&lt;0, _xlfn.XLOOKUP(X609,'02效果表'!D:D,'02效果表'!E:E), 0) +
AA609*IF(_xlfn.XLOOKUP(Z609,'02效果表'!D:D,'02效果表'!E:E)&lt;0, _xlfn.XLOOKUP(Z609,'02效果表'!D:D,'02效果表'!E:E), 0) +
AC609*IF(_xlfn.XLOOKUP(AB609,'02效果表'!D:D,'02效果表'!E:E)&lt;0, _xlfn.XLOOKUP(AB609,'02效果表'!D:D,'02效果表'!E:E), 0) +
AE609*IF(_xlfn.XLOOKUP(AD609,'02效果表'!D:D,'02效果表'!E:E)&lt;0, _xlfn.XLOOKUP(AD609,'02效果表'!D:D,'02效果表'!E:E), 0)), 1)</f>
        <v>0</v>
      </c>
      <c r="G609" s="7">
        <f>ROUND(1/6*(I609*MAX(_xlfn.XLOOKUP(H609,'02效果表'!D:D,'02效果表'!E:E),0)+K609*MAX(_xlfn.XLOOKUP(J609,'02效果表'!D:D,'02效果表'!E:E),0)+M609*MAX(_xlfn.XLOOKUP(L609,'02效果表'!D:D,'02效果表'!E:E),0)+O609*MAX(_xlfn.XLOOKUP(N609,'02效果表'!D:D,'02效果表'!E:E),0)+Q609*MAX(_xlfn.XLOOKUP(P609,'02效果表'!D:D,'02效果表'!E:E),0)+S609*MAX(_xlfn.XLOOKUP(R609,'02效果表'!D:D,'02效果表'!E:E),0)+U609*MAX(_xlfn.XLOOKUP(T609,'02效果表'!D:D,'02效果表'!E:E),0)+W609*MAX(_xlfn.XLOOKUP(V609,'02效果表'!D:D,'02效果表'!E:E),0)+Y609*MAX(_xlfn.XLOOKUP(X609,'02效果表'!D:D,'02效果表'!E:E),0)+AA609*MAX(_xlfn.XLOOKUP(Z609,'02效果表'!D:D,'02效果表'!E:E),0)+AC609*MAX(_xlfn.XLOOKUP(AB609,'02效果表'!D:D,'02效果表'!E:E),0)+AE609*MAX(_xlfn.XLOOKUP(AD609,'02效果表'!D:D,'02效果表'!E:E),0)),1)</f>
        <v>0</v>
      </c>
      <c r="H609" s="6"/>
      <c r="I609" s="6"/>
      <c r="J609" s="6"/>
      <c r="K609" s="6"/>
      <c r="L609" s="6"/>
      <c r="M609" s="6"/>
      <c r="N609" s="6"/>
      <c r="O609" s="6"/>
      <c r="P609" s="6"/>
      <c r="Q609" s="6"/>
      <c r="R609" s="6"/>
      <c r="S609" s="6"/>
      <c r="T609" s="6"/>
      <c r="U609" s="6"/>
      <c r="V609" s="6"/>
      <c r="W609" s="6"/>
      <c r="X609" s="6"/>
      <c r="Y609" s="6"/>
      <c r="Z609" s="6"/>
      <c r="AA609" s="6"/>
      <c r="AB609" s="6"/>
      <c r="AC609" s="6"/>
      <c r="AD609" s="6"/>
      <c r="AE609" s="6"/>
    </row>
    <row r="610" spans="1:31" x14ac:dyDescent="0.35">
      <c r="A610" s="6">
        <v>610</v>
      </c>
      <c r="B610" s="6" t="s">
        <v>7</v>
      </c>
      <c r="C610" s="10" t="s">
        <v>17</v>
      </c>
      <c r="D610" s="9" t="s">
        <v>1741</v>
      </c>
      <c r="E610" s="7">
        <f t="shared" si="16"/>
        <v>0</v>
      </c>
      <c r="F610" s="7">
        <f>-1*ROUND(1/6*(I610*IF(_xlfn.XLOOKUP(H610,'02效果表'!D:D,'02效果表'!E:E)&lt;0, _xlfn.XLOOKUP(H610,'02效果表'!D:D,'02效果表'!E:E), 0) +
K610*IF(_xlfn.XLOOKUP(J610,'02效果表'!D:D,'02效果表'!E:E)&lt;0, _xlfn.XLOOKUP(J610,'02效果表'!D:D,'02效果表'!E:E), 0) +
M610*IF(_xlfn.XLOOKUP(L610,'02效果表'!D:D,'02效果表'!E:E)&lt;0, _xlfn.XLOOKUP(L610,'02效果表'!D:D,'02效果表'!E:E), 0) +
O610*IF(_xlfn.XLOOKUP(N610,'02效果表'!D:D,'02效果表'!E:E)&lt;0, _xlfn.XLOOKUP(N610,'02效果表'!D:D,'02效果表'!E:E), 0) +
Q610*IF(_xlfn.XLOOKUP(P610,'02效果表'!D:D,'02效果表'!E:E)&lt;0, _xlfn.XLOOKUP(P610,'02效果表'!D:D,'02效果表'!E:E), 0) +
S610*IF(_xlfn.XLOOKUP(R610,'02效果表'!D:D,'02效果表'!E:E)&lt;0, _xlfn.XLOOKUP(R610,'02效果表'!D:D,'02效果表'!E:E), 0) +
U610*IF(_xlfn.XLOOKUP(T610,'02效果表'!D:D,'02效果表'!E:E)&lt;0, _xlfn.XLOOKUP(T610,'02效果表'!D:D,'02效果表'!E:E), 0) +
W610*IF(_xlfn.XLOOKUP(V610,'02效果表'!D:D,'02效果表'!E:E)&lt;0, _xlfn.XLOOKUP(V610,'02效果表'!D:D,'02效果表'!E:E), 0) +
Y610*IF(_xlfn.XLOOKUP(X610,'02效果表'!D:D,'02效果表'!E:E)&lt;0, _xlfn.XLOOKUP(X610,'02效果表'!D:D,'02效果表'!E:E), 0) +
AA610*IF(_xlfn.XLOOKUP(Z610,'02效果表'!D:D,'02效果表'!E:E)&lt;0, _xlfn.XLOOKUP(Z610,'02效果表'!D:D,'02效果表'!E:E), 0) +
AC610*IF(_xlfn.XLOOKUP(AB610,'02效果表'!D:D,'02效果表'!E:E)&lt;0, _xlfn.XLOOKUP(AB610,'02效果表'!D:D,'02效果表'!E:E), 0) +
AE610*IF(_xlfn.XLOOKUP(AD610,'02效果表'!D:D,'02效果表'!E:E)&lt;0, _xlfn.XLOOKUP(AD610,'02效果表'!D:D,'02效果表'!E:E), 0)), 1)</f>
        <v>0</v>
      </c>
      <c r="G610" s="7">
        <f>ROUND(1/6*(I610*MAX(_xlfn.XLOOKUP(H610,'02效果表'!D:D,'02效果表'!E:E),0)+K610*MAX(_xlfn.XLOOKUP(J610,'02效果表'!D:D,'02效果表'!E:E),0)+M610*MAX(_xlfn.XLOOKUP(L610,'02效果表'!D:D,'02效果表'!E:E),0)+O610*MAX(_xlfn.XLOOKUP(N610,'02效果表'!D:D,'02效果表'!E:E),0)+Q610*MAX(_xlfn.XLOOKUP(P610,'02效果表'!D:D,'02效果表'!E:E),0)+S610*MAX(_xlfn.XLOOKUP(R610,'02效果表'!D:D,'02效果表'!E:E),0)+U610*MAX(_xlfn.XLOOKUP(T610,'02效果表'!D:D,'02效果表'!E:E),0)+W610*MAX(_xlfn.XLOOKUP(V610,'02效果表'!D:D,'02效果表'!E:E),0)+Y610*MAX(_xlfn.XLOOKUP(X610,'02效果表'!D:D,'02效果表'!E:E),0)+AA610*MAX(_xlfn.XLOOKUP(Z610,'02效果表'!D:D,'02效果表'!E:E),0)+AC610*MAX(_xlfn.XLOOKUP(AB610,'02效果表'!D:D,'02效果表'!E:E),0)+AE610*MAX(_xlfn.XLOOKUP(AD610,'02效果表'!D:D,'02效果表'!E:E),0)),1)</f>
        <v>0</v>
      </c>
      <c r="H610" s="6"/>
      <c r="I610" s="6"/>
      <c r="J610" s="6"/>
      <c r="K610" s="6"/>
      <c r="L610" s="6"/>
      <c r="M610" s="6"/>
      <c r="N610" s="6"/>
      <c r="O610" s="6"/>
      <c r="P610" s="6"/>
      <c r="Q610" s="6"/>
      <c r="R610" s="6"/>
      <c r="S610" s="6"/>
      <c r="T610" s="6"/>
      <c r="U610" s="6"/>
      <c r="V610" s="6"/>
      <c r="W610" s="6"/>
      <c r="X610" s="6"/>
      <c r="Y610" s="6"/>
      <c r="Z610" s="6"/>
      <c r="AA610" s="6"/>
      <c r="AB610" s="6"/>
      <c r="AC610" s="6"/>
      <c r="AD610" s="6"/>
      <c r="AE610" s="6"/>
    </row>
    <row r="611" spans="1:31" x14ac:dyDescent="0.35">
      <c r="A611" s="6">
        <v>611</v>
      </c>
      <c r="B611" s="6" t="s">
        <v>7</v>
      </c>
      <c r="C611" s="10" t="s">
        <v>17</v>
      </c>
      <c r="D611" s="9" t="s">
        <v>1742</v>
      </c>
      <c r="E611" s="7">
        <f t="shared" si="16"/>
        <v>0</v>
      </c>
      <c r="F611" s="7">
        <f>-1*ROUND(1/6*(I611*IF(_xlfn.XLOOKUP(H611,'02效果表'!D:D,'02效果表'!E:E)&lt;0, _xlfn.XLOOKUP(H611,'02效果表'!D:D,'02效果表'!E:E), 0) +
K611*IF(_xlfn.XLOOKUP(J611,'02效果表'!D:D,'02效果表'!E:E)&lt;0, _xlfn.XLOOKUP(J611,'02效果表'!D:D,'02效果表'!E:E), 0) +
M611*IF(_xlfn.XLOOKUP(L611,'02效果表'!D:D,'02效果表'!E:E)&lt;0, _xlfn.XLOOKUP(L611,'02效果表'!D:D,'02效果表'!E:E), 0) +
O611*IF(_xlfn.XLOOKUP(N611,'02效果表'!D:D,'02效果表'!E:E)&lt;0, _xlfn.XLOOKUP(N611,'02效果表'!D:D,'02效果表'!E:E), 0) +
Q611*IF(_xlfn.XLOOKUP(P611,'02效果表'!D:D,'02效果表'!E:E)&lt;0, _xlfn.XLOOKUP(P611,'02效果表'!D:D,'02效果表'!E:E), 0) +
S611*IF(_xlfn.XLOOKUP(R611,'02效果表'!D:D,'02效果表'!E:E)&lt;0, _xlfn.XLOOKUP(R611,'02效果表'!D:D,'02效果表'!E:E), 0) +
U611*IF(_xlfn.XLOOKUP(T611,'02效果表'!D:D,'02效果表'!E:E)&lt;0, _xlfn.XLOOKUP(T611,'02效果表'!D:D,'02效果表'!E:E), 0) +
W611*IF(_xlfn.XLOOKUP(V611,'02效果表'!D:D,'02效果表'!E:E)&lt;0, _xlfn.XLOOKUP(V611,'02效果表'!D:D,'02效果表'!E:E), 0) +
Y611*IF(_xlfn.XLOOKUP(X611,'02效果表'!D:D,'02效果表'!E:E)&lt;0, _xlfn.XLOOKUP(X611,'02效果表'!D:D,'02效果表'!E:E), 0) +
AA611*IF(_xlfn.XLOOKUP(Z611,'02效果表'!D:D,'02效果表'!E:E)&lt;0, _xlfn.XLOOKUP(Z611,'02效果表'!D:D,'02效果表'!E:E), 0) +
AC611*IF(_xlfn.XLOOKUP(AB611,'02效果表'!D:D,'02效果表'!E:E)&lt;0, _xlfn.XLOOKUP(AB611,'02效果表'!D:D,'02效果表'!E:E), 0) +
AE611*IF(_xlfn.XLOOKUP(AD611,'02效果表'!D:D,'02效果表'!E:E)&lt;0, _xlfn.XLOOKUP(AD611,'02效果表'!D:D,'02效果表'!E:E), 0)), 1)</f>
        <v>0</v>
      </c>
      <c r="G611" s="7">
        <f>ROUND(1/6*(I611*MAX(_xlfn.XLOOKUP(H611,'02效果表'!D:D,'02效果表'!E:E),0)+K611*MAX(_xlfn.XLOOKUP(J611,'02效果表'!D:D,'02效果表'!E:E),0)+M611*MAX(_xlfn.XLOOKUP(L611,'02效果表'!D:D,'02效果表'!E:E),0)+O611*MAX(_xlfn.XLOOKUP(N611,'02效果表'!D:D,'02效果表'!E:E),0)+Q611*MAX(_xlfn.XLOOKUP(P611,'02效果表'!D:D,'02效果表'!E:E),0)+S611*MAX(_xlfn.XLOOKUP(R611,'02效果表'!D:D,'02效果表'!E:E),0)+U611*MAX(_xlfn.XLOOKUP(T611,'02效果表'!D:D,'02效果表'!E:E),0)+W611*MAX(_xlfn.XLOOKUP(V611,'02效果表'!D:D,'02效果表'!E:E),0)+Y611*MAX(_xlfn.XLOOKUP(X611,'02效果表'!D:D,'02效果表'!E:E),0)+AA611*MAX(_xlfn.XLOOKUP(Z611,'02效果表'!D:D,'02效果表'!E:E),0)+AC611*MAX(_xlfn.XLOOKUP(AB611,'02效果表'!D:D,'02效果表'!E:E),0)+AE611*MAX(_xlfn.XLOOKUP(AD611,'02效果表'!D:D,'02效果表'!E:E),0)),1)</f>
        <v>0</v>
      </c>
      <c r="H611" s="6"/>
      <c r="I611" s="6"/>
      <c r="J611" s="6"/>
      <c r="K611" s="6"/>
      <c r="L611" s="6"/>
      <c r="M611" s="6"/>
      <c r="N611" s="6"/>
      <c r="O611" s="6"/>
      <c r="P611" s="6"/>
      <c r="Q611" s="6"/>
      <c r="R611" s="6"/>
      <c r="S611" s="6"/>
      <c r="T611" s="6"/>
      <c r="U611" s="6"/>
      <c r="V611" s="6"/>
      <c r="W611" s="6"/>
      <c r="X611" s="6"/>
      <c r="Y611" s="6"/>
      <c r="Z611" s="6"/>
      <c r="AA611" s="6"/>
      <c r="AB611" s="6"/>
      <c r="AC611" s="6"/>
      <c r="AD611" s="6"/>
      <c r="AE611" s="6"/>
    </row>
    <row r="612" spans="1:31" x14ac:dyDescent="0.35">
      <c r="A612" s="6">
        <v>612</v>
      </c>
      <c r="B612" s="6" t="s">
        <v>7</v>
      </c>
      <c r="C612" s="10" t="s">
        <v>17</v>
      </c>
      <c r="D612" s="9" t="s">
        <v>1743</v>
      </c>
      <c r="E612" s="7">
        <f t="shared" si="16"/>
        <v>0</v>
      </c>
      <c r="F612" s="7">
        <f>-1*ROUND(1/6*(I612*IF(_xlfn.XLOOKUP(H612,'02效果表'!D:D,'02效果表'!E:E)&lt;0, _xlfn.XLOOKUP(H612,'02效果表'!D:D,'02效果表'!E:E), 0) +
K612*IF(_xlfn.XLOOKUP(J612,'02效果表'!D:D,'02效果表'!E:E)&lt;0, _xlfn.XLOOKUP(J612,'02效果表'!D:D,'02效果表'!E:E), 0) +
M612*IF(_xlfn.XLOOKUP(L612,'02效果表'!D:D,'02效果表'!E:E)&lt;0, _xlfn.XLOOKUP(L612,'02效果表'!D:D,'02效果表'!E:E), 0) +
O612*IF(_xlfn.XLOOKUP(N612,'02效果表'!D:D,'02效果表'!E:E)&lt;0, _xlfn.XLOOKUP(N612,'02效果表'!D:D,'02效果表'!E:E), 0) +
Q612*IF(_xlfn.XLOOKUP(P612,'02效果表'!D:D,'02效果表'!E:E)&lt;0, _xlfn.XLOOKUP(P612,'02效果表'!D:D,'02效果表'!E:E), 0) +
S612*IF(_xlfn.XLOOKUP(R612,'02效果表'!D:D,'02效果表'!E:E)&lt;0, _xlfn.XLOOKUP(R612,'02效果表'!D:D,'02效果表'!E:E), 0) +
U612*IF(_xlfn.XLOOKUP(T612,'02效果表'!D:D,'02效果表'!E:E)&lt;0, _xlfn.XLOOKUP(T612,'02效果表'!D:D,'02效果表'!E:E), 0) +
W612*IF(_xlfn.XLOOKUP(V612,'02效果表'!D:D,'02效果表'!E:E)&lt;0, _xlfn.XLOOKUP(V612,'02效果表'!D:D,'02效果表'!E:E), 0) +
Y612*IF(_xlfn.XLOOKUP(X612,'02效果表'!D:D,'02效果表'!E:E)&lt;0, _xlfn.XLOOKUP(X612,'02效果表'!D:D,'02效果表'!E:E), 0) +
AA612*IF(_xlfn.XLOOKUP(Z612,'02效果表'!D:D,'02效果表'!E:E)&lt;0, _xlfn.XLOOKUP(Z612,'02效果表'!D:D,'02效果表'!E:E), 0) +
AC612*IF(_xlfn.XLOOKUP(AB612,'02效果表'!D:D,'02效果表'!E:E)&lt;0, _xlfn.XLOOKUP(AB612,'02效果表'!D:D,'02效果表'!E:E), 0) +
AE612*IF(_xlfn.XLOOKUP(AD612,'02效果表'!D:D,'02效果表'!E:E)&lt;0, _xlfn.XLOOKUP(AD612,'02效果表'!D:D,'02效果表'!E:E), 0)), 1)</f>
        <v>0</v>
      </c>
      <c r="G612" s="7">
        <f>ROUND(1/6*(I612*MAX(_xlfn.XLOOKUP(H612,'02效果表'!D:D,'02效果表'!E:E),0)+K612*MAX(_xlfn.XLOOKUP(J612,'02效果表'!D:D,'02效果表'!E:E),0)+M612*MAX(_xlfn.XLOOKUP(L612,'02效果表'!D:D,'02效果表'!E:E),0)+O612*MAX(_xlfn.XLOOKUP(N612,'02效果表'!D:D,'02效果表'!E:E),0)+Q612*MAX(_xlfn.XLOOKUP(P612,'02效果表'!D:D,'02效果表'!E:E),0)+S612*MAX(_xlfn.XLOOKUP(R612,'02效果表'!D:D,'02效果表'!E:E),0)+U612*MAX(_xlfn.XLOOKUP(T612,'02效果表'!D:D,'02效果表'!E:E),0)+W612*MAX(_xlfn.XLOOKUP(V612,'02效果表'!D:D,'02效果表'!E:E),0)+Y612*MAX(_xlfn.XLOOKUP(X612,'02效果表'!D:D,'02效果表'!E:E),0)+AA612*MAX(_xlfn.XLOOKUP(Z612,'02效果表'!D:D,'02效果表'!E:E),0)+AC612*MAX(_xlfn.XLOOKUP(AB612,'02效果表'!D:D,'02效果表'!E:E),0)+AE612*MAX(_xlfn.XLOOKUP(AD612,'02效果表'!D:D,'02效果表'!E:E),0)),1)</f>
        <v>0</v>
      </c>
      <c r="H612" s="6"/>
      <c r="I612" s="6"/>
      <c r="J612" s="6"/>
      <c r="K612" s="6"/>
      <c r="L612" s="6"/>
      <c r="M612" s="6"/>
      <c r="N612" s="6"/>
      <c r="O612" s="6"/>
      <c r="P612" s="6"/>
      <c r="Q612" s="6"/>
      <c r="R612" s="6"/>
      <c r="S612" s="6"/>
      <c r="T612" s="6"/>
      <c r="U612" s="6"/>
      <c r="V612" s="6"/>
      <c r="W612" s="6"/>
      <c r="X612" s="6"/>
      <c r="Y612" s="6"/>
      <c r="Z612" s="6"/>
      <c r="AA612" s="6"/>
      <c r="AB612" s="6"/>
      <c r="AC612" s="6"/>
      <c r="AD612" s="6"/>
      <c r="AE612" s="6"/>
    </row>
    <row r="613" spans="1:31" x14ac:dyDescent="0.35">
      <c r="A613" s="6">
        <v>613</v>
      </c>
      <c r="B613" s="6" t="s">
        <v>7</v>
      </c>
      <c r="C613" s="10" t="s">
        <v>17</v>
      </c>
      <c r="D613" s="9" t="s">
        <v>1744</v>
      </c>
      <c r="E613" s="7">
        <f t="shared" si="16"/>
        <v>0</v>
      </c>
      <c r="F613" s="7">
        <f>-1*ROUND(1/6*(I613*IF(_xlfn.XLOOKUP(H613,'02效果表'!D:D,'02效果表'!E:E)&lt;0, _xlfn.XLOOKUP(H613,'02效果表'!D:D,'02效果表'!E:E), 0) +
K613*IF(_xlfn.XLOOKUP(J613,'02效果表'!D:D,'02效果表'!E:E)&lt;0, _xlfn.XLOOKUP(J613,'02效果表'!D:D,'02效果表'!E:E), 0) +
M613*IF(_xlfn.XLOOKUP(L613,'02效果表'!D:D,'02效果表'!E:E)&lt;0, _xlfn.XLOOKUP(L613,'02效果表'!D:D,'02效果表'!E:E), 0) +
O613*IF(_xlfn.XLOOKUP(N613,'02效果表'!D:D,'02效果表'!E:E)&lt;0, _xlfn.XLOOKUP(N613,'02效果表'!D:D,'02效果表'!E:E), 0) +
Q613*IF(_xlfn.XLOOKUP(P613,'02效果表'!D:D,'02效果表'!E:E)&lt;0, _xlfn.XLOOKUP(P613,'02效果表'!D:D,'02效果表'!E:E), 0) +
S613*IF(_xlfn.XLOOKUP(R613,'02效果表'!D:D,'02效果表'!E:E)&lt;0, _xlfn.XLOOKUP(R613,'02效果表'!D:D,'02效果表'!E:E), 0) +
U613*IF(_xlfn.XLOOKUP(T613,'02效果表'!D:D,'02效果表'!E:E)&lt;0, _xlfn.XLOOKUP(T613,'02效果表'!D:D,'02效果表'!E:E), 0) +
W613*IF(_xlfn.XLOOKUP(V613,'02效果表'!D:D,'02效果表'!E:E)&lt;0, _xlfn.XLOOKUP(V613,'02效果表'!D:D,'02效果表'!E:E), 0) +
Y613*IF(_xlfn.XLOOKUP(X613,'02效果表'!D:D,'02效果表'!E:E)&lt;0, _xlfn.XLOOKUP(X613,'02效果表'!D:D,'02效果表'!E:E), 0) +
AA613*IF(_xlfn.XLOOKUP(Z613,'02效果表'!D:D,'02效果表'!E:E)&lt;0, _xlfn.XLOOKUP(Z613,'02效果表'!D:D,'02效果表'!E:E), 0) +
AC613*IF(_xlfn.XLOOKUP(AB613,'02效果表'!D:D,'02效果表'!E:E)&lt;0, _xlfn.XLOOKUP(AB613,'02效果表'!D:D,'02效果表'!E:E), 0) +
AE613*IF(_xlfn.XLOOKUP(AD613,'02效果表'!D:D,'02效果表'!E:E)&lt;0, _xlfn.XLOOKUP(AD613,'02效果表'!D:D,'02效果表'!E:E), 0)), 1)</f>
        <v>0</v>
      </c>
      <c r="G613" s="7">
        <f>ROUND(1/6*(I613*MAX(_xlfn.XLOOKUP(H613,'02效果表'!D:D,'02效果表'!E:E),0)+K613*MAX(_xlfn.XLOOKUP(J613,'02效果表'!D:D,'02效果表'!E:E),0)+M613*MAX(_xlfn.XLOOKUP(L613,'02效果表'!D:D,'02效果表'!E:E),0)+O613*MAX(_xlfn.XLOOKUP(N613,'02效果表'!D:D,'02效果表'!E:E),0)+Q613*MAX(_xlfn.XLOOKUP(P613,'02效果表'!D:D,'02效果表'!E:E),0)+S613*MAX(_xlfn.XLOOKUP(R613,'02效果表'!D:D,'02效果表'!E:E),0)+U613*MAX(_xlfn.XLOOKUP(T613,'02效果表'!D:D,'02效果表'!E:E),0)+W613*MAX(_xlfn.XLOOKUP(V613,'02效果表'!D:D,'02效果表'!E:E),0)+Y613*MAX(_xlfn.XLOOKUP(X613,'02效果表'!D:D,'02效果表'!E:E),0)+AA613*MAX(_xlfn.XLOOKUP(Z613,'02效果表'!D:D,'02效果表'!E:E),0)+AC613*MAX(_xlfn.XLOOKUP(AB613,'02效果表'!D:D,'02效果表'!E:E),0)+AE613*MAX(_xlfn.XLOOKUP(AD613,'02效果表'!D:D,'02效果表'!E:E),0)),1)</f>
        <v>0</v>
      </c>
      <c r="H613" s="6"/>
      <c r="I613" s="6"/>
      <c r="J613" s="6"/>
      <c r="K613" s="6"/>
      <c r="L613" s="6"/>
      <c r="M613" s="6"/>
      <c r="N613" s="6"/>
      <c r="O613" s="6"/>
      <c r="P613" s="6"/>
      <c r="Q613" s="6"/>
      <c r="R613" s="6"/>
      <c r="S613" s="6"/>
      <c r="T613" s="6"/>
      <c r="U613" s="6"/>
      <c r="V613" s="6"/>
      <c r="W613" s="6"/>
      <c r="X613" s="6"/>
      <c r="Y613" s="6"/>
      <c r="Z613" s="6"/>
      <c r="AA613" s="6"/>
      <c r="AB613" s="6"/>
      <c r="AC613" s="6"/>
      <c r="AD613" s="6"/>
      <c r="AE613" s="6"/>
    </row>
    <row r="614" spans="1:31" x14ac:dyDescent="0.35">
      <c r="A614" s="6">
        <v>614</v>
      </c>
      <c r="B614" s="6" t="s">
        <v>7</v>
      </c>
      <c r="C614" s="10" t="s">
        <v>17</v>
      </c>
      <c r="D614" s="9" t="s">
        <v>1745</v>
      </c>
      <c r="E614" s="7">
        <f t="shared" si="16"/>
        <v>0</v>
      </c>
      <c r="F614" s="7">
        <f>-1*ROUND(1/6*(I614*IF(_xlfn.XLOOKUP(H614,'02效果表'!D:D,'02效果表'!E:E)&lt;0, _xlfn.XLOOKUP(H614,'02效果表'!D:D,'02效果表'!E:E), 0) +
K614*IF(_xlfn.XLOOKUP(J614,'02效果表'!D:D,'02效果表'!E:E)&lt;0, _xlfn.XLOOKUP(J614,'02效果表'!D:D,'02效果表'!E:E), 0) +
M614*IF(_xlfn.XLOOKUP(L614,'02效果表'!D:D,'02效果表'!E:E)&lt;0, _xlfn.XLOOKUP(L614,'02效果表'!D:D,'02效果表'!E:E), 0) +
O614*IF(_xlfn.XLOOKUP(N614,'02效果表'!D:D,'02效果表'!E:E)&lt;0, _xlfn.XLOOKUP(N614,'02效果表'!D:D,'02效果表'!E:E), 0) +
Q614*IF(_xlfn.XLOOKUP(P614,'02效果表'!D:D,'02效果表'!E:E)&lt;0, _xlfn.XLOOKUP(P614,'02效果表'!D:D,'02效果表'!E:E), 0) +
S614*IF(_xlfn.XLOOKUP(R614,'02效果表'!D:D,'02效果表'!E:E)&lt;0, _xlfn.XLOOKUP(R614,'02效果表'!D:D,'02效果表'!E:E), 0) +
U614*IF(_xlfn.XLOOKUP(T614,'02效果表'!D:D,'02效果表'!E:E)&lt;0, _xlfn.XLOOKUP(T614,'02效果表'!D:D,'02效果表'!E:E), 0) +
W614*IF(_xlfn.XLOOKUP(V614,'02效果表'!D:D,'02效果表'!E:E)&lt;0, _xlfn.XLOOKUP(V614,'02效果表'!D:D,'02效果表'!E:E), 0) +
Y614*IF(_xlfn.XLOOKUP(X614,'02效果表'!D:D,'02效果表'!E:E)&lt;0, _xlfn.XLOOKUP(X614,'02效果表'!D:D,'02效果表'!E:E), 0) +
AA614*IF(_xlfn.XLOOKUP(Z614,'02效果表'!D:D,'02效果表'!E:E)&lt;0, _xlfn.XLOOKUP(Z614,'02效果表'!D:D,'02效果表'!E:E), 0) +
AC614*IF(_xlfn.XLOOKUP(AB614,'02效果表'!D:D,'02效果表'!E:E)&lt;0, _xlfn.XLOOKUP(AB614,'02效果表'!D:D,'02效果表'!E:E), 0) +
AE614*IF(_xlfn.XLOOKUP(AD614,'02效果表'!D:D,'02效果表'!E:E)&lt;0, _xlfn.XLOOKUP(AD614,'02效果表'!D:D,'02效果表'!E:E), 0)), 1)</f>
        <v>0</v>
      </c>
      <c r="G614" s="7">
        <f>ROUND(1/6*(I614*MAX(_xlfn.XLOOKUP(H614,'02效果表'!D:D,'02效果表'!E:E),0)+K614*MAX(_xlfn.XLOOKUP(J614,'02效果表'!D:D,'02效果表'!E:E),0)+M614*MAX(_xlfn.XLOOKUP(L614,'02效果表'!D:D,'02效果表'!E:E),0)+O614*MAX(_xlfn.XLOOKUP(N614,'02效果表'!D:D,'02效果表'!E:E),0)+Q614*MAX(_xlfn.XLOOKUP(P614,'02效果表'!D:D,'02效果表'!E:E),0)+S614*MAX(_xlfn.XLOOKUP(R614,'02效果表'!D:D,'02效果表'!E:E),0)+U614*MAX(_xlfn.XLOOKUP(T614,'02效果表'!D:D,'02效果表'!E:E),0)+W614*MAX(_xlfn.XLOOKUP(V614,'02效果表'!D:D,'02效果表'!E:E),0)+Y614*MAX(_xlfn.XLOOKUP(X614,'02效果表'!D:D,'02效果表'!E:E),0)+AA614*MAX(_xlfn.XLOOKUP(Z614,'02效果表'!D:D,'02效果表'!E:E),0)+AC614*MAX(_xlfn.XLOOKUP(AB614,'02效果表'!D:D,'02效果表'!E:E),0)+AE614*MAX(_xlfn.XLOOKUP(AD614,'02效果表'!D:D,'02效果表'!E:E),0)),1)</f>
        <v>0</v>
      </c>
      <c r="H614" s="6"/>
      <c r="I614" s="6"/>
      <c r="J614" s="6"/>
      <c r="K614" s="6"/>
      <c r="L614" s="6"/>
      <c r="M614" s="6"/>
      <c r="N614" s="6"/>
      <c r="O614" s="6"/>
      <c r="P614" s="6"/>
      <c r="Q614" s="6"/>
      <c r="R614" s="6"/>
      <c r="S614" s="6"/>
      <c r="T614" s="6"/>
      <c r="U614" s="6"/>
      <c r="V614" s="6"/>
      <c r="W614" s="6"/>
      <c r="X614" s="6"/>
      <c r="Y614" s="6"/>
      <c r="Z614" s="6"/>
      <c r="AA614" s="6"/>
      <c r="AB614" s="6"/>
      <c r="AC614" s="6"/>
      <c r="AD614" s="6"/>
      <c r="AE614" s="6"/>
    </row>
    <row r="615" spans="1:31" x14ac:dyDescent="0.35">
      <c r="A615" s="6">
        <v>615</v>
      </c>
      <c r="B615" s="6" t="s">
        <v>7</v>
      </c>
      <c r="C615" s="10" t="s">
        <v>17</v>
      </c>
      <c r="D615" s="9" t="s">
        <v>1746</v>
      </c>
      <c r="E615" s="7">
        <f t="shared" si="16"/>
        <v>0</v>
      </c>
      <c r="F615" s="7">
        <f>-1*ROUND(1/6*(I615*IF(_xlfn.XLOOKUP(H615,'02效果表'!D:D,'02效果表'!E:E)&lt;0, _xlfn.XLOOKUP(H615,'02效果表'!D:D,'02效果表'!E:E), 0) +
K615*IF(_xlfn.XLOOKUP(J615,'02效果表'!D:D,'02效果表'!E:E)&lt;0, _xlfn.XLOOKUP(J615,'02效果表'!D:D,'02效果表'!E:E), 0) +
M615*IF(_xlfn.XLOOKUP(L615,'02效果表'!D:D,'02效果表'!E:E)&lt;0, _xlfn.XLOOKUP(L615,'02效果表'!D:D,'02效果表'!E:E), 0) +
O615*IF(_xlfn.XLOOKUP(N615,'02效果表'!D:D,'02效果表'!E:E)&lt;0, _xlfn.XLOOKUP(N615,'02效果表'!D:D,'02效果表'!E:E), 0) +
Q615*IF(_xlfn.XLOOKUP(P615,'02效果表'!D:D,'02效果表'!E:E)&lt;0, _xlfn.XLOOKUP(P615,'02效果表'!D:D,'02效果表'!E:E), 0) +
S615*IF(_xlfn.XLOOKUP(R615,'02效果表'!D:D,'02效果表'!E:E)&lt;0, _xlfn.XLOOKUP(R615,'02效果表'!D:D,'02效果表'!E:E), 0) +
U615*IF(_xlfn.XLOOKUP(T615,'02效果表'!D:D,'02效果表'!E:E)&lt;0, _xlfn.XLOOKUP(T615,'02效果表'!D:D,'02效果表'!E:E), 0) +
W615*IF(_xlfn.XLOOKUP(V615,'02效果表'!D:D,'02效果表'!E:E)&lt;0, _xlfn.XLOOKUP(V615,'02效果表'!D:D,'02效果表'!E:E), 0) +
Y615*IF(_xlfn.XLOOKUP(X615,'02效果表'!D:D,'02效果表'!E:E)&lt;0, _xlfn.XLOOKUP(X615,'02效果表'!D:D,'02效果表'!E:E), 0) +
AA615*IF(_xlfn.XLOOKUP(Z615,'02效果表'!D:D,'02效果表'!E:E)&lt;0, _xlfn.XLOOKUP(Z615,'02效果表'!D:D,'02效果表'!E:E), 0) +
AC615*IF(_xlfn.XLOOKUP(AB615,'02效果表'!D:D,'02效果表'!E:E)&lt;0, _xlfn.XLOOKUP(AB615,'02效果表'!D:D,'02效果表'!E:E), 0) +
AE615*IF(_xlfn.XLOOKUP(AD615,'02效果表'!D:D,'02效果表'!E:E)&lt;0, _xlfn.XLOOKUP(AD615,'02效果表'!D:D,'02效果表'!E:E), 0)), 1)</f>
        <v>0</v>
      </c>
      <c r="G615" s="7">
        <f>ROUND(1/6*(I615*MAX(_xlfn.XLOOKUP(H615,'02效果表'!D:D,'02效果表'!E:E),0)+K615*MAX(_xlfn.XLOOKUP(J615,'02效果表'!D:D,'02效果表'!E:E),0)+M615*MAX(_xlfn.XLOOKUP(L615,'02效果表'!D:D,'02效果表'!E:E),0)+O615*MAX(_xlfn.XLOOKUP(N615,'02效果表'!D:D,'02效果表'!E:E),0)+Q615*MAX(_xlfn.XLOOKUP(P615,'02效果表'!D:D,'02效果表'!E:E),0)+S615*MAX(_xlfn.XLOOKUP(R615,'02效果表'!D:D,'02效果表'!E:E),0)+U615*MAX(_xlfn.XLOOKUP(T615,'02效果表'!D:D,'02效果表'!E:E),0)+W615*MAX(_xlfn.XLOOKUP(V615,'02效果表'!D:D,'02效果表'!E:E),0)+Y615*MAX(_xlfn.XLOOKUP(X615,'02效果表'!D:D,'02效果表'!E:E),0)+AA615*MAX(_xlfn.XLOOKUP(Z615,'02效果表'!D:D,'02效果表'!E:E),0)+AC615*MAX(_xlfn.XLOOKUP(AB615,'02效果表'!D:D,'02效果表'!E:E),0)+AE615*MAX(_xlfn.XLOOKUP(AD615,'02效果表'!D:D,'02效果表'!E:E),0)),1)</f>
        <v>0</v>
      </c>
      <c r="H615" s="6"/>
      <c r="I615" s="6"/>
      <c r="J615" s="6"/>
      <c r="K615" s="6"/>
      <c r="L615" s="6"/>
      <c r="M615" s="6"/>
      <c r="N615" s="6"/>
      <c r="O615" s="6"/>
      <c r="P615" s="6"/>
      <c r="Q615" s="6"/>
      <c r="R615" s="6"/>
      <c r="S615" s="6"/>
      <c r="T615" s="6"/>
      <c r="U615" s="6"/>
      <c r="V615" s="6"/>
      <c r="W615" s="6"/>
      <c r="X615" s="6"/>
      <c r="Y615" s="6"/>
      <c r="Z615" s="6"/>
      <c r="AA615" s="6"/>
      <c r="AB615" s="6"/>
      <c r="AC615" s="6"/>
      <c r="AD615" s="6"/>
      <c r="AE615" s="6"/>
    </row>
    <row r="616" spans="1:31" x14ac:dyDescent="0.35">
      <c r="A616" s="6">
        <v>616</v>
      </c>
      <c r="B616" s="6" t="s">
        <v>7</v>
      </c>
      <c r="C616" s="10" t="s">
        <v>17</v>
      </c>
      <c r="D616" s="9" t="s">
        <v>1747</v>
      </c>
      <c r="E616" s="7">
        <f t="shared" si="16"/>
        <v>0</v>
      </c>
      <c r="F616" s="7">
        <f>-1*ROUND(1/6*(I616*IF(_xlfn.XLOOKUP(H616,'02效果表'!D:D,'02效果表'!E:E)&lt;0, _xlfn.XLOOKUP(H616,'02效果表'!D:D,'02效果表'!E:E), 0) +
K616*IF(_xlfn.XLOOKUP(J616,'02效果表'!D:D,'02效果表'!E:E)&lt;0, _xlfn.XLOOKUP(J616,'02效果表'!D:D,'02效果表'!E:E), 0) +
M616*IF(_xlfn.XLOOKUP(L616,'02效果表'!D:D,'02效果表'!E:E)&lt;0, _xlfn.XLOOKUP(L616,'02效果表'!D:D,'02效果表'!E:E), 0) +
O616*IF(_xlfn.XLOOKUP(N616,'02效果表'!D:D,'02效果表'!E:E)&lt;0, _xlfn.XLOOKUP(N616,'02效果表'!D:D,'02效果表'!E:E), 0) +
Q616*IF(_xlfn.XLOOKUP(P616,'02效果表'!D:D,'02效果表'!E:E)&lt;0, _xlfn.XLOOKUP(P616,'02效果表'!D:D,'02效果表'!E:E), 0) +
S616*IF(_xlfn.XLOOKUP(R616,'02效果表'!D:D,'02效果表'!E:E)&lt;0, _xlfn.XLOOKUP(R616,'02效果表'!D:D,'02效果表'!E:E), 0) +
U616*IF(_xlfn.XLOOKUP(T616,'02效果表'!D:D,'02效果表'!E:E)&lt;0, _xlfn.XLOOKUP(T616,'02效果表'!D:D,'02效果表'!E:E), 0) +
W616*IF(_xlfn.XLOOKUP(V616,'02效果表'!D:D,'02效果表'!E:E)&lt;0, _xlfn.XLOOKUP(V616,'02效果表'!D:D,'02效果表'!E:E), 0) +
Y616*IF(_xlfn.XLOOKUP(X616,'02效果表'!D:D,'02效果表'!E:E)&lt;0, _xlfn.XLOOKUP(X616,'02效果表'!D:D,'02效果表'!E:E), 0) +
AA616*IF(_xlfn.XLOOKUP(Z616,'02效果表'!D:D,'02效果表'!E:E)&lt;0, _xlfn.XLOOKUP(Z616,'02效果表'!D:D,'02效果表'!E:E), 0) +
AC616*IF(_xlfn.XLOOKUP(AB616,'02效果表'!D:D,'02效果表'!E:E)&lt;0, _xlfn.XLOOKUP(AB616,'02效果表'!D:D,'02效果表'!E:E), 0) +
AE616*IF(_xlfn.XLOOKUP(AD616,'02效果表'!D:D,'02效果表'!E:E)&lt;0, _xlfn.XLOOKUP(AD616,'02效果表'!D:D,'02效果表'!E:E), 0)), 1)</f>
        <v>0</v>
      </c>
      <c r="G616" s="7">
        <f>ROUND(1/6*(I616*MAX(_xlfn.XLOOKUP(H616,'02效果表'!D:D,'02效果表'!E:E),0)+K616*MAX(_xlfn.XLOOKUP(J616,'02效果表'!D:D,'02效果表'!E:E),0)+M616*MAX(_xlfn.XLOOKUP(L616,'02效果表'!D:D,'02效果表'!E:E),0)+O616*MAX(_xlfn.XLOOKUP(N616,'02效果表'!D:D,'02效果表'!E:E),0)+Q616*MAX(_xlfn.XLOOKUP(P616,'02效果表'!D:D,'02效果表'!E:E),0)+S616*MAX(_xlfn.XLOOKUP(R616,'02效果表'!D:D,'02效果表'!E:E),0)+U616*MAX(_xlfn.XLOOKUP(T616,'02效果表'!D:D,'02效果表'!E:E),0)+W616*MAX(_xlfn.XLOOKUP(V616,'02效果表'!D:D,'02效果表'!E:E),0)+Y616*MAX(_xlfn.XLOOKUP(X616,'02效果表'!D:D,'02效果表'!E:E),0)+AA616*MAX(_xlfn.XLOOKUP(Z616,'02效果表'!D:D,'02效果表'!E:E),0)+AC616*MAX(_xlfn.XLOOKUP(AB616,'02效果表'!D:D,'02效果表'!E:E),0)+AE616*MAX(_xlfn.XLOOKUP(AD616,'02效果表'!D:D,'02效果表'!E:E),0)),1)</f>
        <v>0</v>
      </c>
      <c r="H616" s="6"/>
      <c r="I616" s="6"/>
      <c r="J616" s="6"/>
      <c r="K616" s="6"/>
      <c r="L616" s="6"/>
      <c r="M616" s="6"/>
      <c r="N616" s="6"/>
      <c r="O616" s="6"/>
      <c r="P616" s="6"/>
      <c r="Q616" s="6"/>
      <c r="R616" s="6"/>
      <c r="S616" s="6"/>
      <c r="T616" s="6"/>
      <c r="U616" s="6"/>
      <c r="V616" s="6"/>
      <c r="W616" s="6"/>
      <c r="X616" s="6"/>
      <c r="Y616" s="6"/>
      <c r="Z616" s="6"/>
      <c r="AA616" s="6"/>
      <c r="AB616" s="6"/>
      <c r="AC616" s="6"/>
      <c r="AD616" s="6"/>
      <c r="AE616" s="6"/>
    </row>
    <row r="617" spans="1:31" x14ac:dyDescent="0.35">
      <c r="A617" s="6">
        <v>617</v>
      </c>
      <c r="B617" s="6" t="s">
        <v>7</v>
      </c>
      <c r="C617" s="10" t="s">
        <v>17</v>
      </c>
      <c r="D617" s="9" t="s">
        <v>1748</v>
      </c>
      <c r="E617" s="7">
        <f t="shared" si="16"/>
        <v>0</v>
      </c>
      <c r="F617" s="7">
        <f>-1*ROUND(1/6*(I617*IF(_xlfn.XLOOKUP(H617,'02效果表'!D:D,'02效果表'!E:E)&lt;0, _xlfn.XLOOKUP(H617,'02效果表'!D:D,'02效果表'!E:E), 0) +
K617*IF(_xlfn.XLOOKUP(J617,'02效果表'!D:D,'02效果表'!E:E)&lt;0, _xlfn.XLOOKUP(J617,'02效果表'!D:D,'02效果表'!E:E), 0) +
M617*IF(_xlfn.XLOOKUP(L617,'02效果表'!D:D,'02效果表'!E:E)&lt;0, _xlfn.XLOOKUP(L617,'02效果表'!D:D,'02效果表'!E:E), 0) +
O617*IF(_xlfn.XLOOKUP(N617,'02效果表'!D:D,'02效果表'!E:E)&lt;0, _xlfn.XLOOKUP(N617,'02效果表'!D:D,'02效果表'!E:E), 0) +
Q617*IF(_xlfn.XLOOKUP(P617,'02效果表'!D:D,'02效果表'!E:E)&lt;0, _xlfn.XLOOKUP(P617,'02效果表'!D:D,'02效果表'!E:E), 0) +
S617*IF(_xlfn.XLOOKUP(R617,'02效果表'!D:D,'02效果表'!E:E)&lt;0, _xlfn.XLOOKUP(R617,'02效果表'!D:D,'02效果表'!E:E), 0) +
U617*IF(_xlfn.XLOOKUP(T617,'02效果表'!D:D,'02效果表'!E:E)&lt;0, _xlfn.XLOOKUP(T617,'02效果表'!D:D,'02效果表'!E:E), 0) +
W617*IF(_xlfn.XLOOKUP(V617,'02效果表'!D:D,'02效果表'!E:E)&lt;0, _xlfn.XLOOKUP(V617,'02效果表'!D:D,'02效果表'!E:E), 0) +
Y617*IF(_xlfn.XLOOKUP(X617,'02效果表'!D:D,'02效果表'!E:E)&lt;0, _xlfn.XLOOKUP(X617,'02效果表'!D:D,'02效果表'!E:E), 0) +
AA617*IF(_xlfn.XLOOKUP(Z617,'02效果表'!D:D,'02效果表'!E:E)&lt;0, _xlfn.XLOOKUP(Z617,'02效果表'!D:D,'02效果表'!E:E), 0) +
AC617*IF(_xlfn.XLOOKUP(AB617,'02效果表'!D:D,'02效果表'!E:E)&lt;0, _xlfn.XLOOKUP(AB617,'02效果表'!D:D,'02效果表'!E:E), 0) +
AE617*IF(_xlfn.XLOOKUP(AD617,'02效果表'!D:D,'02效果表'!E:E)&lt;0, _xlfn.XLOOKUP(AD617,'02效果表'!D:D,'02效果表'!E:E), 0)), 1)</f>
        <v>0</v>
      </c>
      <c r="G617" s="7">
        <f>ROUND(1/6*(I617*MAX(_xlfn.XLOOKUP(H617,'02效果表'!D:D,'02效果表'!E:E),0)+K617*MAX(_xlfn.XLOOKUP(J617,'02效果表'!D:D,'02效果表'!E:E),0)+M617*MAX(_xlfn.XLOOKUP(L617,'02效果表'!D:D,'02效果表'!E:E),0)+O617*MAX(_xlfn.XLOOKUP(N617,'02效果表'!D:D,'02效果表'!E:E),0)+Q617*MAX(_xlfn.XLOOKUP(P617,'02效果表'!D:D,'02效果表'!E:E),0)+S617*MAX(_xlfn.XLOOKUP(R617,'02效果表'!D:D,'02效果表'!E:E),0)+U617*MAX(_xlfn.XLOOKUP(T617,'02效果表'!D:D,'02效果表'!E:E),0)+W617*MAX(_xlfn.XLOOKUP(V617,'02效果表'!D:D,'02效果表'!E:E),0)+Y617*MAX(_xlfn.XLOOKUP(X617,'02效果表'!D:D,'02效果表'!E:E),0)+AA617*MAX(_xlfn.XLOOKUP(Z617,'02效果表'!D:D,'02效果表'!E:E),0)+AC617*MAX(_xlfn.XLOOKUP(AB617,'02效果表'!D:D,'02效果表'!E:E),0)+AE617*MAX(_xlfn.XLOOKUP(AD617,'02效果表'!D:D,'02效果表'!E:E),0)),1)</f>
        <v>0</v>
      </c>
      <c r="H617" s="6"/>
      <c r="I617" s="6"/>
      <c r="J617" s="6"/>
      <c r="K617" s="6"/>
      <c r="L617" s="6"/>
      <c r="M617" s="6"/>
      <c r="N617" s="6"/>
      <c r="O617" s="6"/>
      <c r="P617" s="6"/>
      <c r="Q617" s="6"/>
      <c r="R617" s="6"/>
      <c r="S617" s="6"/>
      <c r="T617" s="6"/>
      <c r="U617" s="6"/>
      <c r="V617" s="6"/>
      <c r="W617" s="6"/>
      <c r="X617" s="6"/>
      <c r="Y617" s="6"/>
      <c r="Z617" s="6"/>
      <c r="AA617" s="6"/>
      <c r="AB617" s="6"/>
      <c r="AC617" s="6"/>
      <c r="AD617" s="6"/>
      <c r="AE617" s="6"/>
    </row>
    <row r="618" spans="1:31" x14ac:dyDescent="0.35">
      <c r="A618" s="6">
        <v>618</v>
      </c>
      <c r="B618" s="6" t="s">
        <v>7</v>
      </c>
      <c r="C618" s="10" t="s">
        <v>17</v>
      </c>
      <c r="D618" s="9" t="s">
        <v>1749</v>
      </c>
      <c r="E618" s="7">
        <f t="shared" si="16"/>
        <v>0</v>
      </c>
      <c r="F618" s="7">
        <f>-1*ROUND(1/6*(I618*IF(_xlfn.XLOOKUP(H618,'02效果表'!D:D,'02效果表'!E:E)&lt;0, _xlfn.XLOOKUP(H618,'02效果表'!D:D,'02效果表'!E:E), 0) +
K618*IF(_xlfn.XLOOKUP(J618,'02效果表'!D:D,'02效果表'!E:E)&lt;0, _xlfn.XLOOKUP(J618,'02效果表'!D:D,'02效果表'!E:E), 0) +
M618*IF(_xlfn.XLOOKUP(L618,'02效果表'!D:D,'02效果表'!E:E)&lt;0, _xlfn.XLOOKUP(L618,'02效果表'!D:D,'02效果表'!E:E), 0) +
O618*IF(_xlfn.XLOOKUP(N618,'02效果表'!D:D,'02效果表'!E:E)&lt;0, _xlfn.XLOOKUP(N618,'02效果表'!D:D,'02效果表'!E:E), 0) +
Q618*IF(_xlfn.XLOOKUP(P618,'02效果表'!D:D,'02效果表'!E:E)&lt;0, _xlfn.XLOOKUP(P618,'02效果表'!D:D,'02效果表'!E:E), 0) +
S618*IF(_xlfn.XLOOKUP(R618,'02效果表'!D:D,'02效果表'!E:E)&lt;0, _xlfn.XLOOKUP(R618,'02效果表'!D:D,'02效果表'!E:E), 0) +
U618*IF(_xlfn.XLOOKUP(T618,'02效果表'!D:D,'02效果表'!E:E)&lt;0, _xlfn.XLOOKUP(T618,'02效果表'!D:D,'02效果表'!E:E), 0) +
W618*IF(_xlfn.XLOOKUP(V618,'02效果表'!D:D,'02效果表'!E:E)&lt;0, _xlfn.XLOOKUP(V618,'02效果表'!D:D,'02效果表'!E:E), 0) +
Y618*IF(_xlfn.XLOOKUP(X618,'02效果表'!D:D,'02效果表'!E:E)&lt;0, _xlfn.XLOOKUP(X618,'02效果表'!D:D,'02效果表'!E:E), 0) +
AA618*IF(_xlfn.XLOOKUP(Z618,'02效果表'!D:D,'02效果表'!E:E)&lt;0, _xlfn.XLOOKUP(Z618,'02效果表'!D:D,'02效果表'!E:E), 0) +
AC618*IF(_xlfn.XLOOKUP(AB618,'02效果表'!D:D,'02效果表'!E:E)&lt;0, _xlfn.XLOOKUP(AB618,'02效果表'!D:D,'02效果表'!E:E), 0) +
AE618*IF(_xlfn.XLOOKUP(AD618,'02效果表'!D:D,'02效果表'!E:E)&lt;0, _xlfn.XLOOKUP(AD618,'02效果表'!D:D,'02效果表'!E:E), 0)), 1)</f>
        <v>0</v>
      </c>
      <c r="G618" s="7">
        <f>ROUND(1/6*(I618*MAX(_xlfn.XLOOKUP(H618,'02效果表'!D:D,'02效果表'!E:E),0)+K618*MAX(_xlfn.XLOOKUP(J618,'02效果表'!D:D,'02效果表'!E:E),0)+M618*MAX(_xlfn.XLOOKUP(L618,'02效果表'!D:D,'02效果表'!E:E),0)+O618*MAX(_xlfn.XLOOKUP(N618,'02效果表'!D:D,'02效果表'!E:E),0)+Q618*MAX(_xlfn.XLOOKUP(P618,'02效果表'!D:D,'02效果表'!E:E),0)+S618*MAX(_xlfn.XLOOKUP(R618,'02效果表'!D:D,'02效果表'!E:E),0)+U618*MAX(_xlfn.XLOOKUP(T618,'02效果表'!D:D,'02效果表'!E:E),0)+W618*MAX(_xlfn.XLOOKUP(V618,'02效果表'!D:D,'02效果表'!E:E),0)+Y618*MAX(_xlfn.XLOOKUP(X618,'02效果表'!D:D,'02效果表'!E:E),0)+AA618*MAX(_xlfn.XLOOKUP(Z618,'02效果表'!D:D,'02效果表'!E:E),0)+AC618*MAX(_xlfn.XLOOKUP(AB618,'02效果表'!D:D,'02效果表'!E:E),0)+AE618*MAX(_xlfn.XLOOKUP(AD618,'02效果表'!D:D,'02效果表'!E:E),0)),1)</f>
        <v>0</v>
      </c>
      <c r="H618" s="6"/>
      <c r="I618" s="6"/>
      <c r="J618" s="6"/>
      <c r="K618" s="6"/>
      <c r="L618" s="6"/>
      <c r="M618" s="6"/>
      <c r="N618" s="6"/>
      <c r="O618" s="6"/>
      <c r="P618" s="6"/>
      <c r="Q618" s="6"/>
      <c r="R618" s="6"/>
      <c r="S618" s="6"/>
      <c r="T618" s="6"/>
      <c r="U618" s="6"/>
      <c r="V618" s="6"/>
      <c r="W618" s="6"/>
      <c r="X618" s="6"/>
      <c r="Y618" s="6"/>
      <c r="Z618" s="6"/>
      <c r="AA618" s="6"/>
      <c r="AB618" s="6"/>
      <c r="AC618" s="6"/>
      <c r="AD618" s="6"/>
      <c r="AE618" s="6"/>
    </row>
    <row r="619" spans="1:31" x14ac:dyDescent="0.35">
      <c r="A619" s="6">
        <v>619</v>
      </c>
      <c r="B619" s="6" t="s">
        <v>7</v>
      </c>
      <c r="C619" s="10" t="s">
        <v>17</v>
      </c>
      <c r="D619" s="9" t="s">
        <v>1750</v>
      </c>
      <c r="E619" s="7">
        <f t="shared" si="16"/>
        <v>0</v>
      </c>
      <c r="F619" s="7">
        <f>-1*ROUND(1/6*(I619*IF(_xlfn.XLOOKUP(H619,'02效果表'!D:D,'02效果表'!E:E)&lt;0, _xlfn.XLOOKUP(H619,'02效果表'!D:D,'02效果表'!E:E), 0) +
K619*IF(_xlfn.XLOOKUP(J619,'02效果表'!D:D,'02效果表'!E:E)&lt;0, _xlfn.XLOOKUP(J619,'02效果表'!D:D,'02效果表'!E:E), 0) +
M619*IF(_xlfn.XLOOKUP(L619,'02效果表'!D:D,'02效果表'!E:E)&lt;0, _xlfn.XLOOKUP(L619,'02效果表'!D:D,'02效果表'!E:E), 0) +
O619*IF(_xlfn.XLOOKUP(N619,'02效果表'!D:D,'02效果表'!E:E)&lt;0, _xlfn.XLOOKUP(N619,'02效果表'!D:D,'02效果表'!E:E), 0) +
Q619*IF(_xlfn.XLOOKUP(P619,'02效果表'!D:D,'02效果表'!E:E)&lt;0, _xlfn.XLOOKUP(P619,'02效果表'!D:D,'02效果表'!E:E), 0) +
S619*IF(_xlfn.XLOOKUP(R619,'02效果表'!D:D,'02效果表'!E:E)&lt;0, _xlfn.XLOOKUP(R619,'02效果表'!D:D,'02效果表'!E:E), 0) +
U619*IF(_xlfn.XLOOKUP(T619,'02效果表'!D:D,'02效果表'!E:E)&lt;0, _xlfn.XLOOKUP(T619,'02效果表'!D:D,'02效果表'!E:E), 0) +
W619*IF(_xlfn.XLOOKUP(V619,'02效果表'!D:D,'02效果表'!E:E)&lt;0, _xlfn.XLOOKUP(V619,'02效果表'!D:D,'02效果表'!E:E), 0) +
Y619*IF(_xlfn.XLOOKUP(X619,'02效果表'!D:D,'02效果表'!E:E)&lt;0, _xlfn.XLOOKUP(X619,'02效果表'!D:D,'02效果表'!E:E), 0) +
AA619*IF(_xlfn.XLOOKUP(Z619,'02效果表'!D:D,'02效果表'!E:E)&lt;0, _xlfn.XLOOKUP(Z619,'02效果表'!D:D,'02效果表'!E:E), 0) +
AC619*IF(_xlfn.XLOOKUP(AB619,'02效果表'!D:D,'02效果表'!E:E)&lt;0, _xlfn.XLOOKUP(AB619,'02效果表'!D:D,'02效果表'!E:E), 0) +
AE619*IF(_xlfn.XLOOKUP(AD619,'02效果表'!D:D,'02效果表'!E:E)&lt;0, _xlfn.XLOOKUP(AD619,'02效果表'!D:D,'02效果表'!E:E), 0)), 1)</f>
        <v>0</v>
      </c>
      <c r="G619" s="7">
        <f>ROUND(1/6*(I619*MAX(_xlfn.XLOOKUP(H619,'02效果表'!D:D,'02效果表'!E:E),0)+K619*MAX(_xlfn.XLOOKUP(J619,'02效果表'!D:D,'02效果表'!E:E),0)+M619*MAX(_xlfn.XLOOKUP(L619,'02效果表'!D:D,'02效果表'!E:E),0)+O619*MAX(_xlfn.XLOOKUP(N619,'02效果表'!D:D,'02效果表'!E:E),0)+Q619*MAX(_xlfn.XLOOKUP(P619,'02效果表'!D:D,'02效果表'!E:E),0)+S619*MAX(_xlfn.XLOOKUP(R619,'02效果表'!D:D,'02效果表'!E:E),0)+U619*MAX(_xlfn.XLOOKUP(T619,'02效果表'!D:D,'02效果表'!E:E),0)+W619*MAX(_xlfn.XLOOKUP(V619,'02效果表'!D:D,'02效果表'!E:E),0)+Y619*MAX(_xlfn.XLOOKUP(X619,'02效果表'!D:D,'02效果表'!E:E),0)+AA619*MAX(_xlfn.XLOOKUP(Z619,'02效果表'!D:D,'02效果表'!E:E),0)+AC619*MAX(_xlfn.XLOOKUP(AB619,'02效果表'!D:D,'02效果表'!E:E),0)+AE619*MAX(_xlfn.XLOOKUP(AD619,'02效果表'!D:D,'02效果表'!E:E),0)),1)</f>
        <v>0</v>
      </c>
      <c r="H619" s="6"/>
      <c r="I619" s="6"/>
      <c r="J619" s="6"/>
      <c r="K619" s="6"/>
      <c r="L619" s="6"/>
      <c r="M619" s="6"/>
      <c r="N619" s="6"/>
      <c r="O619" s="6"/>
      <c r="P619" s="6"/>
      <c r="Q619" s="6"/>
      <c r="R619" s="6"/>
      <c r="S619" s="6"/>
      <c r="T619" s="6"/>
      <c r="U619" s="6"/>
      <c r="V619" s="6"/>
      <c r="W619" s="6"/>
      <c r="X619" s="6"/>
      <c r="Y619" s="6"/>
      <c r="Z619" s="6"/>
      <c r="AA619" s="6"/>
      <c r="AB619" s="6"/>
      <c r="AC619" s="6"/>
      <c r="AD619" s="6"/>
      <c r="AE619" s="6"/>
    </row>
    <row r="620" spans="1:31" x14ac:dyDescent="0.35">
      <c r="A620" s="6">
        <v>620</v>
      </c>
      <c r="B620" s="6" t="s">
        <v>7</v>
      </c>
      <c r="C620" s="10" t="s">
        <v>17</v>
      </c>
      <c r="D620" s="9" t="s">
        <v>1751</v>
      </c>
      <c r="E620" s="7">
        <f t="shared" si="16"/>
        <v>0</v>
      </c>
      <c r="F620" s="7">
        <f>-1*ROUND(1/6*(I620*IF(_xlfn.XLOOKUP(H620,'02效果表'!D:D,'02效果表'!E:E)&lt;0, _xlfn.XLOOKUP(H620,'02效果表'!D:D,'02效果表'!E:E), 0) +
K620*IF(_xlfn.XLOOKUP(J620,'02效果表'!D:D,'02效果表'!E:E)&lt;0, _xlfn.XLOOKUP(J620,'02效果表'!D:D,'02效果表'!E:E), 0) +
M620*IF(_xlfn.XLOOKUP(L620,'02效果表'!D:D,'02效果表'!E:E)&lt;0, _xlfn.XLOOKUP(L620,'02效果表'!D:D,'02效果表'!E:E), 0) +
O620*IF(_xlfn.XLOOKUP(N620,'02效果表'!D:D,'02效果表'!E:E)&lt;0, _xlfn.XLOOKUP(N620,'02效果表'!D:D,'02效果表'!E:E), 0) +
Q620*IF(_xlfn.XLOOKUP(P620,'02效果表'!D:D,'02效果表'!E:E)&lt;0, _xlfn.XLOOKUP(P620,'02效果表'!D:D,'02效果表'!E:E), 0) +
S620*IF(_xlfn.XLOOKUP(R620,'02效果表'!D:D,'02效果表'!E:E)&lt;0, _xlfn.XLOOKUP(R620,'02效果表'!D:D,'02效果表'!E:E), 0) +
U620*IF(_xlfn.XLOOKUP(T620,'02效果表'!D:D,'02效果表'!E:E)&lt;0, _xlfn.XLOOKUP(T620,'02效果表'!D:D,'02效果表'!E:E), 0) +
W620*IF(_xlfn.XLOOKUP(V620,'02效果表'!D:D,'02效果表'!E:E)&lt;0, _xlfn.XLOOKUP(V620,'02效果表'!D:D,'02效果表'!E:E), 0) +
Y620*IF(_xlfn.XLOOKUP(X620,'02效果表'!D:D,'02效果表'!E:E)&lt;0, _xlfn.XLOOKUP(X620,'02效果表'!D:D,'02效果表'!E:E), 0) +
AA620*IF(_xlfn.XLOOKUP(Z620,'02效果表'!D:D,'02效果表'!E:E)&lt;0, _xlfn.XLOOKUP(Z620,'02效果表'!D:D,'02效果表'!E:E), 0) +
AC620*IF(_xlfn.XLOOKUP(AB620,'02效果表'!D:D,'02效果表'!E:E)&lt;0, _xlfn.XLOOKUP(AB620,'02效果表'!D:D,'02效果表'!E:E), 0) +
AE620*IF(_xlfn.XLOOKUP(AD620,'02效果表'!D:D,'02效果表'!E:E)&lt;0, _xlfn.XLOOKUP(AD620,'02效果表'!D:D,'02效果表'!E:E), 0)), 1)</f>
        <v>0</v>
      </c>
      <c r="G620" s="7">
        <f>ROUND(1/6*(I620*MAX(_xlfn.XLOOKUP(H620,'02效果表'!D:D,'02效果表'!E:E),0)+K620*MAX(_xlfn.XLOOKUP(J620,'02效果表'!D:D,'02效果表'!E:E),0)+M620*MAX(_xlfn.XLOOKUP(L620,'02效果表'!D:D,'02效果表'!E:E),0)+O620*MAX(_xlfn.XLOOKUP(N620,'02效果表'!D:D,'02效果表'!E:E),0)+Q620*MAX(_xlfn.XLOOKUP(P620,'02效果表'!D:D,'02效果表'!E:E),0)+S620*MAX(_xlfn.XLOOKUP(R620,'02效果表'!D:D,'02效果表'!E:E),0)+U620*MAX(_xlfn.XLOOKUP(T620,'02效果表'!D:D,'02效果表'!E:E),0)+W620*MAX(_xlfn.XLOOKUP(V620,'02效果表'!D:D,'02效果表'!E:E),0)+Y620*MAX(_xlfn.XLOOKUP(X620,'02效果表'!D:D,'02效果表'!E:E),0)+AA620*MAX(_xlfn.XLOOKUP(Z620,'02效果表'!D:D,'02效果表'!E:E),0)+AC620*MAX(_xlfn.XLOOKUP(AB620,'02效果表'!D:D,'02效果表'!E:E),0)+AE620*MAX(_xlfn.XLOOKUP(AD620,'02效果表'!D:D,'02效果表'!E:E),0)),1)</f>
        <v>0</v>
      </c>
      <c r="H620" s="6"/>
      <c r="I620" s="6"/>
      <c r="J620" s="6"/>
      <c r="K620" s="6"/>
      <c r="L620" s="6"/>
      <c r="M620" s="6"/>
      <c r="N620" s="6"/>
      <c r="O620" s="6"/>
      <c r="P620" s="6"/>
      <c r="Q620" s="6"/>
      <c r="R620" s="6"/>
      <c r="S620" s="6"/>
      <c r="T620" s="6"/>
      <c r="U620" s="6"/>
      <c r="V620" s="6"/>
      <c r="W620" s="6"/>
      <c r="X620" s="6"/>
      <c r="Y620" s="6"/>
      <c r="Z620" s="6"/>
      <c r="AA620" s="6"/>
      <c r="AB620" s="6"/>
      <c r="AC620" s="6"/>
      <c r="AD620" s="6"/>
      <c r="AE620" s="6"/>
    </row>
    <row r="621" spans="1:31" x14ac:dyDescent="0.35">
      <c r="A621" s="6">
        <v>621</v>
      </c>
      <c r="B621" s="6" t="s">
        <v>7</v>
      </c>
      <c r="C621" s="10" t="s">
        <v>17</v>
      </c>
      <c r="D621" s="9" t="s">
        <v>1752</v>
      </c>
      <c r="E621" s="7">
        <f t="shared" si="16"/>
        <v>0</v>
      </c>
      <c r="F621" s="7">
        <f>-1*ROUND(1/6*(I621*IF(_xlfn.XLOOKUP(H621,'02效果表'!D:D,'02效果表'!E:E)&lt;0, _xlfn.XLOOKUP(H621,'02效果表'!D:D,'02效果表'!E:E), 0) +
K621*IF(_xlfn.XLOOKUP(J621,'02效果表'!D:D,'02效果表'!E:E)&lt;0, _xlfn.XLOOKUP(J621,'02效果表'!D:D,'02效果表'!E:E), 0) +
M621*IF(_xlfn.XLOOKUP(L621,'02效果表'!D:D,'02效果表'!E:E)&lt;0, _xlfn.XLOOKUP(L621,'02效果表'!D:D,'02效果表'!E:E), 0) +
O621*IF(_xlfn.XLOOKUP(N621,'02效果表'!D:D,'02效果表'!E:E)&lt;0, _xlfn.XLOOKUP(N621,'02效果表'!D:D,'02效果表'!E:E), 0) +
Q621*IF(_xlfn.XLOOKUP(P621,'02效果表'!D:D,'02效果表'!E:E)&lt;0, _xlfn.XLOOKUP(P621,'02效果表'!D:D,'02效果表'!E:E), 0) +
S621*IF(_xlfn.XLOOKUP(R621,'02效果表'!D:D,'02效果表'!E:E)&lt;0, _xlfn.XLOOKUP(R621,'02效果表'!D:D,'02效果表'!E:E), 0) +
U621*IF(_xlfn.XLOOKUP(T621,'02效果表'!D:D,'02效果表'!E:E)&lt;0, _xlfn.XLOOKUP(T621,'02效果表'!D:D,'02效果表'!E:E), 0) +
W621*IF(_xlfn.XLOOKUP(V621,'02效果表'!D:D,'02效果表'!E:E)&lt;0, _xlfn.XLOOKUP(V621,'02效果表'!D:D,'02效果表'!E:E), 0) +
Y621*IF(_xlfn.XLOOKUP(X621,'02效果表'!D:D,'02效果表'!E:E)&lt;0, _xlfn.XLOOKUP(X621,'02效果表'!D:D,'02效果表'!E:E), 0) +
AA621*IF(_xlfn.XLOOKUP(Z621,'02效果表'!D:D,'02效果表'!E:E)&lt;0, _xlfn.XLOOKUP(Z621,'02效果表'!D:D,'02效果表'!E:E), 0) +
AC621*IF(_xlfn.XLOOKUP(AB621,'02效果表'!D:D,'02效果表'!E:E)&lt;0, _xlfn.XLOOKUP(AB621,'02效果表'!D:D,'02效果表'!E:E), 0) +
AE621*IF(_xlfn.XLOOKUP(AD621,'02效果表'!D:D,'02效果表'!E:E)&lt;0, _xlfn.XLOOKUP(AD621,'02效果表'!D:D,'02效果表'!E:E), 0)), 1)</f>
        <v>0</v>
      </c>
      <c r="G621" s="7">
        <f>ROUND(1/6*(I621*MAX(_xlfn.XLOOKUP(H621,'02效果表'!D:D,'02效果表'!E:E),0)+K621*MAX(_xlfn.XLOOKUP(J621,'02效果表'!D:D,'02效果表'!E:E),0)+M621*MAX(_xlfn.XLOOKUP(L621,'02效果表'!D:D,'02效果表'!E:E),0)+O621*MAX(_xlfn.XLOOKUP(N621,'02效果表'!D:D,'02效果表'!E:E),0)+Q621*MAX(_xlfn.XLOOKUP(P621,'02效果表'!D:D,'02效果表'!E:E),0)+S621*MAX(_xlfn.XLOOKUP(R621,'02效果表'!D:D,'02效果表'!E:E),0)+U621*MAX(_xlfn.XLOOKUP(T621,'02效果表'!D:D,'02效果表'!E:E),0)+W621*MAX(_xlfn.XLOOKUP(V621,'02效果表'!D:D,'02效果表'!E:E),0)+Y621*MAX(_xlfn.XLOOKUP(X621,'02效果表'!D:D,'02效果表'!E:E),0)+AA621*MAX(_xlfn.XLOOKUP(Z621,'02效果表'!D:D,'02效果表'!E:E),0)+AC621*MAX(_xlfn.XLOOKUP(AB621,'02效果表'!D:D,'02效果表'!E:E),0)+AE621*MAX(_xlfn.XLOOKUP(AD621,'02效果表'!D:D,'02效果表'!E:E),0)),1)</f>
        <v>0</v>
      </c>
      <c r="H621" s="6"/>
      <c r="I621" s="6"/>
      <c r="J621" s="6"/>
      <c r="K621" s="6"/>
      <c r="L621" s="6"/>
      <c r="M621" s="6"/>
      <c r="N621" s="6"/>
      <c r="O621" s="6"/>
      <c r="P621" s="6"/>
      <c r="Q621" s="6"/>
      <c r="R621" s="6"/>
      <c r="S621" s="6"/>
      <c r="T621" s="6"/>
      <c r="U621" s="6"/>
      <c r="V621" s="6"/>
      <c r="W621" s="6"/>
      <c r="X621" s="6"/>
      <c r="Y621" s="6"/>
      <c r="Z621" s="6"/>
      <c r="AA621" s="6"/>
      <c r="AB621" s="6"/>
      <c r="AC621" s="6"/>
      <c r="AD621" s="6"/>
      <c r="AE621" s="6"/>
    </row>
    <row r="622" spans="1:31" x14ac:dyDescent="0.35">
      <c r="A622" s="6">
        <v>622</v>
      </c>
      <c r="B622" s="6" t="s">
        <v>7</v>
      </c>
      <c r="C622" s="10" t="s">
        <v>17</v>
      </c>
      <c r="D622" s="9"/>
      <c r="E622" s="7">
        <f t="shared" si="16"/>
        <v>0</v>
      </c>
      <c r="F622" s="7">
        <f>-1*ROUND(1/6*(I622*IF(_xlfn.XLOOKUP(H622,'02效果表'!D:D,'02效果表'!E:E)&lt;0, _xlfn.XLOOKUP(H622,'02效果表'!D:D,'02效果表'!E:E), 0) +
K622*IF(_xlfn.XLOOKUP(J622,'02效果表'!D:D,'02效果表'!E:E)&lt;0, _xlfn.XLOOKUP(J622,'02效果表'!D:D,'02效果表'!E:E), 0) +
M622*IF(_xlfn.XLOOKUP(L622,'02效果表'!D:D,'02效果表'!E:E)&lt;0, _xlfn.XLOOKUP(L622,'02效果表'!D:D,'02效果表'!E:E), 0) +
O622*IF(_xlfn.XLOOKUP(N622,'02效果表'!D:D,'02效果表'!E:E)&lt;0, _xlfn.XLOOKUP(N622,'02效果表'!D:D,'02效果表'!E:E), 0) +
Q622*IF(_xlfn.XLOOKUP(P622,'02效果表'!D:D,'02效果表'!E:E)&lt;0, _xlfn.XLOOKUP(P622,'02效果表'!D:D,'02效果表'!E:E), 0) +
S622*IF(_xlfn.XLOOKUP(R622,'02效果表'!D:D,'02效果表'!E:E)&lt;0, _xlfn.XLOOKUP(R622,'02效果表'!D:D,'02效果表'!E:E), 0) +
U622*IF(_xlfn.XLOOKUP(T622,'02效果表'!D:D,'02效果表'!E:E)&lt;0, _xlfn.XLOOKUP(T622,'02效果表'!D:D,'02效果表'!E:E), 0) +
W622*IF(_xlfn.XLOOKUP(V622,'02效果表'!D:D,'02效果表'!E:E)&lt;0, _xlfn.XLOOKUP(V622,'02效果表'!D:D,'02效果表'!E:E), 0) +
Y622*IF(_xlfn.XLOOKUP(X622,'02效果表'!D:D,'02效果表'!E:E)&lt;0, _xlfn.XLOOKUP(X622,'02效果表'!D:D,'02效果表'!E:E), 0) +
AA622*IF(_xlfn.XLOOKUP(Z622,'02效果表'!D:D,'02效果表'!E:E)&lt;0, _xlfn.XLOOKUP(Z622,'02效果表'!D:D,'02效果表'!E:E), 0) +
AC622*IF(_xlfn.XLOOKUP(AB622,'02效果表'!D:D,'02效果表'!E:E)&lt;0, _xlfn.XLOOKUP(AB622,'02效果表'!D:D,'02效果表'!E:E), 0) +
AE622*IF(_xlfn.XLOOKUP(AD622,'02效果表'!D:D,'02效果表'!E:E)&lt;0, _xlfn.XLOOKUP(AD622,'02效果表'!D:D,'02效果表'!E:E), 0)), 1)</f>
        <v>0</v>
      </c>
      <c r="G622" s="7">
        <f>ROUND(1/6*(I622*MAX(_xlfn.XLOOKUP(H622,'02效果表'!D:D,'02效果表'!E:E),0)+K622*MAX(_xlfn.XLOOKUP(J622,'02效果表'!D:D,'02效果表'!E:E),0)+M622*MAX(_xlfn.XLOOKUP(L622,'02效果表'!D:D,'02效果表'!E:E),0)+O622*MAX(_xlfn.XLOOKUP(N622,'02效果表'!D:D,'02效果表'!E:E),0)+Q622*MAX(_xlfn.XLOOKUP(P622,'02效果表'!D:D,'02效果表'!E:E),0)+S622*MAX(_xlfn.XLOOKUP(R622,'02效果表'!D:D,'02效果表'!E:E),0)+U622*MAX(_xlfn.XLOOKUP(T622,'02效果表'!D:D,'02效果表'!E:E),0)+W622*MAX(_xlfn.XLOOKUP(V622,'02效果表'!D:D,'02效果表'!E:E),0)+Y622*MAX(_xlfn.XLOOKUP(X622,'02效果表'!D:D,'02效果表'!E:E),0)+AA622*MAX(_xlfn.XLOOKUP(Z622,'02效果表'!D:D,'02效果表'!E:E),0)+AC622*MAX(_xlfn.XLOOKUP(AB622,'02效果表'!D:D,'02效果表'!E:E),0)+AE622*MAX(_xlfn.XLOOKUP(AD622,'02效果表'!D:D,'02效果表'!E:E),0)),1)</f>
        <v>0</v>
      </c>
      <c r="H622" s="6"/>
      <c r="I622" s="6"/>
      <c r="J622" s="6"/>
      <c r="K622" s="6"/>
      <c r="L622" s="6"/>
      <c r="M622" s="6"/>
      <c r="N622" s="6"/>
      <c r="O622" s="6"/>
      <c r="P622" s="6"/>
      <c r="Q622" s="6"/>
      <c r="R622" s="6"/>
      <c r="S622" s="6"/>
      <c r="T622" s="6"/>
      <c r="U622" s="6"/>
      <c r="V622" s="6"/>
      <c r="W622" s="6"/>
      <c r="X622" s="6"/>
      <c r="Y622" s="6"/>
      <c r="Z622" s="6"/>
      <c r="AA622" s="6"/>
      <c r="AB622" s="6"/>
      <c r="AC622" s="6"/>
      <c r="AD622" s="6"/>
      <c r="AE622" s="6"/>
    </row>
    <row r="623" spans="1:31" x14ac:dyDescent="0.35">
      <c r="A623" s="6">
        <v>623</v>
      </c>
      <c r="B623" s="6" t="s">
        <v>7</v>
      </c>
      <c r="C623" s="10" t="s">
        <v>17</v>
      </c>
      <c r="D623" s="9"/>
      <c r="E623" s="7">
        <f t="shared" si="16"/>
        <v>0</v>
      </c>
      <c r="F623" s="7">
        <f>-1*ROUND(1/6*(I623*IF(_xlfn.XLOOKUP(H623,'02效果表'!D:D,'02效果表'!E:E)&lt;0, _xlfn.XLOOKUP(H623,'02效果表'!D:D,'02效果表'!E:E), 0) +
K623*IF(_xlfn.XLOOKUP(J623,'02效果表'!D:D,'02效果表'!E:E)&lt;0, _xlfn.XLOOKUP(J623,'02效果表'!D:D,'02效果表'!E:E), 0) +
M623*IF(_xlfn.XLOOKUP(L623,'02效果表'!D:D,'02效果表'!E:E)&lt;0, _xlfn.XLOOKUP(L623,'02效果表'!D:D,'02效果表'!E:E), 0) +
O623*IF(_xlfn.XLOOKUP(N623,'02效果表'!D:D,'02效果表'!E:E)&lt;0, _xlfn.XLOOKUP(N623,'02效果表'!D:D,'02效果表'!E:E), 0) +
Q623*IF(_xlfn.XLOOKUP(P623,'02效果表'!D:D,'02效果表'!E:E)&lt;0, _xlfn.XLOOKUP(P623,'02效果表'!D:D,'02效果表'!E:E), 0) +
S623*IF(_xlfn.XLOOKUP(R623,'02效果表'!D:D,'02效果表'!E:E)&lt;0, _xlfn.XLOOKUP(R623,'02效果表'!D:D,'02效果表'!E:E), 0) +
U623*IF(_xlfn.XLOOKUP(T623,'02效果表'!D:D,'02效果表'!E:E)&lt;0, _xlfn.XLOOKUP(T623,'02效果表'!D:D,'02效果表'!E:E), 0) +
W623*IF(_xlfn.XLOOKUP(V623,'02效果表'!D:D,'02效果表'!E:E)&lt;0, _xlfn.XLOOKUP(V623,'02效果表'!D:D,'02效果表'!E:E), 0) +
Y623*IF(_xlfn.XLOOKUP(X623,'02效果表'!D:D,'02效果表'!E:E)&lt;0, _xlfn.XLOOKUP(X623,'02效果表'!D:D,'02效果表'!E:E), 0) +
AA623*IF(_xlfn.XLOOKUP(Z623,'02效果表'!D:D,'02效果表'!E:E)&lt;0, _xlfn.XLOOKUP(Z623,'02效果表'!D:D,'02效果表'!E:E), 0) +
AC623*IF(_xlfn.XLOOKUP(AB623,'02效果表'!D:D,'02效果表'!E:E)&lt;0, _xlfn.XLOOKUP(AB623,'02效果表'!D:D,'02效果表'!E:E), 0) +
AE623*IF(_xlfn.XLOOKUP(AD623,'02效果表'!D:D,'02效果表'!E:E)&lt;0, _xlfn.XLOOKUP(AD623,'02效果表'!D:D,'02效果表'!E:E), 0)), 1)</f>
        <v>0</v>
      </c>
      <c r="G623" s="7">
        <f>ROUND(1/6*(I623*MAX(_xlfn.XLOOKUP(H623,'02效果表'!D:D,'02效果表'!E:E),0)+K623*MAX(_xlfn.XLOOKUP(J623,'02效果表'!D:D,'02效果表'!E:E),0)+M623*MAX(_xlfn.XLOOKUP(L623,'02效果表'!D:D,'02效果表'!E:E),0)+O623*MAX(_xlfn.XLOOKUP(N623,'02效果表'!D:D,'02效果表'!E:E),0)+Q623*MAX(_xlfn.XLOOKUP(P623,'02效果表'!D:D,'02效果表'!E:E),0)+S623*MAX(_xlfn.XLOOKUP(R623,'02效果表'!D:D,'02效果表'!E:E),0)+U623*MAX(_xlfn.XLOOKUP(T623,'02效果表'!D:D,'02效果表'!E:E),0)+W623*MAX(_xlfn.XLOOKUP(V623,'02效果表'!D:D,'02效果表'!E:E),0)+Y623*MAX(_xlfn.XLOOKUP(X623,'02效果表'!D:D,'02效果表'!E:E),0)+AA623*MAX(_xlfn.XLOOKUP(Z623,'02效果表'!D:D,'02效果表'!E:E),0)+AC623*MAX(_xlfn.XLOOKUP(AB623,'02效果表'!D:D,'02效果表'!E:E),0)+AE623*MAX(_xlfn.XLOOKUP(AD623,'02效果表'!D:D,'02效果表'!E:E),0)),1)</f>
        <v>0</v>
      </c>
      <c r="H623" s="6"/>
      <c r="I623" s="6"/>
      <c r="J623" s="6"/>
      <c r="K623" s="6"/>
      <c r="L623" s="6"/>
      <c r="M623" s="6"/>
      <c r="N623" s="6"/>
      <c r="O623" s="6"/>
      <c r="P623" s="6"/>
      <c r="Q623" s="6"/>
      <c r="R623" s="6"/>
      <c r="S623" s="6"/>
      <c r="T623" s="6"/>
      <c r="U623" s="6"/>
      <c r="V623" s="6"/>
      <c r="W623" s="6"/>
      <c r="X623" s="6"/>
      <c r="Y623" s="6"/>
      <c r="Z623" s="6"/>
      <c r="AA623" s="6"/>
      <c r="AB623" s="6"/>
      <c r="AC623" s="6"/>
      <c r="AD623" s="6"/>
      <c r="AE623" s="6"/>
    </row>
    <row r="624" spans="1:31" x14ac:dyDescent="0.35">
      <c r="A624" s="6">
        <v>624</v>
      </c>
      <c r="B624" s="6" t="s">
        <v>7</v>
      </c>
      <c r="C624" s="10" t="s">
        <v>17</v>
      </c>
      <c r="D624" s="9"/>
      <c r="E624" s="7">
        <f t="shared" si="16"/>
        <v>0</v>
      </c>
      <c r="F624" s="7">
        <f>-1*ROUND(1/6*(I624*IF(_xlfn.XLOOKUP(H624,'02效果表'!D:D,'02效果表'!E:E)&lt;0, _xlfn.XLOOKUP(H624,'02效果表'!D:D,'02效果表'!E:E), 0) +
K624*IF(_xlfn.XLOOKUP(J624,'02效果表'!D:D,'02效果表'!E:E)&lt;0, _xlfn.XLOOKUP(J624,'02效果表'!D:D,'02效果表'!E:E), 0) +
M624*IF(_xlfn.XLOOKUP(L624,'02效果表'!D:D,'02效果表'!E:E)&lt;0, _xlfn.XLOOKUP(L624,'02效果表'!D:D,'02效果表'!E:E), 0) +
O624*IF(_xlfn.XLOOKUP(N624,'02效果表'!D:D,'02效果表'!E:E)&lt;0, _xlfn.XLOOKUP(N624,'02效果表'!D:D,'02效果表'!E:E), 0) +
Q624*IF(_xlfn.XLOOKUP(P624,'02效果表'!D:D,'02效果表'!E:E)&lt;0, _xlfn.XLOOKUP(P624,'02效果表'!D:D,'02效果表'!E:E), 0) +
S624*IF(_xlfn.XLOOKUP(R624,'02效果表'!D:D,'02效果表'!E:E)&lt;0, _xlfn.XLOOKUP(R624,'02效果表'!D:D,'02效果表'!E:E), 0) +
U624*IF(_xlfn.XLOOKUP(T624,'02效果表'!D:D,'02效果表'!E:E)&lt;0, _xlfn.XLOOKUP(T624,'02效果表'!D:D,'02效果表'!E:E), 0) +
W624*IF(_xlfn.XLOOKUP(V624,'02效果表'!D:D,'02效果表'!E:E)&lt;0, _xlfn.XLOOKUP(V624,'02效果表'!D:D,'02效果表'!E:E), 0) +
Y624*IF(_xlfn.XLOOKUP(X624,'02效果表'!D:D,'02效果表'!E:E)&lt;0, _xlfn.XLOOKUP(X624,'02效果表'!D:D,'02效果表'!E:E), 0) +
AA624*IF(_xlfn.XLOOKUP(Z624,'02效果表'!D:D,'02效果表'!E:E)&lt;0, _xlfn.XLOOKUP(Z624,'02效果表'!D:D,'02效果表'!E:E), 0) +
AC624*IF(_xlfn.XLOOKUP(AB624,'02效果表'!D:D,'02效果表'!E:E)&lt;0, _xlfn.XLOOKUP(AB624,'02效果表'!D:D,'02效果表'!E:E), 0) +
AE624*IF(_xlfn.XLOOKUP(AD624,'02效果表'!D:D,'02效果表'!E:E)&lt;0, _xlfn.XLOOKUP(AD624,'02效果表'!D:D,'02效果表'!E:E), 0)), 1)</f>
        <v>0</v>
      </c>
      <c r="G624" s="7">
        <f>ROUND(1/6*(I624*MAX(_xlfn.XLOOKUP(H624,'02效果表'!D:D,'02效果表'!E:E),0)+K624*MAX(_xlfn.XLOOKUP(J624,'02效果表'!D:D,'02效果表'!E:E),0)+M624*MAX(_xlfn.XLOOKUP(L624,'02效果表'!D:D,'02效果表'!E:E),0)+O624*MAX(_xlfn.XLOOKUP(N624,'02效果表'!D:D,'02效果表'!E:E),0)+Q624*MAX(_xlfn.XLOOKUP(P624,'02效果表'!D:D,'02效果表'!E:E),0)+S624*MAX(_xlfn.XLOOKUP(R624,'02效果表'!D:D,'02效果表'!E:E),0)+U624*MAX(_xlfn.XLOOKUP(T624,'02效果表'!D:D,'02效果表'!E:E),0)+W624*MAX(_xlfn.XLOOKUP(V624,'02效果表'!D:D,'02效果表'!E:E),0)+Y624*MAX(_xlfn.XLOOKUP(X624,'02效果表'!D:D,'02效果表'!E:E),0)+AA624*MAX(_xlfn.XLOOKUP(Z624,'02效果表'!D:D,'02效果表'!E:E),0)+AC624*MAX(_xlfn.XLOOKUP(AB624,'02效果表'!D:D,'02效果表'!E:E),0)+AE624*MAX(_xlfn.XLOOKUP(AD624,'02效果表'!D:D,'02效果表'!E:E),0)),1)</f>
        <v>0</v>
      </c>
      <c r="H624" s="6"/>
      <c r="I624" s="6"/>
      <c r="J624" s="6"/>
      <c r="K624" s="6"/>
      <c r="L624" s="6"/>
      <c r="M624" s="6"/>
      <c r="N624" s="6"/>
      <c r="O624" s="6"/>
      <c r="P624" s="6"/>
      <c r="Q624" s="6"/>
      <c r="R624" s="6"/>
      <c r="S624" s="6"/>
      <c r="T624" s="6"/>
      <c r="U624" s="6"/>
      <c r="V624" s="6"/>
      <c r="W624" s="6"/>
      <c r="X624" s="6"/>
      <c r="Y624" s="6"/>
      <c r="Z624" s="6"/>
      <c r="AA624" s="6"/>
      <c r="AB624" s="6"/>
      <c r="AC624" s="6"/>
      <c r="AD624" s="6"/>
      <c r="AE624" s="6"/>
    </row>
    <row r="625" spans="1:31" x14ac:dyDescent="0.35">
      <c r="A625" s="6">
        <v>625</v>
      </c>
      <c r="B625" s="6" t="s">
        <v>7</v>
      </c>
      <c r="C625" s="10" t="s">
        <v>17</v>
      </c>
      <c r="D625" s="9"/>
      <c r="E625" s="7">
        <f t="shared" si="16"/>
        <v>0</v>
      </c>
      <c r="F625" s="7">
        <f>-1*ROUND(1/6*(I625*IF(_xlfn.XLOOKUP(H625,'02效果表'!D:D,'02效果表'!E:E)&lt;0, _xlfn.XLOOKUP(H625,'02效果表'!D:D,'02效果表'!E:E), 0) +
K625*IF(_xlfn.XLOOKUP(J625,'02效果表'!D:D,'02效果表'!E:E)&lt;0, _xlfn.XLOOKUP(J625,'02效果表'!D:D,'02效果表'!E:E), 0) +
M625*IF(_xlfn.XLOOKUP(L625,'02效果表'!D:D,'02效果表'!E:E)&lt;0, _xlfn.XLOOKUP(L625,'02效果表'!D:D,'02效果表'!E:E), 0) +
O625*IF(_xlfn.XLOOKUP(N625,'02效果表'!D:D,'02效果表'!E:E)&lt;0, _xlfn.XLOOKUP(N625,'02效果表'!D:D,'02效果表'!E:E), 0) +
Q625*IF(_xlfn.XLOOKUP(P625,'02效果表'!D:D,'02效果表'!E:E)&lt;0, _xlfn.XLOOKUP(P625,'02效果表'!D:D,'02效果表'!E:E), 0) +
S625*IF(_xlfn.XLOOKUP(R625,'02效果表'!D:D,'02效果表'!E:E)&lt;0, _xlfn.XLOOKUP(R625,'02效果表'!D:D,'02效果表'!E:E), 0) +
U625*IF(_xlfn.XLOOKUP(T625,'02效果表'!D:D,'02效果表'!E:E)&lt;0, _xlfn.XLOOKUP(T625,'02效果表'!D:D,'02效果表'!E:E), 0) +
W625*IF(_xlfn.XLOOKUP(V625,'02效果表'!D:D,'02效果表'!E:E)&lt;0, _xlfn.XLOOKUP(V625,'02效果表'!D:D,'02效果表'!E:E), 0) +
Y625*IF(_xlfn.XLOOKUP(X625,'02效果表'!D:D,'02效果表'!E:E)&lt;0, _xlfn.XLOOKUP(X625,'02效果表'!D:D,'02效果表'!E:E), 0) +
AA625*IF(_xlfn.XLOOKUP(Z625,'02效果表'!D:D,'02效果表'!E:E)&lt;0, _xlfn.XLOOKUP(Z625,'02效果表'!D:D,'02效果表'!E:E), 0) +
AC625*IF(_xlfn.XLOOKUP(AB625,'02效果表'!D:D,'02效果表'!E:E)&lt;0, _xlfn.XLOOKUP(AB625,'02效果表'!D:D,'02效果表'!E:E), 0) +
AE625*IF(_xlfn.XLOOKUP(AD625,'02效果表'!D:D,'02效果表'!E:E)&lt;0, _xlfn.XLOOKUP(AD625,'02效果表'!D:D,'02效果表'!E:E), 0)), 1)</f>
        <v>0</v>
      </c>
      <c r="G625" s="7">
        <f>ROUND(1/6*(I625*MAX(_xlfn.XLOOKUP(H625,'02效果表'!D:D,'02效果表'!E:E),0)+K625*MAX(_xlfn.XLOOKUP(J625,'02效果表'!D:D,'02效果表'!E:E),0)+M625*MAX(_xlfn.XLOOKUP(L625,'02效果表'!D:D,'02效果表'!E:E),0)+O625*MAX(_xlfn.XLOOKUP(N625,'02效果表'!D:D,'02效果表'!E:E),0)+Q625*MAX(_xlfn.XLOOKUP(P625,'02效果表'!D:D,'02效果表'!E:E),0)+S625*MAX(_xlfn.XLOOKUP(R625,'02效果表'!D:D,'02效果表'!E:E),0)+U625*MAX(_xlfn.XLOOKUP(T625,'02效果表'!D:D,'02效果表'!E:E),0)+W625*MAX(_xlfn.XLOOKUP(V625,'02效果表'!D:D,'02效果表'!E:E),0)+Y625*MAX(_xlfn.XLOOKUP(X625,'02效果表'!D:D,'02效果表'!E:E),0)+AA625*MAX(_xlfn.XLOOKUP(Z625,'02效果表'!D:D,'02效果表'!E:E),0)+AC625*MAX(_xlfn.XLOOKUP(AB625,'02效果表'!D:D,'02效果表'!E:E),0)+AE625*MAX(_xlfn.XLOOKUP(AD625,'02效果表'!D:D,'02效果表'!E:E),0)),1)</f>
        <v>0</v>
      </c>
      <c r="H625" s="6"/>
      <c r="I625" s="6"/>
      <c r="J625" s="6"/>
      <c r="K625" s="6"/>
      <c r="L625" s="6"/>
      <c r="M625" s="6"/>
      <c r="N625" s="6"/>
      <c r="O625" s="6"/>
      <c r="P625" s="6"/>
      <c r="Q625" s="6"/>
      <c r="R625" s="6"/>
      <c r="S625" s="6"/>
      <c r="T625" s="6"/>
      <c r="U625" s="6"/>
      <c r="V625" s="6"/>
      <c r="W625" s="6"/>
      <c r="X625" s="6"/>
      <c r="Y625" s="6"/>
      <c r="Z625" s="6"/>
      <c r="AA625" s="6"/>
      <c r="AB625" s="6"/>
      <c r="AC625" s="6"/>
      <c r="AD625" s="6"/>
      <c r="AE625" s="6"/>
    </row>
    <row r="626" spans="1:31" x14ac:dyDescent="0.35">
      <c r="A626" s="6">
        <v>626</v>
      </c>
      <c r="B626" s="6" t="s">
        <v>7</v>
      </c>
      <c r="C626" s="10" t="s">
        <v>17</v>
      </c>
      <c r="D626" s="9"/>
      <c r="E626" s="7">
        <f t="shared" si="16"/>
        <v>0</v>
      </c>
      <c r="F626" s="7">
        <f>-1*ROUND(1/6*(I626*IF(_xlfn.XLOOKUP(H626,'02效果表'!D:D,'02效果表'!E:E)&lt;0, _xlfn.XLOOKUP(H626,'02效果表'!D:D,'02效果表'!E:E), 0) +
K626*IF(_xlfn.XLOOKUP(J626,'02效果表'!D:D,'02效果表'!E:E)&lt;0, _xlfn.XLOOKUP(J626,'02效果表'!D:D,'02效果表'!E:E), 0) +
M626*IF(_xlfn.XLOOKUP(L626,'02效果表'!D:D,'02效果表'!E:E)&lt;0, _xlfn.XLOOKUP(L626,'02效果表'!D:D,'02效果表'!E:E), 0) +
O626*IF(_xlfn.XLOOKUP(N626,'02效果表'!D:D,'02效果表'!E:E)&lt;0, _xlfn.XLOOKUP(N626,'02效果表'!D:D,'02效果表'!E:E), 0) +
Q626*IF(_xlfn.XLOOKUP(P626,'02效果表'!D:D,'02效果表'!E:E)&lt;0, _xlfn.XLOOKUP(P626,'02效果表'!D:D,'02效果表'!E:E), 0) +
S626*IF(_xlfn.XLOOKUP(R626,'02效果表'!D:D,'02效果表'!E:E)&lt;0, _xlfn.XLOOKUP(R626,'02效果表'!D:D,'02效果表'!E:E), 0) +
U626*IF(_xlfn.XLOOKUP(T626,'02效果表'!D:D,'02效果表'!E:E)&lt;0, _xlfn.XLOOKUP(T626,'02效果表'!D:D,'02效果表'!E:E), 0) +
W626*IF(_xlfn.XLOOKUP(V626,'02效果表'!D:D,'02效果表'!E:E)&lt;0, _xlfn.XLOOKUP(V626,'02效果表'!D:D,'02效果表'!E:E), 0) +
Y626*IF(_xlfn.XLOOKUP(X626,'02效果表'!D:D,'02效果表'!E:E)&lt;0, _xlfn.XLOOKUP(X626,'02效果表'!D:D,'02效果表'!E:E), 0) +
AA626*IF(_xlfn.XLOOKUP(Z626,'02效果表'!D:D,'02效果表'!E:E)&lt;0, _xlfn.XLOOKUP(Z626,'02效果表'!D:D,'02效果表'!E:E), 0) +
AC626*IF(_xlfn.XLOOKUP(AB626,'02效果表'!D:D,'02效果表'!E:E)&lt;0, _xlfn.XLOOKUP(AB626,'02效果表'!D:D,'02效果表'!E:E), 0) +
AE626*IF(_xlfn.XLOOKUP(AD626,'02效果表'!D:D,'02效果表'!E:E)&lt;0, _xlfn.XLOOKUP(AD626,'02效果表'!D:D,'02效果表'!E:E), 0)), 1)</f>
        <v>0</v>
      </c>
      <c r="G626" s="7">
        <f>ROUND(1/6*(I626*MAX(_xlfn.XLOOKUP(H626,'02效果表'!D:D,'02效果表'!E:E),0)+K626*MAX(_xlfn.XLOOKUP(J626,'02效果表'!D:D,'02效果表'!E:E),0)+M626*MAX(_xlfn.XLOOKUP(L626,'02效果表'!D:D,'02效果表'!E:E),0)+O626*MAX(_xlfn.XLOOKUP(N626,'02效果表'!D:D,'02效果表'!E:E),0)+Q626*MAX(_xlfn.XLOOKUP(P626,'02效果表'!D:D,'02效果表'!E:E),0)+S626*MAX(_xlfn.XLOOKUP(R626,'02效果表'!D:D,'02效果表'!E:E),0)+U626*MAX(_xlfn.XLOOKUP(T626,'02效果表'!D:D,'02效果表'!E:E),0)+W626*MAX(_xlfn.XLOOKUP(V626,'02效果表'!D:D,'02效果表'!E:E),0)+Y626*MAX(_xlfn.XLOOKUP(X626,'02效果表'!D:D,'02效果表'!E:E),0)+AA626*MAX(_xlfn.XLOOKUP(Z626,'02效果表'!D:D,'02效果表'!E:E),0)+AC626*MAX(_xlfn.XLOOKUP(AB626,'02效果表'!D:D,'02效果表'!E:E),0)+AE626*MAX(_xlfn.XLOOKUP(AD626,'02效果表'!D:D,'02效果表'!E:E),0)),1)</f>
        <v>0</v>
      </c>
      <c r="H626" s="6"/>
      <c r="I626" s="6"/>
      <c r="J626" s="6"/>
      <c r="K626" s="6"/>
      <c r="L626" s="6"/>
      <c r="M626" s="6"/>
      <c r="N626" s="6"/>
      <c r="O626" s="6"/>
      <c r="P626" s="6"/>
      <c r="Q626" s="6"/>
      <c r="R626" s="6"/>
      <c r="S626" s="6"/>
      <c r="T626" s="6"/>
      <c r="U626" s="6"/>
      <c r="V626" s="6"/>
      <c r="W626" s="6"/>
      <c r="X626" s="6"/>
      <c r="Y626" s="6"/>
      <c r="Z626" s="6"/>
      <c r="AA626" s="6"/>
      <c r="AB626" s="6"/>
      <c r="AC626" s="6"/>
      <c r="AD626" s="6"/>
      <c r="AE626" s="6"/>
    </row>
    <row r="627" spans="1:31" x14ac:dyDescent="0.35">
      <c r="A627" s="6">
        <v>627</v>
      </c>
      <c r="B627" s="6" t="s">
        <v>8</v>
      </c>
      <c r="C627" s="10" t="s">
        <v>18</v>
      </c>
      <c r="D627" s="9" t="s">
        <v>1753</v>
      </c>
      <c r="E627" s="7">
        <f t="shared" si="16"/>
        <v>0</v>
      </c>
      <c r="F627" s="7">
        <f>-1*ROUND(1/6*(I627*IF(_xlfn.XLOOKUP(H627,'02效果表'!D:D,'02效果表'!E:E)&lt;0, _xlfn.XLOOKUP(H627,'02效果表'!D:D,'02效果表'!E:E), 0) +
K627*IF(_xlfn.XLOOKUP(J627,'02效果表'!D:D,'02效果表'!E:E)&lt;0, _xlfn.XLOOKUP(J627,'02效果表'!D:D,'02效果表'!E:E), 0) +
M627*IF(_xlfn.XLOOKUP(L627,'02效果表'!D:D,'02效果表'!E:E)&lt;0, _xlfn.XLOOKUP(L627,'02效果表'!D:D,'02效果表'!E:E), 0) +
O627*IF(_xlfn.XLOOKUP(N627,'02效果表'!D:D,'02效果表'!E:E)&lt;0, _xlfn.XLOOKUP(N627,'02效果表'!D:D,'02效果表'!E:E), 0) +
Q627*IF(_xlfn.XLOOKUP(P627,'02效果表'!D:D,'02效果表'!E:E)&lt;0, _xlfn.XLOOKUP(P627,'02效果表'!D:D,'02效果表'!E:E), 0) +
S627*IF(_xlfn.XLOOKUP(R627,'02效果表'!D:D,'02效果表'!E:E)&lt;0, _xlfn.XLOOKUP(R627,'02效果表'!D:D,'02效果表'!E:E), 0) +
U627*IF(_xlfn.XLOOKUP(T627,'02效果表'!D:D,'02效果表'!E:E)&lt;0, _xlfn.XLOOKUP(T627,'02效果表'!D:D,'02效果表'!E:E), 0) +
W627*IF(_xlfn.XLOOKUP(V627,'02效果表'!D:D,'02效果表'!E:E)&lt;0, _xlfn.XLOOKUP(V627,'02效果表'!D:D,'02效果表'!E:E), 0) +
Y627*IF(_xlfn.XLOOKUP(X627,'02效果表'!D:D,'02效果表'!E:E)&lt;0, _xlfn.XLOOKUP(X627,'02效果表'!D:D,'02效果表'!E:E), 0) +
AA627*IF(_xlfn.XLOOKUP(Z627,'02效果表'!D:D,'02效果表'!E:E)&lt;0, _xlfn.XLOOKUP(Z627,'02效果表'!D:D,'02效果表'!E:E), 0) +
AC627*IF(_xlfn.XLOOKUP(AB627,'02效果表'!D:D,'02效果表'!E:E)&lt;0, _xlfn.XLOOKUP(AB627,'02效果表'!D:D,'02效果表'!E:E), 0) +
AE627*IF(_xlfn.XLOOKUP(AD627,'02效果表'!D:D,'02效果表'!E:E)&lt;0, _xlfn.XLOOKUP(AD627,'02效果表'!D:D,'02效果表'!E:E), 0)), 1)</f>
        <v>0</v>
      </c>
      <c r="G627" s="7">
        <f>ROUND(1/6*(I627*MAX(_xlfn.XLOOKUP(H627,'02效果表'!D:D,'02效果表'!E:E),0)+K627*MAX(_xlfn.XLOOKUP(J627,'02效果表'!D:D,'02效果表'!E:E),0)+M627*MAX(_xlfn.XLOOKUP(L627,'02效果表'!D:D,'02效果表'!E:E),0)+O627*MAX(_xlfn.XLOOKUP(N627,'02效果表'!D:D,'02效果表'!E:E),0)+Q627*MAX(_xlfn.XLOOKUP(P627,'02效果表'!D:D,'02效果表'!E:E),0)+S627*MAX(_xlfn.XLOOKUP(R627,'02效果表'!D:D,'02效果表'!E:E),0)+U627*MAX(_xlfn.XLOOKUP(T627,'02效果表'!D:D,'02效果表'!E:E),0)+W627*MAX(_xlfn.XLOOKUP(V627,'02效果表'!D:D,'02效果表'!E:E),0)+Y627*MAX(_xlfn.XLOOKUP(X627,'02效果表'!D:D,'02效果表'!E:E),0)+AA627*MAX(_xlfn.XLOOKUP(Z627,'02效果表'!D:D,'02效果表'!E:E),0)+AC627*MAX(_xlfn.XLOOKUP(AB627,'02效果表'!D:D,'02效果表'!E:E),0)+AE627*MAX(_xlfn.XLOOKUP(AD627,'02效果表'!D:D,'02效果表'!E:E),0)),1)</f>
        <v>0</v>
      </c>
      <c r="H627" s="6"/>
      <c r="I627" s="6"/>
      <c r="J627" s="6"/>
      <c r="K627" s="6"/>
      <c r="L627" s="6"/>
      <c r="M627" s="6"/>
      <c r="N627" s="6"/>
      <c r="O627" s="6"/>
      <c r="P627" s="6"/>
      <c r="Q627" s="6"/>
      <c r="R627" s="6"/>
      <c r="S627" s="6"/>
      <c r="T627" s="6"/>
      <c r="U627" s="6"/>
      <c r="V627" s="6"/>
      <c r="W627" s="6"/>
      <c r="X627" s="6"/>
      <c r="Y627" s="6"/>
      <c r="Z627" s="6"/>
      <c r="AA627" s="6"/>
      <c r="AB627" s="6"/>
      <c r="AC627" s="6"/>
      <c r="AD627" s="6"/>
      <c r="AE627" s="6"/>
    </row>
    <row r="628" spans="1:31" x14ac:dyDescent="0.35">
      <c r="A628" s="6">
        <v>628</v>
      </c>
      <c r="B628" s="6" t="s">
        <v>8</v>
      </c>
      <c r="C628" s="10" t="s">
        <v>18</v>
      </c>
      <c r="D628" s="9" t="s">
        <v>1754</v>
      </c>
      <c r="E628" s="7">
        <f t="shared" si="16"/>
        <v>0</v>
      </c>
      <c r="F628" s="7">
        <f>-1*ROUND(1/6*(I628*IF(_xlfn.XLOOKUP(H628,'02效果表'!D:D,'02效果表'!E:E)&lt;0, _xlfn.XLOOKUP(H628,'02效果表'!D:D,'02效果表'!E:E), 0) +
K628*IF(_xlfn.XLOOKUP(J628,'02效果表'!D:D,'02效果表'!E:E)&lt;0, _xlfn.XLOOKUP(J628,'02效果表'!D:D,'02效果表'!E:E), 0) +
M628*IF(_xlfn.XLOOKUP(L628,'02效果表'!D:D,'02效果表'!E:E)&lt;0, _xlfn.XLOOKUP(L628,'02效果表'!D:D,'02效果表'!E:E), 0) +
O628*IF(_xlfn.XLOOKUP(N628,'02效果表'!D:D,'02效果表'!E:E)&lt;0, _xlfn.XLOOKUP(N628,'02效果表'!D:D,'02效果表'!E:E), 0) +
Q628*IF(_xlfn.XLOOKUP(P628,'02效果表'!D:D,'02效果表'!E:E)&lt;0, _xlfn.XLOOKUP(P628,'02效果表'!D:D,'02效果表'!E:E), 0) +
S628*IF(_xlfn.XLOOKUP(R628,'02效果表'!D:D,'02效果表'!E:E)&lt;0, _xlfn.XLOOKUP(R628,'02效果表'!D:D,'02效果表'!E:E), 0) +
U628*IF(_xlfn.XLOOKUP(T628,'02效果表'!D:D,'02效果表'!E:E)&lt;0, _xlfn.XLOOKUP(T628,'02效果表'!D:D,'02效果表'!E:E), 0) +
W628*IF(_xlfn.XLOOKUP(V628,'02效果表'!D:D,'02效果表'!E:E)&lt;0, _xlfn.XLOOKUP(V628,'02效果表'!D:D,'02效果表'!E:E), 0) +
Y628*IF(_xlfn.XLOOKUP(X628,'02效果表'!D:D,'02效果表'!E:E)&lt;0, _xlfn.XLOOKUP(X628,'02效果表'!D:D,'02效果表'!E:E), 0) +
AA628*IF(_xlfn.XLOOKUP(Z628,'02效果表'!D:D,'02效果表'!E:E)&lt;0, _xlfn.XLOOKUP(Z628,'02效果表'!D:D,'02效果表'!E:E), 0) +
AC628*IF(_xlfn.XLOOKUP(AB628,'02效果表'!D:D,'02效果表'!E:E)&lt;0, _xlfn.XLOOKUP(AB628,'02效果表'!D:D,'02效果表'!E:E), 0) +
AE628*IF(_xlfn.XLOOKUP(AD628,'02效果表'!D:D,'02效果表'!E:E)&lt;0, _xlfn.XLOOKUP(AD628,'02效果表'!D:D,'02效果表'!E:E), 0)), 1)</f>
        <v>0</v>
      </c>
      <c r="G628" s="7">
        <f>ROUND(1/6*(I628*MAX(_xlfn.XLOOKUP(H628,'02效果表'!D:D,'02效果表'!E:E),0)+K628*MAX(_xlfn.XLOOKUP(J628,'02效果表'!D:D,'02效果表'!E:E),0)+M628*MAX(_xlfn.XLOOKUP(L628,'02效果表'!D:D,'02效果表'!E:E),0)+O628*MAX(_xlfn.XLOOKUP(N628,'02效果表'!D:D,'02效果表'!E:E),0)+Q628*MAX(_xlfn.XLOOKUP(P628,'02效果表'!D:D,'02效果表'!E:E),0)+S628*MAX(_xlfn.XLOOKUP(R628,'02效果表'!D:D,'02效果表'!E:E),0)+U628*MAX(_xlfn.XLOOKUP(T628,'02效果表'!D:D,'02效果表'!E:E),0)+W628*MAX(_xlfn.XLOOKUP(V628,'02效果表'!D:D,'02效果表'!E:E),0)+Y628*MAX(_xlfn.XLOOKUP(X628,'02效果表'!D:D,'02效果表'!E:E),0)+AA628*MAX(_xlfn.XLOOKUP(Z628,'02效果表'!D:D,'02效果表'!E:E),0)+AC628*MAX(_xlfn.XLOOKUP(AB628,'02效果表'!D:D,'02效果表'!E:E),0)+AE628*MAX(_xlfn.XLOOKUP(AD628,'02效果表'!D:D,'02效果表'!E:E),0)),1)</f>
        <v>0</v>
      </c>
      <c r="H628" s="6"/>
      <c r="I628" s="6"/>
      <c r="J628" s="6"/>
      <c r="K628" s="6"/>
      <c r="L628" s="6"/>
      <c r="M628" s="6"/>
      <c r="N628" s="6"/>
      <c r="O628" s="6"/>
      <c r="P628" s="6"/>
      <c r="Q628" s="6"/>
      <c r="R628" s="6"/>
      <c r="S628" s="6"/>
      <c r="T628" s="6"/>
      <c r="U628" s="6"/>
      <c r="V628" s="6"/>
      <c r="W628" s="6"/>
      <c r="X628" s="6"/>
      <c r="Y628" s="6"/>
      <c r="Z628" s="6"/>
      <c r="AA628" s="6"/>
      <c r="AB628" s="6"/>
      <c r="AC628" s="6"/>
      <c r="AD628" s="6"/>
      <c r="AE628" s="6"/>
    </row>
    <row r="629" spans="1:31" x14ac:dyDescent="0.35">
      <c r="A629" s="6">
        <v>629</v>
      </c>
      <c r="B629" s="6" t="s">
        <v>8</v>
      </c>
      <c r="C629" s="10" t="s">
        <v>18</v>
      </c>
      <c r="D629" s="9" t="s">
        <v>1312</v>
      </c>
      <c r="E629" s="7">
        <f t="shared" si="16"/>
        <v>0</v>
      </c>
      <c r="F629" s="7">
        <f>-1*ROUND(1/6*(I629*IF(_xlfn.XLOOKUP(H629,'02效果表'!D:D,'02效果表'!E:E)&lt;0, _xlfn.XLOOKUP(H629,'02效果表'!D:D,'02效果表'!E:E), 0) +
K629*IF(_xlfn.XLOOKUP(J629,'02效果表'!D:D,'02效果表'!E:E)&lt;0, _xlfn.XLOOKUP(J629,'02效果表'!D:D,'02效果表'!E:E), 0) +
M629*IF(_xlfn.XLOOKUP(L629,'02效果表'!D:D,'02效果表'!E:E)&lt;0, _xlfn.XLOOKUP(L629,'02效果表'!D:D,'02效果表'!E:E), 0) +
O629*IF(_xlfn.XLOOKUP(N629,'02效果表'!D:D,'02效果表'!E:E)&lt;0, _xlfn.XLOOKUP(N629,'02效果表'!D:D,'02效果表'!E:E), 0) +
Q629*IF(_xlfn.XLOOKUP(P629,'02效果表'!D:D,'02效果表'!E:E)&lt;0, _xlfn.XLOOKUP(P629,'02效果表'!D:D,'02效果表'!E:E), 0) +
S629*IF(_xlfn.XLOOKUP(R629,'02效果表'!D:D,'02效果表'!E:E)&lt;0, _xlfn.XLOOKUP(R629,'02效果表'!D:D,'02效果表'!E:E), 0) +
U629*IF(_xlfn.XLOOKUP(T629,'02效果表'!D:D,'02效果表'!E:E)&lt;0, _xlfn.XLOOKUP(T629,'02效果表'!D:D,'02效果表'!E:E), 0) +
W629*IF(_xlfn.XLOOKUP(V629,'02效果表'!D:D,'02效果表'!E:E)&lt;0, _xlfn.XLOOKUP(V629,'02效果表'!D:D,'02效果表'!E:E), 0) +
Y629*IF(_xlfn.XLOOKUP(X629,'02效果表'!D:D,'02效果表'!E:E)&lt;0, _xlfn.XLOOKUP(X629,'02效果表'!D:D,'02效果表'!E:E), 0) +
AA629*IF(_xlfn.XLOOKUP(Z629,'02效果表'!D:D,'02效果表'!E:E)&lt;0, _xlfn.XLOOKUP(Z629,'02效果表'!D:D,'02效果表'!E:E), 0) +
AC629*IF(_xlfn.XLOOKUP(AB629,'02效果表'!D:D,'02效果表'!E:E)&lt;0, _xlfn.XLOOKUP(AB629,'02效果表'!D:D,'02效果表'!E:E), 0) +
AE629*IF(_xlfn.XLOOKUP(AD629,'02效果表'!D:D,'02效果表'!E:E)&lt;0, _xlfn.XLOOKUP(AD629,'02效果表'!D:D,'02效果表'!E:E), 0)), 1)</f>
        <v>0</v>
      </c>
      <c r="G629" s="7">
        <f>ROUND(1/6*(I629*MAX(_xlfn.XLOOKUP(H629,'02效果表'!D:D,'02效果表'!E:E),0)+K629*MAX(_xlfn.XLOOKUP(J629,'02效果表'!D:D,'02效果表'!E:E),0)+M629*MAX(_xlfn.XLOOKUP(L629,'02效果表'!D:D,'02效果表'!E:E),0)+O629*MAX(_xlfn.XLOOKUP(N629,'02效果表'!D:D,'02效果表'!E:E),0)+Q629*MAX(_xlfn.XLOOKUP(P629,'02效果表'!D:D,'02效果表'!E:E),0)+S629*MAX(_xlfn.XLOOKUP(R629,'02效果表'!D:D,'02效果表'!E:E),0)+U629*MAX(_xlfn.XLOOKUP(T629,'02效果表'!D:D,'02效果表'!E:E),0)+W629*MAX(_xlfn.XLOOKUP(V629,'02效果表'!D:D,'02效果表'!E:E),0)+Y629*MAX(_xlfn.XLOOKUP(X629,'02效果表'!D:D,'02效果表'!E:E),0)+AA629*MAX(_xlfn.XLOOKUP(Z629,'02效果表'!D:D,'02效果表'!E:E),0)+AC629*MAX(_xlfn.XLOOKUP(AB629,'02效果表'!D:D,'02效果表'!E:E),0)+AE629*MAX(_xlfn.XLOOKUP(AD629,'02效果表'!D:D,'02效果表'!E:E),0)),1)</f>
        <v>0</v>
      </c>
      <c r="H629" s="6"/>
      <c r="I629" s="6"/>
      <c r="J629" s="6"/>
      <c r="K629" s="6"/>
      <c r="L629" s="6"/>
      <c r="M629" s="6"/>
      <c r="N629" s="6"/>
      <c r="O629" s="6"/>
      <c r="P629" s="6"/>
      <c r="Q629" s="6"/>
      <c r="R629" s="6"/>
      <c r="S629" s="6"/>
      <c r="T629" s="6"/>
      <c r="U629" s="6"/>
      <c r="V629" s="6"/>
      <c r="W629" s="6"/>
      <c r="X629" s="6"/>
      <c r="Y629" s="6"/>
      <c r="Z629" s="6"/>
      <c r="AA629" s="6"/>
      <c r="AB629" s="6"/>
      <c r="AC629" s="6"/>
      <c r="AD629" s="6"/>
      <c r="AE629" s="6"/>
    </row>
    <row r="630" spans="1:31" x14ac:dyDescent="0.35">
      <c r="A630" s="6">
        <v>630</v>
      </c>
      <c r="B630" s="6" t="s">
        <v>8</v>
      </c>
      <c r="C630" s="10" t="s">
        <v>18</v>
      </c>
      <c r="D630" s="9" t="s">
        <v>1755</v>
      </c>
      <c r="E630" s="7">
        <f t="shared" si="16"/>
        <v>0</v>
      </c>
      <c r="F630" s="7">
        <f>-1*ROUND(1/6*(I630*IF(_xlfn.XLOOKUP(H630,'02效果表'!D:D,'02效果表'!E:E)&lt;0, _xlfn.XLOOKUP(H630,'02效果表'!D:D,'02效果表'!E:E), 0) +
K630*IF(_xlfn.XLOOKUP(J630,'02效果表'!D:D,'02效果表'!E:E)&lt;0, _xlfn.XLOOKUP(J630,'02效果表'!D:D,'02效果表'!E:E), 0) +
M630*IF(_xlfn.XLOOKUP(L630,'02效果表'!D:D,'02效果表'!E:E)&lt;0, _xlfn.XLOOKUP(L630,'02效果表'!D:D,'02效果表'!E:E), 0) +
O630*IF(_xlfn.XLOOKUP(N630,'02效果表'!D:D,'02效果表'!E:E)&lt;0, _xlfn.XLOOKUP(N630,'02效果表'!D:D,'02效果表'!E:E), 0) +
Q630*IF(_xlfn.XLOOKUP(P630,'02效果表'!D:D,'02效果表'!E:E)&lt;0, _xlfn.XLOOKUP(P630,'02效果表'!D:D,'02效果表'!E:E), 0) +
S630*IF(_xlfn.XLOOKUP(R630,'02效果表'!D:D,'02效果表'!E:E)&lt;0, _xlfn.XLOOKUP(R630,'02效果表'!D:D,'02效果表'!E:E), 0) +
U630*IF(_xlfn.XLOOKUP(T630,'02效果表'!D:D,'02效果表'!E:E)&lt;0, _xlfn.XLOOKUP(T630,'02效果表'!D:D,'02效果表'!E:E), 0) +
W630*IF(_xlfn.XLOOKUP(V630,'02效果表'!D:D,'02效果表'!E:E)&lt;0, _xlfn.XLOOKUP(V630,'02效果表'!D:D,'02效果表'!E:E), 0) +
Y630*IF(_xlfn.XLOOKUP(X630,'02效果表'!D:D,'02效果表'!E:E)&lt;0, _xlfn.XLOOKUP(X630,'02效果表'!D:D,'02效果表'!E:E), 0) +
AA630*IF(_xlfn.XLOOKUP(Z630,'02效果表'!D:D,'02效果表'!E:E)&lt;0, _xlfn.XLOOKUP(Z630,'02效果表'!D:D,'02效果表'!E:E), 0) +
AC630*IF(_xlfn.XLOOKUP(AB630,'02效果表'!D:D,'02效果表'!E:E)&lt;0, _xlfn.XLOOKUP(AB630,'02效果表'!D:D,'02效果表'!E:E), 0) +
AE630*IF(_xlfn.XLOOKUP(AD630,'02效果表'!D:D,'02效果表'!E:E)&lt;0, _xlfn.XLOOKUP(AD630,'02效果表'!D:D,'02效果表'!E:E), 0)), 1)</f>
        <v>0</v>
      </c>
      <c r="G630" s="7">
        <f>ROUND(1/6*(I630*MAX(_xlfn.XLOOKUP(H630,'02效果表'!D:D,'02效果表'!E:E),0)+K630*MAX(_xlfn.XLOOKUP(J630,'02效果表'!D:D,'02效果表'!E:E),0)+M630*MAX(_xlfn.XLOOKUP(L630,'02效果表'!D:D,'02效果表'!E:E),0)+O630*MAX(_xlfn.XLOOKUP(N630,'02效果表'!D:D,'02效果表'!E:E),0)+Q630*MAX(_xlfn.XLOOKUP(P630,'02效果表'!D:D,'02效果表'!E:E),0)+S630*MAX(_xlfn.XLOOKUP(R630,'02效果表'!D:D,'02效果表'!E:E),0)+U630*MAX(_xlfn.XLOOKUP(T630,'02效果表'!D:D,'02效果表'!E:E),0)+W630*MAX(_xlfn.XLOOKUP(V630,'02效果表'!D:D,'02效果表'!E:E),0)+Y630*MAX(_xlfn.XLOOKUP(X630,'02效果表'!D:D,'02效果表'!E:E),0)+AA630*MAX(_xlfn.XLOOKUP(Z630,'02效果表'!D:D,'02效果表'!E:E),0)+AC630*MAX(_xlfn.XLOOKUP(AB630,'02效果表'!D:D,'02效果表'!E:E),0)+AE630*MAX(_xlfn.XLOOKUP(AD630,'02效果表'!D:D,'02效果表'!E:E),0)),1)</f>
        <v>0</v>
      </c>
      <c r="H630" s="6"/>
      <c r="I630" s="6"/>
      <c r="J630" s="6"/>
      <c r="K630" s="6"/>
      <c r="L630" s="6"/>
      <c r="M630" s="6"/>
      <c r="N630" s="6"/>
      <c r="O630" s="6"/>
      <c r="P630" s="6"/>
      <c r="Q630" s="6"/>
      <c r="R630" s="6"/>
      <c r="S630" s="6"/>
      <c r="T630" s="6"/>
      <c r="U630" s="6"/>
      <c r="V630" s="6"/>
      <c r="W630" s="6"/>
      <c r="X630" s="6"/>
      <c r="Y630" s="6"/>
      <c r="Z630" s="6"/>
      <c r="AA630" s="6"/>
      <c r="AB630" s="6"/>
      <c r="AC630" s="6"/>
      <c r="AD630" s="6"/>
      <c r="AE630" s="6"/>
    </row>
    <row r="631" spans="1:31" x14ac:dyDescent="0.35">
      <c r="A631" s="6">
        <v>631</v>
      </c>
      <c r="B631" s="6" t="s">
        <v>8</v>
      </c>
      <c r="C631" s="10" t="s">
        <v>1</v>
      </c>
      <c r="D631" s="9" t="s">
        <v>1756</v>
      </c>
      <c r="E631" s="7">
        <f t="shared" si="16"/>
        <v>0</v>
      </c>
      <c r="F631" s="7">
        <f>-1*ROUND(1/6*(I631*IF(_xlfn.XLOOKUP(H631,'02效果表'!D:D,'02效果表'!E:E)&lt;0, _xlfn.XLOOKUP(H631,'02效果表'!D:D,'02效果表'!E:E), 0) +
K631*IF(_xlfn.XLOOKUP(J631,'02效果表'!D:D,'02效果表'!E:E)&lt;0, _xlfn.XLOOKUP(J631,'02效果表'!D:D,'02效果表'!E:E), 0) +
M631*IF(_xlfn.XLOOKUP(L631,'02效果表'!D:D,'02效果表'!E:E)&lt;0, _xlfn.XLOOKUP(L631,'02效果表'!D:D,'02效果表'!E:E), 0) +
O631*IF(_xlfn.XLOOKUP(N631,'02效果表'!D:D,'02效果表'!E:E)&lt;0, _xlfn.XLOOKUP(N631,'02效果表'!D:D,'02效果表'!E:E), 0) +
Q631*IF(_xlfn.XLOOKUP(P631,'02效果表'!D:D,'02效果表'!E:E)&lt;0, _xlfn.XLOOKUP(P631,'02效果表'!D:D,'02效果表'!E:E), 0) +
S631*IF(_xlfn.XLOOKUP(R631,'02效果表'!D:D,'02效果表'!E:E)&lt;0, _xlfn.XLOOKUP(R631,'02效果表'!D:D,'02效果表'!E:E), 0) +
U631*IF(_xlfn.XLOOKUP(T631,'02效果表'!D:D,'02效果表'!E:E)&lt;0, _xlfn.XLOOKUP(T631,'02效果表'!D:D,'02效果表'!E:E), 0) +
W631*IF(_xlfn.XLOOKUP(V631,'02效果表'!D:D,'02效果表'!E:E)&lt;0, _xlfn.XLOOKUP(V631,'02效果表'!D:D,'02效果表'!E:E), 0) +
Y631*IF(_xlfn.XLOOKUP(X631,'02效果表'!D:D,'02效果表'!E:E)&lt;0, _xlfn.XLOOKUP(X631,'02效果表'!D:D,'02效果表'!E:E), 0) +
AA631*IF(_xlfn.XLOOKUP(Z631,'02效果表'!D:D,'02效果表'!E:E)&lt;0, _xlfn.XLOOKUP(Z631,'02效果表'!D:D,'02效果表'!E:E), 0) +
AC631*IF(_xlfn.XLOOKUP(AB631,'02效果表'!D:D,'02效果表'!E:E)&lt;0, _xlfn.XLOOKUP(AB631,'02效果表'!D:D,'02效果表'!E:E), 0) +
AE631*IF(_xlfn.XLOOKUP(AD631,'02效果表'!D:D,'02效果表'!E:E)&lt;0, _xlfn.XLOOKUP(AD631,'02效果表'!D:D,'02效果表'!E:E), 0)), 1)</f>
        <v>0</v>
      </c>
      <c r="G631" s="7">
        <f>ROUND(1/6*(I631*MAX(_xlfn.XLOOKUP(H631,'02效果表'!D:D,'02效果表'!E:E),0)+K631*MAX(_xlfn.XLOOKUP(J631,'02效果表'!D:D,'02效果表'!E:E),0)+M631*MAX(_xlfn.XLOOKUP(L631,'02效果表'!D:D,'02效果表'!E:E),0)+O631*MAX(_xlfn.XLOOKUP(N631,'02效果表'!D:D,'02效果表'!E:E),0)+Q631*MAX(_xlfn.XLOOKUP(P631,'02效果表'!D:D,'02效果表'!E:E),0)+S631*MAX(_xlfn.XLOOKUP(R631,'02效果表'!D:D,'02效果表'!E:E),0)+U631*MAX(_xlfn.XLOOKUP(T631,'02效果表'!D:D,'02效果表'!E:E),0)+W631*MAX(_xlfn.XLOOKUP(V631,'02效果表'!D:D,'02效果表'!E:E),0)+Y631*MAX(_xlfn.XLOOKUP(X631,'02效果表'!D:D,'02效果表'!E:E),0)+AA631*MAX(_xlfn.XLOOKUP(Z631,'02效果表'!D:D,'02效果表'!E:E),0)+AC631*MAX(_xlfn.XLOOKUP(AB631,'02效果表'!D:D,'02效果表'!E:E),0)+AE631*MAX(_xlfn.XLOOKUP(AD631,'02效果表'!D:D,'02效果表'!E:E),0)),1)</f>
        <v>0</v>
      </c>
      <c r="H631" s="6"/>
      <c r="I631" s="6"/>
      <c r="J631" s="6"/>
      <c r="K631" s="6"/>
      <c r="L631" s="6"/>
      <c r="M631" s="6"/>
      <c r="N631" s="6"/>
      <c r="O631" s="6"/>
      <c r="P631" s="6"/>
      <c r="Q631" s="6"/>
      <c r="R631" s="6"/>
      <c r="S631" s="6"/>
      <c r="T631" s="6"/>
      <c r="U631" s="6"/>
      <c r="V631" s="6"/>
      <c r="W631" s="6"/>
      <c r="X631" s="6"/>
      <c r="Y631" s="6"/>
      <c r="Z631" s="6"/>
      <c r="AA631" s="6"/>
      <c r="AB631" s="6"/>
      <c r="AC631" s="6"/>
      <c r="AD631" s="6"/>
      <c r="AE631" s="6"/>
    </row>
    <row r="632" spans="1:31" x14ac:dyDescent="0.35">
      <c r="A632" s="6">
        <v>632</v>
      </c>
      <c r="B632" s="6" t="s">
        <v>8</v>
      </c>
      <c r="C632" s="10" t="s">
        <v>1</v>
      </c>
      <c r="D632" s="9" t="s">
        <v>1757</v>
      </c>
      <c r="E632" s="7">
        <f t="shared" si="16"/>
        <v>0</v>
      </c>
      <c r="F632" s="7">
        <f>-1*ROUND(1/6*(I632*IF(_xlfn.XLOOKUP(H632,'02效果表'!D:D,'02效果表'!E:E)&lt;0, _xlfn.XLOOKUP(H632,'02效果表'!D:D,'02效果表'!E:E), 0) +
K632*IF(_xlfn.XLOOKUP(J632,'02效果表'!D:D,'02效果表'!E:E)&lt;0, _xlfn.XLOOKUP(J632,'02效果表'!D:D,'02效果表'!E:E), 0) +
M632*IF(_xlfn.XLOOKUP(L632,'02效果表'!D:D,'02效果表'!E:E)&lt;0, _xlfn.XLOOKUP(L632,'02效果表'!D:D,'02效果表'!E:E), 0) +
O632*IF(_xlfn.XLOOKUP(N632,'02效果表'!D:D,'02效果表'!E:E)&lt;0, _xlfn.XLOOKUP(N632,'02效果表'!D:D,'02效果表'!E:E), 0) +
Q632*IF(_xlfn.XLOOKUP(P632,'02效果表'!D:D,'02效果表'!E:E)&lt;0, _xlfn.XLOOKUP(P632,'02效果表'!D:D,'02效果表'!E:E), 0) +
S632*IF(_xlfn.XLOOKUP(R632,'02效果表'!D:D,'02效果表'!E:E)&lt;0, _xlfn.XLOOKUP(R632,'02效果表'!D:D,'02效果表'!E:E), 0) +
U632*IF(_xlfn.XLOOKUP(T632,'02效果表'!D:D,'02效果表'!E:E)&lt;0, _xlfn.XLOOKUP(T632,'02效果表'!D:D,'02效果表'!E:E), 0) +
W632*IF(_xlfn.XLOOKUP(V632,'02效果表'!D:D,'02效果表'!E:E)&lt;0, _xlfn.XLOOKUP(V632,'02效果表'!D:D,'02效果表'!E:E), 0) +
Y632*IF(_xlfn.XLOOKUP(X632,'02效果表'!D:D,'02效果表'!E:E)&lt;0, _xlfn.XLOOKUP(X632,'02效果表'!D:D,'02效果表'!E:E), 0) +
AA632*IF(_xlfn.XLOOKUP(Z632,'02效果表'!D:D,'02效果表'!E:E)&lt;0, _xlfn.XLOOKUP(Z632,'02效果表'!D:D,'02效果表'!E:E), 0) +
AC632*IF(_xlfn.XLOOKUP(AB632,'02效果表'!D:D,'02效果表'!E:E)&lt;0, _xlfn.XLOOKUP(AB632,'02效果表'!D:D,'02效果表'!E:E), 0) +
AE632*IF(_xlfn.XLOOKUP(AD632,'02效果表'!D:D,'02效果表'!E:E)&lt;0, _xlfn.XLOOKUP(AD632,'02效果表'!D:D,'02效果表'!E:E), 0)), 1)</f>
        <v>0</v>
      </c>
      <c r="G632" s="7">
        <f>ROUND(1/6*(I632*MAX(_xlfn.XLOOKUP(H632,'02效果表'!D:D,'02效果表'!E:E),0)+K632*MAX(_xlfn.XLOOKUP(J632,'02效果表'!D:D,'02效果表'!E:E),0)+M632*MAX(_xlfn.XLOOKUP(L632,'02效果表'!D:D,'02效果表'!E:E),0)+O632*MAX(_xlfn.XLOOKUP(N632,'02效果表'!D:D,'02效果表'!E:E),0)+Q632*MAX(_xlfn.XLOOKUP(P632,'02效果表'!D:D,'02效果表'!E:E),0)+S632*MAX(_xlfn.XLOOKUP(R632,'02效果表'!D:D,'02效果表'!E:E),0)+U632*MAX(_xlfn.XLOOKUP(T632,'02效果表'!D:D,'02效果表'!E:E),0)+W632*MAX(_xlfn.XLOOKUP(V632,'02效果表'!D:D,'02效果表'!E:E),0)+Y632*MAX(_xlfn.XLOOKUP(X632,'02效果表'!D:D,'02效果表'!E:E),0)+AA632*MAX(_xlfn.XLOOKUP(Z632,'02效果表'!D:D,'02效果表'!E:E),0)+AC632*MAX(_xlfn.XLOOKUP(AB632,'02效果表'!D:D,'02效果表'!E:E),0)+AE632*MAX(_xlfn.XLOOKUP(AD632,'02效果表'!D:D,'02效果表'!E:E),0)),1)</f>
        <v>0</v>
      </c>
      <c r="H632" s="6"/>
      <c r="I632" s="6"/>
      <c r="J632" s="6"/>
      <c r="K632" s="6"/>
      <c r="L632" s="6"/>
      <c r="M632" s="6"/>
      <c r="N632" s="6"/>
      <c r="O632" s="6"/>
      <c r="P632" s="6"/>
      <c r="Q632" s="6"/>
      <c r="R632" s="6"/>
      <c r="S632" s="6"/>
      <c r="T632" s="6"/>
      <c r="U632" s="6"/>
      <c r="V632" s="6"/>
      <c r="W632" s="6"/>
      <c r="X632" s="6"/>
      <c r="Y632" s="6"/>
      <c r="Z632" s="6"/>
      <c r="AA632" s="6"/>
      <c r="AB632" s="6"/>
      <c r="AC632" s="6"/>
      <c r="AD632" s="6"/>
      <c r="AE632" s="6"/>
    </row>
    <row r="633" spans="1:31" x14ac:dyDescent="0.35">
      <c r="A633" s="6">
        <v>633</v>
      </c>
      <c r="B633" s="6" t="s">
        <v>8</v>
      </c>
      <c r="C633" s="10" t="s">
        <v>1</v>
      </c>
      <c r="D633" s="9" t="s">
        <v>1758</v>
      </c>
      <c r="E633" s="7">
        <f t="shared" si="16"/>
        <v>0</v>
      </c>
      <c r="F633" s="7">
        <f>-1*ROUND(1/6*(I633*IF(_xlfn.XLOOKUP(H633,'02效果表'!D:D,'02效果表'!E:E)&lt;0, _xlfn.XLOOKUP(H633,'02效果表'!D:D,'02效果表'!E:E), 0) +
K633*IF(_xlfn.XLOOKUP(J633,'02效果表'!D:D,'02效果表'!E:E)&lt;0, _xlfn.XLOOKUP(J633,'02效果表'!D:D,'02效果表'!E:E), 0) +
M633*IF(_xlfn.XLOOKUP(L633,'02效果表'!D:D,'02效果表'!E:E)&lt;0, _xlfn.XLOOKUP(L633,'02效果表'!D:D,'02效果表'!E:E), 0) +
O633*IF(_xlfn.XLOOKUP(N633,'02效果表'!D:D,'02效果表'!E:E)&lt;0, _xlfn.XLOOKUP(N633,'02效果表'!D:D,'02效果表'!E:E), 0) +
Q633*IF(_xlfn.XLOOKUP(P633,'02效果表'!D:D,'02效果表'!E:E)&lt;0, _xlfn.XLOOKUP(P633,'02效果表'!D:D,'02效果表'!E:E), 0) +
S633*IF(_xlfn.XLOOKUP(R633,'02效果表'!D:D,'02效果表'!E:E)&lt;0, _xlfn.XLOOKUP(R633,'02效果表'!D:D,'02效果表'!E:E), 0) +
U633*IF(_xlfn.XLOOKUP(T633,'02效果表'!D:D,'02效果表'!E:E)&lt;0, _xlfn.XLOOKUP(T633,'02效果表'!D:D,'02效果表'!E:E), 0) +
W633*IF(_xlfn.XLOOKUP(V633,'02效果表'!D:D,'02效果表'!E:E)&lt;0, _xlfn.XLOOKUP(V633,'02效果表'!D:D,'02效果表'!E:E), 0) +
Y633*IF(_xlfn.XLOOKUP(X633,'02效果表'!D:D,'02效果表'!E:E)&lt;0, _xlfn.XLOOKUP(X633,'02效果表'!D:D,'02效果表'!E:E), 0) +
AA633*IF(_xlfn.XLOOKUP(Z633,'02效果表'!D:D,'02效果表'!E:E)&lt;0, _xlfn.XLOOKUP(Z633,'02效果表'!D:D,'02效果表'!E:E), 0) +
AC633*IF(_xlfn.XLOOKUP(AB633,'02效果表'!D:D,'02效果表'!E:E)&lt;0, _xlfn.XLOOKUP(AB633,'02效果表'!D:D,'02效果表'!E:E), 0) +
AE633*IF(_xlfn.XLOOKUP(AD633,'02效果表'!D:D,'02效果表'!E:E)&lt;0, _xlfn.XLOOKUP(AD633,'02效果表'!D:D,'02效果表'!E:E), 0)), 1)</f>
        <v>0</v>
      </c>
      <c r="G633" s="7">
        <f>ROUND(1/6*(I633*MAX(_xlfn.XLOOKUP(H633,'02效果表'!D:D,'02效果表'!E:E),0)+K633*MAX(_xlfn.XLOOKUP(J633,'02效果表'!D:D,'02效果表'!E:E),0)+M633*MAX(_xlfn.XLOOKUP(L633,'02效果表'!D:D,'02效果表'!E:E),0)+O633*MAX(_xlfn.XLOOKUP(N633,'02效果表'!D:D,'02效果表'!E:E),0)+Q633*MAX(_xlfn.XLOOKUP(P633,'02效果表'!D:D,'02效果表'!E:E),0)+S633*MAX(_xlfn.XLOOKUP(R633,'02效果表'!D:D,'02效果表'!E:E),0)+U633*MAX(_xlfn.XLOOKUP(T633,'02效果表'!D:D,'02效果表'!E:E),0)+W633*MAX(_xlfn.XLOOKUP(V633,'02效果表'!D:D,'02效果表'!E:E),0)+Y633*MAX(_xlfn.XLOOKUP(X633,'02效果表'!D:D,'02效果表'!E:E),0)+AA633*MAX(_xlfn.XLOOKUP(Z633,'02效果表'!D:D,'02效果表'!E:E),0)+AC633*MAX(_xlfn.XLOOKUP(AB633,'02效果表'!D:D,'02效果表'!E:E),0)+AE633*MAX(_xlfn.XLOOKUP(AD633,'02效果表'!D:D,'02效果表'!E:E),0)),1)</f>
        <v>0</v>
      </c>
      <c r="H633" s="6"/>
      <c r="I633" s="6"/>
      <c r="J633" s="6"/>
      <c r="K633" s="6"/>
      <c r="L633" s="6"/>
      <c r="M633" s="6"/>
      <c r="N633" s="6"/>
      <c r="O633" s="6"/>
      <c r="P633" s="6"/>
      <c r="Q633" s="6"/>
      <c r="R633" s="6"/>
      <c r="S633" s="6"/>
      <c r="T633" s="6"/>
      <c r="U633" s="6"/>
      <c r="V633" s="6"/>
      <c r="W633" s="6"/>
      <c r="X633" s="6"/>
      <c r="Y633" s="6"/>
      <c r="Z633" s="6"/>
      <c r="AA633" s="6"/>
      <c r="AB633" s="6"/>
      <c r="AC633" s="6"/>
      <c r="AD633" s="6"/>
      <c r="AE633" s="6"/>
    </row>
    <row r="634" spans="1:31" x14ac:dyDescent="0.35">
      <c r="A634" s="6">
        <v>634</v>
      </c>
      <c r="B634" s="6" t="s">
        <v>8</v>
      </c>
      <c r="C634" s="10" t="s">
        <v>1</v>
      </c>
      <c r="D634" s="9" t="s">
        <v>1144</v>
      </c>
      <c r="E634" s="7">
        <f t="shared" si="16"/>
        <v>0</v>
      </c>
      <c r="F634" s="7">
        <f>-1*ROUND(1/6*(I634*IF(_xlfn.XLOOKUP(H634,'02效果表'!D:D,'02效果表'!E:E)&lt;0, _xlfn.XLOOKUP(H634,'02效果表'!D:D,'02效果表'!E:E), 0) +
K634*IF(_xlfn.XLOOKUP(J634,'02效果表'!D:D,'02效果表'!E:E)&lt;0, _xlfn.XLOOKUP(J634,'02效果表'!D:D,'02效果表'!E:E), 0) +
M634*IF(_xlfn.XLOOKUP(L634,'02效果表'!D:D,'02效果表'!E:E)&lt;0, _xlfn.XLOOKUP(L634,'02效果表'!D:D,'02效果表'!E:E), 0) +
O634*IF(_xlfn.XLOOKUP(N634,'02效果表'!D:D,'02效果表'!E:E)&lt;0, _xlfn.XLOOKUP(N634,'02效果表'!D:D,'02效果表'!E:E), 0) +
Q634*IF(_xlfn.XLOOKUP(P634,'02效果表'!D:D,'02效果表'!E:E)&lt;0, _xlfn.XLOOKUP(P634,'02效果表'!D:D,'02效果表'!E:E), 0) +
S634*IF(_xlfn.XLOOKUP(R634,'02效果表'!D:D,'02效果表'!E:E)&lt;0, _xlfn.XLOOKUP(R634,'02效果表'!D:D,'02效果表'!E:E), 0) +
U634*IF(_xlfn.XLOOKUP(T634,'02效果表'!D:D,'02效果表'!E:E)&lt;0, _xlfn.XLOOKUP(T634,'02效果表'!D:D,'02效果表'!E:E), 0) +
W634*IF(_xlfn.XLOOKUP(V634,'02效果表'!D:D,'02效果表'!E:E)&lt;0, _xlfn.XLOOKUP(V634,'02效果表'!D:D,'02效果表'!E:E), 0) +
Y634*IF(_xlfn.XLOOKUP(X634,'02效果表'!D:D,'02效果表'!E:E)&lt;0, _xlfn.XLOOKUP(X634,'02效果表'!D:D,'02效果表'!E:E), 0) +
AA634*IF(_xlfn.XLOOKUP(Z634,'02效果表'!D:D,'02效果表'!E:E)&lt;0, _xlfn.XLOOKUP(Z634,'02效果表'!D:D,'02效果表'!E:E), 0) +
AC634*IF(_xlfn.XLOOKUP(AB634,'02效果表'!D:D,'02效果表'!E:E)&lt;0, _xlfn.XLOOKUP(AB634,'02效果表'!D:D,'02效果表'!E:E), 0) +
AE634*IF(_xlfn.XLOOKUP(AD634,'02效果表'!D:D,'02效果表'!E:E)&lt;0, _xlfn.XLOOKUP(AD634,'02效果表'!D:D,'02效果表'!E:E), 0)), 1)</f>
        <v>0</v>
      </c>
      <c r="G634" s="7">
        <f>ROUND(1/6*(I634*MAX(_xlfn.XLOOKUP(H634,'02效果表'!D:D,'02效果表'!E:E),0)+K634*MAX(_xlfn.XLOOKUP(J634,'02效果表'!D:D,'02效果表'!E:E),0)+M634*MAX(_xlfn.XLOOKUP(L634,'02效果表'!D:D,'02效果表'!E:E),0)+O634*MAX(_xlfn.XLOOKUP(N634,'02效果表'!D:D,'02效果表'!E:E),0)+Q634*MAX(_xlfn.XLOOKUP(P634,'02效果表'!D:D,'02效果表'!E:E),0)+S634*MAX(_xlfn.XLOOKUP(R634,'02效果表'!D:D,'02效果表'!E:E),0)+U634*MAX(_xlfn.XLOOKUP(T634,'02效果表'!D:D,'02效果表'!E:E),0)+W634*MAX(_xlfn.XLOOKUP(V634,'02效果表'!D:D,'02效果表'!E:E),0)+Y634*MAX(_xlfn.XLOOKUP(X634,'02效果表'!D:D,'02效果表'!E:E),0)+AA634*MAX(_xlfn.XLOOKUP(Z634,'02效果表'!D:D,'02效果表'!E:E),0)+AC634*MAX(_xlfn.XLOOKUP(AB634,'02效果表'!D:D,'02效果表'!E:E),0)+AE634*MAX(_xlfn.XLOOKUP(AD634,'02效果表'!D:D,'02效果表'!E:E),0)),1)</f>
        <v>0</v>
      </c>
      <c r="H634" s="6"/>
      <c r="I634" s="6"/>
      <c r="J634" s="6"/>
      <c r="K634" s="6"/>
      <c r="L634" s="6"/>
      <c r="M634" s="6"/>
      <c r="N634" s="6"/>
      <c r="O634" s="6"/>
      <c r="P634" s="6"/>
      <c r="Q634" s="6"/>
      <c r="R634" s="6"/>
      <c r="S634" s="6"/>
      <c r="T634" s="6"/>
      <c r="U634" s="6"/>
      <c r="V634" s="6"/>
      <c r="W634" s="6"/>
      <c r="X634" s="6"/>
      <c r="Y634" s="6"/>
      <c r="Z634" s="6"/>
      <c r="AA634" s="6"/>
      <c r="AB634" s="6"/>
      <c r="AC634" s="6"/>
      <c r="AD634" s="6"/>
      <c r="AE634" s="6"/>
    </row>
    <row r="635" spans="1:31" x14ac:dyDescent="0.35">
      <c r="A635" s="6">
        <v>635</v>
      </c>
      <c r="B635" s="6" t="s">
        <v>8</v>
      </c>
      <c r="C635" s="10" t="s">
        <v>1</v>
      </c>
      <c r="D635" s="9" t="s">
        <v>1759</v>
      </c>
      <c r="E635" s="7">
        <f t="shared" si="16"/>
        <v>0</v>
      </c>
      <c r="F635" s="7">
        <f>-1*ROUND(1/6*(I635*IF(_xlfn.XLOOKUP(H635,'02效果表'!D:D,'02效果表'!E:E)&lt;0, _xlfn.XLOOKUP(H635,'02效果表'!D:D,'02效果表'!E:E), 0) +
K635*IF(_xlfn.XLOOKUP(J635,'02效果表'!D:D,'02效果表'!E:E)&lt;0, _xlfn.XLOOKUP(J635,'02效果表'!D:D,'02效果表'!E:E), 0) +
M635*IF(_xlfn.XLOOKUP(L635,'02效果表'!D:D,'02效果表'!E:E)&lt;0, _xlfn.XLOOKUP(L635,'02效果表'!D:D,'02效果表'!E:E), 0) +
O635*IF(_xlfn.XLOOKUP(N635,'02效果表'!D:D,'02效果表'!E:E)&lt;0, _xlfn.XLOOKUP(N635,'02效果表'!D:D,'02效果表'!E:E), 0) +
Q635*IF(_xlfn.XLOOKUP(P635,'02效果表'!D:D,'02效果表'!E:E)&lt;0, _xlfn.XLOOKUP(P635,'02效果表'!D:D,'02效果表'!E:E), 0) +
S635*IF(_xlfn.XLOOKUP(R635,'02效果表'!D:D,'02效果表'!E:E)&lt;0, _xlfn.XLOOKUP(R635,'02效果表'!D:D,'02效果表'!E:E), 0) +
U635*IF(_xlfn.XLOOKUP(T635,'02效果表'!D:D,'02效果表'!E:E)&lt;0, _xlfn.XLOOKUP(T635,'02效果表'!D:D,'02效果表'!E:E), 0) +
W635*IF(_xlfn.XLOOKUP(V635,'02效果表'!D:D,'02效果表'!E:E)&lt;0, _xlfn.XLOOKUP(V635,'02效果表'!D:D,'02效果表'!E:E), 0) +
Y635*IF(_xlfn.XLOOKUP(X635,'02效果表'!D:D,'02效果表'!E:E)&lt;0, _xlfn.XLOOKUP(X635,'02效果表'!D:D,'02效果表'!E:E), 0) +
AA635*IF(_xlfn.XLOOKUP(Z635,'02效果表'!D:D,'02效果表'!E:E)&lt;0, _xlfn.XLOOKUP(Z635,'02效果表'!D:D,'02效果表'!E:E), 0) +
AC635*IF(_xlfn.XLOOKUP(AB635,'02效果表'!D:D,'02效果表'!E:E)&lt;0, _xlfn.XLOOKUP(AB635,'02效果表'!D:D,'02效果表'!E:E), 0) +
AE635*IF(_xlfn.XLOOKUP(AD635,'02效果表'!D:D,'02效果表'!E:E)&lt;0, _xlfn.XLOOKUP(AD635,'02效果表'!D:D,'02效果表'!E:E), 0)), 1)</f>
        <v>0</v>
      </c>
      <c r="G635" s="7">
        <f>ROUND(1/6*(I635*MAX(_xlfn.XLOOKUP(H635,'02效果表'!D:D,'02效果表'!E:E),0)+K635*MAX(_xlfn.XLOOKUP(J635,'02效果表'!D:D,'02效果表'!E:E),0)+M635*MAX(_xlfn.XLOOKUP(L635,'02效果表'!D:D,'02效果表'!E:E),0)+O635*MAX(_xlfn.XLOOKUP(N635,'02效果表'!D:D,'02效果表'!E:E),0)+Q635*MAX(_xlfn.XLOOKUP(P635,'02效果表'!D:D,'02效果表'!E:E),0)+S635*MAX(_xlfn.XLOOKUP(R635,'02效果表'!D:D,'02效果表'!E:E),0)+U635*MAX(_xlfn.XLOOKUP(T635,'02效果表'!D:D,'02效果表'!E:E),0)+W635*MAX(_xlfn.XLOOKUP(V635,'02效果表'!D:D,'02效果表'!E:E),0)+Y635*MAX(_xlfn.XLOOKUP(X635,'02效果表'!D:D,'02效果表'!E:E),0)+AA635*MAX(_xlfn.XLOOKUP(Z635,'02效果表'!D:D,'02效果表'!E:E),0)+AC635*MAX(_xlfn.XLOOKUP(AB635,'02效果表'!D:D,'02效果表'!E:E),0)+AE635*MAX(_xlfn.XLOOKUP(AD635,'02效果表'!D:D,'02效果表'!E:E),0)),1)</f>
        <v>0</v>
      </c>
      <c r="H635" s="6"/>
      <c r="I635" s="6"/>
      <c r="J635" s="6"/>
      <c r="K635" s="6"/>
      <c r="L635" s="6"/>
      <c r="M635" s="6"/>
      <c r="N635" s="6"/>
      <c r="O635" s="6"/>
      <c r="P635" s="6"/>
      <c r="Q635" s="6"/>
      <c r="R635" s="6"/>
      <c r="S635" s="6"/>
      <c r="T635" s="6"/>
      <c r="U635" s="6"/>
      <c r="V635" s="6"/>
      <c r="W635" s="6"/>
      <c r="X635" s="6"/>
      <c r="Y635" s="6"/>
      <c r="Z635" s="6"/>
      <c r="AA635" s="6"/>
      <c r="AB635" s="6"/>
      <c r="AC635" s="6"/>
      <c r="AD635" s="6"/>
      <c r="AE635" s="6"/>
    </row>
    <row r="636" spans="1:31" x14ac:dyDescent="0.35">
      <c r="A636" s="6">
        <v>636</v>
      </c>
      <c r="B636" s="6" t="s">
        <v>8</v>
      </c>
      <c r="C636" s="10" t="s">
        <v>1</v>
      </c>
      <c r="D636" s="9" t="s">
        <v>1760</v>
      </c>
      <c r="E636" s="7">
        <f t="shared" si="16"/>
        <v>0</v>
      </c>
      <c r="F636" s="7">
        <f>-1*ROUND(1/6*(I636*IF(_xlfn.XLOOKUP(H636,'02效果表'!D:D,'02效果表'!E:E)&lt;0, _xlfn.XLOOKUP(H636,'02效果表'!D:D,'02效果表'!E:E), 0) +
K636*IF(_xlfn.XLOOKUP(J636,'02效果表'!D:D,'02效果表'!E:E)&lt;0, _xlfn.XLOOKUP(J636,'02效果表'!D:D,'02效果表'!E:E), 0) +
M636*IF(_xlfn.XLOOKUP(L636,'02效果表'!D:D,'02效果表'!E:E)&lt;0, _xlfn.XLOOKUP(L636,'02效果表'!D:D,'02效果表'!E:E), 0) +
O636*IF(_xlfn.XLOOKUP(N636,'02效果表'!D:D,'02效果表'!E:E)&lt;0, _xlfn.XLOOKUP(N636,'02效果表'!D:D,'02效果表'!E:E), 0) +
Q636*IF(_xlfn.XLOOKUP(P636,'02效果表'!D:D,'02效果表'!E:E)&lt;0, _xlfn.XLOOKUP(P636,'02效果表'!D:D,'02效果表'!E:E), 0) +
S636*IF(_xlfn.XLOOKUP(R636,'02效果表'!D:D,'02效果表'!E:E)&lt;0, _xlfn.XLOOKUP(R636,'02效果表'!D:D,'02效果表'!E:E), 0) +
U636*IF(_xlfn.XLOOKUP(T636,'02效果表'!D:D,'02效果表'!E:E)&lt;0, _xlfn.XLOOKUP(T636,'02效果表'!D:D,'02效果表'!E:E), 0) +
W636*IF(_xlfn.XLOOKUP(V636,'02效果表'!D:D,'02效果表'!E:E)&lt;0, _xlfn.XLOOKUP(V636,'02效果表'!D:D,'02效果表'!E:E), 0) +
Y636*IF(_xlfn.XLOOKUP(X636,'02效果表'!D:D,'02效果表'!E:E)&lt;0, _xlfn.XLOOKUP(X636,'02效果表'!D:D,'02效果表'!E:E), 0) +
AA636*IF(_xlfn.XLOOKUP(Z636,'02效果表'!D:D,'02效果表'!E:E)&lt;0, _xlfn.XLOOKUP(Z636,'02效果表'!D:D,'02效果表'!E:E), 0) +
AC636*IF(_xlfn.XLOOKUP(AB636,'02效果表'!D:D,'02效果表'!E:E)&lt;0, _xlfn.XLOOKUP(AB636,'02效果表'!D:D,'02效果表'!E:E), 0) +
AE636*IF(_xlfn.XLOOKUP(AD636,'02效果表'!D:D,'02效果表'!E:E)&lt;0, _xlfn.XLOOKUP(AD636,'02效果表'!D:D,'02效果表'!E:E), 0)), 1)</f>
        <v>0</v>
      </c>
      <c r="G636" s="7">
        <f>ROUND(1/6*(I636*MAX(_xlfn.XLOOKUP(H636,'02效果表'!D:D,'02效果表'!E:E),0)+K636*MAX(_xlfn.XLOOKUP(J636,'02效果表'!D:D,'02效果表'!E:E),0)+M636*MAX(_xlfn.XLOOKUP(L636,'02效果表'!D:D,'02效果表'!E:E),0)+O636*MAX(_xlfn.XLOOKUP(N636,'02效果表'!D:D,'02效果表'!E:E),0)+Q636*MAX(_xlfn.XLOOKUP(P636,'02效果表'!D:D,'02效果表'!E:E),0)+S636*MAX(_xlfn.XLOOKUP(R636,'02效果表'!D:D,'02效果表'!E:E),0)+U636*MAX(_xlfn.XLOOKUP(T636,'02效果表'!D:D,'02效果表'!E:E),0)+W636*MAX(_xlfn.XLOOKUP(V636,'02效果表'!D:D,'02效果表'!E:E),0)+Y636*MAX(_xlfn.XLOOKUP(X636,'02效果表'!D:D,'02效果表'!E:E),0)+AA636*MAX(_xlfn.XLOOKUP(Z636,'02效果表'!D:D,'02效果表'!E:E),0)+AC636*MAX(_xlfn.XLOOKUP(AB636,'02效果表'!D:D,'02效果表'!E:E),0)+AE636*MAX(_xlfn.XLOOKUP(AD636,'02效果表'!D:D,'02效果表'!E:E),0)),1)</f>
        <v>0</v>
      </c>
      <c r="H636" s="6"/>
      <c r="I636" s="6"/>
      <c r="J636" s="6"/>
      <c r="K636" s="6"/>
      <c r="L636" s="6"/>
      <c r="M636" s="6"/>
      <c r="N636" s="6"/>
      <c r="O636" s="6"/>
      <c r="P636" s="6"/>
      <c r="Q636" s="6"/>
      <c r="R636" s="6"/>
      <c r="S636" s="6"/>
      <c r="T636" s="6"/>
      <c r="U636" s="6"/>
      <c r="V636" s="6"/>
      <c r="W636" s="6"/>
      <c r="X636" s="6"/>
      <c r="Y636" s="6"/>
      <c r="Z636" s="6"/>
      <c r="AA636" s="6"/>
      <c r="AB636" s="6"/>
      <c r="AC636" s="6"/>
      <c r="AD636" s="6"/>
      <c r="AE636" s="6"/>
    </row>
    <row r="637" spans="1:31" x14ac:dyDescent="0.35">
      <c r="A637" s="6">
        <v>637</v>
      </c>
      <c r="B637" s="6" t="s">
        <v>8</v>
      </c>
      <c r="C637" s="10" t="s">
        <v>1</v>
      </c>
      <c r="D637" s="9" t="s">
        <v>1761</v>
      </c>
      <c r="E637" s="7">
        <f t="shared" si="16"/>
        <v>0</v>
      </c>
      <c r="F637" s="7">
        <f>-1*ROUND(1/6*(I637*IF(_xlfn.XLOOKUP(H637,'02效果表'!D:D,'02效果表'!E:E)&lt;0, _xlfn.XLOOKUP(H637,'02效果表'!D:D,'02效果表'!E:E), 0) +
K637*IF(_xlfn.XLOOKUP(J637,'02效果表'!D:D,'02效果表'!E:E)&lt;0, _xlfn.XLOOKUP(J637,'02效果表'!D:D,'02效果表'!E:E), 0) +
M637*IF(_xlfn.XLOOKUP(L637,'02效果表'!D:D,'02效果表'!E:E)&lt;0, _xlfn.XLOOKUP(L637,'02效果表'!D:D,'02效果表'!E:E), 0) +
O637*IF(_xlfn.XLOOKUP(N637,'02效果表'!D:D,'02效果表'!E:E)&lt;0, _xlfn.XLOOKUP(N637,'02效果表'!D:D,'02效果表'!E:E), 0) +
Q637*IF(_xlfn.XLOOKUP(P637,'02效果表'!D:D,'02效果表'!E:E)&lt;0, _xlfn.XLOOKUP(P637,'02效果表'!D:D,'02效果表'!E:E), 0) +
S637*IF(_xlfn.XLOOKUP(R637,'02效果表'!D:D,'02效果表'!E:E)&lt;0, _xlfn.XLOOKUP(R637,'02效果表'!D:D,'02效果表'!E:E), 0) +
U637*IF(_xlfn.XLOOKUP(T637,'02效果表'!D:D,'02效果表'!E:E)&lt;0, _xlfn.XLOOKUP(T637,'02效果表'!D:D,'02效果表'!E:E), 0) +
W637*IF(_xlfn.XLOOKUP(V637,'02效果表'!D:D,'02效果表'!E:E)&lt;0, _xlfn.XLOOKUP(V637,'02效果表'!D:D,'02效果表'!E:E), 0) +
Y637*IF(_xlfn.XLOOKUP(X637,'02效果表'!D:D,'02效果表'!E:E)&lt;0, _xlfn.XLOOKUP(X637,'02效果表'!D:D,'02效果表'!E:E), 0) +
AA637*IF(_xlfn.XLOOKUP(Z637,'02效果表'!D:D,'02效果表'!E:E)&lt;0, _xlfn.XLOOKUP(Z637,'02效果表'!D:D,'02效果表'!E:E), 0) +
AC637*IF(_xlfn.XLOOKUP(AB637,'02效果表'!D:D,'02效果表'!E:E)&lt;0, _xlfn.XLOOKUP(AB637,'02效果表'!D:D,'02效果表'!E:E), 0) +
AE637*IF(_xlfn.XLOOKUP(AD637,'02效果表'!D:D,'02效果表'!E:E)&lt;0, _xlfn.XLOOKUP(AD637,'02效果表'!D:D,'02效果表'!E:E), 0)), 1)</f>
        <v>0</v>
      </c>
      <c r="G637" s="7">
        <f>ROUND(1/6*(I637*MAX(_xlfn.XLOOKUP(H637,'02效果表'!D:D,'02效果表'!E:E),0)+K637*MAX(_xlfn.XLOOKUP(J637,'02效果表'!D:D,'02效果表'!E:E),0)+M637*MAX(_xlfn.XLOOKUP(L637,'02效果表'!D:D,'02效果表'!E:E),0)+O637*MAX(_xlfn.XLOOKUP(N637,'02效果表'!D:D,'02效果表'!E:E),0)+Q637*MAX(_xlfn.XLOOKUP(P637,'02效果表'!D:D,'02效果表'!E:E),0)+S637*MAX(_xlfn.XLOOKUP(R637,'02效果表'!D:D,'02效果表'!E:E),0)+U637*MAX(_xlfn.XLOOKUP(T637,'02效果表'!D:D,'02效果表'!E:E),0)+W637*MAX(_xlfn.XLOOKUP(V637,'02效果表'!D:D,'02效果表'!E:E),0)+Y637*MAX(_xlfn.XLOOKUP(X637,'02效果表'!D:D,'02效果表'!E:E),0)+AA637*MAX(_xlfn.XLOOKUP(Z637,'02效果表'!D:D,'02效果表'!E:E),0)+AC637*MAX(_xlfn.XLOOKUP(AB637,'02效果表'!D:D,'02效果表'!E:E),0)+AE637*MAX(_xlfn.XLOOKUP(AD637,'02效果表'!D:D,'02效果表'!E:E),0)),1)</f>
        <v>0</v>
      </c>
      <c r="H637" s="6"/>
      <c r="I637" s="6"/>
      <c r="J637" s="6"/>
      <c r="K637" s="6"/>
      <c r="L637" s="6"/>
      <c r="M637" s="6"/>
      <c r="N637" s="6"/>
      <c r="O637" s="6"/>
      <c r="P637" s="6"/>
      <c r="Q637" s="6"/>
      <c r="R637" s="6"/>
      <c r="S637" s="6"/>
      <c r="T637" s="6"/>
      <c r="U637" s="6"/>
      <c r="V637" s="6"/>
      <c r="W637" s="6"/>
      <c r="X637" s="6"/>
      <c r="Y637" s="6"/>
      <c r="Z637" s="6"/>
      <c r="AA637" s="6"/>
      <c r="AB637" s="6"/>
      <c r="AC637" s="6"/>
      <c r="AD637" s="6"/>
      <c r="AE637" s="6"/>
    </row>
    <row r="638" spans="1:31" x14ac:dyDescent="0.35">
      <c r="A638" s="6">
        <v>638</v>
      </c>
      <c r="B638" s="6" t="s">
        <v>8</v>
      </c>
      <c r="C638" s="10" t="s">
        <v>1</v>
      </c>
      <c r="D638" s="9" t="s">
        <v>1762</v>
      </c>
      <c r="E638" s="7">
        <f t="shared" si="16"/>
        <v>0</v>
      </c>
      <c r="F638" s="7">
        <f>-1*ROUND(1/6*(I638*IF(_xlfn.XLOOKUP(H638,'02效果表'!D:D,'02效果表'!E:E)&lt;0, _xlfn.XLOOKUP(H638,'02效果表'!D:D,'02效果表'!E:E), 0) +
K638*IF(_xlfn.XLOOKUP(J638,'02效果表'!D:D,'02效果表'!E:E)&lt;0, _xlfn.XLOOKUP(J638,'02效果表'!D:D,'02效果表'!E:E), 0) +
M638*IF(_xlfn.XLOOKUP(L638,'02效果表'!D:D,'02效果表'!E:E)&lt;0, _xlfn.XLOOKUP(L638,'02效果表'!D:D,'02效果表'!E:E), 0) +
O638*IF(_xlfn.XLOOKUP(N638,'02效果表'!D:D,'02效果表'!E:E)&lt;0, _xlfn.XLOOKUP(N638,'02效果表'!D:D,'02效果表'!E:E), 0) +
Q638*IF(_xlfn.XLOOKUP(P638,'02效果表'!D:D,'02效果表'!E:E)&lt;0, _xlfn.XLOOKUP(P638,'02效果表'!D:D,'02效果表'!E:E), 0) +
S638*IF(_xlfn.XLOOKUP(R638,'02效果表'!D:D,'02效果表'!E:E)&lt;0, _xlfn.XLOOKUP(R638,'02效果表'!D:D,'02效果表'!E:E), 0) +
U638*IF(_xlfn.XLOOKUP(T638,'02效果表'!D:D,'02效果表'!E:E)&lt;0, _xlfn.XLOOKUP(T638,'02效果表'!D:D,'02效果表'!E:E), 0) +
W638*IF(_xlfn.XLOOKUP(V638,'02效果表'!D:D,'02效果表'!E:E)&lt;0, _xlfn.XLOOKUP(V638,'02效果表'!D:D,'02效果表'!E:E), 0) +
Y638*IF(_xlfn.XLOOKUP(X638,'02效果表'!D:D,'02效果表'!E:E)&lt;0, _xlfn.XLOOKUP(X638,'02效果表'!D:D,'02效果表'!E:E), 0) +
AA638*IF(_xlfn.XLOOKUP(Z638,'02效果表'!D:D,'02效果表'!E:E)&lt;0, _xlfn.XLOOKUP(Z638,'02效果表'!D:D,'02效果表'!E:E), 0) +
AC638*IF(_xlfn.XLOOKUP(AB638,'02效果表'!D:D,'02效果表'!E:E)&lt;0, _xlfn.XLOOKUP(AB638,'02效果表'!D:D,'02效果表'!E:E), 0) +
AE638*IF(_xlfn.XLOOKUP(AD638,'02效果表'!D:D,'02效果表'!E:E)&lt;0, _xlfn.XLOOKUP(AD638,'02效果表'!D:D,'02效果表'!E:E), 0)), 1)</f>
        <v>0</v>
      </c>
      <c r="G638" s="7">
        <f>ROUND(1/6*(I638*MAX(_xlfn.XLOOKUP(H638,'02效果表'!D:D,'02效果表'!E:E),0)+K638*MAX(_xlfn.XLOOKUP(J638,'02效果表'!D:D,'02效果表'!E:E),0)+M638*MAX(_xlfn.XLOOKUP(L638,'02效果表'!D:D,'02效果表'!E:E),0)+O638*MAX(_xlfn.XLOOKUP(N638,'02效果表'!D:D,'02效果表'!E:E),0)+Q638*MAX(_xlfn.XLOOKUP(P638,'02效果表'!D:D,'02效果表'!E:E),0)+S638*MAX(_xlfn.XLOOKUP(R638,'02效果表'!D:D,'02效果表'!E:E),0)+U638*MAX(_xlfn.XLOOKUP(T638,'02效果表'!D:D,'02效果表'!E:E),0)+W638*MAX(_xlfn.XLOOKUP(V638,'02效果表'!D:D,'02效果表'!E:E),0)+Y638*MAX(_xlfn.XLOOKUP(X638,'02效果表'!D:D,'02效果表'!E:E),0)+AA638*MAX(_xlfn.XLOOKUP(Z638,'02效果表'!D:D,'02效果表'!E:E),0)+AC638*MAX(_xlfn.XLOOKUP(AB638,'02效果表'!D:D,'02效果表'!E:E),0)+AE638*MAX(_xlfn.XLOOKUP(AD638,'02效果表'!D:D,'02效果表'!E:E),0)),1)</f>
        <v>0</v>
      </c>
      <c r="H638" s="6"/>
      <c r="I638" s="6"/>
      <c r="J638" s="6"/>
      <c r="K638" s="6"/>
      <c r="L638" s="6"/>
      <c r="M638" s="6"/>
      <c r="N638" s="6"/>
      <c r="O638" s="6"/>
      <c r="P638" s="6"/>
      <c r="Q638" s="6"/>
      <c r="R638" s="6"/>
      <c r="S638" s="6"/>
      <c r="T638" s="6"/>
      <c r="U638" s="6"/>
      <c r="V638" s="6"/>
      <c r="W638" s="6"/>
      <c r="X638" s="6"/>
      <c r="Y638" s="6"/>
      <c r="Z638" s="6"/>
      <c r="AA638" s="6"/>
      <c r="AB638" s="6"/>
      <c r="AC638" s="6"/>
      <c r="AD638" s="6"/>
      <c r="AE638" s="6"/>
    </row>
    <row r="639" spans="1:31" x14ac:dyDescent="0.35">
      <c r="A639" s="6">
        <v>639</v>
      </c>
      <c r="B639" s="6" t="s">
        <v>8</v>
      </c>
      <c r="C639" s="10" t="s">
        <v>1</v>
      </c>
      <c r="D639" s="9" t="s">
        <v>1763</v>
      </c>
      <c r="E639" s="7">
        <f t="shared" si="16"/>
        <v>0</v>
      </c>
      <c r="F639" s="7">
        <f>-1*ROUND(1/6*(I639*IF(_xlfn.XLOOKUP(H639,'02效果表'!D:D,'02效果表'!E:E)&lt;0, _xlfn.XLOOKUP(H639,'02效果表'!D:D,'02效果表'!E:E), 0) +
K639*IF(_xlfn.XLOOKUP(J639,'02效果表'!D:D,'02效果表'!E:E)&lt;0, _xlfn.XLOOKUP(J639,'02效果表'!D:D,'02效果表'!E:E), 0) +
M639*IF(_xlfn.XLOOKUP(L639,'02效果表'!D:D,'02效果表'!E:E)&lt;0, _xlfn.XLOOKUP(L639,'02效果表'!D:D,'02效果表'!E:E), 0) +
O639*IF(_xlfn.XLOOKUP(N639,'02效果表'!D:D,'02效果表'!E:E)&lt;0, _xlfn.XLOOKUP(N639,'02效果表'!D:D,'02效果表'!E:E), 0) +
Q639*IF(_xlfn.XLOOKUP(P639,'02效果表'!D:D,'02效果表'!E:E)&lt;0, _xlfn.XLOOKUP(P639,'02效果表'!D:D,'02效果表'!E:E), 0) +
S639*IF(_xlfn.XLOOKUP(R639,'02效果表'!D:D,'02效果表'!E:E)&lt;0, _xlfn.XLOOKUP(R639,'02效果表'!D:D,'02效果表'!E:E), 0) +
U639*IF(_xlfn.XLOOKUP(T639,'02效果表'!D:D,'02效果表'!E:E)&lt;0, _xlfn.XLOOKUP(T639,'02效果表'!D:D,'02效果表'!E:E), 0) +
W639*IF(_xlfn.XLOOKUP(V639,'02效果表'!D:D,'02效果表'!E:E)&lt;0, _xlfn.XLOOKUP(V639,'02效果表'!D:D,'02效果表'!E:E), 0) +
Y639*IF(_xlfn.XLOOKUP(X639,'02效果表'!D:D,'02效果表'!E:E)&lt;0, _xlfn.XLOOKUP(X639,'02效果表'!D:D,'02效果表'!E:E), 0) +
AA639*IF(_xlfn.XLOOKUP(Z639,'02效果表'!D:D,'02效果表'!E:E)&lt;0, _xlfn.XLOOKUP(Z639,'02效果表'!D:D,'02效果表'!E:E), 0) +
AC639*IF(_xlfn.XLOOKUP(AB639,'02效果表'!D:D,'02效果表'!E:E)&lt;0, _xlfn.XLOOKUP(AB639,'02效果表'!D:D,'02效果表'!E:E), 0) +
AE639*IF(_xlfn.XLOOKUP(AD639,'02效果表'!D:D,'02效果表'!E:E)&lt;0, _xlfn.XLOOKUP(AD639,'02效果表'!D:D,'02效果表'!E:E), 0)), 1)</f>
        <v>0</v>
      </c>
      <c r="G639" s="7">
        <f>ROUND(1/6*(I639*MAX(_xlfn.XLOOKUP(H639,'02效果表'!D:D,'02效果表'!E:E),0)+K639*MAX(_xlfn.XLOOKUP(J639,'02效果表'!D:D,'02效果表'!E:E),0)+M639*MAX(_xlfn.XLOOKUP(L639,'02效果表'!D:D,'02效果表'!E:E),0)+O639*MAX(_xlfn.XLOOKUP(N639,'02效果表'!D:D,'02效果表'!E:E),0)+Q639*MAX(_xlfn.XLOOKUP(P639,'02效果表'!D:D,'02效果表'!E:E),0)+S639*MAX(_xlfn.XLOOKUP(R639,'02效果表'!D:D,'02效果表'!E:E),0)+U639*MAX(_xlfn.XLOOKUP(T639,'02效果表'!D:D,'02效果表'!E:E),0)+W639*MAX(_xlfn.XLOOKUP(V639,'02效果表'!D:D,'02效果表'!E:E),0)+Y639*MAX(_xlfn.XLOOKUP(X639,'02效果表'!D:D,'02效果表'!E:E),0)+AA639*MAX(_xlfn.XLOOKUP(Z639,'02效果表'!D:D,'02效果表'!E:E),0)+AC639*MAX(_xlfn.XLOOKUP(AB639,'02效果表'!D:D,'02效果表'!E:E),0)+AE639*MAX(_xlfn.XLOOKUP(AD639,'02效果表'!D:D,'02效果表'!E:E),0)),1)</f>
        <v>0</v>
      </c>
      <c r="H639" s="6"/>
      <c r="I639" s="6"/>
      <c r="J639" s="6"/>
      <c r="K639" s="6"/>
      <c r="L639" s="6"/>
      <c r="M639" s="6"/>
      <c r="N639" s="6"/>
      <c r="O639" s="6"/>
      <c r="P639" s="6"/>
      <c r="Q639" s="6"/>
      <c r="R639" s="6"/>
      <c r="S639" s="6"/>
      <c r="T639" s="6"/>
      <c r="U639" s="6"/>
      <c r="V639" s="6"/>
      <c r="W639" s="6"/>
      <c r="X639" s="6"/>
      <c r="Y639" s="6"/>
      <c r="Z639" s="6"/>
      <c r="AA639" s="6"/>
      <c r="AB639" s="6"/>
      <c r="AC639" s="6"/>
      <c r="AD639" s="6"/>
      <c r="AE639" s="6"/>
    </row>
    <row r="640" spans="1:31" x14ac:dyDescent="0.35">
      <c r="A640" s="6">
        <v>640</v>
      </c>
      <c r="B640" s="6" t="s">
        <v>8</v>
      </c>
      <c r="C640" s="10" t="s">
        <v>1</v>
      </c>
      <c r="D640" s="9" t="s">
        <v>1764</v>
      </c>
      <c r="E640" s="7">
        <f t="shared" si="16"/>
        <v>0</v>
      </c>
      <c r="F640" s="7">
        <f>-1*ROUND(1/6*(I640*IF(_xlfn.XLOOKUP(H640,'02效果表'!D:D,'02效果表'!E:E)&lt;0, _xlfn.XLOOKUP(H640,'02效果表'!D:D,'02效果表'!E:E), 0) +
K640*IF(_xlfn.XLOOKUP(J640,'02效果表'!D:D,'02效果表'!E:E)&lt;0, _xlfn.XLOOKUP(J640,'02效果表'!D:D,'02效果表'!E:E), 0) +
M640*IF(_xlfn.XLOOKUP(L640,'02效果表'!D:D,'02效果表'!E:E)&lt;0, _xlfn.XLOOKUP(L640,'02效果表'!D:D,'02效果表'!E:E), 0) +
O640*IF(_xlfn.XLOOKUP(N640,'02效果表'!D:D,'02效果表'!E:E)&lt;0, _xlfn.XLOOKUP(N640,'02效果表'!D:D,'02效果表'!E:E), 0) +
Q640*IF(_xlfn.XLOOKUP(P640,'02效果表'!D:D,'02效果表'!E:E)&lt;0, _xlfn.XLOOKUP(P640,'02效果表'!D:D,'02效果表'!E:E), 0) +
S640*IF(_xlfn.XLOOKUP(R640,'02效果表'!D:D,'02效果表'!E:E)&lt;0, _xlfn.XLOOKUP(R640,'02效果表'!D:D,'02效果表'!E:E), 0) +
U640*IF(_xlfn.XLOOKUP(T640,'02效果表'!D:D,'02效果表'!E:E)&lt;0, _xlfn.XLOOKUP(T640,'02效果表'!D:D,'02效果表'!E:E), 0) +
W640*IF(_xlfn.XLOOKUP(V640,'02效果表'!D:D,'02效果表'!E:E)&lt;0, _xlfn.XLOOKUP(V640,'02效果表'!D:D,'02效果表'!E:E), 0) +
Y640*IF(_xlfn.XLOOKUP(X640,'02效果表'!D:D,'02效果表'!E:E)&lt;0, _xlfn.XLOOKUP(X640,'02效果表'!D:D,'02效果表'!E:E), 0) +
AA640*IF(_xlfn.XLOOKUP(Z640,'02效果表'!D:D,'02效果表'!E:E)&lt;0, _xlfn.XLOOKUP(Z640,'02效果表'!D:D,'02效果表'!E:E), 0) +
AC640*IF(_xlfn.XLOOKUP(AB640,'02效果表'!D:D,'02效果表'!E:E)&lt;0, _xlfn.XLOOKUP(AB640,'02效果表'!D:D,'02效果表'!E:E), 0) +
AE640*IF(_xlfn.XLOOKUP(AD640,'02效果表'!D:D,'02效果表'!E:E)&lt;0, _xlfn.XLOOKUP(AD640,'02效果表'!D:D,'02效果表'!E:E), 0)), 1)</f>
        <v>0</v>
      </c>
      <c r="G640" s="7">
        <f>ROUND(1/6*(I640*MAX(_xlfn.XLOOKUP(H640,'02效果表'!D:D,'02效果表'!E:E),0)+K640*MAX(_xlfn.XLOOKUP(J640,'02效果表'!D:D,'02效果表'!E:E),0)+M640*MAX(_xlfn.XLOOKUP(L640,'02效果表'!D:D,'02效果表'!E:E),0)+O640*MAX(_xlfn.XLOOKUP(N640,'02效果表'!D:D,'02效果表'!E:E),0)+Q640*MAX(_xlfn.XLOOKUP(P640,'02效果表'!D:D,'02效果表'!E:E),0)+S640*MAX(_xlfn.XLOOKUP(R640,'02效果表'!D:D,'02效果表'!E:E),0)+U640*MAX(_xlfn.XLOOKUP(T640,'02效果表'!D:D,'02效果表'!E:E),0)+W640*MAX(_xlfn.XLOOKUP(V640,'02效果表'!D:D,'02效果表'!E:E),0)+Y640*MAX(_xlfn.XLOOKUP(X640,'02效果表'!D:D,'02效果表'!E:E),0)+AA640*MAX(_xlfn.XLOOKUP(Z640,'02效果表'!D:D,'02效果表'!E:E),0)+AC640*MAX(_xlfn.XLOOKUP(AB640,'02效果表'!D:D,'02效果表'!E:E),0)+AE640*MAX(_xlfn.XLOOKUP(AD640,'02效果表'!D:D,'02效果表'!E:E),0)),1)</f>
        <v>0</v>
      </c>
      <c r="H640" s="6"/>
      <c r="I640" s="6"/>
      <c r="J640" s="6"/>
      <c r="K640" s="6"/>
      <c r="L640" s="6"/>
      <c r="M640" s="6"/>
      <c r="N640" s="6"/>
      <c r="O640" s="6"/>
      <c r="P640" s="6"/>
      <c r="Q640" s="6"/>
      <c r="R640" s="6"/>
      <c r="S640" s="6"/>
      <c r="T640" s="6"/>
      <c r="U640" s="6"/>
      <c r="V640" s="6"/>
      <c r="W640" s="6"/>
      <c r="X640" s="6"/>
      <c r="Y640" s="6"/>
      <c r="Z640" s="6"/>
      <c r="AA640" s="6"/>
      <c r="AB640" s="6"/>
      <c r="AC640" s="6"/>
      <c r="AD640" s="6"/>
      <c r="AE640" s="6"/>
    </row>
    <row r="641" spans="1:31" x14ac:dyDescent="0.35">
      <c r="A641" s="6">
        <v>641</v>
      </c>
      <c r="B641" s="6" t="s">
        <v>8</v>
      </c>
      <c r="C641" s="10" t="s">
        <v>1</v>
      </c>
      <c r="D641" s="9" t="s">
        <v>865</v>
      </c>
      <c r="E641" s="7">
        <f t="shared" si="16"/>
        <v>0</v>
      </c>
      <c r="F641" s="7">
        <f>-1*ROUND(1/6*(I641*IF(_xlfn.XLOOKUP(H641,'02效果表'!D:D,'02效果表'!E:E)&lt;0, _xlfn.XLOOKUP(H641,'02效果表'!D:D,'02效果表'!E:E), 0) +
K641*IF(_xlfn.XLOOKUP(J641,'02效果表'!D:D,'02效果表'!E:E)&lt;0, _xlfn.XLOOKUP(J641,'02效果表'!D:D,'02效果表'!E:E), 0) +
M641*IF(_xlfn.XLOOKUP(L641,'02效果表'!D:D,'02效果表'!E:E)&lt;0, _xlfn.XLOOKUP(L641,'02效果表'!D:D,'02效果表'!E:E), 0) +
O641*IF(_xlfn.XLOOKUP(N641,'02效果表'!D:D,'02效果表'!E:E)&lt;0, _xlfn.XLOOKUP(N641,'02效果表'!D:D,'02效果表'!E:E), 0) +
Q641*IF(_xlfn.XLOOKUP(P641,'02效果表'!D:D,'02效果表'!E:E)&lt;0, _xlfn.XLOOKUP(P641,'02效果表'!D:D,'02效果表'!E:E), 0) +
S641*IF(_xlfn.XLOOKUP(R641,'02效果表'!D:D,'02效果表'!E:E)&lt;0, _xlfn.XLOOKUP(R641,'02效果表'!D:D,'02效果表'!E:E), 0) +
U641*IF(_xlfn.XLOOKUP(T641,'02效果表'!D:D,'02效果表'!E:E)&lt;0, _xlfn.XLOOKUP(T641,'02效果表'!D:D,'02效果表'!E:E), 0) +
W641*IF(_xlfn.XLOOKUP(V641,'02效果表'!D:D,'02效果表'!E:E)&lt;0, _xlfn.XLOOKUP(V641,'02效果表'!D:D,'02效果表'!E:E), 0) +
Y641*IF(_xlfn.XLOOKUP(X641,'02效果表'!D:D,'02效果表'!E:E)&lt;0, _xlfn.XLOOKUP(X641,'02效果表'!D:D,'02效果表'!E:E), 0) +
AA641*IF(_xlfn.XLOOKUP(Z641,'02效果表'!D:D,'02效果表'!E:E)&lt;0, _xlfn.XLOOKUP(Z641,'02效果表'!D:D,'02效果表'!E:E), 0) +
AC641*IF(_xlfn.XLOOKUP(AB641,'02效果表'!D:D,'02效果表'!E:E)&lt;0, _xlfn.XLOOKUP(AB641,'02效果表'!D:D,'02效果表'!E:E), 0) +
AE641*IF(_xlfn.XLOOKUP(AD641,'02效果表'!D:D,'02效果表'!E:E)&lt;0, _xlfn.XLOOKUP(AD641,'02效果表'!D:D,'02效果表'!E:E), 0)), 1)</f>
        <v>0</v>
      </c>
      <c r="G641" s="7">
        <f>ROUND(1/6*(I641*MAX(_xlfn.XLOOKUP(H641,'02效果表'!D:D,'02效果表'!E:E),0)+K641*MAX(_xlfn.XLOOKUP(J641,'02效果表'!D:D,'02效果表'!E:E),0)+M641*MAX(_xlfn.XLOOKUP(L641,'02效果表'!D:D,'02效果表'!E:E),0)+O641*MAX(_xlfn.XLOOKUP(N641,'02效果表'!D:D,'02效果表'!E:E),0)+Q641*MAX(_xlfn.XLOOKUP(P641,'02效果表'!D:D,'02效果表'!E:E),0)+S641*MAX(_xlfn.XLOOKUP(R641,'02效果表'!D:D,'02效果表'!E:E),0)+U641*MAX(_xlfn.XLOOKUP(T641,'02效果表'!D:D,'02效果表'!E:E),0)+W641*MAX(_xlfn.XLOOKUP(V641,'02效果表'!D:D,'02效果表'!E:E),0)+Y641*MAX(_xlfn.XLOOKUP(X641,'02效果表'!D:D,'02效果表'!E:E),0)+AA641*MAX(_xlfn.XLOOKUP(Z641,'02效果表'!D:D,'02效果表'!E:E),0)+AC641*MAX(_xlfn.XLOOKUP(AB641,'02效果表'!D:D,'02效果表'!E:E),0)+AE641*MAX(_xlfn.XLOOKUP(AD641,'02效果表'!D:D,'02效果表'!E:E),0)),1)</f>
        <v>0</v>
      </c>
      <c r="H641" s="6"/>
      <c r="I641" s="6"/>
      <c r="J641" s="6"/>
      <c r="K641" s="6"/>
      <c r="L641" s="6"/>
      <c r="M641" s="6"/>
      <c r="N641" s="6"/>
      <c r="O641" s="6"/>
      <c r="P641" s="6"/>
      <c r="Q641" s="6"/>
      <c r="R641" s="6"/>
      <c r="S641" s="6"/>
      <c r="T641" s="6"/>
      <c r="U641" s="6"/>
      <c r="V641" s="6"/>
      <c r="W641" s="6"/>
      <c r="X641" s="6"/>
      <c r="Y641" s="6"/>
      <c r="Z641" s="6"/>
      <c r="AA641" s="6"/>
      <c r="AB641" s="6"/>
      <c r="AC641" s="6"/>
      <c r="AD641" s="6"/>
      <c r="AE641" s="6"/>
    </row>
    <row r="642" spans="1:31" x14ac:dyDescent="0.35">
      <c r="A642" s="6">
        <v>642</v>
      </c>
      <c r="B642" s="6" t="s">
        <v>8</v>
      </c>
      <c r="C642" s="10" t="s">
        <v>1</v>
      </c>
      <c r="D642" s="9" t="s">
        <v>1765</v>
      </c>
      <c r="E642" s="7">
        <f t="shared" ref="E642:E705" si="17">ROUND(G642-F642,0)</f>
        <v>0</v>
      </c>
      <c r="F642" s="7">
        <f>-1*ROUND(1/6*(I642*IF(_xlfn.XLOOKUP(H642,'02效果表'!D:D,'02效果表'!E:E)&lt;0, _xlfn.XLOOKUP(H642,'02效果表'!D:D,'02效果表'!E:E), 0) +
K642*IF(_xlfn.XLOOKUP(J642,'02效果表'!D:D,'02效果表'!E:E)&lt;0, _xlfn.XLOOKUP(J642,'02效果表'!D:D,'02效果表'!E:E), 0) +
M642*IF(_xlfn.XLOOKUP(L642,'02效果表'!D:D,'02效果表'!E:E)&lt;0, _xlfn.XLOOKUP(L642,'02效果表'!D:D,'02效果表'!E:E), 0) +
O642*IF(_xlfn.XLOOKUP(N642,'02效果表'!D:D,'02效果表'!E:E)&lt;0, _xlfn.XLOOKUP(N642,'02效果表'!D:D,'02效果表'!E:E), 0) +
Q642*IF(_xlfn.XLOOKUP(P642,'02效果表'!D:D,'02效果表'!E:E)&lt;0, _xlfn.XLOOKUP(P642,'02效果表'!D:D,'02效果表'!E:E), 0) +
S642*IF(_xlfn.XLOOKUP(R642,'02效果表'!D:D,'02效果表'!E:E)&lt;0, _xlfn.XLOOKUP(R642,'02效果表'!D:D,'02效果表'!E:E), 0) +
U642*IF(_xlfn.XLOOKUP(T642,'02效果表'!D:D,'02效果表'!E:E)&lt;0, _xlfn.XLOOKUP(T642,'02效果表'!D:D,'02效果表'!E:E), 0) +
W642*IF(_xlfn.XLOOKUP(V642,'02效果表'!D:D,'02效果表'!E:E)&lt;0, _xlfn.XLOOKUP(V642,'02效果表'!D:D,'02效果表'!E:E), 0) +
Y642*IF(_xlfn.XLOOKUP(X642,'02效果表'!D:D,'02效果表'!E:E)&lt;0, _xlfn.XLOOKUP(X642,'02效果表'!D:D,'02效果表'!E:E), 0) +
AA642*IF(_xlfn.XLOOKUP(Z642,'02效果表'!D:D,'02效果表'!E:E)&lt;0, _xlfn.XLOOKUP(Z642,'02效果表'!D:D,'02效果表'!E:E), 0) +
AC642*IF(_xlfn.XLOOKUP(AB642,'02效果表'!D:D,'02效果表'!E:E)&lt;0, _xlfn.XLOOKUP(AB642,'02效果表'!D:D,'02效果表'!E:E), 0) +
AE642*IF(_xlfn.XLOOKUP(AD642,'02效果表'!D:D,'02效果表'!E:E)&lt;0, _xlfn.XLOOKUP(AD642,'02效果表'!D:D,'02效果表'!E:E), 0)), 1)</f>
        <v>0</v>
      </c>
      <c r="G642" s="7">
        <f>ROUND(1/6*(I642*MAX(_xlfn.XLOOKUP(H642,'02效果表'!D:D,'02效果表'!E:E),0)+K642*MAX(_xlfn.XLOOKUP(J642,'02效果表'!D:D,'02效果表'!E:E),0)+M642*MAX(_xlfn.XLOOKUP(L642,'02效果表'!D:D,'02效果表'!E:E),0)+O642*MAX(_xlfn.XLOOKUP(N642,'02效果表'!D:D,'02效果表'!E:E),0)+Q642*MAX(_xlfn.XLOOKUP(P642,'02效果表'!D:D,'02效果表'!E:E),0)+S642*MAX(_xlfn.XLOOKUP(R642,'02效果表'!D:D,'02效果表'!E:E),0)+U642*MAX(_xlfn.XLOOKUP(T642,'02效果表'!D:D,'02效果表'!E:E),0)+W642*MAX(_xlfn.XLOOKUP(V642,'02效果表'!D:D,'02效果表'!E:E),0)+Y642*MAX(_xlfn.XLOOKUP(X642,'02效果表'!D:D,'02效果表'!E:E),0)+AA642*MAX(_xlfn.XLOOKUP(Z642,'02效果表'!D:D,'02效果表'!E:E),0)+AC642*MAX(_xlfn.XLOOKUP(AB642,'02效果表'!D:D,'02效果表'!E:E),0)+AE642*MAX(_xlfn.XLOOKUP(AD642,'02效果表'!D:D,'02效果表'!E:E),0)),1)</f>
        <v>0</v>
      </c>
      <c r="H642" s="6"/>
      <c r="I642" s="6"/>
      <c r="J642" s="6"/>
      <c r="K642" s="6"/>
      <c r="L642" s="6"/>
      <c r="M642" s="6"/>
      <c r="N642" s="6"/>
      <c r="O642" s="6"/>
      <c r="P642" s="6"/>
      <c r="Q642" s="6"/>
      <c r="R642" s="6"/>
      <c r="S642" s="6"/>
      <c r="T642" s="6"/>
      <c r="U642" s="6"/>
      <c r="V642" s="6"/>
      <c r="W642" s="6"/>
      <c r="X642" s="6"/>
      <c r="Y642" s="6"/>
      <c r="Z642" s="6"/>
      <c r="AA642" s="6"/>
      <c r="AB642" s="6"/>
      <c r="AC642" s="6"/>
      <c r="AD642" s="6"/>
      <c r="AE642" s="6"/>
    </row>
    <row r="643" spans="1:31" x14ac:dyDescent="0.35">
      <c r="A643" s="6">
        <v>643</v>
      </c>
      <c r="B643" s="6" t="s">
        <v>8</v>
      </c>
      <c r="C643" s="10" t="s">
        <v>1</v>
      </c>
      <c r="D643" s="9" t="s">
        <v>1766</v>
      </c>
      <c r="E643" s="7">
        <f t="shared" si="17"/>
        <v>0</v>
      </c>
      <c r="F643" s="7">
        <f>-1*ROUND(1/6*(I643*IF(_xlfn.XLOOKUP(H643,'02效果表'!D:D,'02效果表'!E:E)&lt;0, _xlfn.XLOOKUP(H643,'02效果表'!D:D,'02效果表'!E:E), 0) +
K643*IF(_xlfn.XLOOKUP(J643,'02效果表'!D:D,'02效果表'!E:E)&lt;0, _xlfn.XLOOKUP(J643,'02效果表'!D:D,'02效果表'!E:E), 0) +
M643*IF(_xlfn.XLOOKUP(L643,'02效果表'!D:D,'02效果表'!E:E)&lt;0, _xlfn.XLOOKUP(L643,'02效果表'!D:D,'02效果表'!E:E), 0) +
O643*IF(_xlfn.XLOOKUP(N643,'02效果表'!D:D,'02效果表'!E:E)&lt;0, _xlfn.XLOOKUP(N643,'02效果表'!D:D,'02效果表'!E:E), 0) +
Q643*IF(_xlfn.XLOOKUP(P643,'02效果表'!D:D,'02效果表'!E:E)&lt;0, _xlfn.XLOOKUP(P643,'02效果表'!D:D,'02效果表'!E:E), 0) +
S643*IF(_xlfn.XLOOKUP(R643,'02效果表'!D:D,'02效果表'!E:E)&lt;0, _xlfn.XLOOKUP(R643,'02效果表'!D:D,'02效果表'!E:E), 0) +
U643*IF(_xlfn.XLOOKUP(T643,'02效果表'!D:D,'02效果表'!E:E)&lt;0, _xlfn.XLOOKUP(T643,'02效果表'!D:D,'02效果表'!E:E), 0) +
W643*IF(_xlfn.XLOOKUP(V643,'02效果表'!D:D,'02效果表'!E:E)&lt;0, _xlfn.XLOOKUP(V643,'02效果表'!D:D,'02效果表'!E:E), 0) +
Y643*IF(_xlfn.XLOOKUP(X643,'02效果表'!D:D,'02效果表'!E:E)&lt;0, _xlfn.XLOOKUP(X643,'02效果表'!D:D,'02效果表'!E:E), 0) +
AA643*IF(_xlfn.XLOOKUP(Z643,'02效果表'!D:D,'02效果表'!E:E)&lt;0, _xlfn.XLOOKUP(Z643,'02效果表'!D:D,'02效果表'!E:E), 0) +
AC643*IF(_xlfn.XLOOKUP(AB643,'02效果表'!D:D,'02效果表'!E:E)&lt;0, _xlfn.XLOOKUP(AB643,'02效果表'!D:D,'02效果表'!E:E), 0) +
AE643*IF(_xlfn.XLOOKUP(AD643,'02效果表'!D:D,'02效果表'!E:E)&lt;0, _xlfn.XLOOKUP(AD643,'02效果表'!D:D,'02效果表'!E:E), 0)), 1)</f>
        <v>0</v>
      </c>
      <c r="G643" s="7">
        <f>ROUND(1/6*(I643*MAX(_xlfn.XLOOKUP(H643,'02效果表'!D:D,'02效果表'!E:E),0)+K643*MAX(_xlfn.XLOOKUP(J643,'02效果表'!D:D,'02效果表'!E:E),0)+M643*MAX(_xlfn.XLOOKUP(L643,'02效果表'!D:D,'02效果表'!E:E),0)+O643*MAX(_xlfn.XLOOKUP(N643,'02效果表'!D:D,'02效果表'!E:E),0)+Q643*MAX(_xlfn.XLOOKUP(P643,'02效果表'!D:D,'02效果表'!E:E),0)+S643*MAX(_xlfn.XLOOKUP(R643,'02效果表'!D:D,'02效果表'!E:E),0)+U643*MAX(_xlfn.XLOOKUP(T643,'02效果表'!D:D,'02效果表'!E:E),0)+W643*MAX(_xlfn.XLOOKUP(V643,'02效果表'!D:D,'02效果表'!E:E),0)+Y643*MAX(_xlfn.XLOOKUP(X643,'02效果表'!D:D,'02效果表'!E:E),0)+AA643*MAX(_xlfn.XLOOKUP(Z643,'02效果表'!D:D,'02效果表'!E:E),0)+AC643*MAX(_xlfn.XLOOKUP(AB643,'02效果表'!D:D,'02效果表'!E:E),0)+AE643*MAX(_xlfn.XLOOKUP(AD643,'02效果表'!D:D,'02效果表'!E:E),0)),1)</f>
        <v>0</v>
      </c>
      <c r="H643" s="6"/>
      <c r="I643" s="6"/>
      <c r="J643" s="6"/>
      <c r="K643" s="6"/>
      <c r="L643" s="6"/>
      <c r="M643" s="6"/>
      <c r="N643" s="6"/>
      <c r="O643" s="6"/>
      <c r="P643" s="6"/>
      <c r="Q643" s="6"/>
      <c r="R643" s="6"/>
      <c r="S643" s="6"/>
      <c r="T643" s="6"/>
      <c r="U643" s="6"/>
      <c r="V643" s="6"/>
      <c r="W643" s="6"/>
      <c r="X643" s="6"/>
      <c r="Y643" s="6"/>
      <c r="Z643" s="6"/>
      <c r="AA643" s="6"/>
      <c r="AB643" s="6"/>
      <c r="AC643" s="6"/>
      <c r="AD643" s="6"/>
      <c r="AE643" s="6"/>
    </row>
    <row r="644" spans="1:31" x14ac:dyDescent="0.35">
      <c r="A644" s="6">
        <v>644</v>
      </c>
      <c r="B644" s="6" t="s">
        <v>8</v>
      </c>
      <c r="C644" s="10" t="s">
        <v>1</v>
      </c>
      <c r="D644" s="9" t="s">
        <v>1767</v>
      </c>
      <c r="E644" s="7">
        <f t="shared" si="17"/>
        <v>0</v>
      </c>
      <c r="F644" s="7">
        <f>-1*ROUND(1/6*(I644*IF(_xlfn.XLOOKUP(H644,'02效果表'!D:D,'02效果表'!E:E)&lt;0, _xlfn.XLOOKUP(H644,'02效果表'!D:D,'02效果表'!E:E), 0) +
K644*IF(_xlfn.XLOOKUP(J644,'02效果表'!D:D,'02效果表'!E:E)&lt;0, _xlfn.XLOOKUP(J644,'02效果表'!D:D,'02效果表'!E:E), 0) +
M644*IF(_xlfn.XLOOKUP(L644,'02效果表'!D:D,'02效果表'!E:E)&lt;0, _xlfn.XLOOKUP(L644,'02效果表'!D:D,'02效果表'!E:E), 0) +
O644*IF(_xlfn.XLOOKUP(N644,'02效果表'!D:D,'02效果表'!E:E)&lt;0, _xlfn.XLOOKUP(N644,'02效果表'!D:D,'02效果表'!E:E), 0) +
Q644*IF(_xlfn.XLOOKUP(P644,'02效果表'!D:D,'02效果表'!E:E)&lt;0, _xlfn.XLOOKUP(P644,'02效果表'!D:D,'02效果表'!E:E), 0) +
S644*IF(_xlfn.XLOOKUP(R644,'02效果表'!D:D,'02效果表'!E:E)&lt;0, _xlfn.XLOOKUP(R644,'02效果表'!D:D,'02效果表'!E:E), 0) +
U644*IF(_xlfn.XLOOKUP(T644,'02效果表'!D:D,'02效果表'!E:E)&lt;0, _xlfn.XLOOKUP(T644,'02效果表'!D:D,'02效果表'!E:E), 0) +
W644*IF(_xlfn.XLOOKUP(V644,'02效果表'!D:D,'02效果表'!E:E)&lt;0, _xlfn.XLOOKUP(V644,'02效果表'!D:D,'02效果表'!E:E), 0) +
Y644*IF(_xlfn.XLOOKUP(X644,'02效果表'!D:D,'02效果表'!E:E)&lt;0, _xlfn.XLOOKUP(X644,'02效果表'!D:D,'02效果表'!E:E), 0) +
AA644*IF(_xlfn.XLOOKUP(Z644,'02效果表'!D:D,'02效果表'!E:E)&lt;0, _xlfn.XLOOKUP(Z644,'02效果表'!D:D,'02效果表'!E:E), 0) +
AC644*IF(_xlfn.XLOOKUP(AB644,'02效果表'!D:D,'02效果表'!E:E)&lt;0, _xlfn.XLOOKUP(AB644,'02效果表'!D:D,'02效果表'!E:E), 0) +
AE644*IF(_xlfn.XLOOKUP(AD644,'02效果表'!D:D,'02效果表'!E:E)&lt;0, _xlfn.XLOOKUP(AD644,'02效果表'!D:D,'02效果表'!E:E), 0)), 1)</f>
        <v>0</v>
      </c>
      <c r="G644" s="7">
        <f>ROUND(1/6*(I644*MAX(_xlfn.XLOOKUP(H644,'02效果表'!D:D,'02效果表'!E:E),0)+K644*MAX(_xlfn.XLOOKUP(J644,'02效果表'!D:D,'02效果表'!E:E),0)+M644*MAX(_xlfn.XLOOKUP(L644,'02效果表'!D:D,'02效果表'!E:E),0)+O644*MAX(_xlfn.XLOOKUP(N644,'02效果表'!D:D,'02效果表'!E:E),0)+Q644*MAX(_xlfn.XLOOKUP(P644,'02效果表'!D:D,'02效果表'!E:E),0)+S644*MAX(_xlfn.XLOOKUP(R644,'02效果表'!D:D,'02效果表'!E:E),0)+U644*MAX(_xlfn.XLOOKUP(T644,'02效果表'!D:D,'02效果表'!E:E),0)+W644*MAX(_xlfn.XLOOKUP(V644,'02效果表'!D:D,'02效果表'!E:E),0)+Y644*MAX(_xlfn.XLOOKUP(X644,'02效果表'!D:D,'02效果表'!E:E),0)+AA644*MAX(_xlfn.XLOOKUP(Z644,'02效果表'!D:D,'02效果表'!E:E),0)+AC644*MAX(_xlfn.XLOOKUP(AB644,'02效果表'!D:D,'02效果表'!E:E),0)+AE644*MAX(_xlfn.XLOOKUP(AD644,'02效果表'!D:D,'02效果表'!E:E),0)),1)</f>
        <v>0</v>
      </c>
      <c r="H644" s="6"/>
      <c r="I644" s="6"/>
      <c r="J644" s="6"/>
      <c r="K644" s="6"/>
      <c r="L644" s="6"/>
      <c r="M644" s="6"/>
      <c r="N644" s="6"/>
      <c r="O644" s="6"/>
      <c r="P644" s="6"/>
      <c r="Q644" s="6"/>
      <c r="R644" s="6"/>
      <c r="S644" s="6"/>
      <c r="T644" s="6"/>
      <c r="U644" s="6"/>
      <c r="V644" s="6"/>
      <c r="W644" s="6"/>
      <c r="X644" s="6"/>
      <c r="Y644" s="6"/>
      <c r="Z644" s="6"/>
      <c r="AA644" s="6"/>
      <c r="AB644" s="6"/>
      <c r="AC644" s="6"/>
      <c r="AD644" s="6"/>
      <c r="AE644" s="6"/>
    </row>
    <row r="645" spans="1:31" x14ac:dyDescent="0.35">
      <c r="A645" s="6">
        <v>645</v>
      </c>
      <c r="B645" s="6" t="s">
        <v>8</v>
      </c>
      <c r="C645" s="10" t="s">
        <v>1</v>
      </c>
      <c r="D645" s="9" t="s">
        <v>1768</v>
      </c>
      <c r="E645" s="7">
        <f t="shared" si="17"/>
        <v>0</v>
      </c>
      <c r="F645" s="7">
        <f>-1*ROUND(1/6*(I645*IF(_xlfn.XLOOKUP(H645,'02效果表'!D:D,'02效果表'!E:E)&lt;0, _xlfn.XLOOKUP(H645,'02效果表'!D:D,'02效果表'!E:E), 0) +
K645*IF(_xlfn.XLOOKUP(J645,'02效果表'!D:D,'02效果表'!E:E)&lt;0, _xlfn.XLOOKUP(J645,'02效果表'!D:D,'02效果表'!E:E), 0) +
M645*IF(_xlfn.XLOOKUP(L645,'02效果表'!D:D,'02效果表'!E:E)&lt;0, _xlfn.XLOOKUP(L645,'02效果表'!D:D,'02效果表'!E:E), 0) +
O645*IF(_xlfn.XLOOKUP(N645,'02效果表'!D:D,'02效果表'!E:E)&lt;0, _xlfn.XLOOKUP(N645,'02效果表'!D:D,'02效果表'!E:E), 0) +
Q645*IF(_xlfn.XLOOKUP(P645,'02效果表'!D:D,'02效果表'!E:E)&lt;0, _xlfn.XLOOKUP(P645,'02效果表'!D:D,'02效果表'!E:E), 0) +
S645*IF(_xlfn.XLOOKUP(R645,'02效果表'!D:D,'02效果表'!E:E)&lt;0, _xlfn.XLOOKUP(R645,'02效果表'!D:D,'02效果表'!E:E), 0) +
U645*IF(_xlfn.XLOOKUP(T645,'02效果表'!D:D,'02效果表'!E:E)&lt;0, _xlfn.XLOOKUP(T645,'02效果表'!D:D,'02效果表'!E:E), 0) +
W645*IF(_xlfn.XLOOKUP(V645,'02效果表'!D:D,'02效果表'!E:E)&lt;0, _xlfn.XLOOKUP(V645,'02效果表'!D:D,'02效果表'!E:E), 0) +
Y645*IF(_xlfn.XLOOKUP(X645,'02效果表'!D:D,'02效果表'!E:E)&lt;0, _xlfn.XLOOKUP(X645,'02效果表'!D:D,'02效果表'!E:E), 0) +
AA645*IF(_xlfn.XLOOKUP(Z645,'02效果表'!D:D,'02效果表'!E:E)&lt;0, _xlfn.XLOOKUP(Z645,'02效果表'!D:D,'02效果表'!E:E), 0) +
AC645*IF(_xlfn.XLOOKUP(AB645,'02效果表'!D:D,'02效果表'!E:E)&lt;0, _xlfn.XLOOKUP(AB645,'02效果表'!D:D,'02效果表'!E:E), 0) +
AE645*IF(_xlfn.XLOOKUP(AD645,'02效果表'!D:D,'02效果表'!E:E)&lt;0, _xlfn.XLOOKUP(AD645,'02效果表'!D:D,'02效果表'!E:E), 0)), 1)</f>
        <v>0</v>
      </c>
      <c r="G645" s="7">
        <f>ROUND(1/6*(I645*MAX(_xlfn.XLOOKUP(H645,'02效果表'!D:D,'02效果表'!E:E),0)+K645*MAX(_xlfn.XLOOKUP(J645,'02效果表'!D:D,'02效果表'!E:E),0)+M645*MAX(_xlfn.XLOOKUP(L645,'02效果表'!D:D,'02效果表'!E:E),0)+O645*MAX(_xlfn.XLOOKUP(N645,'02效果表'!D:D,'02效果表'!E:E),0)+Q645*MAX(_xlfn.XLOOKUP(P645,'02效果表'!D:D,'02效果表'!E:E),0)+S645*MAX(_xlfn.XLOOKUP(R645,'02效果表'!D:D,'02效果表'!E:E),0)+U645*MAX(_xlfn.XLOOKUP(T645,'02效果表'!D:D,'02效果表'!E:E),0)+W645*MAX(_xlfn.XLOOKUP(V645,'02效果表'!D:D,'02效果表'!E:E),0)+Y645*MAX(_xlfn.XLOOKUP(X645,'02效果表'!D:D,'02效果表'!E:E),0)+AA645*MAX(_xlfn.XLOOKUP(Z645,'02效果表'!D:D,'02效果表'!E:E),0)+AC645*MAX(_xlfn.XLOOKUP(AB645,'02效果表'!D:D,'02效果表'!E:E),0)+AE645*MAX(_xlfn.XLOOKUP(AD645,'02效果表'!D:D,'02效果表'!E:E),0)),1)</f>
        <v>0</v>
      </c>
      <c r="H645" s="6"/>
      <c r="I645" s="6"/>
      <c r="J645" s="6"/>
      <c r="K645" s="6"/>
      <c r="L645" s="6"/>
      <c r="M645" s="6"/>
      <c r="N645" s="6"/>
      <c r="O645" s="6"/>
      <c r="P645" s="6"/>
      <c r="Q645" s="6"/>
      <c r="R645" s="6"/>
      <c r="S645" s="6"/>
      <c r="T645" s="6"/>
      <c r="U645" s="6"/>
      <c r="V645" s="6"/>
      <c r="W645" s="6"/>
      <c r="X645" s="6"/>
      <c r="Y645" s="6"/>
      <c r="Z645" s="6"/>
      <c r="AA645" s="6"/>
      <c r="AB645" s="6"/>
      <c r="AC645" s="6"/>
      <c r="AD645" s="6"/>
      <c r="AE645" s="6"/>
    </row>
    <row r="646" spans="1:31" x14ac:dyDescent="0.35">
      <c r="A646" s="6">
        <v>646</v>
      </c>
      <c r="B646" s="6" t="s">
        <v>8</v>
      </c>
      <c r="C646" s="10" t="s">
        <v>1</v>
      </c>
      <c r="D646" s="9" t="s">
        <v>1769</v>
      </c>
      <c r="E646" s="7">
        <f t="shared" si="17"/>
        <v>0</v>
      </c>
      <c r="F646" s="7">
        <f>-1*ROUND(1/6*(I646*IF(_xlfn.XLOOKUP(H646,'02效果表'!D:D,'02效果表'!E:E)&lt;0, _xlfn.XLOOKUP(H646,'02效果表'!D:D,'02效果表'!E:E), 0) +
K646*IF(_xlfn.XLOOKUP(J646,'02效果表'!D:D,'02效果表'!E:E)&lt;0, _xlfn.XLOOKUP(J646,'02效果表'!D:D,'02效果表'!E:E), 0) +
M646*IF(_xlfn.XLOOKUP(L646,'02效果表'!D:D,'02效果表'!E:E)&lt;0, _xlfn.XLOOKUP(L646,'02效果表'!D:D,'02效果表'!E:E), 0) +
O646*IF(_xlfn.XLOOKUP(N646,'02效果表'!D:D,'02效果表'!E:E)&lt;0, _xlfn.XLOOKUP(N646,'02效果表'!D:D,'02效果表'!E:E), 0) +
Q646*IF(_xlfn.XLOOKUP(P646,'02效果表'!D:D,'02效果表'!E:E)&lt;0, _xlfn.XLOOKUP(P646,'02效果表'!D:D,'02效果表'!E:E), 0) +
S646*IF(_xlfn.XLOOKUP(R646,'02效果表'!D:D,'02效果表'!E:E)&lt;0, _xlfn.XLOOKUP(R646,'02效果表'!D:D,'02效果表'!E:E), 0) +
U646*IF(_xlfn.XLOOKUP(T646,'02效果表'!D:D,'02效果表'!E:E)&lt;0, _xlfn.XLOOKUP(T646,'02效果表'!D:D,'02效果表'!E:E), 0) +
W646*IF(_xlfn.XLOOKUP(V646,'02效果表'!D:D,'02效果表'!E:E)&lt;0, _xlfn.XLOOKUP(V646,'02效果表'!D:D,'02效果表'!E:E), 0) +
Y646*IF(_xlfn.XLOOKUP(X646,'02效果表'!D:D,'02效果表'!E:E)&lt;0, _xlfn.XLOOKUP(X646,'02效果表'!D:D,'02效果表'!E:E), 0) +
AA646*IF(_xlfn.XLOOKUP(Z646,'02效果表'!D:D,'02效果表'!E:E)&lt;0, _xlfn.XLOOKUP(Z646,'02效果表'!D:D,'02效果表'!E:E), 0) +
AC646*IF(_xlfn.XLOOKUP(AB646,'02效果表'!D:D,'02效果表'!E:E)&lt;0, _xlfn.XLOOKUP(AB646,'02效果表'!D:D,'02效果表'!E:E), 0) +
AE646*IF(_xlfn.XLOOKUP(AD646,'02效果表'!D:D,'02效果表'!E:E)&lt;0, _xlfn.XLOOKUP(AD646,'02效果表'!D:D,'02效果表'!E:E), 0)), 1)</f>
        <v>0</v>
      </c>
      <c r="G646" s="7">
        <f>ROUND(1/6*(I646*MAX(_xlfn.XLOOKUP(H646,'02效果表'!D:D,'02效果表'!E:E),0)+K646*MAX(_xlfn.XLOOKUP(J646,'02效果表'!D:D,'02效果表'!E:E),0)+M646*MAX(_xlfn.XLOOKUP(L646,'02效果表'!D:D,'02效果表'!E:E),0)+O646*MAX(_xlfn.XLOOKUP(N646,'02效果表'!D:D,'02效果表'!E:E),0)+Q646*MAX(_xlfn.XLOOKUP(P646,'02效果表'!D:D,'02效果表'!E:E),0)+S646*MAX(_xlfn.XLOOKUP(R646,'02效果表'!D:D,'02效果表'!E:E),0)+U646*MAX(_xlfn.XLOOKUP(T646,'02效果表'!D:D,'02效果表'!E:E),0)+W646*MAX(_xlfn.XLOOKUP(V646,'02效果表'!D:D,'02效果表'!E:E),0)+Y646*MAX(_xlfn.XLOOKUP(X646,'02效果表'!D:D,'02效果表'!E:E),0)+AA646*MAX(_xlfn.XLOOKUP(Z646,'02效果表'!D:D,'02效果表'!E:E),0)+AC646*MAX(_xlfn.XLOOKUP(AB646,'02效果表'!D:D,'02效果表'!E:E),0)+AE646*MAX(_xlfn.XLOOKUP(AD646,'02效果表'!D:D,'02效果表'!E:E),0)),1)</f>
        <v>0</v>
      </c>
      <c r="H646" s="6"/>
      <c r="I646" s="6"/>
      <c r="J646" s="6"/>
      <c r="K646" s="6"/>
      <c r="L646" s="6"/>
      <c r="M646" s="6"/>
      <c r="N646" s="6"/>
      <c r="O646" s="6"/>
      <c r="P646" s="6"/>
      <c r="Q646" s="6"/>
      <c r="R646" s="6"/>
      <c r="S646" s="6"/>
      <c r="T646" s="6"/>
      <c r="U646" s="6"/>
      <c r="V646" s="6"/>
      <c r="W646" s="6"/>
      <c r="X646" s="6"/>
      <c r="Y646" s="6"/>
      <c r="Z646" s="6"/>
      <c r="AA646" s="6"/>
      <c r="AB646" s="6"/>
      <c r="AC646" s="6"/>
      <c r="AD646" s="6"/>
      <c r="AE646" s="6"/>
    </row>
    <row r="647" spans="1:31" x14ac:dyDescent="0.35">
      <c r="A647" s="6">
        <v>647</v>
      </c>
      <c r="B647" s="6" t="s">
        <v>8</v>
      </c>
      <c r="C647" s="10" t="s">
        <v>1</v>
      </c>
      <c r="D647" s="9" t="s">
        <v>1770</v>
      </c>
      <c r="E647" s="7">
        <f t="shared" si="17"/>
        <v>0</v>
      </c>
      <c r="F647" s="7">
        <f>-1*ROUND(1/6*(I647*IF(_xlfn.XLOOKUP(H647,'02效果表'!D:D,'02效果表'!E:E)&lt;0, _xlfn.XLOOKUP(H647,'02效果表'!D:D,'02效果表'!E:E), 0) +
K647*IF(_xlfn.XLOOKUP(J647,'02效果表'!D:D,'02效果表'!E:E)&lt;0, _xlfn.XLOOKUP(J647,'02效果表'!D:D,'02效果表'!E:E), 0) +
M647*IF(_xlfn.XLOOKUP(L647,'02效果表'!D:D,'02效果表'!E:E)&lt;0, _xlfn.XLOOKUP(L647,'02效果表'!D:D,'02效果表'!E:E), 0) +
O647*IF(_xlfn.XLOOKUP(N647,'02效果表'!D:D,'02效果表'!E:E)&lt;0, _xlfn.XLOOKUP(N647,'02效果表'!D:D,'02效果表'!E:E), 0) +
Q647*IF(_xlfn.XLOOKUP(P647,'02效果表'!D:D,'02效果表'!E:E)&lt;0, _xlfn.XLOOKUP(P647,'02效果表'!D:D,'02效果表'!E:E), 0) +
S647*IF(_xlfn.XLOOKUP(R647,'02效果表'!D:D,'02效果表'!E:E)&lt;0, _xlfn.XLOOKUP(R647,'02效果表'!D:D,'02效果表'!E:E), 0) +
U647*IF(_xlfn.XLOOKUP(T647,'02效果表'!D:D,'02效果表'!E:E)&lt;0, _xlfn.XLOOKUP(T647,'02效果表'!D:D,'02效果表'!E:E), 0) +
W647*IF(_xlfn.XLOOKUP(V647,'02效果表'!D:D,'02效果表'!E:E)&lt;0, _xlfn.XLOOKUP(V647,'02效果表'!D:D,'02效果表'!E:E), 0) +
Y647*IF(_xlfn.XLOOKUP(X647,'02效果表'!D:D,'02效果表'!E:E)&lt;0, _xlfn.XLOOKUP(X647,'02效果表'!D:D,'02效果表'!E:E), 0) +
AA647*IF(_xlfn.XLOOKUP(Z647,'02效果表'!D:D,'02效果表'!E:E)&lt;0, _xlfn.XLOOKUP(Z647,'02效果表'!D:D,'02效果表'!E:E), 0) +
AC647*IF(_xlfn.XLOOKUP(AB647,'02效果表'!D:D,'02效果表'!E:E)&lt;0, _xlfn.XLOOKUP(AB647,'02效果表'!D:D,'02效果表'!E:E), 0) +
AE647*IF(_xlfn.XLOOKUP(AD647,'02效果表'!D:D,'02效果表'!E:E)&lt;0, _xlfn.XLOOKUP(AD647,'02效果表'!D:D,'02效果表'!E:E), 0)), 1)</f>
        <v>0</v>
      </c>
      <c r="G647" s="7">
        <f>ROUND(1/6*(I647*MAX(_xlfn.XLOOKUP(H647,'02效果表'!D:D,'02效果表'!E:E),0)+K647*MAX(_xlfn.XLOOKUP(J647,'02效果表'!D:D,'02效果表'!E:E),0)+M647*MAX(_xlfn.XLOOKUP(L647,'02效果表'!D:D,'02效果表'!E:E),0)+O647*MAX(_xlfn.XLOOKUP(N647,'02效果表'!D:D,'02效果表'!E:E),0)+Q647*MAX(_xlfn.XLOOKUP(P647,'02效果表'!D:D,'02效果表'!E:E),0)+S647*MAX(_xlfn.XLOOKUP(R647,'02效果表'!D:D,'02效果表'!E:E),0)+U647*MAX(_xlfn.XLOOKUP(T647,'02效果表'!D:D,'02效果表'!E:E),0)+W647*MAX(_xlfn.XLOOKUP(V647,'02效果表'!D:D,'02效果表'!E:E),0)+Y647*MAX(_xlfn.XLOOKUP(X647,'02效果表'!D:D,'02效果表'!E:E),0)+AA647*MAX(_xlfn.XLOOKUP(Z647,'02效果表'!D:D,'02效果表'!E:E),0)+AC647*MAX(_xlfn.XLOOKUP(AB647,'02效果表'!D:D,'02效果表'!E:E),0)+AE647*MAX(_xlfn.XLOOKUP(AD647,'02效果表'!D:D,'02效果表'!E:E),0)),1)</f>
        <v>0</v>
      </c>
      <c r="H647" s="6"/>
      <c r="I647" s="6"/>
      <c r="J647" s="6"/>
      <c r="K647" s="6"/>
      <c r="L647" s="6"/>
      <c r="M647" s="6"/>
      <c r="N647" s="6"/>
      <c r="O647" s="6"/>
      <c r="P647" s="6"/>
      <c r="Q647" s="6"/>
      <c r="R647" s="6"/>
      <c r="S647" s="6"/>
      <c r="T647" s="6"/>
      <c r="U647" s="6"/>
      <c r="V647" s="6"/>
      <c r="W647" s="6"/>
      <c r="X647" s="6"/>
      <c r="Y647" s="6"/>
      <c r="Z647" s="6"/>
      <c r="AA647" s="6"/>
      <c r="AB647" s="6"/>
      <c r="AC647" s="6"/>
      <c r="AD647" s="6"/>
      <c r="AE647" s="6"/>
    </row>
    <row r="648" spans="1:31" x14ac:dyDescent="0.35">
      <c r="A648" s="6">
        <v>648</v>
      </c>
      <c r="B648" s="6" t="s">
        <v>8</v>
      </c>
      <c r="C648" s="10" t="s">
        <v>1</v>
      </c>
      <c r="D648" s="9" t="s">
        <v>1771</v>
      </c>
      <c r="E648" s="7">
        <f t="shared" si="17"/>
        <v>0</v>
      </c>
      <c r="F648" s="7">
        <f>-1*ROUND(1/6*(I648*IF(_xlfn.XLOOKUP(H648,'02效果表'!D:D,'02效果表'!E:E)&lt;0, _xlfn.XLOOKUP(H648,'02效果表'!D:D,'02效果表'!E:E), 0) +
K648*IF(_xlfn.XLOOKUP(J648,'02效果表'!D:D,'02效果表'!E:E)&lt;0, _xlfn.XLOOKUP(J648,'02效果表'!D:D,'02效果表'!E:E), 0) +
M648*IF(_xlfn.XLOOKUP(L648,'02效果表'!D:D,'02效果表'!E:E)&lt;0, _xlfn.XLOOKUP(L648,'02效果表'!D:D,'02效果表'!E:E), 0) +
O648*IF(_xlfn.XLOOKUP(N648,'02效果表'!D:D,'02效果表'!E:E)&lt;0, _xlfn.XLOOKUP(N648,'02效果表'!D:D,'02效果表'!E:E), 0) +
Q648*IF(_xlfn.XLOOKUP(P648,'02效果表'!D:D,'02效果表'!E:E)&lt;0, _xlfn.XLOOKUP(P648,'02效果表'!D:D,'02效果表'!E:E), 0) +
S648*IF(_xlfn.XLOOKUP(R648,'02效果表'!D:D,'02效果表'!E:E)&lt;0, _xlfn.XLOOKUP(R648,'02效果表'!D:D,'02效果表'!E:E), 0) +
U648*IF(_xlfn.XLOOKUP(T648,'02效果表'!D:D,'02效果表'!E:E)&lt;0, _xlfn.XLOOKUP(T648,'02效果表'!D:D,'02效果表'!E:E), 0) +
W648*IF(_xlfn.XLOOKUP(V648,'02效果表'!D:D,'02效果表'!E:E)&lt;0, _xlfn.XLOOKUP(V648,'02效果表'!D:D,'02效果表'!E:E), 0) +
Y648*IF(_xlfn.XLOOKUP(X648,'02效果表'!D:D,'02效果表'!E:E)&lt;0, _xlfn.XLOOKUP(X648,'02效果表'!D:D,'02效果表'!E:E), 0) +
AA648*IF(_xlfn.XLOOKUP(Z648,'02效果表'!D:D,'02效果表'!E:E)&lt;0, _xlfn.XLOOKUP(Z648,'02效果表'!D:D,'02效果表'!E:E), 0) +
AC648*IF(_xlfn.XLOOKUP(AB648,'02效果表'!D:D,'02效果表'!E:E)&lt;0, _xlfn.XLOOKUP(AB648,'02效果表'!D:D,'02效果表'!E:E), 0) +
AE648*IF(_xlfn.XLOOKUP(AD648,'02效果表'!D:D,'02效果表'!E:E)&lt;0, _xlfn.XLOOKUP(AD648,'02效果表'!D:D,'02效果表'!E:E), 0)), 1)</f>
        <v>0</v>
      </c>
      <c r="G648" s="7">
        <f>ROUND(1/6*(I648*MAX(_xlfn.XLOOKUP(H648,'02效果表'!D:D,'02效果表'!E:E),0)+K648*MAX(_xlfn.XLOOKUP(J648,'02效果表'!D:D,'02效果表'!E:E),0)+M648*MAX(_xlfn.XLOOKUP(L648,'02效果表'!D:D,'02效果表'!E:E),0)+O648*MAX(_xlfn.XLOOKUP(N648,'02效果表'!D:D,'02效果表'!E:E),0)+Q648*MAX(_xlfn.XLOOKUP(P648,'02效果表'!D:D,'02效果表'!E:E),0)+S648*MAX(_xlfn.XLOOKUP(R648,'02效果表'!D:D,'02效果表'!E:E),0)+U648*MAX(_xlfn.XLOOKUP(T648,'02效果表'!D:D,'02效果表'!E:E),0)+W648*MAX(_xlfn.XLOOKUP(V648,'02效果表'!D:D,'02效果表'!E:E),0)+Y648*MAX(_xlfn.XLOOKUP(X648,'02效果表'!D:D,'02效果表'!E:E),0)+AA648*MAX(_xlfn.XLOOKUP(Z648,'02效果表'!D:D,'02效果表'!E:E),0)+AC648*MAX(_xlfn.XLOOKUP(AB648,'02效果表'!D:D,'02效果表'!E:E),0)+AE648*MAX(_xlfn.XLOOKUP(AD648,'02效果表'!D:D,'02效果表'!E:E),0)),1)</f>
        <v>0</v>
      </c>
      <c r="H648" s="6"/>
      <c r="I648" s="6"/>
      <c r="J648" s="6"/>
      <c r="K648" s="6"/>
      <c r="L648" s="6"/>
      <c r="M648" s="6"/>
      <c r="N648" s="6"/>
      <c r="O648" s="6"/>
      <c r="P648" s="6"/>
      <c r="Q648" s="6"/>
      <c r="R648" s="6"/>
      <c r="S648" s="6"/>
      <c r="T648" s="6"/>
      <c r="U648" s="6"/>
      <c r="V648" s="6"/>
      <c r="W648" s="6"/>
      <c r="X648" s="6"/>
      <c r="Y648" s="6"/>
      <c r="Z648" s="6"/>
      <c r="AA648" s="6"/>
      <c r="AB648" s="6"/>
      <c r="AC648" s="6"/>
      <c r="AD648" s="6"/>
      <c r="AE648" s="6"/>
    </row>
    <row r="649" spans="1:31" x14ac:dyDescent="0.35">
      <c r="A649" s="6">
        <v>649</v>
      </c>
      <c r="B649" s="6" t="s">
        <v>8</v>
      </c>
      <c r="C649" s="10" t="s">
        <v>1</v>
      </c>
      <c r="D649" s="9" t="s">
        <v>1772</v>
      </c>
      <c r="E649" s="7">
        <f t="shared" si="17"/>
        <v>0</v>
      </c>
      <c r="F649" s="7">
        <f>-1*ROUND(1/6*(I649*IF(_xlfn.XLOOKUP(H649,'02效果表'!D:D,'02效果表'!E:E)&lt;0, _xlfn.XLOOKUP(H649,'02效果表'!D:D,'02效果表'!E:E), 0) +
K649*IF(_xlfn.XLOOKUP(J649,'02效果表'!D:D,'02效果表'!E:E)&lt;0, _xlfn.XLOOKUP(J649,'02效果表'!D:D,'02效果表'!E:E), 0) +
M649*IF(_xlfn.XLOOKUP(L649,'02效果表'!D:D,'02效果表'!E:E)&lt;0, _xlfn.XLOOKUP(L649,'02效果表'!D:D,'02效果表'!E:E), 0) +
O649*IF(_xlfn.XLOOKUP(N649,'02效果表'!D:D,'02效果表'!E:E)&lt;0, _xlfn.XLOOKUP(N649,'02效果表'!D:D,'02效果表'!E:E), 0) +
Q649*IF(_xlfn.XLOOKUP(P649,'02效果表'!D:D,'02效果表'!E:E)&lt;0, _xlfn.XLOOKUP(P649,'02效果表'!D:D,'02效果表'!E:E), 0) +
S649*IF(_xlfn.XLOOKUP(R649,'02效果表'!D:D,'02效果表'!E:E)&lt;0, _xlfn.XLOOKUP(R649,'02效果表'!D:D,'02效果表'!E:E), 0) +
U649*IF(_xlfn.XLOOKUP(T649,'02效果表'!D:D,'02效果表'!E:E)&lt;0, _xlfn.XLOOKUP(T649,'02效果表'!D:D,'02效果表'!E:E), 0) +
W649*IF(_xlfn.XLOOKUP(V649,'02效果表'!D:D,'02效果表'!E:E)&lt;0, _xlfn.XLOOKUP(V649,'02效果表'!D:D,'02效果表'!E:E), 0) +
Y649*IF(_xlfn.XLOOKUP(X649,'02效果表'!D:D,'02效果表'!E:E)&lt;0, _xlfn.XLOOKUP(X649,'02效果表'!D:D,'02效果表'!E:E), 0) +
AA649*IF(_xlfn.XLOOKUP(Z649,'02效果表'!D:D,'02效果表'!E:E)&lt;0, _xlfn.XLOOKUP(Z649,'02效果表'!D:D,'02效果表'!E:E), 0) +
AC649*IF(_xlfn.XLOOKUP(AB649,'02效果表'!D:D,'02效果表'!E:E)&lt;0, _xlfn.XLOOKUP(AB649,'02效果表'!D:D,'02效果表'!E:E), 0) +
AE649*IF(_xlfn.XLOOKUP(AD649,'02效果表'!D:D,'02效果表'!E:E)&lt;0, _xlfn.XLOOKUP(AD649,'02效果表'!D:D,'02效果表'!E:E), 0)), 1)</f>
        <v>0</v>
      </c>
      <c r="G649" s="7">
        <f>ROUND(1/6*(I649*MAX(_xlfn.XLOOKUP(H649,'02效果表'!D:D,'02效果表'!E:E),0)+K649*MAX(_xlfn.XLOOKUP(J649,'02效果表'!D:D,'02效果表'!E:E),0)+M649*MAX(_xlfn.XLOOKUP(L649,'02效果表'!D:D,'02效果表'!E:E),0)+O649*MAX(_xlfn.XLOOKUP(N649,'02效果表'!D:D,'02效果表'!E:E),0)+Q649*MAX(_xlfn.XLOOKUP(P649,'02效果表'!D:D,'02效果表'!E:E),0)+S649*MAX(_xlfn.XLOOKUP(R649,'02效果表'!D:D,'02效果表'!E:E),0)+U649*MAX(_xlfn.XLOOKUP(T649,'02效果表'!D:D,'02效果表'!E:E),0)+W649*MAX(_xlfn.XLOOKUP(V649,'02效果表'!D:D,'02效果表'!E:E),0)+Y649*MAX(_xlfn.XLOOKUP(X649,'02效果表'!D:D,'02效果表'!E:E),0)+AA649*MAX(_xlfn.XLOOKUP(Z649,'02效果表'!D:D,'02效果表'!E:E),0)+AC649*MAX(_xlfn.XLOOKUP(AB649,'02效果表'!D:D,'02效果表'!E:E),0)+AE649*MAX(_xlfn.XLOOKUP(AD649,'02效果表'!D:D,'02效果表'!E:E),0)),1)</f>
        <v>0</v>
      </c>
      <c r="H649" s="6"/>
      <c r="I649" s="6"/>
      <c r="J649" s="6"/>
      <c r="K649" s="6"/>
      <c r="L649" s="6"/>
      <c r="M649" s="6"/>
      <c r="N649" s="6"/>
      <c r="O649" s="6"/>
      <c r="P649" s="6"/>
      <c r="Q649" s="6"/>
      <c r="R649" s="6"/>
      <c r="S649" s="6"/>
      <c r="T649" s="6"/>
      <c r="U649" s="6"/>
      <c r="V649" s="6"/>
      <c r="W649" s="6"/>
      <c r="X649" s="6"/>
      <c r="Y649" s="6"/>
      <c r="Z649" s="6"/>
      <c r="AA649" s="6"/>
      <c r="AB649" s="6"/>
      <c r="AC649" s="6"/>
      <c r="AD649" s="6"/>
      <c r="AE649" s="6"/>
    </row>
    <row r="650" spans="1:31" x14ac:dyDescent="0.35">
      <c r="A650" s="6">
        <v>650</v>
      </c>
      <c r="B650" s="6" t="s">
        <v>8</v>
      </c>
      <c r="C650" s="10" t="s">
        <v>1</v>
      </c>
      <c r="D650" s="9"/>
      <c r="E650" s="7">
        <f t="shared" si="17"/>
        <v>0</v>
      </c>
      <c r="F650" s="7">
        <f>-1*ROUND(1/6*(I650*IF(_xlfn.XLOOKUP(H650,'02效果表'!D:D,'02效果表'!E:E)&lt;0, _xlfn.XLOOKUP(H650,'02效果表'!D:D,'02效果表'!E:E), 0) +
K650*IF(_xlfn.XLOOKUP(J650,'02效果表'!D:D,'02效果表'!E:E)&lt;0, _xlfn.XLOOKUP(J650,'02效果表'!D:D,'02效果表'!E:E), 0) +
M650*IF(_xlfn.XLOOKUP(L650,'02效果表'!D:D,'02效果表'!E:E)&lt;0, _xlfn.XLOOKUP(L650,'02效果表'!D:D,'02效果表'!E:E), 0) +
O650*IF(_xlfn.XLOOKUP(N650,'02效果表'!D:D,'02效果表'!E:E)&lt;0, _xlfn.XLOOKUP(N650,'02效果表'!D:D,'02效果表'!E:E), 0) +
Q650*IF(_xlfn.XLOOKUP(P650,'02效果表'!D:D,'02效果表'!E:E)&lt;0, _xlfn.XLOOKUP(P650,'02效果表'!D:D,'02效果表'!E:E), 0) +
S650*IF(_xlfn.XLOOKUP(R650,'02效果表'!D:D,'02效果表'!E:E)&lt;0, _xlfn.XLOOKUP(R650,'02效果表'!D:D,'02效果表'!E:E), 0) +
U650*IF(_xlfn.XLOOKUP(T650,'02效果表'!D:D,'02效果表'!E:E)&lt;0, _xlfn.XLOOKUP(T650,'02效果表'!D:D,'02效果表'!E:E), 0) +
W650*IF(_xlfn.XLOOKUP(V650,'02效果表'!D:D,'02效果表'!E:E)&lt;0, _xlfn.XLOOKUP(V650,'02效果表'!D:D,'02效果表'!E:E), 0) +
Y650*IF(_xlfn.XLOOKUP(X650,'02效果表'!D:D,'02效果表'!E:E)&lt;0, _xlfn.XLOOKUP(X650,'02效果表'!D:D,'02效果表'!E:E), 0) +
AA650*IF(_xlfn.XLOOKUP(Z650,'02效果表'!D:D,'02效果表'!E:E)&lt;0, _xlfn.XLOOKUP(Z650,'02效果表'!D:D,'02效果表'!E:E), 0) +
AC650*IF(_xlfn.XLOOKUP(AB650,'02效果表'!D:D,'02效果表'!E:E)&lt;0, _xlfn.XLOOKUP(AB650,'02效果表'!D:D,'02效果表'!E:E), 0) +
AE650*IF(_xlfn.XLOOKUP(AD650,'02效果表'!D:D,'02效果表'!E:E)&lt;0, _xlfn.XLOOKUP(AD650,'02效果表'!D:D,'02效果表'!E:E), 0)), 1)</f>
        <v>0</v>
      </c>
      <c r="G650" s="7">
        <f>ROUND(1/6*(I650*MAX(_xlfn.XLOOKUP(H650,'02效果表'!D:D,'02效果表'!E:E),0)+K650*MAX(_xlfn.XLOOKUP(J650,'02效果表'!D:D,'02效果表'!E:E),0)+M650*MAX(_xlfn.XLOOKUP(L650,'02效果表'!D:D,'02效果表'!E:E),0)+O650*MAX(_xlfn.XLOOKUP(N650,'02效果表'!D:D,'02效果表'!E:E),0)+Q650*MAX(_xlfn.XLOOKUP(P650,'02效果表'!D:D,'02效果表'!E:E),0)+S650*MAX(_xlfn.XLOOKUP(R650,'02效果表'!D:D,'02效果表'!E:E),0)+U650*MAX(_xlfn.XLOOKUP(T650,'02效果表'!D:D,'02效果表'!E:E),0)+W650*MAX(_xlfn.XLOOKUP(V650,'02效果表'!D:D,'02效果表'!E:E),0)+Y650*MAX(_xlfn.XLOOKUP(X650,'02效果表'!D:D,'02效果表'!E:E),0)+AA650*MAX(_xlfn.XLOOKUP(Z650,'02效果表'!D:D,'02效果表'!E:E),0)+AC650*MAX(_xlfn.XLOOKUP(AB650,'02效果表'!D:D,'02效果表'!E:E),0)+AE650*MAX(_xlfn.XLOOKUP(AD650,'02效果表'!D:D,'02效果表'!E:E),0)),1)</f>
        <v>0</v>
      </c>
      <c r="H650" s="6"/>
      <c r="I650" s="6"/>
      <c r="J650" s="6"/>
      <c r="K650" s="6"/>
      <c r="L650" s="6"/>
      <c r="M650" s="6"/>
      <c r="N650" s="6"/>
      <c r="O650" s="6"/>
      <c r="P650" s="6"/>
      <c r="Q650" s="6"/>
      <c r="R650" s="6"/>
      <c r="S650" s="6"/>
      <c r="T650" s="6"/>
      <c r="U650" s="6"/>
      <c r="V650" s="6"/>
      <c r="W650" s="6"/>
      <c r="X650" s="6"/>
      <c r="Y650" s="6"/>
      <c r="Z650" s="6"/>
      <c r="AA650" s="6"/>
      <c r="AB650" s="6"/>
      <c r="AC650" s="6"/>
      <c r="AD650" s="6"/>
      <c r="AE650" s="6"/>
    </row>
    <row r="651" spans="1:31" x14ac:dyDescent="0.35">
      <c r="A651" s="6">
        <v>651</v>
      </c>
      <c r="B651" s="6" t="s">
        <v>8</v>
      </c>
      <c r="C651" s="10" t="s">
        <v>1</v>
      </c>
      <c r="D651" s="9"/>
      <c r="E651" s="7">
        <f t="shared" si="17"/>
        <v>0</v>
      </c>
      <c r="F651" s="7">
        <f>-1*ROUND(1/6*(I651*IF(_xlfn.XLOOKUP(H651,'02效果表'!D:D,'02效果表'!E:E)&lt;0, _xlfn.XLOOKUP(H651,'02效果表'!D:D,'02效果表'!E:E), 0) +
K651*IF(_xlfn.XLOOKUP(J651,'02效果表'!D:D,'02效果表'!E:E)&lt;0, _xlfn.XLOOKUP(J651,'02效果表'!D:D,'02效果表'!E:E), 0) +
M651*IF(_xlfn.XLOOKUP(L651,'02效果表'!D:D,'02效果表'!E:E)&lt;0, _xlfn.XLOOKUP(L651,'02效果表'!D:D,'02效果表'!E:E), 0) +
O651*IF(_xlfn.XLOOKUP(N651,'02效果表'!D:D,'02效果表'!E:E)&lt;0, _xlfn.XLOOKUP(N651,'02效果表'!D:D,'02效果表'!E:E), 0) +
Q651*IF(_xlfn.XLOOKUP(P651,'02效果表'!D:D,'02效果表'!E:E)&lt;0, _xlfn.XLOOKUP(P651,'02效果表'!D:D,'02效果表'!E:E), 0) +
S651*IF(_xlfn.XLOOKUP(R651,'02效果表'!D:D,'02效果表'!E:E)&lt;0, _xlfn.XLOOKUP(R651,'02效果表'!D:D,'02效果表'!E:E), 0) +
U651*IF(_xlfn.XLOOKUP(T651,'02效果表'!D:D,'02效果表'!E:E)&lt;0, _xlfn.XLOOKUP(T651,'02效果表'!D:D,'02效果表'!E:E), 0) +
W651*IF(_xlfn.XLOOKUP(V651,'02效果表'!D:D,'02效果表'!E:E)&lt;0, _xlfn.XLOOKUP(V651,'02效果表'!D:D,'02效果表'!E:E), 0) +
Y651*IF(_xlfn.XLOOKUP(X651,'02效果表'!D:D,'02效果表'!E:E)&lt;0, _xlfn.XLOOKUP(X651,'02效果表'!D:D,'02效果表'!E:E), 0) +
AA651*IF(_xlfn.XLOOKUP(Z651,'02效果表'!D:D,'02效果表'!E:E)&lt;0, _xlfn.XLOOKUP(Z651,'02效果表'!D:D,'02效果表'!E:E), 0) +
AC651*IF(_xlfn.XLOOKUP(AB651,'02效果表'!D:D,'02效果表'!E:E)&lt;0, _xlfn.XLOOKUP(AB651,'02效果表'!D:D,'02效果表'!E:E), 0) +
AE651*IF(_xlfn.XLOOKUP(AD651,'02效果表'!D:D,'02效果表'!E:E)&lt;0, _xlfn.XLOOKUP(AD651,'02效果表'!D:D,'02效果表'!E:E), 0)), 1)</f>
        <v>0</v>
      </c>
      <c r="G651" s="7">
        <f>ROUND(1/6*(I651*MAX(_xlfn.XLOOKUP(H651,'02效果表'!D:D,'02效果表'!E:E),0)+K651*MAX(_xlfn.XLOOKUP(J651,'02效果表'!D:D,'02效果表'!E:E),0)+M651*MAX(_xlfn.XLOOKUP(L651,'02效果表'!D:D,'02效果表'!E:E),0)+O651*MAX(_xlfn.XLOOKUP(N651,'02效果表'!D:D,'02效果表'!E:E),0)+Q651*MAX(_xlfn.XLOOKUP(P651,'02效果表'!D:D,'02效果表'!E:E),0)+S651*MAX(_xlfn.XLOOKUP(R651,'02效果表'!D:D,'02效果表'!E:E),0)+U651*MAX(_xlfn.XLOOKUP(T651,'02效果表'!D:D,'02效果表'!E:E),0)+W651*MAX(_xlfn.XLOOKUP(V651,'02效果表'!D:D,'02效果表'!E:E),0)+Y651*MAX(_xlfn.XLOOKUP(X651,'02效果表'!D:D,'02效果表'!E:E),0)+AA651*MAX(_xlfn.XLOOKUP(Z651,'02效果表'!D:D,'02效果表'!E:E),0)+AC651*MAX(_xlfn.XLOOKUP(AB651,'02效果表'!D:D,'02效果表'!E:E),0)+AE651*MAX(_xlfn.XLOOKUP(AD651,'02效果表'!D:D,'02效果表'!E:E),0)),1)</f>
        <v>0</v>
      </c>
      <c r="H651" s="6"/>
      <c r="I651" s="6"/>
      <c r="J651" s="6"/>
      <c r="K651" s="6"/>
      <c r="L651" s="6"/>
      <c r="M651" s="6"/>
      <c r="N651" s="6"/>
      <c r="O651" s="6"/>
      <c r="P651" s="6"/>
      <c r="Q651" s="6"/>
      <c r="R651" s="6"/>
      <c r="S651" s="6"/>
      <c r="T651" s="6"/>
      <c r="U651" s="6"/>
      <c r="V651" s="6"/>
      <c r="W651" s="6"/>
      <c r="X651" s="6"/>
      <c r="Y651" s="6"/>
      <c r="Z651" s="6"/>
      <c r="AA651" s="6"/>
      <c r="AB651" s="6"/>
      <c r="AC651" s="6"/>
      <c r="AD651" s="6"/>
      <c r="AE651" s="6"/>
    </row>
    <row r="652" spans="1:31" x14ac:dyDescent="0.35">
      <c r="A652" s="6">
        <v>652</v>
      </c>
      <c r="B652" s="6" t="s">
        <v>8</v>
      </c>
      <c r="C652" s="10" t="s">
        <v>1</v>
      </c>
      <c r="D652" s="9"/>
      <c r="E652" s="7">
        <f t="shared" si="17"/>
        <v>0</v>
      </c>
      <c r="F652" s="7">
        <f>-1*ROUND(1/6*(I652*IF(_xlfn.XLOOKUP(H652,'02效果表'!D:D,'02效果表'!E:E)&lt;0, _xlfn.XLOOKUP(H652,'02效果表'!D:D,'02效果表'!E:E), 0) +
K652*IF(_xlfn.XLOOKUP(J652,'02效果表'!D:D,'02效果表'!E:E)&lt;0, _xlfn.XLOOKUP(J652,'02效果表'!D:D,'02效果表'!E:E), 0) +
M652*IF(_xlfn.XLOOKUP(L652,'02效果表'!D:D,'02效果表'!E:E)&lt;0, _xlfn.XLOOKUP(L652,'02效果表'!D:D,'02效果表'!E:E), 0) +
O652*IF(_xlfn.XLOOKUP(N652,'02效果表'!D:D,'02效果表'!E:E)&lt;0, _xlfn.XLOOKUP(N652,'02效果表'!D:D,'02效果表'!E:E), 0) +
Q652*IF(_xlfn.XLOOKUP(P652,'02效果表'!D:D,'02效果表'!E:E)&lt;0, _xlfn.XLOOKUP(P652,'02效果表'!D:D,'02效果表'!E:E), 0) +
S652*IF(_xlfn.XLOOKUP(R652,'02效果表'!D:D,'02效果表'!E:E)&lt;0, _xlfn.XLOOKUP(R652,'02效果表'!D:D,'02效果表'!E:E), 0) +
U652*IF(_xlfn.XLOOKUP(T652,'02效果表'!D:D,'02效果表'!E:E)&lt;0, _xlfn.XLOOKUP(T652,'02效果表'!D:D,'02效果表'!E:E), 0) +
W652*IF(_xlfn.XLOOKUP(V652,'02效果表'!D:D,'02效果表'!E:E)&lt;0, _xlfn.XLOOKUP(V652,'02效果表'!D:D,'02效果表'!E:E), 0) +
Y652*IF(_xlfn.XLOOKUP(X652,'02效果表'!D:D,'02效果表'!E:E)&lt;0, _xlfn.XLOOKUP(X652,'02效果表'!D:D,'02效果表'!E:E), 0) +
AA652*IF(_xlfn.XLOOKUP(Z652,'02效果表'!D:D,'02效果表'!E:E)&lt;0, _xlfn.XLOOKUP(Z652,'02效果表'!D:D,'02效果表'!E:E), 0) +
AC652*IF(_xlfn.XLOOKUP(AB652,'02效果表'!D:D,'02效果表'!E:E)&lt;0, _xlfn.XLOOKUP(AB652,'02效果表'!D:D,'02效果表'!E:E), 0) +
AE652*IF(_xlfn.XLOOKUP(AD652,'02效果表'!D:D,'02效果表'!E:E)&lt;0, _xlfn.XLOOKUP(AD652,'02效果表'!D:D,'02效果表'!E:E), 0)), 1)</f>
        <v>0</v>
      </c>
      <c r="G652" s="7">
        <f>ROUND(1/6*(I652*MAX(_xlfn.XLOOKUP(H652,'02效果表'!D:D,'02效果表'!E:E),0)+K652*MAX(_xlfn.XLOOKUP(J652,'02效果表'!D:D,'02效果表'!E:E),0)+M652*MAX(_xlfn.XLOOKUP(L652,'02效果表'!D:D,'02效果表'!E:E),0)+O652*MAX(_xlfn.XLOOKUP(N652,'02效果表'!D:D,'02效果表'!E:E),0)+Q652*MAX(_xlfn.XLOOKUP(P652,'02效果表'!D:D,'02效果表'!E:E),0)+S652*MAX(_xlfn.XLOOKUP(R652,'02效果表'!D:D,'02效果表'!E:E),0)+U652*MAX(_xlfn.XLOOKUP(T652,'02效果表'!D:D,'02效果表'!E:E),0)+W652*MAX(_xlfn.XLOOKUP(V652,'02效果表'!D:D,'02效果表'!E:E),0)+Y652*MAX(_xlfn.XLOOKUP(X652,'02效果表'!D:D,'02效果表'!E:E),0)+AA652*MAX(_xlfn.XLOOKUP(Z652,'02效果表'!D:D,'02效果表'!E:E),0)+AC652*MAX(_xlfn.XLOOKUP(AB652,'02效果表'!D:D,'02效果表'!E:E),0)+AE652*MAX(_xlfn.XLOOKUP(AD652,'02效果表'!D:D,'02效果表'!E:E),0)),1)</f>
        <v>0</v>
      </c>
      <c r="H652" s="6"/>
      <c r="I652" s="6"/>
      <c r="J652" s="6"/>
      <c r="K652" s="6"/>
      <c r="L652" s="6"/>
      <c r="M652" s="6"/>
      <c r="N652" s="6"/>
      <c r="O652" s="6"/>
      <c r="P652" s="6"/>
      <c r="Q652" s="6"/>
      <c r="R652" s="6"/>
      <c r="S652" s="6"/>
      <c r="T652" s="6"/>
      <c r="U652" s="6"/>
      <c r="V652" s="6"/>
      <c r="W652" s="6"/>
      <c r="X652" s="6"/>
      <c r="Y652" s="6"/>
      <c r="Z652" s="6"/>
      <c r="AA652" s="6"/>
      <c r="AB652" s="6"/>
      <c r="AC652" s="6"/>
      <c r="AD652" s="6"/>
      <c r="AE652" s="6"/>
    </row>
    <row r="653" spans="1:31" x14ac:dyDescent="0.35">
      <c r="A653" s="6">
        <v>653</v>
      </c>
      <c r="B653" s="6" t="s">
        <v>8</v>
      </c>
      <c r="C653" s="10" t="s">
        <v>1</v>
      </c>
      <c r="D653" s="9"/>
      <c r="E653" s="7">
        <f t="shared" si="17"/>
        <v>0</v>
      </c>
      <c r="F653" s="7">
        <f>-1*ROUND(1/6*(I653*IF(_xlfn.XLOOKUP(H653,'02效果表'!D:D,'02效果表'!E:E)&lt;0, _xlfn.XLOOKUP(H653,'02效果表'!D:D,'02效果表'!E:E), 0) +
K653*IF(_xlfn.XLOOKUP(J653,'02效果表'!D:D,'02效果表'!E:E)&lt;0, _xlfn.XLOOKUP(J653,'02效果表'!D:D,'02效果表'!E:E), 0) +
M653*IF(_xlfn.XLOOKUP(L653,'02效果表'!D:D,'02效果表'!E:E)&lt;0, _xlfn.XLOOKUP(L653,'02效果表'!D:D,'02效果表'!E:E), 0) +
O653*IF(_xlfn.XLOOKUP(N653,'02效果表'!D:D,'02效果表'!E:E)&lt;0, _xlfn.XLOOKUP(N653,'02效果表'!D:D,'02效果表'!E:E), 0) +
Q653*IF(_xlfn.XLOOKUP(P653,'02效果表'!D:D,'02效果表'!E:E)&lt;0, _xlfn.XLOOKUP(P653,'02效果表'!D:D,'02效果表'!E:E), 0) +
S653*IF(_xlfn.XLOOKUP(R653,'02效果表'!D:D,'02效果表'!E:E)&lt;0, _xlfn.XLOOKUP(R653,'02效果表'!D:D,'02效果表'!E:E), 0) +
U653*IF(_xlfn.XLOOKUP(T653,'02效果表'!D:D,'02效果表'!E:E)&lt;0, _xlfn.XLOOKUP(T653,'02效果表'!D:D,'02效果表'!E:E), 0) +
W653*IF(_xlfn.XLOOKUP(V653,'02效果表'!D:D,'02效果表'!E:E)&lt;0, _xlfn.XLOOKUP(V653,'02效果表'!D:D,'02效果表'!E:E), 0) +
Y653*IF(_xlfn.XLOOKUP(X653,'02效果表'!D:D,'02效果表'!E:E)&lt;0, _xlfn.XLOOKUP(X653,'02效果表'!D:D,'02效果表'!E:E), 0) +
AA653*IF(_xlfn.XLOOKUP(Z653,'02效果表'!D:D,'02效果表'!E:E)&lt;0, _xlfn.XLOOKUP(Z653,'02效果表'!D:D,'02效果表'!E:E), 0) +
AC653*IF(_xlfn.XLOOKUP(AB653,'02效果表'!D:D,'02效果表'!E:E)&lt;0, _xlfn.XLOOKUP(AB653,'02效果表'!D:D,'02效果表'!E:E), 0) +
AE653*IF(_xlfn.XLOOKUP(AD653,'02效果表'!D:D,'02效果表'!E:E)&lt;0, _xlfn.XLOOKUP(AD653,'02效果表'!D:D,'02效果表'!E:E), 0)), 1)</f>
        <v>0</v>
      </c>
      <c r="G653" s="7">
        <f>ROUND(1/6*(I653*MAX(_xlfn.XLOOKUP(H653,'02效果表'!D:D,'02效果表'!E:E),0)+K653*MAX(_xlfn.XLOOKUP(J653,'02效果表'!D:D,'02效果表'!E:E),0)+M653*MAX(_xlfn.XLOOKUP(L653,'02效果表'!D:D,'02效果表'!E:E),0)+O653*MAX(_xlfn.XLOOKUP(N653,'02效果表'!D:D,'02效果表'!E:E),0)+Q653*MAX(_xlfn.XLOOKUP(P653,'02效果表'!D:D,'02效果表'!E:E),0)+S653*MAX(_xlfn.XLOOKUP(R653,'02效果表'!D:D,'02效果表'!E:E),0)+U653*MAX(_xlfn.XLOOKUP(T653,'02效果表'!D:D,'02效果表'!E:E),0)+W653*MAX(_xlfn.XLOOKUP(V653,'02效果表'!D:D,'02效果表'!E:E),0)+Y653*MAX(_xlfn.XLOOKUP(X653,'02效果表'!D:D,'02效果表'!E:E),0)+AA653*MAX(_xlfn.XLOOKUP(Z653,'02效果表'!D:D,'02效果表'!E:E),0)+AC653*MAX(_xlfn.XLOOKUP(AB653,'02效果表'!D:D,'02效果表'!E:E),0)+AE653*MAX(_xlfn.XLOOKUP(AD653,'02效果表'!D:D,'02效果表'!E:E),0)),1)</f>
        <v>0</v>
      </c>
      <c r="H653" s="6"/>
      <c r="I653" s="6"/>
      <c r="J653" s="6"/>
      <c r="K653" s="6"/>
      <c r="L653" s="6"/>
      <c r="M653" s="6"/>
      <c r="N653" s="6"/>
      <c r="O653" s="6"/>
      <c r="P653" s="6"/>
      <c r="Q653" s="6"/>
      <c r="R653" s="6"/>
      <c r="S653" s="6"/>
      <c r="T653" s="6"/>
      <c r="U653" s="6"/>
      <c r="V653" s="6"/>
      <c r="W653" s="6"/>
      <c r="X653" s="6"/>
      <c r="Y653" s="6"/>
      <c r="Z653" s="6"/>
      <c r="AA653" s="6"/>
      <c r="AB653" s="6"/>
      <c r="AC653" s="6"/>
      <c r="AD653" s="6"/>
      <c r="AE653" s="6"/>
    </row>
    <row r="654" spans="1:31" x14ac:dyDescent="0.35">
      <c r="A654" s="6">
        <v>654</v>
      </c>
      <c r="B654" s="6" t="s">
        <v>8</v>
      </c>
      <c r="C654" s="10" t="s">
        <v>1</v>
      </c>
      <c r="D654" s="9"/>
      <c r="E654" s="7">
        <f t="shared" si="17"/>
        <v>0</v>
      </c>
      <c r="F654" s="7">
        <f>-1*ROUND(1/6*(I654*IF(_xlfn.XLOOKUP(H654,'02效果表'!D:D,'02效果表'!E:E)&lt;0, _xlfn.XLOOKUP(H654,'02效果表'!D:D,'02效果表'!E:E), 0) +
K654*IF(_xlfn.XLOOKUP(J654,'02效果表'!D:D,'02效果表'!E:E)&lt;0, _xlfn.XLOOKUP(J654,'02效果表'!D:D,'02效果表'!E:E), 0) +
M654*IF(_xlfn.XLOOKUP(L654,'02效果表'!D:D,'02效果表'!E:E)&lt;0, _xlfn.XLOOKUP(L654,'02效果表'!D:D,'02效果表'!E:E), 0) +
O654*IF(_xlfn.XLOOKUP(N654,'02效果表'!D:D,'02效果表'!E:E)&lt;0, _xlfn.XLOOKUP(N654,'02效果表'!D:D,'02效果表'!E:E), 0) +
Q654*IF(_xlfn.XLOOKUP(P654,'02效果表'!D:D,'02效果表'!E:E)&lt;0, _xlfn.XLOOKUP(P654,'02效果表'!D:D,'02效果表'!E:E), 0) +
S654*IF(_xlfn.XLOOKUP(R654,'02效果表'!D:D,'02效果表'!E:E)&lt;0, _xlfn.XLOOKUP(R654,'02效果表'!D:D,'02效果表'!E:E), 0) +
U654*IF(_xlfn.XLOOKUP(T654,'02效果表'!D:D,'02效果表'!E:E)&lt;0, _xlfn.XLOOKUP(T654,'02效果表'!D:D,'02效果表'!E:E), 0) +
W654*IF(_xlfn.XLOOKUP(V654,'02效果表'!D:D,'02效果表'!E:E)&lt;0, _xlfn.XLOOKUP(V654,'02效果表'!D:D,'02效果表'!E:E), 0) +
Y654*IF(_xlfn.XLOOKUP(X654,'02效果表'!D:D,'02效果表'!E:E)&lt;0, _xlfn.XLOOKUP(X654,'02效果表'!D:D,'02效果表'!E:E), 0) +
AA654*IF(_xlfn.XLOOKUP(Z654,'02效果表'!D:D,'02效果表'!E:E)&lt;0, _xlfn.XLOOKUP(Z654,'02效果表'!D:D,'02效果表'!E:E), 0) +
AC654*IF(_xlfn.XLOOKUP(AB654,'02效果表'!D:D,'02效果表'!E:E)&lt;0, _xlfn.XLOOKUP(AB654,'02效果表'!D:D,'02效果表'!E:E), 0) +
AE654*IF(_xlfn.XLOOKUP(AD654,'02效果表'!D:D,'02效果表'!E:E)&lt;0, _xlfn.XLOOKUP(AD654,'02效果表'!D:D,'02效果表'!E:E), 0)), 1)</f>
        <v>0</v>
      </c>
      <c r="G654" s="7">
        <f>ROUND(1/6*(I654*MAX(_xlfn.XLOOKUP(H654,'02效果表'!D:D,'02效果表'!E:E),0)+K654*MAX(_xlfn.XLOOKUP(J654,'02效果表'!D:D,'02效果表'!E:E),0)+M654*MAX(_xlfn.XLOOKUP(L654,'02效果表'!D:D,'02效果表'!E:E),0)+O654*MAX(_xlfn.XLOOKUP(N654,'02效果表'!D:D,'02效果表'!E:E),0)+Q654*MAX(_xlfn.XLOOKUP(P654,'02效果表'!D:D,'02效果表'!E:E),0)+S654*MAX(_xlfn.XLOOKUP(R654,'02效果表'!D:D,'02效果表'!E:E),0)+U654*MAX(_xlfn.XLOOKUP(T654,'02效果表'!D:D,'02效果表'!E:E),0)+W654*MAX(_xlfn.XLOOKUP(V654,'02效果表'!D:D,'02效果表'!E:E),0)+Y654*MAX(_xlfn.XLOOKUP(X654,'02效果表'!D:D,'02效果表'!E:E),0)+AA654*MAX(_xlfn.XLOOKUP(Z654,'02效果表'!D:D,'02效果表'!E:E),0)+AC654*MAX(_xlfn.XLOOKUP(AB654,'02效果表'!D:D,'02效果表'!E:E),0)+AE654*MAX(_xlfn.XLOOKUP(AD654,'02效果表'!D:D,'02效果表'!E:E),0)),1)</f>
        <v>0</v>
      </c>
      <c r="H654" s="6"/>
      <c r="I654" s="6"/>
      <c r="J654" s="6"/>
      <c r="K654" s="6"/>
      <c r="L654" s="6"/>
      <c r="M654" s="6"/>
      <c r="N654" s="6"/>
      <c r="O654" s="6"/>
      <c r="P654" s="6"/>
      <c r="Q654" s="6"/>
      <c r="R654" s="6"/>
      <c r="S654" s="6"/>
      <c r="T654" s="6"/>
      <c r="U654" s="6"/>
      <c r="V654" s="6"/>
      <c r="W654" s="6"/>
      <c r="X654" s="6"/>
      <c r="Y654" s="6"/>
      <c r="Z654" s="6"/>
      <c r="AA654" s="6"/>
      <c r="AB654" s="6"/>
      <c r="AC654" s="6"/>
      <c r="AD654" s="6"/>
      <c r="AE654" s="6"/>
    </row>
    <row r="655" spans="1:31" x14ac:dyDescent="0.35">
      <c r="A655" s="6">
        <v>655</v>
      </c>
      <c r="B655" s="6" t="s">
        <v>8</v>
      </c>
      <c r="C655" s="10" t="s">
        <v>1</v>
      </c>
      <c r="D655" s="9"/>
      <c r="E655" s="7">
        <f t="shared" si="17"/>
        <v>0</v>
      </c>
      <c r="F655" s="7">
        <f>-1*ROUND(1/6*(I655*IF(_xlfn.XLOOKUP(H655,'02效果表'!D:D,'02效果表'!E:E)&lt;0, _xlfn.XLOOKUP(H655,'02效果表'!D:D,'02效果表'!E:E), 0) +
K655*IF(_xlfn.XLOOKUP(J655,'02效果表'!D:D,'02效果表'!E:E)&lt;0, _xlfn.XLOOKUP(J655,'02效果表'!D:D,'02效果表'!E:E), 0) +
M655*IF(_xlfn.XLOOKUP(L655,'02效果表'!D:D,'02效果表'!E:E)&lt;0, _xlfn.XLOOKUP(L655,'02效果表'!D:D,'02效果表'!E:E), 0) +
O655*IF(_xlfn.XLOOKUP(N655,'02效果表'!D:D,'02效果表'!E:E)&lt;0, _xlfn.XLOOKUP(N655,'02效果表'!D:D,'02效果表'!E:E), 0) +
Q655*IF(_xlfn.XLOOKUP(P655,'02效果表'!D:D,'02效果表'!E:E)&lt;0, _xlfn.XLOOKUP(P655,'02效果表'!D:D,'02效果表'!E:E), 0) +
S655*IF(_xlfn.XLOOKUP(R655,'02效果表'!D:D,'02效果表'!E:E)&lt;0, _xlfn.XLOOKUP(R655,'02效果表'!D:D,'02效果表'!E:E), 0) +
U655*IF(_xlfn.XLOOKUP(T655,'02效果表'!D:D,'02效果表'!E:E)&lt;0, _xlfn.XLOOKUP(T655,'02效果表'!D:D,'02效果表'!E:E), 0) +
W655*IF(_xlfn.XLOOKUP(V655,'02效果表'!D:D,'02效果表'!E:E)&lt;0, _xlfn.XLOOKUP(V655,'02效果表'!D:D,'02效果表'!E:E), 0) +
Y655*IF(_xlfn.XLOOKUP(X655,'02效果表'!D:D,'02效果表'!E:E)&lt;0, _xlfn.XLOOKUP(X655,'02效果表'!D:D,'02效果表'!E:E), 0) +
AA655*IF(_xlfn.XLOOKUP(Z655,'02效果表'!D:D,'02效果表'!E:E)&lt;0, _xlfn.XLOOKUP(Z655,'02效果表'!D:D,'02效果表'!E:E), 0) +
AC655*IF(_xlfn.XLOOKUP(AB655,'02效果表'!D:D,'02效果表'!E:E)&lt;0, _xlfn.XLOOKUP(AB655,'02效果表'!D:D,'02效果表'!E:E), 0) +
AE655*IF(_xlfn.XLOOKUP(AD655,'02效果表'!D:D,'02效果表'!E:E)&lt;0, _xlfn.XLOOKUP(AD655,'02效果表'!D:D,'02效果表'!E:E), 0)), 1)</f>
        <v>0</v>
      </c>
      <c r="G655" s="7">
        <f>ROUND(1/6*(I655*MAX(_xlfn.XLOOKUP(H655,'02效果表'!D:D,'02效果表'!E:E),0)+K655*MAX(_xlfn.XLOOKUP(J655,'02效果表'!D:D,'02效果表'!E:E),0)+M655*MAX(_xlfn.XLOOKUP(L655,'02效果表'!D:D,'02效果表'!E:E),0)+O655*MAX(_xlfn.XLOOKUP(N655,'02效果表'!D:D,'02效果表'!E:E),0)+Q655*MAX(_xlfn.XLOOKUP(P655,'02效果表'!D:D,'02效果表'!E:E),0)+S655*MAX(_xlfn.XLOOKUP(R655,'02效果表'!D:D,'02效果表'!E:E),0)+U655*MAX(_xlfn.XLOOKUP(T655,'02效果表'!D:D,'02效果表'!E:E),0)+W655*MAX(_xlfn.XLOOKUP(V655,'02效果表'!D:D,'02效果表'!E:E),0)+Y655*MAX(_xlfn.XLOOKUP(X655,'02效果表'!D:D,'02效果表'!E:E),0)+AA655*MAX(_xlfn.XLOOKUP(Z655,'02效果表'!D:D,'02效果表'!E:E),0)+AC655*MAX(_xlfn.XLOOKUP(AB655,'02效果表'!D:D,'02效果表'!E:E),0)+AE655*MAX(_xlfn.XLOOKUP(AD655,'02效果表'!D:D,'02效果表'!E:E),0)),1)</f>
        <v>0</v>
      </c>
      <c r="H655" s="6"/>
      <c r="I655" s="6"/>
      <c r="J655" s="6"/>
      <c r="K655" s="6"/>
      <c r="L655" s="6"/>
      <c r="M655" s="6"/>
      <c r="N655" s="6"/>
      <c r="O655" s="6"/>
      <c r="P655" s="6"/>
      <c r="Q655" s="6"/>
      <c r="R655" s="6"/>
      <c r="S655" s="6"/>
      <c r="T655" s="6"/>
      <c r="U655" s="6"/>
      <c r="V655" s="6"/>
      <c r="W655" s="6"/>
      <c r="X655" s="6"/>
      <c r="Y655" s="6"/>
      <c r="Z655" s="6"/>
      <c r="AA655" s="6"/>
      <c r="AB655" s="6"/>
      <c r="AC655" s="6"/>
      <c r="AD655" s="6"/>
      <c r="AE655" s="6"/>
    </row>
    <row r="656" spans="1:31" x14ac:dyDescent="0.35">
      <c r="A656" s="6">
        <v>656</v>
      </c>
      <c r="B656" s="6" t="s">
        <v>8</v>
      </c>
      <c r="C656" s="10" t="s">
        <v>1</v>
      </c>
      <c r="D656" s="9"/>
      <c r="E656" s="7">
        <f t="shared" si="17"/>
        <v>0</v>
      </c>
      <c r="F656" s="7">
        <f>-1*ROUND(1/6*(I656*IF(_xlfn.XLOOKUP(H656,'02效果表'!D:D,'02效果表'!E:E)&lt;0, _xlfn.XLOOKUP(H656,'02效果表'!D:D,'02效果表'!E:E), 0) +
K656*IF(_xlfn.XLOOKUP(J656,'02效果表'!D:D,'02效果表'!E:E)&lt;0, _xlfn.XLOOKUP(J656,'02效果表'!D:D,'02效果表'!E:E), 0) +
M656*IF(_xlfn.XLOOKUP(L656,'02效果表'!D:D,'02效果表'!E:E)&lt;0, _xlfn.XLOOKUP(L656,'02效果表'!D:D,'02效果表'!E:E), 0) +
O656*IF(_xlfn.XLOOKUP(N656,'02效果表'!D:D,'02效果表'!E:E)&lt;0, _xlfn.XLOOKUP(N656,'02效果表'!D:D,'02效果表'!E:E), 0) +
Q656*IF(_xlfn.XLOOKUP(P656,'02效果表'!D:D,'02效果表'!E:E)&lt;0, _xlfn.XLOOKUP(P656,'02效果表'!D:D,'02效果表'!E:E), 0) +
S656*IF(_xlfn.XLOOKUP(R656,'02效果表'!D:D,'02效果表'!E:E)&lt;0, _xlfn.XLOOKUP(R656,'02效果表'!D:D,'02效果表'!E:E), 0) +
U656*IF(_xlfn.XLOOKUP(T656,'02效果表'!D:D,'02效果表'!E:E)&lt;0, _xlfn.XLOOKUP(T656,'02效果表'!D:D,'02效果表'!E:E), 0) +
W656*IF(_xlfn.XLOOKUP(V656,'02效果表'!D:D,'02效果表'!E:E)&lt;0, _xlfn.XLOOKUP(V656,'02效果表'!D:D,'02效果表'!E:E), 0) +
Y656*IF(_xlfn.XLOOKUP(X656,'02效果表'!D:D,'02效果表'!E:E)&lt;0, _xlfn.XLOOKUP(X656,'02效果表'!D:D,'02效果表'!E:E), 0) +
AA656*IF(_xlfn.XLOOKUP(Z656,'02效果表'!D:D,'02效果表'!E:E)&lt;0, _xlfn.XLOOKUP(Z656,'02效果表'!D:D,'02效果表'!E:E), 0) +
AC656*IF(_xlfn.XLOOKUP(AB656,'02效果表'!D:D,'02效果表'!E:E)&lt;0, _xlfn.XLOOKUP(AB656,'02效果表'!D:D,'02效果表'!E:E), 0) +
AE656*IF(_xlfn.XLOOKUP(AD656,'02效果表'!D:D,'02效果表'!E:E)&lt;0, _xlfn.XLOOKUP(AD656,'02效果表'!D:D,'02效果表'!E:E), 0)), 1)</f>
        <v>0</v>
      </c>
      <c r="G656" s="7">
        <f>ROUND(1/6*(I656*MAX(_xlfn.XLOOKUP(H656,'02效果表'!D:D,'02效果表'!E:E),0)+K656*MAX(_xlfn.XLOOKUP(J656,'02效果表'!D:D,'02效果表'!E:E),0)+M656*MAX(_xlfn.XLOOKUP(L656,'02效果表'!D:D,'02效果表'!E:E),0)+O656*MAX(_xlfn.XLOOKUP(N656,'02效果表'!D:D,'02效果表'!E:E),0)+Q656*MAX(_xlfn.XLOOKUP(P656,'02效果表'!D:D,'02效果表'!E:E),0)+S656*MAX(_xlfn.XLOOKUP(R656,'02效果表'!D:D,'02效果表'!E:E),0)+U656*MAX(_xlfn.XLOOKUP(T656,'02效果表'!D:D,'02效果表'!E:E),0)+W656*MAX(_xlfn.XLOOKUP(V656,'02效果表'!D:D,'02效果表'!E:E),0)+Y656*MAX(_xlfn.XLOOKUP(X656,'02效果表'!D:D,'02效果表'!E:E),0)+AA656*MAX(_xlfn.XLOOKUP(Z656,'02效果表'!D:D,'02效果表'!E:E),0)+AC656*MAX(_xlfn.XLOOKUP(AB656,'02效果表'!D:D,'02效果表'!E:E),0)+AE656*MAX(_xlfn.XLOOKUP(AD656,'02效果表'!D:D,'02效果表'!E:E),0)),1)</f>
        <v>0</v>
      </c>
      <c r="H656" s="6"/>
      <c r="I656" s="6"/>
      <c r="J656" s="6"/>
      <c r="K656" s="6"/>
      <c r="L656" s="6"/>
      <c r="M656" s="6"/>
      <c r="N656" s="6"/>
      <c r="O656" s="6"/>
      <c r="P656" s="6"/>
      <c r="Q656" s="6"/>
      <c r="R656" s="6"/>
      <c r="S656" s="6"/>
      <c r="T656" s="6"/>
      <c r="U656" s="6"/>
      <c r="V656" s="6"/>
      <c r="W656" s="6"/>
      <c r="X656" s="6"/>
      <c r="Y656" s="6"/>
      <c r="Z656" s="6"/>
      <c r="AA656" s="6"/>
      <c r="AB656" s="6"/>
      <c r="AC656" s="6"/>
      <c r="AD656" s="6"/>
      <c r="AE656" s="6"/>
    </row>
    <row r="657" spans="1:31" x14ac:dyDescent="0.35">
      <c r="A657" s="6">
        <v>657</v>
      </c>
      <c r="B657" s="6" t="s">
        <v>8</v>
      </c>
      <c r="C657" s="10" t="s">
        <v>2</v>
      </c>
      <c r="D657" s="9" t="s">
        <v>1773</v>
      </c>
      <c r="E657" s="7">
        <f t="shared" si="17"/>
        <v>0</v>
      </c>
      <c r="F657" s="7">
        <f>-1*ROUND(1/6*(I657*IF(_xlfn.XLOOKUP(H657,'02效果表'!D:D,'02效果表'!E:E)&lt;0, _xlfn.XLOOKUP(H657,'02效果表'!D:D,'02效果表'!E:E), 0) +
K657*IF(_xlfn.XLOOKUP(J657,'02效果表'!D:D,'02效果表'!E:E)&lt;0, _xlfn.XLOOKUP(J657,'02效果表'!D:D,'02效果表'!E:E), 0) +
M657*IF(_xlfn.XLOOKUP(L657,'02效果表'!D:D,'02效果表'!E:E)&lt;0, _xlfn.XLOOKUP(L657,'02效果表'!D:D,'02效果表'!E:E), 0) +
O657*IF(_xlfn.XLOOKUP(N657,'02效果表'!D:D,'02效果表'!E:E)&lt;0, _xlfn.XLOOKUP(N657,'02效果表'!D:D,'02效果表'!E:E), 0) +
Q657*IF(_xlfn.XLOOKUP(P657,'02效果表'!D:D,'02效果表'!E:E)&lt;0, _xlfn.XLOOKUP(P657,'02效果表'!D:D,'02效果表'!E:E), 0) +
S657*IF(_xlfn.XLOOKUP(R657,'02效果表'!D:D,'02效果表'!E:E)&lt;0, _xlfn.XLOOKUP(R657,'02效果表'!D:D,'02效果表'!E:E), 0) +
U657*IF(_xlfn.XLOOKUP(T657,'02效果表'!D:D,'02效果表'!E:E)&lt;0, _xlfn.XLOOKUP(T657,'02效果表'!D:D,'02效果表'!E:E), 0) +
W657*IF(_xlfn.XLOOKUP(V657,'02效果表'!D:D,'02效果表'!E:E)&lt;0, _xlfn.XLOOKUP(V657,'02效果表'!D:D,'02效果表'!E:E), 0) +
Y657*IF(_xlfn.XLOOKUP(X657,'02效果表'!D:D,'02效果表'!E:E)&lt;0, _xlfn.XLOOKUP(X657,'02效果表'!D:D,'02效果表'!E:E), 0) +
AA657*IF(_xlfn.XLOOKUP(Z657,'02效果表'!D:D,'02效果表'!E:E)&lt;0, _xlfn.XLOOKUP(Z657,'02效果表'!D:D,'02效果表'!E:E), 0) +
AC657*IF(_xlfn.XLOOKUP(AB657,'02效果表'!D:D,'02效果表'!E:E)&lt;0, _xlfn.XLOOKUP(AB657,'02效果表'!D:D,'02效果表'!E:E), 0) +
AE657*IF(_xlfn.XLOOKUP(AD657,'02效果表'!D:D,'02效果表'!E:E)&lt;0, _xlfn.XLOOKUP(AD657,'02效果表'!D:D,'02效果表'!E:E), 0)), 1)</f>
        <v>0</v>
      </c>
      <c r="G657" s="7">
        <f>ROUND(1/6*(I657*MAX(_xlfn.XLOOKUP(H657,'02效果表'!D:D,'02效果表'!E:E),0)+K657*MAX(_xlfn.XLOOKUP(J657,'02效果表'!D:D,'02效果表'!E:E),0)+M657*MAX(_xlfn.XLOOKUP(L657,'02效果表'!D:D,'02效果表'!E:E),0)+O657*MAX(_xlfn.XLOOKUP(N657,'02效果表'!D:D,'02效果表'!E:E),0)+Q657*MAX(_xlfn.XLOOKUP(P657,'02效果表'!D:D,'02效果表'!E:E),0)+S657*MAX(_xlfn.XLOOKUP(R657,'02效果表'!D:D,'02效果表'!E:E),0)+U657*MAX(_xlfn.XLOOKUP(T657,'02效果表'!D:D,'02效果表'!E:E),0)+W657*MAX(_xlfn.XLOOKUP(V657,'02效果表'!D:D,'02效果表'!E:E),0)+Y657*MAX(_xlfn.XLOOKUP(X657,'02效果表'!D:D,'02效果表'!E:E),0)+AA657*MAX(_xlfn.XLOOKUP(Z657,'02效果表'!D:D,'02效果表'!E:E),0)+AC657*MAX(_xlfn.XLOOKUP(AB657,'02效果表'!D:D,'02效果表'!E:E),0)+AE657*MAX(_xlfn.XLOOKUP(AD657,'02效果表'!D:D,'02效果表'!E:E),0)),1)</f>
        <v>0</v>
      </c>
      <c r="H657" s="6"/>
      <c r="I657" s="6"/>
      <c r="J657" s="6"/>
      <c r="K657" s="6"/>
      <c r="L657" s="6"/>
      <c r="M657" s="6"/>
      <c r="N657" s="6"/>
      <c r="O657" s="6"/>
      <c r="P657" s="6"/>
      <c r="Q657" s="6"/>
      <c r="R657" s="6"/>
      <c r="S657" s="6"/>
      <c r="T657" s="6"/>
      <c r="U657" s="6"/>
      <c r="V657" s="6"/>
      <c r="W657" s="6"/>
      <c r="X657" s="6"/>
      <c r="Y657" s="6"/>
      <c r="Z657" s="6"/>
      <c r="AA657" s="6"/>
      <c r="AB657" s="6"/>
      <c r="AC657" s="6"/>
      <c r="AD657" s="6"/>
      <c r="AE657" s="6"/>
    </row>
    <row r="658" spans="1:31" x14ac:dyDescent="0.35">
      <c r="A658" s="6">
        <v>658</v>
      </c>
      <c r="B658" s="6" t="s">
        <v>8</v>
      </c>
      <c r="C658" s="10" t="s">
        <v>2</v>
      </c>
      <c r="D658" s="9" t="s">
        <v>1774</v>
      </c>
      <c r="E658" s="7">
        <f t="shared" si="17"/>
        <v>0</v>
      </c>
      <c r="F658" s="7">
        <f>-1*ROUND(1/6*(I658*IF(_xlfn.XLOOKUP(H658,'02效果表'!D:D,'02效果表'!E:E)&lt;0, _xlfn.XLOOKUP(H658,'02效果表'!D:D,'02效果表'!E:E), 0) +
K658*IF(_xlfn.XLOOKUP(J658,'02效果表'!D:D,'02效果表'!E:E)&lt;0, _xlfn.XLOOKUP(J658,'02效果表'!D:D,'02效果表'!E:E), 0) +
M658*IF(_xlfn.XLOOKUP(L658,'02效果表'!D:D,'02效果表'!E:E)&lt;0, _xlfn.XLOOKUP(L658,'02效果表'!D:D,'02效果表'!E:E), 0) +
O658*IF(_xlfn.XLOOKUP(N658,'02效果表'!D:D,'02效果表'!E:E)&lt;0, _xlfn.XLOOKUP(N658,'02效果表'!D:D,'02效果表'!E:E), 0) +
Q658*IF(_xlfn.XLOOKUP(P658,'02效果表'!D:D,'02效果表'!E:E)&lt;0, _xlfn.XLOOKUP(P658,'02效果表'!D:D,'02效果表'!E:E), 0) +
S658*IF(_xlfn.XLOOKUP(R658,'02效果表'!D:D,'02效果表'!E:E)&lt;0, _xlfn.XLOOKUP(R658,'02效果表'!D:D,'02效果表'!E:E), 0) +
U658*IF(_xlfn.XLOOKUP(T658,'02效果表'!D:D,'02效果表'!E:E)&lt;0, _xlfn.XLOOKUP(T658,'02效果表'!D:D,'02效果表'!E:E), 0) +
W658*IF(_xlfn.XLOOKUP(V658,'02效果表'!D:D,'02效果表'!E:E)&lt;0, _xlfn.XLOOKUP(V658,'02效果表'!D:D,'02效果表'!E:E), 0) +
Y658*IF(_xlfn.XLOOKUP(X658,'02效果表'!D:D,'02效果表'!E:E)&lt;0, _xlfn.XLOOKUP(X658,'02效果表'!D:D,'02效果表'!E:E), 0) +
AA658*IF(_xlfn.XLOOKUP(Z658,'02效果表'!D:D,'02效果表'!E:E)&lt;0, _xlfn.XLOOKUP(Z658,'02效果表'!D:D,'02效果表'!E:E), 0) +
AC658*IF(_xlfn.XLOOKUP(AB658,'02效果表'!D:D,'02效果表'!E:E)&lt;0, _xlfn.XLOOKUP(AB658,'02效果表'!D:D,'02效果表'!E:E), 0) +
AE658*IF(_xlfn.XLOOKUP(AD658,'02效果表'!D:D,'02效果表'!E:E)&lt;0, _xlfn.XLOOKUP(AD658,'02效果表'!D:D,'02效果表'!E:E), 0)), 1)</f>
        <v>0</v>
      </c>
      <c r="G658" s="7">
        <f>ROUND(1/6*(I658*MAX(_xlfn.XLOOKUP(H658,'02效果表'!D:D,'02效果表'!E:E),0)+K658*MAX(_xlfn.XLOOKUP(J658,'02效果表'!D:D,'02效果表'!E:E),0)+M658*MAX(_xlfn.XLOOKUP(L658,'02效果表'!D:D,'02效果表'!E:E),0)+O658*MAX(_xlfn.XLOOKUP(N658,'02效果表'!D:D,'02效果表'!E:E),0)+Q658*MAX(_xlfn.XLOOKUP(P658,'02效果表'!D:D,'02效果表'!E:E),0)+S658*MAX(_xlfn.XLOOKUP(R658,'02效果表'!D:D,'02效果表'!E:E),0)+U658*MAX(_xlfn.XLOOKUP(T658,'02效果表'!D:D,'02效果表'!E:E),0)+W658*MAX(_xlfn.XLOOKUP(V658,'02效果表'!D:D,'02效果表'!E:E),0)+Y658*MAX(_xlfn.XLOOKUP(X658,'02效果表'!D:D,'02效果表'!E:E),0)+AA658*MAX(_xlfn.XLOOKUP(Z658,'02效果表'!D:D,'02效果表'!E:E),0)+AC658*MAX(_xlfn.XLOOKUP(AB658,'02效果表'!D:D,'02效果表'!E:E),0)+AE658*MAX(_xlfn.XLOOKUP(AD658,'02效果表'!D:D,'02效果表'!E:E),0)),1)</f>
        <v>0</v>
      </c>
      <c r="H658" s="6"/>
      <c r="I658" s="6"/>
      <c r="J658" s="6"/>
      <c r="K658" s="6"/>
      <c r="L658" s="6"/>
      <c r="M658" s="6"/>
      <c r="N658" s="6"/>
      <c r="O658" s="6"/>
      <c r="P658" s="6"/>
      <c r="Q658" s="6"/>
      <c r="R658" s="6"/>
      <c r="S658" s="6"/>
      <c r="T658" s="6"/>
      <c r="U658" s="6"/>
      <c r="V658" s="6"/>
      <c r="W658" s="6"/>
      <c r="X658" s="6"/>
      <c r="Y658" s="6"/>
      <c r="Z658" s="6"/>
      <c r="AA658" s="6"/>
      <c r="AB658" s="6"/>
      <c r="AC658" s="6"/>
      <c r="AD658" s="6"/>
      <c r="AE658" s="6"/>
    </row>
    <row r="659" spans="1:31" x14ac:dyDescent="0.35">
      <c r="A659" s="6">
        <v>659</v>
      </c>
      <c r="B659" s="6" t="s">
        <v>8</v>
      </c>
      <c r="C659" s="10" t="s">
        <v>2</v>
      </c>
      <c r="D659" s="9" t="s">
        <v>1775</v>
      </c>
      <c r="E659" s="7">
        <f t="shared" si="17"/>
        <v>0</v>
      </c>
      <c r="F659" s="7">
        <f>-1*ROUND(1/6*(I659*IF(_xlfn.XLOOKUP(H659,'02效果表'!D:D,'02效果表'!E:E)&lt;0, _xlfn.XLOOKUP(H659,'02效果表'!D:D,'02效果表'!E:E), 0) +
K659*IF(_xlfn.XLOOKUP(J659,'02效果表'!D:D,'02效果表'!E:E)&lt;0, _xlfn.XLOOKUP(J659,'02效果表'!D:D,'02效果表'!E:E), 0) +
M659*IF(_xlfn.XLOOKUP(L659,'02效果表'!D:D,'02效果表'!E:E)&lt;0, _xlfn.XLOOKUP(L659,'02效果表'!D:D,'02效果表'!E:E), 0) +
O659*IF(_xlfn.XLOOKUP(N659,'02效果表'!D:D,'02效果表'!E:E)&lt;0, _xlfn.XLOOKUP(N659,'02效果表'!D:D,'02效果表'!E:E), 0) +
Q659*IF(_xlfn.XLOOKUP(P659,'02效果表'!D:D,'02效果表'!E:E)&lt;0, _xlfn.XLOOKUP(P659,'02效果表'!D:D,'02效果表'!E:E), 0) +
S659*IF(_xlfn.XLOOKUP(R659,'02效果表'!D:D,'02效果表'!E:E)&lt;0, _xlfn.XLOOKUP(R659,'02效果表'!D:D,'02效果表'!E:E), 0) +
U659*IF(_xlfn.XLOOKUP(T659,'02效果表'!D:D,'02效果表'!E:E)&lt;0, _xlfn.XLOOKUP(T659,'02效果表'!D:D,'02效果表'!E:E), 0) +
W659*IF(_xlfn.XLOOKUP(V659,'02效果表'!D:D,'02效果表'!E:E)&lt;0, _xlfn.XLOOKUP(V659,'02效果表'!D:D,'02效果表'!E:E), 0) +
Y659*IF(_xlfn.XLOOKUP(X659,'02效果表'!D:D,'02效果表'!E:E)&lt;0, _xlfn.XLOOKUP(X659,'02效果表'!D:D,'02效果表'!E:E), 0) +
AA659*IF(_xlfn.XLOOKUP(Z659,'02效果表'!D:D,'02效果表'!E:E)&lt;0, _xlfn.XLOOKUP(Z659,'02效果表'!D:D,'02效果表'!E:E), 0) +
AC659*IF(_xlfn.XLOOKUP(AB659,'02效果表'!D:D,'02效果表'!E:E)&lt;0, _xlfn.XLOOKUP(AB659,'02效果表'!D:D,'02效果表'!E:E), 0) +
AE659*IF(_xlfn.XLOOKUP(AD659,'02效果表'!D:D,'02效果表'!E:E)&lt;0, _xlfn.XLOOKUP(AD659,'02效果表'!D:D,'02效果表'!E:E), 0)), 1)</f>
        <v>0</v>
      </c>
      <c r="G659" s="7">
        <f>ROUND(1/6*(I659*MAX(_xlfn.XLOOKUP(H659,'02效果表'!D:D,'02效果表'!E:E),0)+K659*MAX(_xlfn.XLOOKUP(J659,'02效果表'!D:D,'02效果表'!E:E),0)+M659*MAX(_xlfn.XLOOKUP(L659,'02效果表'!D:D,'02效果表'!E:E),0)+O659*MAX(_xlfn.XLOOKUP(N659,'02效果表'!D:D,'02效果表'!E:E),0)+Q659*MAX(_xlfn.XLOOKUP(P659,'02效果表'!D:D,'02效果表'!E:E),0)+S659*MAX(_xlfn.XLOOKUP(R659,'02效果表'!D:D,'02效果表'!E:E),0)+U659*MAX(_xlfn.XLOOKUP(T659,'02效果表'!D:D,'02效果表'!E:E),0)+W659*MAX(_xlfn.XLOOKUP(V659,'02效果表'!D:D,'02效果表'!E:E),0)+Y659*MAX(_xlfn.XLOOKUP(X659,'02效果表'!D:D,'02效果表'!E:E),0)+AA659*MAX(_xlfn.XLOOKUP(Z659,'02效果表'!D:D,'02效果表'!E:E),0)+AC659*MAX(_xlfn.XLOOKUP(AB659,'02效果表'!D:D,'02效果表'!E:E),0)+AE659*MAX(_xlfn.XLOOKUP(AD659,'02效果表'!D:D,'02效果表'!E:E),0)),1)</f>
        <v>0</v>
      </c>
      <c r="H659" s="6"/>
      <c r="I659" s="6"/>
      <c r="J659" s="6"/>
      <c r="K659" s="6"/>
      <c r="L659" s="6"/>
      <c r="M659" s="6"/>
      <c r="N659" s="6"/>
      <c r="O659" s="6"/>
      <c r="P659" s="6"/>
      <c r="Q659" s="6"/>
      <c r="R659" s="6"/>
      <c r="S659" s="6"/>
      <c r="T659" s="6"/>
      <c r="U659" s="6"/>
      <c r="V659" s="6"/>
      <c r="W659" s="6"/>
      <c r="X659" s="6"/>
      <c r="Y659" s="6"/>
      <c r="Z659" s="6"/>
      <c r="AA659" s="6"/>
      <c r="AB659" s="6"/>
      <c r="AC659" s="6"/>
      <c r="AD659" s="6"/>
      <c r="AE659" s="6"/>
    </row>
    <row r="660" spans="1:31" x14ac:dyDescent="0.35">
      <c r="A660" s="6">
        <v>660</v>
      </c>
      <c r="B660" s="6" t="s">
        <v>8</v>
      </c>
      <c r="C660" s="10" t="s">
        <v>2</v>
      </c>
      <c r="D660" s="9" t="s">
        <v>1776</v>
      </c>
      <c r="E660" s="7">
        <f t="shared" si="17"/>
        <v>0</v>
      </c>
      <c r="F660" s="7">
        <f>-1*ROUND(1/6*(I660*IF(_xlfn.XLOOKUP(H660,'02效果表'!D:D,'02效果表'!E:E)&lt;0, _xlfn.XLOOKUP(H660,'02效果表'!D:D,'02效果表'!E:E), 0) +
K660*IF(_xlfn.XLOOKUP(J660,'02效果表'!D:D,'02效果表'!E:E)&lt;0, _xlfn.XLOOKUP(J660,'02效果表'!D:D,'02效果表'!E:E), 0) +
M660*IF(_xlfn.XLOOKUP(L660,'02效果表'!D:D,'02效果表'!E:E)&lt;0, _xlfn.XLOOKUP(L660,'02效果表'!D:D,'02效果表'!E:E), 0) +
O660*IF(_xlfn.XLOOKUP(N660,'02效果表'!D:D,'02效果表'!E:E)&lt;0, _xlfn.XLOOKUP(N660,'02效果表'!D:D,'02效果表'!E:E), 0) +
Q660*IF(_xlfn.XLOOKUP(P660,'02效果表'!D:D,'02效果表'!E:E)&lt;0, _xlfn.XLOOKUP(P660,'02效果表'!D:D,'02效果表'!E:E), 0) +
S660*IF(_xlfn.XLOOKUP(R660,'02效果表'!D:D,'02效果表'!E:E)&lt;0, _xlfn.XLOOKUP(R660,'02效果表'!D:D,'02效果表'!E:E), 0) +
U660*IF(_xlfn.XLOOKUP(T660,'02效果表'!D:D,'02效果表'!E:E)&lt;0, _xlfn.XLOOKUP(T660,'02效果表'!D:D,'02效果表'!E:E), 0) +
W660*IF(_xlfn.XLOOKUP(V660,'02效果表'!D:D,'02效果表'!E:E)&lt;0, _xlfn.XLOOKUP(V660,'02效果表'!D:D,'02效果表'!E:E), 0) +
Y660*IF(_xlfn.XLOOKUP(X660,'02效果表'!D:D,'02效果表'!E:E)&lt;0, _xlfn.XLOOKUP(X660,'02效果表'!D:D,'02效果表'!E:E), 0) +
AA660*IF(_xlfn.XLOOKUP(Z660,'02效果表'!D:D,'02效果表'!E:E)&lt;0, _xlfn.XLOOKUP(Z660,'02效果表'!D:D,'02效果表'!E:E), 0) +
AC660*IF(_xlfn.XLOOKUP(AB660,'02效果表'!D:D,'02效果表'!E:E)&lt;0, _xlfn.XLOOKUP(AB660,'02效果表'!D:D,'02效果表'!E:E), 0) +
AE660*IF(_xlfn.XLOOKUP(AD660,'02效果表'!D:D,'02效果表'!E:E)&lt;0, _xlfn.XLOOKUP(AD660,'02效果表'!D:D,'02效果表'!E:E), 0)), 1)</f>
        <v>0</v>
      </c>
      <c r="G660" s="7">
        <f>ROUND(1/6*(I660*MAX(_xlfn.XLOOKUP(H660,'02效果表'!D:D,'02效果表'!E:E),0)+K660*MAX(_xlfn.XLOOKUP(J660,'02效果表'!D:D,'02效果表'!E:E),0)+M660*MAX(_xlfn.XLOOKUP(L660,'02效果表'!D:D,'02效果表'!E:E),0)+O660*MAX(_xlfn.XLOOKUP(N660,'02效果表'!D:D,'02效果表'!E:E),0)+Q660*MAX(_xlfn.XLOOKUP(P660,'02效果表'!D:D,'02效果表'!E:E),0)+S660*MAX(_xlfn.XLOOKUP(R660,'02效果表'!D:D,'02效果表'!E:E),0)+U660*MAX(_xlfn.XLOOKUP(T660,'02效果表'!D:D,'02效果表'!E:E),0)+W660*MAX(_xlfn.XLOOKUP(V660,'02效果表'!D:D,'02效果表'!E:E),0)+Y660*MAX(_xlfn.XLOOKUP(X660,'02效果表'!D:D,'02效果表'!E:E),0)+AA660*MAX(_xlfn.XLOOKUP(Z660,'02效果表'!D:D,'02效果表'!E:E),0)+AC660*MAX(_xlfn.XLOOKUP(AB660,'02效果表'!D:D,'02效果表'!E:E),0)+AE660*MAX(_xlfn.XLOOKUP(AD660,'02效果表'!D:D,'02效果表'!E:E),0)),1)</f>
        <v>0</v>
      </c>
      <c r="H660" s="6"/>
      <c r="I660" s="6"/>
      <c r="J660" s="6"/>
      <c r="K660" s="6"/>
      <c r="L660" s="6"/>
      <c r="M660" s="6"/>
      <c r="N660" s="6"/>
      <c r="O660" s="6"/>
      <c r="P660" s="6"/>
      <c r="Q660" s="6"/>
      <c r="R660" s="6"/>
      <c r="S660" s="6"/>
      <c r="T660" s="6"/>
      <c r="U660" s="6"/>
      <c r="V660" s="6"/>
      <c r="W660" s="6"/>
      <c r="X660" s="6"/>
      <c r="Y660" s="6"/>
      <c r="Z660" s="6"/>
      <c r="AA660" s="6"/>
      <c r="AB660" s="6"/>
      <c r="AC660" s="6"/>
      <c r="AD660" s="6"/>
      <c r="AE660" s="6"/>
    </row>
    <row r="661" spans="1:31" x14ac:dyDescent="0.35">
      <c r="A661" s="6">
        <v>661</v>
      </c>
      <c r="B661" s="6" t="s">
        <v>8</v>
      </c>
      <c r="C661" s="10" t="s">
        <v>2</v>
      </c>
      <c r="D661" s="9" t="s">
        <v>1777</v>
      </c>
      <c r="E661" s="7">
        <f t="shared" si="17"/>
        <v>0</v>
      </c>
      <c r="F661" s="7">
        <f>-1*ROUND(1/6*(I661*IF(_xlfn.XLOOKUP(H661,'02效果表'!D:D,'02效果表'!E:E)&lt;0, _xlfn.XLOOKUP(H661,'02效果表'!D:D,'02效果表'!E:E), 0) +
K661*IF(_xlfn.XLOOKUP(J661,'02效果表'!D:D,'02效果表'!E:E)&lt;0, _xlfn.XLOOKUP(J661,'02效果表'!D:D,'02效果表'!E:E), 0) +
M661*IF(_xlfn.XLOOKUP(L661,'02效果表'!D:D,'02效果表'!E:E)&lt;0, _xlfn.XLOOKUP(L661,'02效果表'!D:D,'02效果表'!E:E), 0) +
O661*IF(_xlfn.XLOOKUP(N661,'02效果表'!D:D,'02效果表'!E:E)&lt;0, _xlfn.XLOOKUP(N661,'02效果表'!D:D,'02效果表'!E:E), 0) +
Q661*IF(_xlfn.XLOOKUP(P661,'02效果表'!D:D,'02效果表'!E:E)&lt;0, _xlfn.XLOOKUP(P661,'02效果表'!D:D,'02效果表'!E:E), 0) +
S661*IF(_xlfn.XLOOKUP(R661,'02效果表'!D:D,'02效果表'!E:E)&lt;0, _xlfn.XLOOKUP(R661,'02效果表'!D:D,'02效果表'!E:E), 0) +
U661*IF(_xlfn.XLOOKUP(T661,'02效果表'!D:D,'02效果表'!E:E)&lt;0, _xlfn.XLOOKUP(T661,'02效果表'!D:D,'02效果表'!E:E), 0) +
W661*IF(_xlfn.XLOOKUP(V661,'02效果表'!D:D,'02效果表'!E:E)&lt;0, _xlfn.XLOOKUP(V661,'02效果表'!D:D,'02效果表'!E:E), 0) +
Y661*IF(_xlfn.XLOOKUP(X661,'02效果表'!D:D,'02效果表'!E:E)&lt;0, _xlfn.XLOOKUP(X661,'02效果表'!D:D,'02效果表'!E:E), 0) +
AA661*IF(_xlfn.XLOOKUP(Z661,'02效果表'!D:D,'02效果表'!E:E)&lt;0, _xlfn.XLOOKUP(Z661,'02效果表'!D:D,'02效果表'!E:E), 0) +
AC661*IF(_xlfn.XLOOKUP(AB661,'02效果表'!D:D,'02效果表'!E:E)&lt;0, _xlfn.XLOOKUP(AB661,'02效果表'!D:D,'02效果表'!E:E), 0) +
AE661*IF(_xlfn.XLOOKUP(AD661,'02效果表'!D:D,'02效果表'!E:E)&lt;0, _xlfn.XLOOKUP(AD661,'02效果表'!D:D,'02效果表'!E:E), 0)), 1)</f>
        <v>0</v>
      </c>
      <c r="G661" s="7">
        <f>ROUND(1/6*(I661*MAX(_xlfn.XLOOKUP(H661,'02效果表'!D:D,'02效果表'!E:E),0)+K661*MAX(_xlfn.XLOOKUP(J661,'02效果表'!D:D,'02效果表'!E:E),0)+M661*MAX(_xlfn.XLOOKUP(L661,'02效果表'!D:D,'02效果表'!E:E),0)+O661*MAX(_xlfn.XLOOKUP(N661,'02效果表'!D:D,'02效果表'!E:E),0)+Q661*MAX(_xlfn.XLOOKUP(P661,'02效果表'!D:D,'02效果表'!E:E),0)+S661*MAX(_xlfn.XLOOKUP(R661,'02效果表'!D:D,'02效果表'!E:E),0)+U661*MAX(_xlfn.XLOOKUP(T661,'02效果表'!D:D,'02效果表'!E:E),0)+W661*MAX(_xlfn.XLOOKUP(V661,'02效果表'!D:D,'02效果表'!E:E),0)+Y661*MAX(_xlfn.XLOOKUP(X661,'02效果表'!D:D,'02效果表'!E:E),0)+AA661*MAX(_xlfn.XLOOKUP(Z661,'02效果表'!D:D,'02效果表'!E:E),0)+AC661*MAX(_xlfn.XLOOKUP(AB661,'02效果表'!D:D,'02效果表'!E:E),0)+AE661*MAX(_xlfn.XLOOKUP(AD661,'02效果表'!D:D,'02效果表'!E:E),0)),1)</f>
        <v>0</v>
      </c>
      <c r="H661" s="6"/>
      <c r="I661" s="6"/>
      <c r="J661" s="6"/>
      <c r="K661" s="6"/>
      <c r="L661" s="6"/>
      <c r="M661" s="6"/>
      <c r="N661" s="6"/>
      <c r="O661" s="6"/>
      <c r="P661" s="6"/>
      <c r="Q661" s="6"/>
      <c r="R661" s="6"/>
      <c r="S661" s="6"/>
      <c r="T661" s="6"/>
      <c r="U661" s="6"/>
      <c r="V661" s="6"/>
      <c r="W661" s="6"/>
      <c r="X661" s="6"/>
      <c r="Y661" s="6"/>
      <c r="Z661" s="6"/>
      <c r="AA661" s="6"/>
      <c r="AB661" s="6"/>
      <c r="AC661" s="6"/>
      <c r="AD661" s="6"/>
      <c r="AE661" s="6"/>
    </row>
    <row r="662" spans="1:31" x14ac:dyDescent="0.35">
      <c r="A662" s="6">
        <v>662</v>
      </c>
      <c r="B662" s="6" t="s">
        <v>8</v>
      </c>
      <c r="C662" s="10" t="s">
        <v>2</v>
      </c>
      <c r="D662" s="9" t="s">
        <v>1778</v>
      </c>
      <c r="E662" s="7">
        <f t="shared" si="17"/>
        <v>0</v>
      </c>
      <c r="F662" s="7">
        <f>-1*ROUND(1/6*(I662*IF(_xlfn.XLOOKUP(H662,'02效果表'!D:D,'02效果表'!E:E)&lt;0, _xlfn.XLOOKUP(H662,'02效果表'!D:D,'02效果表'!E:E), 0) +
K662*IF(_xlfn.XLOOKUP(J662,'02效果表'!D:D,'02效果表'!E:E)&lt;0, _xlfn.XLOOKUP(J662,'02效果表'!D:D,'02效果表'!E:E), 0) +
M662*IF(_xlfn.XLOOKUP(L662,'02效果表'!D:D,'02效果表'!E:E)&lt;0, _xlfn.XLOOKUP(L662,'02效果表'!D:D,'02效果表'!E:E), 0) +
O662*IF(_xlfn.XLOOKUP(N662,'02效果表'!D:D,'02效果表'!E:E)&lt;0, _xlfn.XLOOKUP(N662,'02效果表'!D:D,'02效果表'!E:E), 0) +
Q662*IF(_xlfn.XLOOKUP(P662,'02效果表'!D:D,'02效果表'!E:E)&lt;0, _xlfn.XLOOKUP(P662,'02效果表'!D:D,'02效果表'!E:E), 0) +
S662*IF(_xlfn.XLOOKUP(R662,'02效果表'!D:D,'02效果表'!E:E)&lt;0, _xlfn.XLOOKUP(R662,'02效果表'!D:D,'02效果表'!E:E), 0) +
U662*IF(_xlfn.XLOOKUP(T662,'02效果表'!D:D,'02效果表'!E:E)&lt;0, _xlfn.XLOOKUP(T662,'02效果表'!D:D,'02效果表'!E:E), 0) +
W662*IF(_xlfn.XLOOKUP(V662,'02效果表'!D:D,'02效果表'!E:E)&lt;0, _xlfn.XLOOKUP(V662,'02效果表'!D:D,'02效果表'!E:E), 0) +
Y662*IF(_xlfn.XLOOKUP(X662,'02效果表'!D:D,'02效果表'!E:E)&lt;0, _xlfn.XLOOKUP(X662,'02效果表'!D:D,'02效果表'!E:E), 0) +
AA662*IF(_xlfn.XLOOKUP(Z662,'02效果表'!D:D,'02效果表'!E:E)&lt;0, _xlfn.XLOOKUP(Z662,'02效果表'!D:D,'02效果表'!E:E), 0) +
AC662*IF(_xlfn.XLOOKUP(AB662,'02效果表'!D:D,'02效果表'!E:E)&lt;0, _xlfn.XLOOKUP(AB662,'02效果表'!D:D,'02效果表'!E:E), 0) +
AE662*IF(_xlfn.XLOOKUP(AD662,'02效果表'!D:D,'02效果表'!E:E)&lt;0, _xlfn.XLOOKUP(AD662,'02效果表'!D:D,'02效果表'!E:E), 0)), 1)</f>
        <v>0</v>
      </c>
      <c r="G662" s="7">
        <f>ROUND(1/6*(I662*MAX(_xlfn.XLOOKUP(H662,'02效果表'!D:D,'02效果表'!E:E),0)+K662*MAX(_xlfn.XLOOKUP(J662,'02效果表'!D:D,'02效果表'!E:E),0)+M662*MAX(_xlfn.XLOOKUP(L662,'02效果表'!D:D,'02效果表'!E:E),0)+O662*MAX(_xlfn.XLOOKUP(N662,'02效果表'!D:D,'02效果表'!E:E),0)+Q662*MAX(_xlfn.XLOOKUP(P662,'02效果表'!D:D,'02效果表'!E:E),0)+S662*MAX(_xlfn.XLOOKUP(R662,'02效果表'!D:D,'02效果表'!E:E),0)+U662*MAX(_xlfn.XLOOKUP(T662,'02效果表'!D:D,'02效果表'!E:E),0)+W662*MAX(_xlfn.XLOOKUP(V662,'02效果表'!D:D,'02效果表'!E:E),0)+Y662*MAX(_xlfn.XLOOKUP(X662,'02效果表'!D:D,'02效果表'!E:E),0)+AA662*MAX(_xlfn.XLOOKUP(Z662,'02效果表'!D:D,'02效果表'!E:E),0)+AC662*MAX(_xlfn.XLOOKUP(AB662,'02效果表'!D:D,'02效果表'!E:E),0)+AE662*MAX(_xlfn.XLOOKUP(AD662,'02效果表'!D:D,'02效果表'!E:E),0)),1)</f>
        <v>0</v>
      </c>
      <c r="H662" s="6"/>
      <c r="I662" s="6"/>
      <c r="J662" s="6"/>
      <c r="K662" s="6"/>
      <c r="L662" s="6"/>
      <c r="M662" s="6"/>
      <c r="N662" s="6"/>
      <c r="O662" s="6"/>
      <c r="P662" s="6"/>
      <c r="Q662" s="6"/>
      <c r="R662" s="6"/>
      <c r="S662" s="6"/>
      <c r="T662" s="6"/>
      <c r="U662" s="6"/>
      <c r="V662" s="6"/>
      <c r="W662" s="6"/>
      <c r="X662" s="6"/>
      <c r="Y662" s="6"/>
      <c r="Z662" s="6"/>
      <c r="AA662" s="6"/>
      <c r="AB662" s="6"/>
      <c r="AC662" s="6"/>
      <c r="AD662" s="6"/>
      <c r="AE662" s="6"/>
    </row>
    <row r="663" spans="1:31" x14ac:dyDescent="0.35">
      <c r="A663" s="6">
        <v>663</v>
      </c>
      <c r="B663" s="6" t="s">
        <v>8</v>
      </c>
      <c r="C663" s="10" t="s">
        <v>2</v>
      </c>
      <c r="D663" s="9" t="s">
        <v>1779</v>
      </c>
      <c r="E663" s="7">
        <f t="shared" si="17"/>
        <v>0</v>
      </c>
      <c r="F663" s="7">
        <f>-1*ROUND(1/6*(I663*IF(_xlfn.XLOOKUP(H663,'02效果表'!D:D,'02效果表'!E:E)&lt;0, _xlfn.XLOOKUP(H663,'02效果表'!D:D,'02效果表'!E:E), 0) +
K663*IF(_xlfn.XLOOKUP(J663,'02效果表'!D:D,'02效果表'!E:E)&lt;0, _xlfn.XLOOKUP(J663,'02效果表'!D:D,'02效果表'!E:E), 0) +
M663*IF(_xlfn.XLOOKUP(L663,'02效果表'!D:D,'02效果表'!E:E)&lt;0, _xlfn.XLOOKUP(L663,'02效果表'!D:D,'02效果表'!E:E), 0) +
O663*IF(_xlfn.XLOOKUP(N663,'02效果表'!D:D,'02效果表'!E:E)&lt;0, _xlfn.XLOOKUP(N663,'02效果表'!D:D,'02效果表'!E:E), 0) +
Q663*IF(_xlfn.XLOOKUP(P663,'02效果表'!D:D,'02效果表'!E:E)&lt;0, _xlfn.XLOOKUP(P663,'02效果表'!D:D,'02效果表'!E:E), 0) +
S663*IF(_xlfn.XLOOKUP(R663,'02效果表'!D:D,'02效果表'!E:E)&lt;0, _xlfn.XLOOKUP(R663,'02效果表'!D:D,'02效果表'!E:E), 0) +
U663*IF(_xlfn.XLOOKUP(T663,'02效果表'!D:D,'02效果表'!E:E)&lt;0, _xlfn.XLOOKUP(T663,'02效果表'!D:D,'02效果表'!E:E), 0) +
W663*IF(_xlfn.XLOOKUP(V663,'02效果表'!D:D,'02效果表'!E:E)&lt;0, _xlfn.XLOOKUP(V663,'02效果表'!D:D,'02效果表'!E:E), 0) +
Y663*IF(_xlfn.XLOOKUP(X663,'02效果表'!D:D,'02效果表'!E:E)&lt;0, _xlfn.XLOOKUP(X663,'02效果表'!D:D,'02效果表'!E:E), 0) +
AA663*IF(_xlfn.XLOOKUP(Z663,'02效果表'!D:D,'02效果表'!E:E)&lt;0, _xlfn.XLOOKUP(Z663,'02效果表'!D:D,'02效果表'!E:E), 0) +
AC663*IF(_xlfn.XLOOKUP(AB663,'02效果表'!D:D,'02效果表'!E:E)&lt;0, _xlfn.XLOOKUP(AB663,'02效果表'!D:D,'02效果表'!E:E), 0) +
AE663*IF(_xlfn.XLOOKUP(AD663,'02效果表'!D:D,'02效果表'!E:E)&lt;0, _xlfn.XLOOKUP(AD663,'02效果表'!D:D,'02效果表'!E:E), 0)), 1)</f>
        <v>0</v>
      </c>
      <c r="G663" s="7">
        <f>ROUND(1/6*(I663*MAX(_xlfn.XLOOKUP(H663,'02效果表'!D:D,'02效果表'!E:E),0)+K663*MAX(_xlfn.XLOOKUP(J663,'02效果表'!D:D,'02效果表'!E:E),0)+M663*MAX(_xlfn.XLOOKUP(L663,'02效果表'!D:D,'02效果表'!E:E),0)+O663*MAX(_xlfn.XLOOKUP(N663,'02效果表'!D:D,'02效果表'!E:E),0)+Q663*MAX(_xlfn.XLOOKUP(P663,'02效果表'!D:D,'02效果表'!E:E),0)+S663*MAX(_xlfn.XLOOKUP(R663,'02效果表'!D:D,'02效果表'!E:E),0)+U663*MAX(_xlfn.XLOOKUP(T663,'02效果表'!D:D,'02效果表'!E:E),0)+W663*MAX(_xlfn.XLOOKUP(V663,'02效果表'!D:D,'02效果表'!E:E),0)+Y663*MAX(_xlfn.XLOOKUP(X663,'02效果表'!D:D,'02效果表'!E:E),0)+AA663*MAX(_xlfn.XLOOKUP(Z663,'02效果表'!D:D,'02效果表'!E:E),0)+AC663*MAX(_xlfn.XLOOKUP(AB663,'02效果表'!D:D,'02效果表'!E:E),0)+AE663*MAX(_xlfn.XLOOKUP(AD663,'02效果表'!D:D,'02效果表'!E:E),0)),1)</f>
        <v>0</v>
      </c>
      <c r="H663" s="6"/>
      <c r="I663" s="6"/>
      <c r="J663" s="6"/>
      <c r="K663" s="6"/>
      <c r="L663" s="6"/>
      <c r="M663" s="6"/>
      <c r="N663" s="6"/>
      <c r="O663" s="6"/>
      <c r="P663" s="6"/>
      <c r="Q663" s="6"/>
      <c r="R663" s="6"/>
      <c r="S663" s="6"/>
      <c r="T663" s="6"/>
      <c r="U663" s="6"/>
      <c r="V663" s="6"/>
      <c r="W663" s="6"/>
      <c r="X663" s="6"/>
      <c r="Y663" s="6"/>
      <c r="Z663" s="6"/>
      <c r="AA663" s="6"/>
      <c r="AB663" s="6"/>
      <c r="AC663" s="6"/>
      <c r="AD663" s="6"/>
      <c r="AE663" s="6"/>
    </row>
    <row r="664" spans="1:31" x14ac:dyDescent="0.35">
      <c r="A664" s="6">
        <v>664</v>
      </c>
      <c r="B664" s="6" t="s">
        <v>8</v>
      </c>
      <c r="C664" s="10" t="s">
        <v>2</v>
      </c>
      <c r="D664" s="9" t="s">
        <v>1780</v>
      </c>
      <c r="E664" s="7">
        <f t="shared" si="17"/>
        <v>0</v>
      </c>
      <c r="F664" s="7">
        <f>-1*ROUND(1/6*(I664*IF(_xlfn.XLOOKUP(H664,'02效果表'!D:D,'02效果表'!E:E)&lt;0, _xlfn.XLOOKUP(H664,'02效果表'!D:D,'02效果表'!E:E), 0) +
K664*IF(_xlfn.XLOOKUP(J664,'02效果表'!D:D,'02效果表'!E:E)&lt;0, _xlfn.XLOOKUP(J664,'02效果表'!D:D,'02效果表'!E:E), 0) +
M664*IF(_xlfn.XLOOKUP(L664,'02效果表'!D:D,'02效果表'!E:E)&lt;0, _xlfn.XLOOKUP(L664,'02效果表'!D:D,'02效果表'!E:E), 0) +
O664*IF(_xlfn.XLOOKUP(N664,'02效果表'!D:D,'02效果表'!E:E)&lt;0, _xlfn.XLOOKUP(N664,'02效果表'!D:D,'02效果表'!E:E), 0) +
Q664*IF(_xlfn.XLOOKUP(P664,'02效果表'!D:D,'02效果表'!E:E)&lt;0, _xlfn.XLOOKUP(P664,'02效果表'!D:D,'02效果表'!E:E), 0) +
S664*IF(_xlfn.XLOOKUP(R664,'02效果表'!D:D,'02效果表'!E:E)&lt;0, _xlfn.XLOOKUP(R664,'02效果表'!D:D,'02效果表'!E:E), 0) +
U664*IF(_xlfn.XLOOKUP(T664,'02效果表'!D:D,'02效果表'!E:E)&lt;0, _xlfn.XLOOKUP(T664,'02效果表'!D:D,'02效果表'!E:E), 0) +
W664*IF(_xlfn.XLOOKUP(V664,'02效果表'!D:D,'02效果表'!E:E)&lt;0, _xlfn.XLOOKUP(V664,'02效果表'!D:D,'02效果表'!E:E), 0) +
Y664*IF(_xlfn.XLOOKUP(X664,'02效果表'!D:D,'02效果表'!E:E)&lt;0, _xlfn.XLOOKUP(X664,'02效果表'!D:D,'02效果表'!E:E), 0) +
AA664*IF(_xlfn.XLOOKUP(Z664,'02效果表'!D:D,'02效果表'!E:E)&lt;0, _xlfn.XLOOKUP(Z664,'02效果表'!D:D,'02效果表'!E:E), 0) +
AC664*IF(_xlfn.XLOOKUP(AB664,'02效果表'!D:D,'02效果表'!E:E)&lt;0, _xlfn.XLOOKUP(AB664,'02效果表'!D:D,'02效果表'!E:E), 0) +
AE664*IF(_xlfn.XLOOKUP(AD664,'02效果表'!D:D,'02效果表'!E:E)&lt;0, _xlfn.XLOOKUP(AD664,'02效果表'!D:D,'02效果表'!E:E), 0)), 1)</f>
        <v>0</v>
      </c>
      <c r="G664" s="7">
        <f>ROUND(1/6*(I664*MAX(_xlfn.XLOOKUP(H664,'02效果表'!D:D,'02效果表'!E:E),0)+K664*MAX(_xlfn.XLOOKUP(J664,'02效果表'!D:D,'02效果表'!E:E),0)+M664*MAX(_xlfn.XLOOKUP(L664,'02效果表'!D:D,'02效果表'!E:E),0)+O664*MAX(_xlfn.XLOOKUP(N664,'02效果表'!D:D,'02效果表'!E:E),0)+Q664*MAX(_xlfn.XLOOKUP(P664,'02效果表'!D:D,'02效果表'!E:E),0)+S664*MAX(_xlfn.XLOOKUP(R664,'02效果表'!D:D,'02效果表'!E:E),0)+U664*MAX(_xlfn.XLOOKUP(T664,'02效果表'!D:D,'02效果表'!E:E),0)+W664*MAX(_xlfn.XLOOKUP(V664,'02效果表'!D:D,'02效果表'!E:E),0)+Y664*MAX(_xlfn.XLOOKUP(X664,'02效果表'!D:D,'02效果表'!E:E),0)+AA664*MAX(_xlfn.XLOOKUP(Z664,'02效果表'!D:D,'02效果表'!E:E),0)+AC664*MAX(_xlfn.XLOOKUP(AB664,'02效果表'!D:D,'02效果表'!E:E),0)+AE664*MAX(_xlfn.XLOOKUP(AD664,'02效果表'!D:D,'02效果表'!E:E),0)),1)</f>
        <v>0</v>
      </c>
      <c r="H664" s="6"/>
      <c r="I664" s="6"/>
      <c r="J664" s="6"/>
      <c r="K664" s="6"/>
      <c r="L664" s="6"/>
      <c r="M664" s="6"/>
      <c r="N664" s="6"/>
      <c r="O664" s="6"/>
      <c r="P664" s="6"/>
      <c r="Q664" s="6"/>
      <c r="R664" s="6"/>
      <c r="S664" s="6"/>
      <c r="T664" s="6"/>
      <c r="U664" s="6"/>
      <c r="V664" s="6"/>
      <c r="W664" s="6"/>
      <c r="X664" s="6"/>
      <c r="Y664" s="6"/>
      <c r="Z664" s="6"/>
      <c r="AA664" s="6"/>
      <c r="AB664" s="6"/>
      <c r="AC664" s="6"/>
      <c r="AD664" s="6"/>
      <c r="AE664" s="6"/>
    </row>
    <row r="665" spans="1:31" x14ac:dyDescent="0.35">
      <c r="A665" s="6">
        <v>665</v>
      </c>
      <c r="B665" s="6" t="s">
        <v>8</v>
      </c>
      <c r="C665" s="10" t="s">
        <v>2</v>
      </c>
      <c r="D665" s="9" t="s">
        <v>1781</v>
      </c>
      <c r="E665" s="7">
        <f t="shared" si="17"/>
        <v>0</v>
      </c>
      <c r="F665" s="7">
        <f>-1*ROUND(1/6*(I665*IF(_xlfn.XLOOKUP(H665,'02效果表'!D:D,'02效果表'!E:E)&lt;0, _xlfn.XLOOKUP(H665,'02效果表'!D:D,'02效果表'!E:E), 0) +
K665*IF(_xlfn.XLOOKUP(J665,'02效果表'!D:D,'02效果表'!E:E)&lt;0, _xlfn.XLOOKUP(J665,'02效果表'!D:D,'02效果表'!E:E), 0) +
M665*IF(_xlfn.XLOOKUP(L665,'02效果表'!D:D,'02效果表'!E:E)&lt;0, _xlfn.XLOOKUP(L665,'02效果表'!D:D,'02效果表'!E:E), 0) +
O665*IF(_xlfn.XLOOKUP(N665,'02效果表'!D:D,'02效果表'!E:E)&lt;0, _xlfn.XLOOKUP(N665,'02效果表'!D:D,'02效果表'!E:E), 0) +
Q665*IF(_xlfn.XLOOKUP(P665,'02效果表'!D:D,'02效果表'!E:E)&lt;0, _xlfn.XLOOKUP(P665,'02效果表'!D:D,'02效果表'!E:E), 0) +
S665*IF(_xlfn.XLOOKUP(R665,'02效果表'!D:D,'02效果表'!E:E)&lt;0, _xlfn.XLOOKUP(R665,'02效果表'!D:D,'02效果表'!E:E), 0) +
U665*IF(_xlfn.XLOOKUP(T665,'02效果表'!D:D,'02效果表'!E:E)&lt;0, _xlfn.XLOOKUP(T665,'02效果表'!D:D,'02效果表'!E:E), 0) +
W665*IF(_xlfn.XLOOKUP(V665,'02效果表'!D:D,'02效果表'!E:E)&lt;0, _xlfn.XLOOKUP(V665,'02效果表'!D:D,'02效果表'!E:E), 0) +
Y665*IF(_xlfn.XLOOKUP(X665,'02效果表'!D:D,'02效果表'!E:E)&lt;0, _xlfn.XLOOKUP(X665,'02效果表'!D:D,'02效果表'!E:E), 0) +
AA665*IF(_xlfn.XLOOKUP(Z665,'02效果表'!D:D,'02效果表'!E:E)&lt;0, _xlfn.XLOOKUP(Z665,'02效果表'!D:D,'02效果表'!E:E), 0) +
AC665*IF(_xlfn.XLOOKUP(AB665,'02效果表'!D:D,'02效果表'!E:E)&lt;0, _xlfn.XLOOKUP(AB665,'02效果表'!D:D,'02效果表'!E:E), 0) +
AE665*IF(_xlfn.XLOOKUP(AD665,'02效果表'!D:D,'02效果表'!E:E)&lt;0, _xlfn.XLOOKUP(AD665,'02效果表'!D:D,'02效果表'!E:E), 0)), 1)</f>
        <v>0</v>
      </c>
      <c r="G665" s="7">
        <f>ROUND(1/6*(I665*MAX(_xlfn.XLOOKUP(H665,'02效果表'!D:D,'02效果表'!E:E),0)+K665*MAX(_xlfn.XLOOKUP(J665,'02效果表'!D:D,'02效果表'!E:E),0)+M665*MAX(_xlfn.XLOOKUP(L665,'02效果表'!D:D,'02效果表'!E:E),0)+O665*MAX(_xlfn.XLOOKUP(N665,'02效果表'!D:D,'02效果表'!E:E),0)+Q665*MAX(_xlfn.XLOOKUP(P665,'02效果表'!D:D,'02效果表'!E:E),0)+S665*MAX(_xlfn.XLOOKUP(R665,'02效果表'!D:D,'02效果表'!E:E),0)+U665*MAX(_xlfn.XLOOKUP(T665,'02效果表'!D:D,'02效果表'!E:E),0)+W665*MAX(_xlfn.XLOOKUP(V665,'02效果表'!D:D,'02效果表'!E:E),0)+Y665*MAX(_xlfn.XLOOKUP(X665,'02效果表'!D:D,'02效果表'!E:E),0)+AA665*MAX(_xlfn.XLOOKUP(Z665,'02效果表'!D:D,'02效果表'!E:E),0)+AC665*MAX(_xlfn.XLOOKUP(AB665,'02效果表'!D:D,'02效果表'!E:E),0)+AE665*MAX(_xlfn.XLOOKUP(AD665,'02效果表'!D:D,'02效果表'!E:E),0)),1)</f>
        <v>0</v>
      </c>
      <c r="H665" s="6"/>
      <c r="I665" s="6"/>
      <c r="J665" s="6"/>
      <c r="K665" s="6"/>
      <c r="L665" s="6"/>
      <c r="M665" s="6"/>
      <c r="N665" s="6"/>
      <c r="O665" s="6"/>
      <c r="P665" s="6"/>
      <c r="Q665" s="6"/>
      <c r="R665" s="6"/>
      <c r="S665" s="6"/>
      <c r="T665" s="6"/>
      <c r="U665" s="6"/>
      <c r="V665" s="6"/>
      <c r="W665" s="6"/>
      <c r="X665" s="6"/>
      <c r="Y665" s="6"/>
      <c r="Z665" s="6"/>
      <c r="AA665" s="6"/>
      <c r="AB665" s="6"/>
      <c r="AC665" s="6"/>
      <c r="AD665" s="6"/>
      <c r="AE665" s="6"/>
    </row>
    <row r="666" spans="1:31" x14ac:dyDescent="0.35">
      <c r="A666" s="6">
        <v>666</v>
      </c>
      <c r="B666" s="6" t="s">
        <v>8</v>
      </c>
      <c r="C666" s="10" t="s">
        <v>2</v>
      </c>
      <c r="D666" s="9" t="s">
        <v>1782</v>
      </c>
      <c r="E666" s="7">
        <f t="shared" si="17"/>
        <v>0</v>
      </c>
      <c r="F666" s="7">
        <f>-1*ROUND(1/6*(I666*IF(_xlfn.XLOOKUP(H666,'02效果表'!D:D,'02效果表'!E:E)&lt;0, _xlfn.XLOOKUP(H666,'02效果表'!D:D,'02效果表'!E:E), 0) +
K666*IF(_xlfn.XLOOKUP(J666,'02效果表'!D:D,'02效果表'!E:E)&lt;0, _xlfn.XLOOKUP(J666,'02效果表'!D:D,'02效果表'!E:E), 0) +
M666*IF(_xlfn.XLOOKUP(L666,'02效果表'!D:D,'02效果表'!E:E)&lt;0, _xlfn.XLOOKUP(L666,'02效果表'!D:D,'02效果表'!E:E), 0) +
O666*IF(_xlfn.XLOOKUP(N666,'02效果表'!D:D,'02效果表'!E:E)&lt;0, _xlfn.XLOOKUP(N666,'02效果表'!D:D,'02效果表'!E:E), 0) +
Q666*IF(_xlfn.XLOOKUP(P666,'02效果表'!D:D,'02效果表'!E:E)&lt;0, _xlfn.XLOOKUP(P666,'02效果表'!D:D,'02效果表'!E:E), 0) +
S666*IF(_xlfn.XLOOKUP(R666,'02效果表'!D:D,'02效果表'!E:E)&lt;0, _xlfn.XLOOKUP(R666,'02效果表'!D:D,'02效果表'!E:E), 0) +
U666*IF(_xlfn.XLOOKUP(T666,'02效果表'!D:D,'02效果表'!E:E)&lt;0, _xlfn.XLOOKUP(T666,'02效果表'!D:D,'02效果表'!E:E), 0) +
W666*IF(_xlfn.XLOOKUP(V666,'02效果表'!D:D,'02效果表'!E:E)&lt;0, _xlfn.XLOOKUP(V666,'02效果表'!D:D,'02效果表'!E:E), 0) +
Y666*IF(_xlfn.XLOOKUP(X666,'02效果表'!D:D,'02效果表'!E:E)&lt;0, _xlfn.XLOOKUP(X666,'02效果表'!D:D,'02效果表'!E:E), 0) +
AA666*IF(_xlfn.XLOOKUP(Z666,'02效果表'!D:D,'02效果表'!E:E)&lt;0, _xlfn.XLOOKUP(Z666,'02效果表'!D:D,'02效果表'!E:E), 0) +
AC666*IF(_xlfn.XLOOKUP(AB666,'02效果表'!D:D,'02效果表'!E:E)&lt;0, _xlfn.XLOOKUP(AB666,'02效果表'!D:D,'02效果表'!E:E), 0) +
AE666*IF(_xlfn.XLOOKUP(AD666,'02效果表'!D:D,'02效果表'!E:E)&lt;0, _xlfn.XLOOKUP(AD666,'02效果表'!D:D,'02效果表'!E:E), 0)), 1)</f>
        <v>0</v>
      </c>
      <c r="G666" s="7">
        <f>ROUND(1/6*(I666*MAX(_xlfn.XLOOKUP(H666,'02效果表'!D:D,'02效果表'!E:E),0)+K666*MAX(_xlfn.XLOOKUP(J666,'02效果表'!D:D,'02效果表'!E:E),0)+M666*MAX(_xlfn.XLOOKUP(L666,'02效果表'!D:D,'02效果表'!E:E),0)+O666*MAX(_xlfn.XLOOKUP(N666,'02效果表'!D:D,'02效果表'!E:E),0)+Q666*MAX(_xlfn.XLOOKUP(P666,'02效果表'!D:D,'02效果表'!E:E),0)+S666*MAX(_xlfn.XLOOKUP(R666,'02效果表'!D:D,'02效果表'!E:E),0)+U666*MAX(_xlfn.XLOOKUP(T666,'02效果表'!D:D,'02效果表'!E:E),0)+W666*MAX(_xlfn.XLOOKUP(V666,'02效果表'!D:D,'02效果表'!E:E),0)+Y666*MAX(_xlfn.XLOOKUP(X666,'02效果表'!D:D,'02效果表'!E:E),0)+AA666*MAX(_xlfn.XLOOKUP(Z666,'02效果表'!D:D,'02效果表'!E:E),0)+AC666*MAX(_xlfn.XLOOKUP(AB666,'02效果表'!D:D,'02效果表'!E:E),0)+AE666*MAX(_xlfn.XLOOKUP(AD666,'02效果表'!D:D,'02效果表'!E:E),0)),1)</f>
        <v>0</v>
      </c>
      <c r="H666" s="6"/>
      <c r="I666" s="6"/>
      <c r="J666" s="6"/>
      <c r="K666" s="6"/>
      <c r="L666" s="6"/>
      <c r="M666" s="6"/>
      <c r="N666" s="6"/>
      <c r="O666" s="6"/>
      <c r="P666" s="6"/>
      <c r="Q666" s="6"/>
      <c r="R666" s="6"/>
      <c r="S666" s="6"/>
      <c r="T666" s="6"/>
      <c r="U666" s="6"/>
      <c r="V666" s="6"/>
      <c r="W666" s="6"/>
      <c r="X666" s="6"/>
      <c r="Y666" s="6"/>
      <c r="Z666" s="6"/>
      <c r="AA666" s="6"/>
      <c r="AB666" s="6"/>
      <c r="AC666" s="6"/>
      <c r="AD666" s="6"/>
      <c r="AE666" s="6"/>
    </row>
    <row r="667" spans="1:31" x14ac:dyDescent="0.35">
      <c r="A667" s="6">
        <v>667</v>
      </c>
      <c r="B667" s="6" t="s">
        <v>8</v>
      </c>
      <c r="C667" s="10" t="s">
        <v>2</v>
      </c>
      <c r="D667" s="9" t="s">
        <v>1783</v>
      </c>
      <c r="E667" s="7">
        <f t="shared" si="17"/>
        <v>0</v>
      </c>
      <c r="F667" s="7">
        <f>-1*ROUND(1/6*(I667*IF(_xlfn.XLOOKUP(H667,'02效果表'!D:D,'02效果表'!E:E)&lt;0, _xlfn.XLOOKUP(H667,'02效果表'!D:D,'02效果表'!E:E), 0) +
K667*IF(_xlfn.XLOOKUP(J667,'02效果表'!D:D,'02效果表'!E:E)&lt;0, _xlfn.XLOOKUP(J667,'02效果表'!D:D,'02效果表'!E:E), 0) +
M667*IF(_xlfn.XLOOKUP(L667,'02效果表'!D:D,'02效果表'!E:E)&lt;0, _xlfn.XLOOKUP(L667,'02效果表'!D:D,'02效果表'!E:E), 0) +
O667*IF(_xlfn.XLOOKUP(N667,'02效果表'!D:D,'02效果表'!E:E)&lt;0, _xlfn.XLOOKUP(N667,'02效果表'!D:D,'02效果表'!E:E), 0) +
Q667*IF(_xlfn.XLOOKUP(P667,'02效果表'!D:D,'02效果表'!E:E)&lt;0, _xlfn.XLOOKUP(P667,'02效果表'!D:D,'02效果表'!E:E), 0) +
S667*IF(_xlfn.XLOOKUP(R667,'02效果表'!D:D,'02效果表'!E:E)&lt;0, _xlfn.XLOOKUP(R667,'02效果表'!D:D,'02效果表'!E:E), 0) +
U667*IF(_xlfn.XLOOKUP(T667,'02效果表'!D:D,'02效果表'!E:E)&lt;0, _xlfn.XLOOKUP(T667,'02效果表'!D:D,'02效果表'!E:E), 0) +
W667*IF(_xlfn.XLOOKUP(V667,'02效果表'!D:D,'02效果表'!E:E)&lt;0, _xlfn.XLOOKUP(V667,'02效果表'!D:D,'02效果表'!E:E), 0) +
Y667*IF(_xlfn.XLOOKUP(X667,'02效果表'!D:D,'02效果表'!E:E)&lt;0, _xlfn.XLOOKUP(X667,'02效果表'!D:D,'02效果表'!E:E), 0) +
AA667*IF(_xlfn.XLOOKUP(Z667,'02效果表'!D:D,'02效果表'!E:E)&lt;0, _xlfn.XLOOKUP(Z667,'02效果表'!D:D,'02效果表'!E:E), 0) +
AC667*IF(_xlfn.XLOOKUP(AB667,'02效果表'!D:D,'02效果表'!E:E)&lt;0, _xlfn.XLOOKUP(AB667,'02效果表'!D:D,'02效果表'!E:E), 0) +
AE667*IF(_xlfn.XLOOKUP(AD667,'02效果表'!D:D,'02效果表'!E:E)&lt;0, _xlfn.XLOOKUP(AD667,'02效果表'!D:D,'02效果表'!E:E), 0)), 1)</f>
        <v>0</v>
      </c>
      <c r="G667" s="7">
        <f>ROUND(1/6*(I667*MAX(_xlfn.XLOOKUP(H667,'02效果表'!D:D,'02效果表'!E:E),0)+K667*MAX(_xlfn.XLOOKUP(J667,'02效果表'!D:D,'02效果表'!E:E),0)+M667*MAX(_xlfn.XLOOKUP(L667,'02效果表'!D:D,'02效果表'!E:E),0)+O667*MAX(_xlfn.XLOOKUP(N667,'02效果表'!D:D,'02效果表'!E:E),0)+Q667*MAX(_xlfn.XLOOKUP(P667,'02效果表'!D:D,'02效果表'!E:E),0)+S667*MAX(_xlfn.XLOOKUP(R667,'02效果表'!D:D,'02效果表'!E:E),0)+U667*MAX(_xlfn.XLOOKUP(T667,'02效果表'!D:D,'02效果表'!E:E),0)+W667*MAX(_xlfn.XLOOKUP(V667,'02效果表'!D:D,'02效果表'!E:E),0)+Y667*MAX(_xlfn.XLOOKUP(X667,'02效果表'!D:D,'02效果表'!E:E),0)+AA667*MAX(_xlfn.XLOOKUP(Z667,'02效果表'!D:D,'02效果表'!E:E),0)+AC667*MAX(_xlfn.XLOOKUP(AB667,'02效果表'!D:D,'02效果表'!E:E),0)+AE667*MAX(_xlfn.XLOOKUP(AD667,'02效果表'!D:D,'02效果表'!E:E),0)),1)</f>
        <v>0</v>
      </c>
      <c r="H667" s="6"/>
      <c r="I667" s="6"/>
      <c r="J667" s="6"/>
      <c r="K667" s="6"/>
      <c r="L667" s="6"/>
      <c r="M667" s="6"/>
      <c r="N667" s="6"/>
      <c r="O667" s="6"/>
      <c r="P667" s="6"/>
      <c r="Q667" s="6"/>
      <c r="R667" s="6"/>
      <c r="S667" s="6"/>
      <c r="T667" s="6"/>
      <c r="U667" s="6"/>
      <c r="V667" s="6"/>
      <c r="W667" s="6"/>
      <c r="X667" s="6"/>
      <c r="Y667" s="6"/>
      <c r="Z667" s="6"/>
      <c r="AA667" s="6"/>
      <c r="AB667" s="6"/>
      <c r="AC667" s="6"/>
      <c r="AD667" s="6"/>
      <c r="AE667" s="6"/>
    </row>
    <row r="668" spans="1:31" x14ac:dyDescent="0.35">
      <c r="A668" s="6">
        <v>668</v>
      </c>
      <c r="B668" s="6" t="s">
        <v>8</v>
      </c>
      <c r="C668" s="10" t="s">
        <v>2</v>
      </c>
      <c r="D668" s="9" t="s">
        <v>1784</v>
      </c>
      <c r="E668" s="7">
        <f t="shared" si="17"/>
        <v>0</v>
      </c>
      <c r="F668" s="7">
        <f>-1*ROUND(1/6*(I668*IF(_xlfn.XLOOKUP(H668,'02效果表'!D:D,'02效果表'!E:E)&lt;0, _xlfn.XLOOKUP(H668,'02效果表'!D:D,'02效果表'!E:E), 0) +
K668*IF(_xlfn.XLOOKUP(J668,'02效果表'!D:D,'02效果表'!E:E)&lt;0, _xlfn.XLOOKUP(J668,'02效果表'!D:D,'02效果表'!E:E), 0) +
M668*IF(_xlfn.XLOOKUP(L668,'02效果表'!D:D,'02效果表'!E:E)&lt;0, _xlfn.XLOOKUP(L668,'02效果表'!D:D,'02效果表'!E:E), 0) +
O668*IF(_xlfn.XLOOKUP(N668,'02效果表'!D:D,'02效果表'!E:E)&lt;0, _xlfn.XLOOKUP(N668,'02效果表'!D:D,'02效果表'!E:E), 0) +
Q668*IF(_xlfn.XLOOKUP(P668,'02效果表'!D:D,'02效果表'!E:E)&lt;0, _xlfn.XLOOKUP(P668,'02效果表'!D:D,'02效果表'!E:E), 0) +
S668*IF(_xlfn.XLOOKUP(R668,'02效果表'!D:D,'02效果表'!E:E)&lt;0, _xlfn.XLOOKUP(R668,'02效果表'!D:D,'02效果表'!E:E), 0) +
U668*IF(_xlfn.XLOOKUP(T668,'02效果表'!D:D,'02效果表'!E:E)&lt;0, _xlfn.XLOOKUP(T668,'02效果表'!D:D,'02效果表'!E:E), 0) +
W668*IF(_xlfn.XLOOKUP(V668,'02效果表'!D:D,'02效果表'!E:E)&lt;0, _xlfn.XLOOKUP(V668,'02效果表'!D:D,'02效果表'!E:E), 0) +
Y668*IF(_xlfn.XLOOKUP(X668,'02效果表'!D:D,'02效果表'!E:E)&lt;0, _xlfn.XLOOKUP(X668,'02效果表'!D:D,'02效果表'!E:E), 0) +
AA668*IF(_xlfn.XLOOKUP(Z668,'02效果表'!D:D,'02效果表'!E:E)&lt;0, _xlfn.XLOOKUP(Z668,'02效果表'!D:D,'02效果表'!E:E), 0) +
AC668*IF(_xlfn.XLOOKUP(AB668,'02效果表'!D:D,'02效果表'!E:E)&lt;0, _xlfn.XLOOKUP(AB668,'02效果表'!D:D,'02效果表'!E:E), 0) +
AE668*IF(_xlfn.XLOOKUP(AD668,'02效果表'!D:D,'02效果表'!E:E)&lt;0, _xlfn.XLOOKUP(AD668,'02效果表'!D:D,'02效果表'!E:E), 0)), 1)</f>
        <v>0</v>
      </c>
      <c r="G668" s="7">
        <f>ROUND(1/6*(I668*MAX(_xlfn.XLOOKUP(H668,'02效果表'!D:D,'02效果表'!E:E),0)+K668*MAX(_xlfn.XLOOKUP(J668,'02效果表'!D:D,'02效果表'!E:E),0)+M668*MAX(_xlfn.XLOOKUP(L668,'02效果表'!D:D,'02效果表'!E:E),0)+O668*MAX(_xlfn.XLOOKUP(N668,'02效果表'!D:D,'02效果表'!E:E),0)+Q668*MAX(_xlfn.XLOOKUP(P668,'02效果表'!D:D,'02效果表'!E:E),0)+S668*MAX(_xlfn.XLOOKUP(R668,'02效果表'!D:D,'02效果表'!E:E),0)+U668*MAX(_xlfn.XLOOKUP(T668,'02效果表'!D:D,'02效果表'!E:E),0)+W668*MAX(_xlfn.XLOOKUP(V668,'02效果表'!D:D,'02效果表'!E:E),0)+Y668*MAX(_xlfn.XLOOKUP(X668,'02效果表'!D:D,'02效果表'!E:E),0)+AA668*MAX(_xlfn.XLOOKUP(Z668,'02效果表'!D:D,'02效果表'!E:E),0)+AC668*MAX(_xlfn.XLOOKUP(AB668,'02效果表'!D:D,'02效果表'!E:E),0)+AE668*MAX(_xlfn.XLOOKUP(AD668,'02效果表'!D:D,'02效果表'!E:E),0)),1)</f>
        <v>0</v>
      </c>
      <c r="H668" s="6"/>
      <c r="I668" s="6"/>
      <c r="J668" s="6"/>
      <c r="K668" s="6"/>
      <c r="L668" s="6"/>
      <c r="M668" s="6"/>
      <c r="N668" s="6"/>
      <c r="O668" s="6"/>
      <c r="P668" s="6"/>
      <c r="Q668" s="6"/>
      <c r="R668" s="6"/>
      <c r="S668" s="6"/>
      <c r="T668" s="6"/>
      <c r="U668" s="6"/>
      <c r="V668" s="6"/>
      <c r="W668" s="6"/>
      <c r="X668" s="6"/>
      <c r="Y668" s="6"/>
      <c r="Z668" s="6"/>
      <c r="AA668" s="6"/>
      <c r="AB668" s="6"/>
      <c r="AC668" s="6"/>
      <c r="AD668" s="6"/>
      <c r="AE668" s="6"/>
    </row>
    <row r="669" spans="1:31" x14ac:dyDescent="0.35">
      <c r="A669" s="6">
        <v>669</v>
      </c>
      <c r="B669" s="6" t="s">
        <v>8</v>
      </c>
      <c r="C669" s="10" t="s">
        <v>2</v>
      </c>
      <c r="D669" s="9" t="s">
        <v>1785</v>
      </c>
      <c r="E669" s="7">
        <f t="shared" si="17"/>
        <v>0</v>
      </c>
      <c r="F669" s="7">
        <f>-1*ROUND(1/6*(I669*IF(_xlfn.XLOOKUP(H669,'02效果表'!D:D,'02效果表'!E:E)&lt;0, _xlfn.XLOOKUP(H669,'02效果表'!D:D,'02效果表'!E:E), 0) +
K669*IF(_xlfn.XLOOKUP(J669,'02效果表'!D:D,'02效果表'!E:E)&lt;0, _xlfn.XLOOKUP(J669,'02效果表'!D:D,'02效果表'!E:E), 0) +
M669*IF(_xlfn.XLOOKUP(L669,'02效果表'!D:D,'02效果表'!E:E)&lt;0, _xlfn.XLOOKUP(L669,'02效果表'!D:D,'02效果表'!E:E), 0) +
O669*IF(_xlfn.XLOOKUP(N669,'02效果表'!D:D,'02效果表'!E:E)&lt;0, _xlfn.XLOOKUP(N669,'02效果表'!D:D,'02效果表'!E:E), 0) +
Q669*IF(_xlfn.XLOOKUP(P669,'02效果表'!D:D,'02效果表'!E:E)&lt;0, _xlfn.XLOOKUP(P669,'02效果表'!D:D,'02效果表'!E:E), 0) +
S669*IF(_xlfn.XLOOKUP(R669,'02效果表'!D:D,'02效果表'!E:E)&lt;0, _xlfn.XLOOKUP(R669,'02效果表'!D:D,'02效果表'!E:E), 0) +
U669*IF(_xlfn.XLOOKUP(T669,'02效果表'!D:D,'02效果表'!E:E)&lt;0, _xlfn.XLOOKUP(T669,'02效果表'!D:D,'02效果表'!E:E), 0) +
W669*IF(_xlfn.XLOOKUP(V669,'02效果表'!D:D,'02效果表'!E:E)&lt;0, _xlfn.XLOOKUP(V669,'02效果表'!D:D,'02效果表'!E:E), 0) +
Y669*IF(_xlfn.XLOOKUP(X669,'02效果表'!D:D,'02效果表'!E:E)&lt;0, _xlfn.XLOOKUP(X669,'02效果表'!D:D,'02效果表'!E:E), 0) +
AA669*IF(_xlfn.XLOOKUP(Z669,'02效果表'!D:D,'02效果表'!E:E)&lt;0, _xlfn.XLOOKUP(Z669,'02效果表'!D:D,'02效果表'!E:E), 0) +
AC669*IF(_xlfn.XLOOKUP(AB669,'02效果表'!D:D,'02效果表'!E:E)&lt;0, _xlfn.XLOOKUP(AB669,'02效果表'!D:D,'02效果表'!E:E), 0) +
AE669*IF(_xlfn.XLOOKUP(AD669,'02效果表'!D:D,'02效果表'!E:E)&lt;0, _xlfn.XLOOKUP(AD669,'02效果表'!D:D,'02效果表'!E:E), 0)), 1)</f>
        <v>0</v>
      </c>
      <c r="G669" s="7">
        <f>ROUND(1/6*(I669*MAX(_xlfn.XLOOKUP(H669,'02效果表'!D:D,'02效果表'!E:E),0)+K669*MAX(_xlfn.XLOOKUP(J669,'02效果表'!D:D,'02效果表'!E:E),0)+M669*MAX(_xlfn.XLOOKUP(L669,'02效果表'!D:D,'02效果表'!E:E),0)+O669*MAX(_xlfn.XLOOKUP(N669,'02效果表'!D:D,'02效果表'!E:E),0)+Q669*MAX(_xlfn.XLOOKUP(P669,'02效果表'!D:D,'02效果表'!E:E),0)+S669*MAX(_xlfn.XLOOKUP(R669,'02效果表'!D:D,'02效果表'!E:E),0)+U669*MAX(_xlfn.XLOOKUP(T669,'02效果表'!D:D,'02效果表'!E:E),0)+W669*MAX(_xlfn.XLOOKUP(V669,'02效果表'!D:D,'02效果表'!E:E),0)+Y669*MAX(_xlfn.XLOOKUP(X669,'02效果表'!D:D,'02效果表'!E:E),0)+AA669*MAX(_xlfn.XLOOKUP(Z669,'02效果表'!D:D,'02效果表'!E:E),0)+AC669*MAX(_xlfn.XLOOKUP(AB669,'02效果表'!D:D,'02效果表'!E:E),0)+AE669*MAX(_xlfn.XLOOKUP(AD669,'02效果表'!D:D,'02效果表'!E:E),0)),1)</f>
        <v>0</v>
      </c>
      <c r="H669" s="6"/>
      <c r="I669" s="6"/>
      <c r="J669" s="6"/>
      <c r="K669" s="6"/>
      <c r="L669" s="6"/>
      <c r="M669" s="6"/>
      <c r="N669" s="6"/>
      <c r="O669" s="6"/>
      <c r="P669" s="6"/>
      <c r="Q669" s="6"/>
      <c r="R669" s="6"/>
      <c r="S669" s="6"/>
      <c r="T669" s="6"/>
      <c r="U669" s="6"/>
      <c r="V669" s="6"/>
      <c r="W669" s="6"/>
      <c r="X669" s="6"/>
      <c r="Y669" s="6"/>
      <c r="Z669" s="6"/>
      <c r="AA669" s="6"/>
      <c r="AB669" s="6"/>
      <c r="AC669" s="6"/>
      <c r="AD669" s="6"/>
      <c r="AE669" s="6"/>
    </row>
    <row r="670" spans="1:31" x14ac:dyDescent="0.35">
      <c r="A670" s="6">
        <v>670</v>
      </c>
      <c r="B670" s="6" t="s">
        <v>8</v>
      </c>
      <c r="C670" s="10" t="s">
        <v>2</v>
      </c>
      <c r="D670" s="9" t="s">
        <v>1786</v>
      </c>
      <c r="E670" s="7">
        <f t="shared" si="17"/>
        <v>0</v>
      </c>
      <c r="F670" s="7">
        <f>-1*ROUND(1/6*(I670*IF(_xlfn.XLOOKUP(H670,'02效果表'!D:D,'02效果表'!E:E)&lt;0, _xlfn.XLOOKUP(H670,'02效果表'!D:D,'02效果表'!E:E), 0) +
K670*IF(_xlfn.XLOOKUP(J670,'02效果表'!D:D,'02效果表'!E:E)&lt;0, _xlfn.XLOOKUP(J670,'02效果表'!D:D,'02效果表'!E:E), 0) +
M670*IF(_xlfn.XLOOKUP(L670,'02效果表'!D:D,'02效果表'!E:E)&lt;0, _xlfn.XLOOKUP(L670,'02效果表'!D:D,'02效果表'!E:E), 0) +
O670*IF(_xlfn.XLOOKUP(N670,'02效果表'!D:D,'02效果表'!E:E)&lt;0, _xlfn.XLOOKUP(N670,'02效果表'!D:D,'02效果表'!E:E), 0) +
Q670*IF(_xlfn.XLOOKUP(P670,'02效果表'!D:D,'02效果表'!E:E)&lt;0, _xlfn.XLOOKUP(P670,'02效果表'!D:D,'02效果表'!E:E), 0) +
S670*IF(_xlfn.XLOOKUP(R670,'02效果表'!D:D,'02效果表'!E:E)&lt;0, _xlfn.XLOOKUP(R670,'02效果表'!D:D,'02效果表'!E:E), 0) +
U670*IF(_xlfn.XLOOKUP(T670,'02效果表'!D:D,'02效果表'!E:E)&lt;0, _xlfn.XLOOKUP(T670,'02效果表'!D:D,'02效果表'!E:E), 0) +
W670*IF(_xlfn.XLOOKUP(V670,'02效果表'!D:D,'02效果表'!E:E)&lt;0, _xlfn.XLOOKUP(V670,'02效果表'!D:D,'02效果表'!E:E), 0) +
Y670*IF(_xlfn.XLOOKUP(X670,'02效果表'!D:D,'02效果表'!E:E)&lt;0, _xlfn.XLOOKUP(X670,'02效果表'!D:D,'02效果表'!E:E), 0) +
AA670*IF(_xlfn.XLOOKUP(Z670,'02效果表'!D:D,'02效果表'!E:E)&lt;0, _xlfn.XLOOKUP(Z670,'02效果表'!D:D,'02效果表'!E:E), 0) +
AC670*IF(_xlfn.XLOOKUP(AB670,'02效果表'!D:D,'02效果表'!E:E)&lt;0, _xlfn.XLOOKUP(AB670,'02效果表'!D:D,'02效果表'!E:E), 0) +
AE670*IF(_xlfn.XLOOKUP(AD670,'02效果表'!D:D,'02效果表'!E:E)&lt;0, _xlfn.XLOOKUP(AD670,'02效果表'!D:D,'02效果表'!E:E), 0)), 1)</f>
        <v>0</v>
      </c>
      <c r="G670" s="7">
        <f>ROUND(1/6*(I670*MAX(_xlfn.XLOOKUP(H670,'02效果表'!D:D,'02效果表'!E:E),0)+K670*MAX(_xlfn.XLOOKUP(J670,'02效果表'!D:D,'02效果表'!E:E),0)+M670*MAX(_xlfn.XLOOKUP(L670,'02效果表'!D:D,'02效果表'!E:E),0)+O670*MAX(_xlfn.XLOOKUP(N670,'02效果表'!D:D,'02效果表'!E:E),0)+Q670*MAX(_xlfn.XLOOKUP(P670,'02效果表'!D:D,'02效果表'!E:E),0)+S670*MAX(_xlfn.XLOOKUP(R670,'02效果表'!D:D,'02效果表'!E:E),0)+U670*MAX(_xlfn.XLOOKUP(T670,'02效果表'!D:D,'02效果表'!E:E),0)+W670*MAX(_xlfn.XLOOKUP(V670,'02效果表'!D:D,'02效果表'!E:E),0)+Y670*MAX(_xlfn.XLOOKUP(X670,'02效果表'!D:D,'02效果表'!E:E),0)+AA670*MAX(_xlfn.XLOOKUP(Z670,'02效果表'!D:D,'02效果表'!E:E),0)+AC670*MAX(_xlfn.XLOOKUP(AB670,'02效果表'!D:D,'02效果表'!E:E),0)+AE670*MAX(_xlfn.XLOOKUP(AD670,'02效果表'!D:D,'02效果表'!E:E),0)),1)</f>
        <v>0</v>
      </c>
      <c r="H670" s="6"/>
      <c r="I670" s="6"/>
      <c r="J670" s="6"/>
      <c r="K670" s="6"/>
      <c r="L670" s="6"/>
      <c r="M670" s="6"/>
      <c r="N670" s="6"/>
      <c r="O670" s="6"/>
      <c r="P670" s="6"/>
      <c r="Q670" s="6"/>
      <c r="R670" s="6"/>
      <c r="S670" s="6"/>
      <c r="T670" s="6"/>
      <c r="U670" s="6"/>
      <c r="V670" s="6"/>
      <c r="W670" s="6"/>
      <c r="X670" s="6"/>
      <c r="Y670" s="6"/>
      <c r="Z670" s="6"/>
      <c r="AA670" s="6"/>
      <c r="AB670" s="6"/>
      <c r="AC670" s="6"/>
      <c r="AD670" s="6"/>
      <c r="AE670" s="6"/>
    </row>
    <row r="671" spans="1:31" x14ac:dyDescent="0.35">
      <c r="A671" s="6">
        <v>671</v>
      </c>
      <c r="B671" s="6" t="s">
        <v>8</v>
      </c>
      <c r="C671" s="10" t="s">
        <v>2</v>
      </c>
      <c r="D671" s="9" t="s">
        <v>1787</v>
      </c>
      <c r="E671" s="7">
        <f t="shared" si="17"/>
        <v>0</v>
      </c>
      <c r="F671" s="7">
        <f>-1*ROUND(1/6*(I671*IF(_xlfn.XLOOKUP(H671,'02效果表'!D:D,'02效果表'!E:E)&lt;0, _xlfn.XLOOKUP(H671,'02效果表'!D:D,'02效果表'!E:E), 0) +
K671*IF(_xlfn.XLOOKUP(J671,'02效果表'!D:D,'02效果表'!E:E)&lt;0, _xlfn.XLOOKUP(J671,'02效果表'!D:D,'02效果表'!E:E), 0) +
M671*IF(_xlfn.XLOOKUP(L671,'02效果表'!D:D,'02效果表'!E:E)&lt;0, _xlfn.XLOOKUP(L671,'02效果表'!D:D,'02效果表'!E:E), 0) +
O671*IF(_xlfn.XLOOKUP(N671,'02效果表'!D:D,'02效果表'!E:E)&lt;0, _xlfn.XLOOKUP(N671,'02效果表'!D:D,'02效果表'!E:E), 0) +
Q671*IF(_xlfn.XLOOKUP(P671,'02效果表'!D:D,'02效果表'!E:E)&lt;0, _xlfn.XLOOKUP(P671,'02效果表'!D:D,'02效果表'!E:E), 0) +
S671*IF(_xlfn.XLOOKUP(R671,'02效果表'!D:D,'02效果表'!E:E)&lt;0, _xlfn.XLOOKUP(R671,'02效果表'!D:D,'02效果表'!E:E), 0) +
U671*IF(_xlfn.XLOOKUP(T671,'02效果表'!D:D,'02效果表'!E:E)&lt;0, _xlfn.XLOOKUP(T671,'02效果表'!D:D,'02效果表'!E:E), 0) +
W671*IF(_xlfn.XLOOKUP(V671,'02效果表'!D:D,'02效果表'!E:E)&lt;0, _xlfn.XLOOKUP(V671,'02效果表'!D:D,'02效果表'!E:E), 0) +
Y671*IF(_xlfn.XLOOKUP(X671,'02效果表'!D:D,'02效果表'!E:E)&lt;0, _xlfn.XLOOKUP(X671,'02效果表'!D:D,'02效果表'!E:E), 0) +
AA671*IF(_xlfn.XLOOKUP(Z671,'02效果表'!D:D,'02效果表'!E:E)&lt;0, _xlfn.XLOOKUP(Z671,'02效果表'!D:D,'02效果表'!E:E), 0) +
AC671*IF(_xlfn.XLOOKUP(AB671,'02效果表'!D:D,'02效果表'!E:E)&lt;0, _xlfn.XLOOKUP(AB671,'02效果表'!D:D,'02效果表'!E:E), 0) +
AE671*IF(_xlfn.XLOOKUP(AD671,'02效果表'!D:D,'02效果表'!E:E)&lt;0, _xlfn.XLOOKUP(AD671,'02效果表'!D:D,'02效果表'!E:E), 0)), 1)</f>
        <v>0</v>
      </c>
      <c r="G671" s="7">
        <f>ROUND(1/6*(I671*MAX(_xlfn.XLOOKUP(H671,'02效果表'!D:D,'02效果表'!E:E),0)+K671*MAX(_xlfn.XLOOKUP(J671,'02效果表'!D:D,'02效果表'!E:E),0)+M671*MAX(_xlfn.XLOOKUP(L671,'02效果表'!D:D,'02效果表'!E:E),0)+O671*MAX(_xlfn.XLOOKUP(N671,'02效果表'!D:D,'02效果表'!E:E),0)+Q671*MAX(_xlfn.XLOOKUP(P671,'02效果表'!D:D,'02效果表'!E:E),0)+S671*MAX(_xlfn.XLOOKUP(R671,'02效果表'!D:D,'02效果表'!E:E),0)+U671*MAX(_xlfn.XLOOKUP(T671,'02效果表'!D:D,'02效果表'!E:E),0)+W671*MAX(_xlfn.XLOOKUP(V671,'02效果表'!D:D,'02效果表'!E:E),0)+Y671*MAX(_xlfn.XLOOKUP(X671,'02效果表'!D:D,'02效果表'!E:E),0)+AA671*MAX(_xlfn.XLOOKUP(Z671,'02效果表'!D:D,'02效果表'!E:E),0)+AC671*MAX(_xlfn.XLOOKUP(AB671,'02效果表'!D:D,'02效果表'!E:E),0)+AE671*MAX(_xlfn.XLOOKUP(AD671,'02效果表'!D:D,'02效果表'!E:E),0)),1)</f>
        <v>0</v>
      </c>
      <c r="H671" s="6"/>
      <c r="I671" s="6"/>
      <c r="J671" s="6"/>
      <c r="K671" s="6"/>
      <c r="L671" s="6"/>
      <c r="M671" s="6"/>
      <c r="N671" s="6"/>
      <c r="O671" s="6"/>
      <c r="P671" s="6"/>
      <c r="Q671" s="6"/>
      <c r="R671" s="6"/>
      <c r="S671" s="6"/>
      <c r="T671" s="6"/>
      <c r="U671" s="6"/>
      <c r="V671" s="6"/>
      <c r="W671" s="6"/>
      <c r="X671" s="6"/>
      <c r="Y671" s="6"/>
      <c r="Z671" s="6"/>
      <c r="AA671" s="6"/>
      <c r="AB671" s="6"/>
      <c r="AC671" s="6"/>
      <c r="AD671" s="6"/>
      <c r="AE671" s="6"/>
    </row>
    <row r="672" spans="1:31" x14ac:dyDescent="0.35">
      <c r="A672" s="6">
        <v>672</v>
      </c>
      <c r="B672" s="6" t="s">
        <v>8</v>
      </c>
      <c r="C672" s="10" t="s">
        <v>2</v>
      </c>
      <c r="D672" s="9" t="s">
        <v>1788</v>
      </c>
      <c r="E672" s="7">
        <f t="shared" si="17"/>
        <v>0</v>
      </c>
      <c r="F672" s="7">
        <f>-1*ROUND(1/6*(I672*IF(_xlfn.XLOOKUP(H672,'02效果表'!D:D,'02效果表'!E:E)&lt;0, _xlfn.XLOOKUP(H672,'02效果表'!D:D,'02效果表'!E:E), 0) +
K672*IF(_xlfn.XLOOKUP(J672,'02效果表'!D:D,'02效果表'!E:E)&lt;0, _xlfn.XLOOKUP(J672,'02效果表'!D:D,'02效果表'!E:E), 0) +
M672*IF(_xlfn.XLOOKUP(L672,'02效果表'!D:D,'02效果表'!E:E)&lt;0, _xlfn.XLOOKUP(L672,'02效果表'!D:D,'02效果表'!E:E), 0) +
O672*IF(_xlfn.XLOOKUP(N672,'02效果表'!D:D,'02效果表'!E:E)&lt;0, _xlfn.XLOOKUP(N672,'02效果表'!D:D,'02效果表'!E:E), 0) +
Q672*IF(_xlfn.XLOOKUP(P672,'02效果表'!D:D,'02效果表'!E:E)&lt;0, _xlfn.XLOOKUP(P672,'02效果表'!D:D,'02效果表'!E:E), 0) +
S672*IF(_xlfn.XLOOKUP(R672,'02效果表'!D:D,'02效果表'!E:E)&lt;0, _xlfn.XLOOKUP(R672,'02效果表'!D:D,'02效果表'!E:E), 0) +
U672*IF(_xlfn.XLOOKUP(T672,'02效果表'!D:D,'02效果表'!E:E)&lt;0, _xlfn.XLOOKUP(T672,'02效果表'!D:D,'02效果表'!E:E), 0) +
W672*IF(_xlfn.XLOOKUP(V672,'02效果表'!D:D,'02效果表'!E:E)&lt;0, _xlfn.XLOOKUP(V672,'02效果表'!D:D,'02效果表'!E:E), 0) +
Y672*IF(_xlfn.XLOOKUP(X672,'02效果表'!D:D,'02效果表'!E:E)&lt;0, _xlfn.XLOOKUP(X672,'02效果表'!D:D,'02效果表'!E:E), 0) +
AA672*IF(_xlfn.XLOOKUP(Z672,'02效果表'!D:D,'02效果表'!E:E)&lt;0, _xlfn.XLOOKUP(Z672,'02效果表'!D:D,'02效果表'!E:E), 0) +
AC672*IF(_xlfn.XLOOKUP(AB672,'02效果表'!D:D,'02效果表'!E:E)&lt;0, _xlfn.XLOOKUP(AB672,'02效果表'!D:D,'02效果表'!E:E), 0) +
AE672*IF(_xlfn.XLOOKUP(AD672,'02效果表'!D:D,'02效果表'!E:E)&lt;0, _xlfn.XLOOKUP(AD672,'02效果表'!D:D,'02效果表'!E:E), 0)), 1)</f>
        <v>0</v>
      </c>
      <c r="G672" s="7">
        <f>ROUND(1/6*(I672*MAX(_xlfn.XLOOKUP(H672,'02效果表'!D:D,'02效果表'!E:E),0)+K672*MAX(_xlfn.XLOOKUP(J672,'02效果表'!D:D,'02效果表'!E:E),0)+M672*MAX(_xlfn.XLOOKUP(L672,'02效果表'!D:D,'02效果表'!E:E),0)+O672*MAX(_xlfn.XLOOKUP(N672,'02效果表'!D:D,'02效果表'!E:E),0)+Q672*MAX(_xlfn.XLOOKUP(P672,'02效果表'!D:D,'02效果表'!E:E),0)+S672*MAX(_xlfn.XLOOKUP(R672,'02效果表'!D:D,'02效果表'!E:E),0)+U672*MAX(_xlfn.XLOOKUP(T672,'02效果表'!D:D,'02效果表'!E:E),0)+W672*MAX(_xlfn.XLOOKUP(V672,'02效果表'!D:D,'02效果表'!E:E),0)+Y672*MAX(_xlfn.XLOOKUP(X672,'02效果表'!D:D,'02效果表'!E:E),0)+AA672*MAX(_xlfn.XLOOKUP(Z672,'02效果表'!D:D,'02效果表'!E:E),0)+AC672*MAX(_xlfn.XLOOKUP(AB672,'02效果表'!D:D,'02效果表'!E:E),0)+AE672*MAX(_xlfn.XLOOKUP(AD672,'02效果表'!D:D,'02效果表'!E:E),0)),1)</f>
        <v>0</v>
      </c>
      <c r="H672" s="6"/>
      <c r="I672" s="6"/>
      <c r="J672" s="6"/>
      <c r="K672" s="6"/>
      <c r="L672" s="6"/>
      <c r="M672" s="6"/>
      <c r="N672" s="6"/>
      <c r="O672" s="6"/>
      <c r="P672" s="6"/>
      <c r="Q672" s="6"/>
      <c r="R672" s="6"/>
      <c r="S672" s="6"/>
      <c r="T672" s="6"/>
      <c r="U672" s="6"/>
      <c r="V672" s="6"/>
      <c r="W672" s="6"/>
      <c r="X672" s="6"/>
      <c r="Y672" s="6"/>
      <c r="Z672" s="6"/>
      <c r="AA672" s="6"/>
      <c r="AB672" s="6"/>
      <c r="AC672" s="6"/>
      <c r="AD672" s="6"/>
      <c r="AE672" s="6"/>
    </row>
    <row r="673" spans="1:31" x14ac:dyDescent="0.35">
      <c r="A673" s="6">
        <v>673</v>
      </c>
      <c r="B673" s="6" t="s">
        <v>8</v>
      </c>
      <c r="C673" s="10" t="s">
        <v>2</v>
      </c>
      <c r="D673" s="9" t="s">
        <v>1789</v>
      </c>
      <c r="E673" s="7">
        <f t="shared" si="17"/>
        <v>0</v>
      </c>
      <c r="F673" s="7">
        <f>-1*ROUND(1/6*(I673*IF(_xlfn.XLOOKUP(H673,'02效果表'!D:D,'02效果表'!E:E)&lt;0, _xlfn.XLOOKUP(H673,'02效果表'!D:D,'02效果表'!E:E), 0) +
K673*IF(_xlfn.XLOOKUP(J673,'02效果表'!D:D,'02效果表'!E:E)&lt;0, _xlfn.XLOOKUP(J673,'02效果表'!D:D,'02效果表'!E:E), 0) +
M673*IF(_xlfn.XLOOKUP(L673,'02效果表'!D:D,'02效果表'!E:E)&lt;0, _xlfn.XLOOKUP(L673,'02效果表'!D:D,'02效果表'!E:E), 0) +
O673*IF(_xlfn.XLOOKUP(N673,'02效果表'!D:D,'02效果表'!E:E)&lt;0, _xlfn.XLOOKUP(N673,'02效果表'!D:D,'02效果表'!E:E), 0) +
Q673*IF(_xlfn.XLOOKUP(P673,'02效果表'!D:D,'02效果表'!E:E)&lt;0, _xlfn.XLOOKUP(P673,'02效果表'!D:D,'02效果表'!E:E), 0) +
S673*IF(_xlfn.XLOOKUP(R673,'02效果表'!D:D,'02效果表'!E:E)&lt;0, _xlfn.XLOOKUP(R673,'02效果表'!D:D,'02效果表'!E:E), 0) +
U673*IF(_xlfn.XLOOKUP(T673,'02效果表'!D:D,'02效果表'!E:E)&lt;0, _xlfn.XLOOKUP(T673,'02效果表'!D:D,'02效果表'!E:E), 0) +
W673*IF(_xlfn.XLOOKUP(V673,'02效果表'!D:D,'02效果表'!E:E)&lt;0, _xlfn.XLOOKUP(V673,'02效果表'!D:D,'02效果表'!E:E), 0) +
Y673*IF(_xlfn.XLOOKUP(X673,'02效果表'!D:D,'02效果表'!E:E)&lt;0, _xlfn.XLOOKUP(X673,'02效果表'!D:D,'02效果表'!E:E), 0) +
AA673*IF(_xlfn.XLOOKUP(Z673,'02效果表'!D:D,'02效果表'!E:E)&lt;0, _xlfn.XLOOKUP(Z673,'02效果表'!D:D,'02效果表'!E:E), 0) +
AC673*IF(_xlfn.XLOOKUP(AB673,'02效果表'!D:D,'02效果表'!E:E)&lt;0, _xlfn.XLOOKUP(AB673,'02效果表'!D:D,'02效果表'!E:E), 0) +
AE673*IF(_xlfn.XLOOKUP(AD673,'02效果表'!D:D,'02效果表'!E:E)&lt;0, _xlfn.XLOOKUP(AD673,'02效果表'!D:D,'02效果表'!E:E), 0)), 1)</f>
        <v>0</v>
      </c>
      <c r="G673" s="7">
        <f>ROUND(1/6*(I673*MAX(_xlfn.XLOOKUP(H673,'02效果表'!D:D,'02效果表'!E:E),0)+K673*MAX(_xlfn.XLOOKUP(J673,'02效果表'!D:D,'02效果表'!E:E),0)+M673*MAX(_xlfn.XLOOKUP(L673,'02效果表'!D:D,'02效果表'!E:E),0)+O673*MAX(_xlfn.XLOOKUP(N673,'02效果表'!D:D,'02效果表'!E:E),0)+Q673*MAX(_xlfn.XLOOKUP(P673,'02效果表'!D:D,'02效果表'!E:E),0)+S673*MAX(_xlfn.XLOOKUP(R673,'02效果表'!D:D,'02效果表'!E:E),0)+U673*MAX(_xlfn.XLOOKUP(T673,'02效果表'!D:D,'02效果表'!E:E),0)+W673*MAX(_xlfn.XLOOKUP(V673,'02效果表'!D:D,'02效果表'!E:E),0)+Y673*MAX(_xlfn.XLOOKUP(X673,'02效果表'!D:D,'02效果表'!E:E),0)+AA673*MAX(_xlfn.XLOOKUP(Z673,'02效果表'!D:D,'02效果表'!E:E),0)+AC673*MAX(_xlfn.XLOOKUP(AB673,'02效果表'!D:D,'02效果表'!E:E),0)+AE673*MAX(_xlfn.XLOOKUP(AD673,'02效果表'!D:D,'02效果表'!E:E),0)),1)</f>
        <v>0</v>
      </c>
      <c r="H673" s="6"/>
      <c r="I673" s="6"/>
      <c r="J673" s="6"/>
      <c r="K673" s="6"/>
      <c r="L673" s="6"/>
      <c r="M673" s="6"/>
      <c r="N673" s="6"/>
      <c r="O673" s="6"/>
      <c r="P673" s="6"/>
      <c r="Q673" s="6"/>
      <c r="R673" s="6"/>
      <c r="S673" s="6"/>
      <c r="T673" s="6"/>
      <c r="U673" s="6"/>
      <c r="V673" s="6"/>
      <c r="W673" s="6"/>
      <c r="X673" s="6"/>
      <c r="Y673" s="6"/>
      <c r="Z673" s="6"/>
      <c r="AA673" s="6"/>
      <c r="AB673" s="6"/>
      <c r="AC673" s="6"/>
      <c r="AD673" s="6"/>
      <c r="AE673" s="6"/>
    </row>
    <row r="674" spans="1:31" x14ac:dyDescent="0.35">
      <c r="A674" s="6">
        <v>674</v>
      </c>
      <c r="B674" s="6" t="s">
        <v>8</v>
      </c>
      <c r="C674" s="10" t="s">
        <v>2</v>
      </c>
      <c r="D674" s="9" t="s">
        <v>1790</v>
      </c>
      <c r="E674" s="7">
        <f t="shared" si="17"/>
        <v>0</v>
      </c>
      <c r="F674" s="7">
        <f>-1*ROUND(1/6*(I674*IF(_xlfn.XLOOKUP(H674,'02效果表'!D:D,'02效果表'!E:E)&lt;0, _xlfn.XLOOKUP(H674,'02效果表'!D:D,'02效果表'!E:E), 0) +
K674*IF(_xlfn.XLOOKUP(J674,'02效果表'!D:D,'02效果表'!E:E)&lt;0, _xlfn.XLOOKUP(J674,'02效果表'!D:D,'02效果表'!E:E), 0) +
M674*IF(_xlfn.XLOOKUP(L674,'02效果表'!D:D,'02效果表'!E:E)&lt;0, _xlfn.XLOOKUP(L674,'02效果表'!D:D,'02效果表'!E:E), 0) +
O674*IF(_xlfn.XLOOKUP(N674,'02效果表'!D:D,'02效果表'!E:E)&lt;0, _xlfn.XLOOKUP(N674,'02效果表'!D:D,'02效果表'!E:E), 0) +
Q674*IF(_xlfn.XLOOKUP(P674,'02效果表'!D:D,'02效果表'!E:E)&lt;0, _xlfn.XLOOKUP(P674,'02效果表'!D:D,'02效果表'!E:E), 0) +
S674*IF(_xlfn.XLOOKUP(R674,'02效果表'!D:D,'02效果表'!E:E)&lt;0, _xlfn.XLOOKUP(R674,'02效果表'!D:D,'02效果表'!E:E), 0) +
U674*IF(_xlfn.XLOOKUP(T674,'02效果表'!D:D,'02效果表'!E:E)&lt;0, _xlfn.XLOOKUP(T674,'02效果表'!D:D,'02效果表'!E:E), 0) +
W674*IF(_xlfn.XLOOKUP(V674,'02效果表'!D:D,'02效果表'!E:E)&lt;0, _xlfn.XLOOKUP(V674,'02效果表'!D:D,'02效果表'!E:E), 0) +
Y674*IF(_xlfn.XLOOKUP(X674,'02效果表'!D:D,'02效果表'!E:E)&lt;0, _xlfn.XLOOKUP(X674,'02效果表'!D:D,'02效果表'!E:E), 0) +
AA674*IF(_xlfn.XLOOKUP(Z674,'02效果表'!D:D,'02效果表'!E:E)&lt;0, _xlfn.XLOOKUP(Z674,'02效果表'!D:D,'02效果表'!E:E), 0) +
AC674*IF(_xlfn.XLOOKUP(AB674,'02效果表'!D:D,'02效果表'!E:E)&lt;0, _xlfn.XLOOKUP(AB674,'02效果表'!D:D,'02效果表'!E:E), 0) +
AE674*IF(_xlfn.XLOOKUP(AD674,'02效果表'!D:D,'02效果表'!E:E)&lt;0, _xlfn.XLOOKUP(AD674,'02效果表'!D:D,'02效果表'!E:E), 0)), 1)</f>
        <v>0</v>
      </c>
      <c r="G674" s="7">
        <f>ROUND(1/6*(I674*MAX(_xlfn.XLOOKUP(H674,'02效果表'!D:D,'02效果表'!E:E),0)+K674*MAX(_xlfn.XLOOKUP(J674,'02效果表'!D:D,'02效果表'!E:E),0)+M674*MAX(_xlfn.XLOOKUP(L674,'02效果表'!D:D,'02效果表'!E:E),0)+O674*MAX(_xlfn.XLOOKUP(N674,'02效果表'!D:D,'02效果表'!E:E),0)+Q674*MAX(_xlfn.XLOOKUP(P674,'02效果表'!D:D,'02效果表'!E:E),0)+S674*MAX(_xlfn.XLOOKUP(R674,'02效果表'!D:D,'02效果表'!E:E),0)+U674*MAX(_xlfn.XLOOKUP(T674,'02效果表'!D:D,'02效果表'!E:E),0)+W674*MAX(_xlfn.XLOOKUP(V674,'02效果表'!D:D,'02效果表'!E:E),0)+Y674*MAX(_xlfn.XLOOKUP(X674,'02效果表'!D:D,'02效果表'!E:E),0)+AA674*MAX(_xlfn.XLOOKUP(Z674,'02效果表'!D:D,'02效果表'!E:E),0)+AC674*MAX(_xlfn.XLOOKUP(AB674,'02效果表'!D:D,'02效果表'!E:E),0)+AE674*MAX(_xlfn.XLOOKUP(AD674,'02效果表'!D:D,'02效果表'!E:E),0)),1)</f>
        <v>0</v>
      </c>
      <c r="H674" s="6"/>
      <c r="I674" s="6"/>
      <c r="J674" s="6"/>
      <c r="K674" s="6"/>
      <c r="L674" s="6"/>
      <c r="M674" s="6"/>
      <c r="N674" s="6"/>
      <c r="O674" s="6"/>
      <c r="P674" s="6"/>
      <c r="Q674" s="6"/>
      <c r="R674" s="6"/>
      <c r="S674" s="6"/>
      <c r="T674" s="6"/>
      <c r="U674" s="6"/>
      <c r="V674" s="6"/>
      <c r="W674" s="6"/>
      <c r="X674" s="6"/>
      <c r="Y674" s="6"/>
      <c r="Z674" s="6"/>
      <c r="AA674" s="6"/>
      <c r="AB674" s="6"/>
      <c r="AC674" s="6"/>
      <c r="AD674" s="6"/>
      <c r="AE674" s="6"/>
    </row>
    <row r="675" spans="1:31" x14ac:dyDescent="0.35">
      <c r="A675" s="6">
        <v>675</v>
      </c>
      <c r="B675" s="6" t="s">
        <v>8</v>
      </c>
      <c r="C675" s="10" t="s">
        <v>2</v>
      </c>
      <c r="D675" s="9" t="s">
        <v>1791</v>
      </c>
      <c r="E675" s="7">
        <f t="shared" si="17"/>
        <v>0</v>
      </c>
      <c r="F675" s="7">
        <f>-1*ROUND(1/6*(I675*IF(_xlfn.XLOOKUP(H675,'02效果表'!D:D,'02效果表'!E:E)&lt;0, _xlfn.XLOOKUP(H675,'02效果表'!D:D,'02效果表'!E:E), 0) +
K675*IF(_xlfn.XLOOKUP(J675,'02效果表'!D:D,'02效果表'!E:E)&lt;0, _xlfn.XLOOKUP(J675,'02效果表'!D:D,'02效果表'!E:E), 0) +
M675*IF(_xlfn.XLOOKUP(L675,'02效果表'!D:D,'02效果表'!E:E)&lt;0, _xlfn.XLOOKUP(L675,'02效果表'!D:D,'02效果表'!E:E), 0) +
O675*IF(_xlfn.XLOOKUP(N675,'02效果表'!D:D,'02效果表'!E:E)&lt;0, _xlfn.XLOOKUP(N675,'02效果表'!D:D,'02效果表'!E:E), 0) +
Q675*IF(_xlfn.XLOOKUP(P675,'02效果表'!D:D,'02效果表'!E:E)&lt;0, _xlfn.XLOOKUP(P675,'02效果表'!D:D,'02效果表'!E:E), 0) +
S675*IF(_xlfn.XLOOKUP(R675,'02效果表'!D:D,'02效果表'!E:E)&lt;0, _xlfn.XLOOKUP(R675,'02效果表'!D:D,'02效果表'!E:E), 0) +
U675*IF(_xlfn.XLOOKUP(T675,'02效果表'!D:D,'02效果表'!E:E)&lt;0, _xlfn.XLOOKUP(T675,'02效果表'!D:D,'02效果表'!E:E), 0) +
W675*IF(_xlfn.XLOOKUP(V675,'02效果表'!D:D,'02效果表'!E:E)&lt;0, _xlfn.XLOOKUP(V675,'02效果表'!D:D,'02效果表'!E:E), 0) +
Y675*IF(_xlfn.XLOOKUP(X675,'02效果表'!D:D,'02效果表'!E:E)&lt;0, _xlfn.XLOOKUP(X675,'02效果表'!D:D,'02效果表'!E:E), 0) +
AA675*IF(_xlfn.XLOOKUP(Z675,'02效果表'!D:D,'02效果表'!E:E)&lt;0, _xlfn.XLOOKUP(Z675,'02效果表'!D:D,'02效果表'!E:E), 0) +
AC675*IF(_xlfn.XLOOKUP(AB675,'02效果表'!D:D,'02效果表'!E:E)&lt;0, _xlfn.XLOOKUP(AB675,'02效果表'!D:D,'02效果表'!E:E), 0) +
AE675*IF(_xlfn.XLOOKUP(AD675,'02效果表'!D:D,'02效果表'!E:E)&lt;0, _xlfn.XLOOKUP(AD675,'02效果表'!D:D,'02效果表'!E:E), 0)), 1)</f>
        <v>0</v>
      </c>
      <c r="G675" s="7">
        <f>ROUND(1/6*(I675*MAX(_xlfn.XLOOKUP(H675,'02效果表'!D:D,'02效果表'!E:E),0)+K675*MAX(_xlfn.XLOOKUP(J675,'02效果表'!D:D,'02效果表'!E:E),0)+M675*MAX(_xlfn.XLOOKUP(L675,'02效果表'!D:D,'02效果表'!E:E),0)+O675*MAX(_xlfn.XLOOKUP(N675,'02效果表'!D:D,'02效果表'!E:E),0)+Q675*MAX(_xlfn.XLOOKUP(P675,'02效果表'!D:D,'02效果表'!E:E),0)+S675*MAX(_xlfn.XLOOKUP(R675,'02效果表'!D:D,'02效果表'!E:E),0)+U675*MAX(_xlfn.XLOOKUP(T675,'02效果表'!D:D,'02效果表'!E:E),0)+W675*MAX(_xlfn.XLOOKUP(V675,'02效果表'!D:D,'02效果表'!E:E),0)+Y675*MAX(_xlfn.XLOOKUP(X675,'02效果表'!D:D,'02效果表'!E:E),0)+AA675*MAX(_xlfn.XLOOKUP(Z675,'02效果表'!D:D,'02效果表'!E:E),0)+AC675*MAX(_xlfn.XLOOKUP(AB675,'02效果表'!D:D,'02效果表'!E:E),0)+AE675*MAX(_xlfn.XLOOKUP(AD675,'02效果表'!D:D,'02效果表'!E:E),0)),1)</f>
        <v>0</v>
      </c>
      <c r="H675" s="6"/>
      <c r="I675" s="6"/>
      <c r="J675" s="6"/>
      <c r="K675" s="6"/>
      <c r="L675" s="6"/>
      <c r="M675" s="6"/>
      <c r="N675" s="6"/>
      <c r="O675" s="6"/>
      <c r="P675" s="6"/>
      <c r="Q675" s="6"/>
      <c r="R675" s="6"/>
      <c r="S675" s="6"/>
      <c r="T675" s="6"/>
      <c r="U675" s="6"/>
      <c r="V675" s="6"/>
      <c r="W675" s="6"/>
      <c r="X675" s="6"/>
      <c r="Y675" s="6"/>
      <c r="Z675" s="6"/>
      <c r="AA675" s="6"/>
      <c r="AB675" s="6"/>
      <c r="AC675" s="6"/>
      <c r="AD675" s="6"/>
      <c r="AE675" s="6"/>
    </row>
    <row r="676" spans="1:31" x14ac:dyDescent="0.35">
      <c r="A676" s="6">
        <v>676</v>
      </c>
      <c r="B676" s="6" t="s">
        <v>8</v>
      </c>
      <c r="C676" s="10" t="s">
        <v>2</v>
      </c>
      <c r="D676" s="9" t="s">
        <v>1792</v>
      </c>
      <c r="E676" s="7">
        <f t="shared" si="17"/>
        <v>0</v>
      </c>
      <c r="F676" s="7">
        <f>-1*ROUND(1/6*(I676*IF(_xlfn.XLOOKUP(H676,'02效果表'!D:D,'02效果表'!E:E)&lt;0, _xlfn.XLOOKUP(H676,'02效果表'!D:D,'02效果表'!E:E), 0) +
K676*IF(_xlfn.XLOOKUP(J676,'02效果表'!D:D,'02效果表'!E:E)&lt;0, _xlfn.XLOOKUP(J676,'02效果表'!D:D,'02效果表'!E:E), 0) +
M676*IF(_xlfn.XLOOKUP(L676,'02效果表'!D:D,'02效果表'!E:E)&lt;0, _xlfn.XLOOKUP(L676,'02效果表'!D:D,'02效果表'!E:E), 0) +
O676*IF(_xlfn.XLOOKUP(N676,'02效果表'!D:D,'02效果表'!E:E)&lt;0, _xlfn.XLOOKUP(N676,'02效果表'!D:D,'02效果表'!E:E), 0) +
Q676*IF(_xlfn.XLOOKUP(P676,'02效果表'!D:D,'02效果表'!E:E)&lt;0, _xlfn.XLOOKUP(P676,'02效果表'!D:D,'02效果表'!E:E), 0) +
S676*IF(_xlfn.XLOOKUP(R676,'02效果表'!D:D,'02效果表'!E:E)&lt;0, _xlfn.XLOOKUP(R676,'02效果表'!D:D,'02效果表'!E:E), 0) +
U676*IF(_xlfn.XLOOKUP(T676,'02效果表'!D:D,'02效果表'!E:E)&lt;0, _xlfn.XLOOKUP(T676,'02效果表'!D:D,'02效果表'!E:E), 0) +
W676*IF(_xlfn.XLOOKUP(V676,'02效果表'!D:D,'02效果表'!E:E)&lt;0, _xlfn.XLOOKUP(V676,'02效果表'!D:D,'02效果表'!E:E), 0) +
Y676*IF(_xlfn.XLOOKUP(X676,'02效果表'!D:D,'02效果表'!E:E)&lt;0, _xlfn.XLOOKUP(X676,'02效果表'!D:D,'02效果表'!E:E), 0) +
AA676*IF(_xlfn.XLOOKUP(Z676,'02效果表'!D:D,'02效果表'!E:E)&lt;0, _xlfn.XLOOKUP(Z676,'02效果表'!D:D,'02效果表'!E:E), 0) +
AC676*IF(_xlfn.XLOOKUP(AB676,'02效果表'!D:D,'02效果表'!E:E)&lt;0, _xlfn.XLOOKUP(AB676,'02效果表'!D:D,'02效果表'!E:E), 0) +
AE676*IF(_xlfn.XLOOKUP(AD676,'02效果表'!D:D,'02效果表'!E:E)&lt;0, _xlfn.XLOOKUP(AD676,'02效果表'!D:D,'02效果表'!E:E), 0)), 1)</f>
        <v>0</v>
      </c>
      <c r="G676" s="7">
        <f>ROUND(1/6*(I676*MAX(_xlfn.XLOOKUP(H676,'02效果表'!D:D,'02效果表'!E:E),0)+K676*MAX(_xlfn.XLOOKUP(J676,'02效果表'!D:D,'02效果表'!E:E),0)+M676*MAX(_xlfn.XLOOKUP(L676,'02效果表'!D:D,'02效果表'!E:E),0)+O676*MAX(_xlfn.XLOOKUP(N676,'02效果表'!D:D,'02效果表'!E:E),0)+Q676*MAX(_xlfn.XLOOKUP(P676,'02效果表'!D:D,'02效果表'!E:E),0)+S676*MAX(_xlfn.XLOOKUP(R676,'02效果表'!D:D,'02效果表'!E:E),0)+U676*MAX(_xlfn.XLOOKUP(T676,'02效果表'!D:D,'02效果表'!E:E),0)+W676*MAX(_xlfn.XLOOKUP(V676,'02效果表'!D:D,'02效果表'!E:E),0)+Y676*MAX(_xlfn.XLOOKUP(X676,'02效果表'!D:D,'02效果表'!E:E),0)+AA676*MAX(_xlfn.XLOOKUP(Z676,'02效果表'!D:D,'02效果表'!E:E),0)+AC676*MAX(_xlfn.XLOOKUP(AB676,'02效果表'!D:D,'02效果表'!E:E),0)+AE676*MAX(_xlfn.XLOOKUP(AD676,'02效果表'!D:D,'02效果表'!E:E),0)),1)</f>
        <v>0</v>
      </c>
      <c r="H676" s="6"/>
      <c r="I676" s="6"/>
      <c r="J676" s="6"/>
      <c r="K676" s="6"/>
      <c r="L676" s="6"/>
      <c r="M676" s="6"/>
      <c r="N676" s="6"/>
      <c r="O676" s="6"/>
      <c r="P676" s="6"/>
      <c r="Q676" s="6"/>
      <c r="R676" s="6"/>
      <c r="S676" s="6"/>
      <c r="T676" s="6"/>
      <c r="U676" s="6"/>
      <c r="V676" s="6"/>
      <c r="W676" s="6"/>
      <c r="X676" s="6"/>
      <c r="Y676" s="6"/>
      <c r="Z676" s="6"/>
      <c r="AA676" s="6"/>
      <c r="AB676" s="6"/>
      <c r="AC676" s="6"/>
      <c r="AD676" s="6"/>
      <c r="AE676" s="6"/>
    </row>
    <row r="677" spans="1:31" x14ac:dyDescent="0.35">
      <c r="A677" s="6">
        <v>677</v>
      </c>
      <c r="B677" s="6" t="s">
        <v>8</v>
      </c>
      <c r="C677" s="10" t="s">
        <v>2</v>
      </c>
      <c r="D677" s="9" t="s">
        <v>1793</v>
      </c>
      <c r="E677" s="7">
        <f t="shared" si="17"/>
        <v>0</v>
      </c>
      <c r="F677" s="7">
        <f>-1*ROUND(1/6*(I677*IF(_xlfn.XLOOKUP(H677,'02效果表'!D:D,'02效果表'!E:E)&lt;0, _xlfn.XLOOKUP(H677,'02效果表'!D:D,'02效果表'!E:E), 0) +
K677*IF(_xlfn.XLOOKUP(J677,'02效果表'!D:D,'02效果表'!E:E)&lt;0, _xlfn.XLOOKUP(J677,'02效果表'!D:D,'02效果表'!E:E), 0) +
M677*IF(_xlfn.XLOOKUP(L677,'02效果表'!D:D,'02效果表'!E:E)&lt;0, _xlfn.XLOOKUP(L677,'02效果表'!D:D,'02效果表'!E:E), 0) +
O677*IF(_xlfn.XLOOKUP(N677,'02效果表'!D:D,'02效果表'!E:E)&lt;0, _xlfn.XLOOKUP(N677,'02效果表'!D:D,'02效果表'!E:E), 0) +
Q677*IF(_xlfn.XLOOKUP(P677,'02效果表'!D:D,'02效果表'!E:E)&lt;0, _xlfn.XLOOKUP(P677,'02效果表'!D:D,'02效果表'!E:E), 0) +
S677*IF(_xlfn.XLOOKUP(R677,'02效果表'!D:D,'02效果表'!E:E)&lt;0, _xlfn.XLOOKUP(R677,'02效果表'!D:D,'02效果表'!E:E), 0) +
U677*IF(_xlfn.XLOOKUP(T677,'02效果表'!D:D,'02效果表'!E:E)&lt;0, _xlfn.XLOOKUP(T677,'02效果表'!D:D,'02效果表'!E:E), 0) +
W677*IF(_xlfn.XLOOKUP(V677,'02效果表'!D:D,'02效果表'!E:E)&lt;0, _xlfn.XLOOKUP(V677,'02效果表'!D:D,'02效果表'!E:E), 0) +
Y677*IF(_xlfn.XLOOKUP(X677,'02效果表'!D:D,'02效果表'!E:E)&lt;0, _xlfn.XLOOKUP(X677,'02效果表'!D:D,'02效果表'!E:E), 0) +
AA677*IF(_xlfn.XLOOKUP(Z677,'02效果表'!D:D,'02效果表'!E:E)&lt;0, _xlfn.XLOOKUP(Z677,'02效果表'!D:D,'02效果表'!E:E), 0) +
AC677*IF(_xlfn.XLOOKUP(AB677,'02效果表'!D:D,'02效果表'!E:E)&lt;0, _xlfn.XLOOKUP(AB677,'02效果表'!D:D,'02效果表'!E:E), 0) +
AE677*IF(_xlfn.XLOOKUP(AD677,'02效果表'!D:D,'02效果表'!E:E)&lt;0, _xlfn.XLOOKUP(AD677,'02效果表'!D:D,'02效果表'!E:E), 0)), 1)</f>
        <v>0</v>
      </c>
      <c r="G677" s="7">
        <f>ROUND(1/6*(I677*MAX(_xlfn.XLOOKUP(H677,'02效果表'!D:D,'02效果表'!E:E),0)+K677*MAX(_xlfn.XLOOKUP(J677,'02效果表'!D:D,'02效果表'!E:E),0)+M677*MAX(_xlfn.XLOOKUP(L677,'02效果表'!D:D,'02效果表'!E:E),0)+O677*MAX(_xlfn.XLOOKUP(N677,'02效果表'!D:D,'02效果表'!E:E),0)+Q677*MAX(_xlfn.XLOOKUP(P677,'02效果表'!D:D,'02效果表'!E:E),0)+S677*MAX(_xlfn.XLOOKUP(R677,'02效果表'!D:D,'02效果表'!E:E),0)+U677*MAX(_xlfn.XLOOKUP(T677,'02效果表'!D:D,'02效果表'!E:E),0)+W677*MAX(_xlfn.XLOOKUP(V677,'02效果表'!D:D,'02效果表'!E:E),0)+Y677*MAX(_xlfn.XLOOKUP(X677,'02效果表'!D:D,'02效果表'!E:E),0)+AA677*MAX(_xlfn.XLOOKUP(Z677,'02效果表'!D:D,'02效果表'!E:E),0)+AC677*MAX(_xlfn.XLOOKUP(AB677,'02效果表'!D:D,'02效果表'!E:E),0)+AE677*MAX(_xlfn.XLOOKUP(AD677,'02效果表'!D:D,'02效果表'!E:E),0)),1)</f>
        <v>0</v>
      </c>
      <c r="H677" s="6"/>
      <c r="I677" s="6"/>
      <c r="J677" s="6"/>
      <c r="K677" s="6"/>
      <c r="L677" s="6"/>
      <c r="M677" s="6"/>
      <c r="N677" s="6"/>
      <c r="O677" s="6"/>
      <c r="P677" s="6"/>
      <c r="Q677" s="6"/>
      <c r="R677" s="6"/>
      <c r="S677" s="6"/>
      <c r="T677" s="6"/>
      <c r="U677" s="6"/>
      <c r="V677" s="6"/>
      <c r="W677" s="6"/>
      <c r="X677" s="6"/>
      <c r="Y677" s="6"/>
      <c r="Z677" s="6"/>
      <c r="AA677" s="6"/>
      <c r="AB677" s="6"/>
      <c r="AC677" s="6"/>
      <c r="AD677" s="6"/>
      <c r="AE677" s="6"/>
    </row>
    <row r="678" spans="1:31" x14ac:dyDescent="0.35">
      <c r="A678" s="6">
        <v>678</v>
      </c>
      <c r="B678" s="6" t="s">
        <v>8</v>
      </c>
      <c r="C678" s="10" t="s">
        <v>2</v>
      </c>
      <c r="D678" s="9" t="s">
        <v>1794</v>
      </c>
      <c r="E678" s="7">
        <f t="shared" si="17"/>
        <v>0</v>
      </c>
      <c r="F678" s="7">
        <f>-1*ROUND(1/6*(I678*IF(_xlfn.XLOOKUP(H678,'02效果表'!D:D,'02效果表'!E:E)&lt;0, _xlfn.XLOOKUP(H678,'02效果表'!D:D,'02效果表'!E:E), 0) +
K678*IF(_xlfn.XLOOKUP(J678,'02效果表'!D:D,'02效果表'!E:E)&lt;0, _xlfn.XLOOKUP(J678,'02效果表'!D:D,'02效果表'!E:E), 0) +
M678*IF(_xlfn.XLOOKUP(L678,'02效果表'!D:D,'02效果表'!E:E)&lt;0, _xlfn.XLOOKUP(L678,'02效果表'!D:D,'02效果表'!E:E), 0) +
O678*IF(_xlfn.XLOOKUP(N678,'02效果表'!D:D,'02效果表'!E:E)&lt;0, _xlfn.XLOOKUP(N678,'02效果表'!D:D,'02效果表'!E:E), 0) +
Q678*IF(_xlfn.XLOOKUP(P678,'02效果表'!D:D,'02效果表'!E:E)&lt;0, _xlfn.XLOOKUP(P678,'02效果表'!D:D,'02效果表'!E:E), 0) +
S678*IF(_xlfn.XLOOKUP(R678,'02效果表'!D:D,'02效果表'!E:E)&lt;0, _xlfn.XLOOKUP(R678,'02效果表'!D:D,'02效果表'!E:E), 0) +
U678*IF(_xlfn.XLOOKUP(T678,'02效果表'!D:D,'02效果表'!E:E)&lt;0, _xlfn.XLOOKUP(T678,'02效果表'!D:D,'02效果表'!E:E), 0) +
W678*IF(_xlfn.XLOOKUP(V678,'02效果表'!D:D,'02效果表'!E:E)&lt;0, _xlfn.XLOOKUP(V678,'02效果表'!D:D,'02效果表'!E:E), 0) +
Y678*IF(_xlfn.XLOOKUP(X678,'02效果表'!D:D,'02效果表'!E:E)&lt;0, _xlfn.XLOOKUP(X678,'02效果表'!D:D,'02效果表'!E:E), 0) +
AA678*IF(_xlfn.XLOOKUP(Z678,'02效果表'!D:D,'02效果表'!E:E)&lt;0, _xlfn.XLOOKUP(Z678,'02效果表'!D:D,'02效果表'!E:E), 0) +
AC678*IF(_xlfn.XLOOKUP(AB678,'02效果表'!D:D,'02效果表'!E:E)&lt;0, _xlfn.XLOOKUP(AB678,'02效果表'!D:D,'02效果表'!E:E), 0) +
AE678*IF(_xlfn.XLOOKUP(AD678,'02效果表'!D:D,'02效果表'!E:E)&lt;0, _xlfn.XLOOKUP(AD678,'02效果表'!D:D,'02效果表'!E:E), 0)), 1)</f>
        <v>0</v>
      </c>
      <c r="G678" s="7">
        <f>ROUND(1/6*(I678*MAX(_xlfn.XLOOKUP(H678,'02效果表'!D:D,'02效果表'!E:E),0)+K678*MAX(_xlfn.XLOOKUP(J678,'02效果表'!D:D,'02效果表'!E:E),0)+M678*MAX(_xlfn.XLOOKUP(L678,'02效果表'!D:D,'02效果表'!E:E),0)+O678*MAX(_xlfn.XLOOKUP(N678,'02效果表'!D:D,'02效果表'!E:E),0)+Q678*MAX(_xlfn.XLOOKUP(P678,'02效果表'!D:D,'02效果表'!E:E),0)+S678*MAX(_xlfn.XLOOKUP(R678,'02效果表'!D:D,'02效果表'!E:E),0)+U678*MAX(_xlfn.XLOOKUP(T678,'02效果表'!D:D,'02效果表'!E:E),0)+W678*MAX(_xlfn.XLOOKUP(V678,'02效果表'!D:D,'02效果表'!E:E),0)+Y678*MAX(_xlfn.XLOOKUP(X678,'02效果表'!D:D,'02效果表'!E:E),0)+AA678*MAX(_xlfn.XLOOKUP(Z678,'02效果表'!D:D,'02效果表'!E:E),0)+AC678*MAX(_xlfn.XLOOKUP(AB678,'02效果表'!D:D,'02效果表'!E:E),0)+AE678*MAX(_xlfn.XLOOKUP(AD678,'02效果表'!D:D,'02效果表'!E:E),0)),1)</f>
        <v>0</v>
      </c>
      <c r="H678" s="6"/>
      <c r="I678" s="6"/>
      <c r="J678" s="6"/>
      <c r="K678" s="6"/>
      <c r="L678" s="6"/>
      <c r="M678" s="6"/>
      <c r="N678" s="6"/>
      <c r="O678" s="6"/>
      <c r="P678" s="6"/>
      <c r="Q678" s="6"/>
      <c r="R678" s="6"/>
      <c r="S678" s="6"/>
      <c r="T678" s="6"/>
      <c r="U678" s="6"/>
      <c r="V678" s="6"/>
      <c r="W678" s="6"/>
      <c r="X678" s="6"/>
      <c r="Y678" s="6"/>
      <c r="Z678" s="6"/>
      <c r="AA678" s="6"/>
      <c r="AB678" s="6"/>
      <c r="AC678" s="6"/>
      <c r="AD678" s="6"/>
      <c r="AE678" s="6"/>
    </row>
    <row r="679" spans="1:31" x14ac:dyDescent="0.35">
      <c r="A679" s="6">
        <v>679</v>
      </c>
      <c r="B679" s="6" t="s">
        <v>8</v>
      </c>
      <c r="C679" s="10" t="s">
        <v>2</v>
      </c>
      <c r="D679" s="9" t="s">
        <v>1795</v>
      </c>
      <c r="E679" s="7">
        <f t="shared" si="17"/>
        <v>0</v>
      </c>
      <c r="F679" s="7">
        <f>-1*ROUND(1/6*(I679*IF(_xlfn.XLOOKUP(H679,'02效果表'!D:D,'02效果表'!E:E)&lt;0, _xlfn.XLOOKUP(H679,'02效果表'!D:D,'02效果表'!E:E), 0) +
K679*IF(_xlfn.XLOOKUP(J679,'02效果表'!D:D,'02效果表'!E:E)&lt;0, _xlfn.XLOOKUP(J679,'02效果表'!D:D,'02效果表'!E:E), 0) +
M679*IF(_xlfn.XLOOKUP(L679,'02效果表'!D:D,'02效果表'!E:E)&lt;0, _xlfn.XLOOKUP(L679,'02效果表'!D:D,'02效果表'!E:E), 0) +
O679*IF(_xlfn.XLOOKUP(N679,'02效果表'!D:D,'02效果表'!E:E)&lt;0, _xlfn.XLOOKUP(N679,'02效果表'!D:D,'02效果表'!E:E), 0) +
Q679*IF(_xlfn.XLOOKUP(P679,'02效果表'!D:D,'02效果表'!E:E)&lt;0, _xlfn.XLOOKUP(P679,'02效果表'!D:D,'02效果表'!E:E), 0) +
S679*IF(_xlfn.XLOOKUP(R679,'02效果表'!D:D,'02效果表'!E:E)&lt;0, _xlfn.XLOOKUP(R679,'02效果表'!D:D,'02效果表'!E:E), 0) +
U679*IF(_xlfn.XLOOKUP(T679,'02效果表'!D:D,'02效果表'!E:E)&lt;0, _xlfn.XLOOKUP(T679,'02效果表'!D:D,'02效果表'!E:E), 0) +
W679*IF(_xlfn.XLOOKUP(V679,'02效果表'!D:D,'02效果表'!E:E)&lt;0, _xlfn.XLOOKUP(V679,'02效果表'!D:D,'02效果表'!E:E), 0) +
Y679*IF(_xlfn.XLOOKUP(X679,'02效果表'!D:D,'02效果表'!E:E)&lt;0, _xlfn.XLOOKUP(X679,'02效果表'!D:D,'02效果表'!E:E), 0) +
AA679*IF(_xlfn.XLOOKUP(Z679,'02效果表'!D:D,'02效果表'!E:E)&lt;0, _xlfn.XLOOKUP(Z679,'02效果表'!D:D,'02效果表'!E:E), 0) +
AC679*IF(_xlfn.XLOOKUP(AB679,'02效果表'!D:D,'02效果表'!E:E)&lt;0, _xlfn.XLOOKUP(AB679,'02效果表'!D:D,'02效果表'!E:E), 0) +
AE679*IF(_xlfn.XLOOKUP(AD679,'02效果表'!D:D,'02效果表'!E:E)&lt;0, _xlfn.XLOOKUP(AD679,'02效果表'!D:D,'02效果表'!E:E), 0)), 1)</f>
        <v>0</v>
      </c>
      <c r="G679" s="7">
        <f>ROUND(1/6*(I679*MAX(_xlfn.XLOOKUP(H679,'02效果表'!D:D,'02效果表'!E:E),0)+K679*MAX(_xlfn.XLOOKUP(J679,'02效果表'!D:D,'02效果表'!E:E),0)+M679*MAX(_xlfn.XLOOKUP(L679,'02效果表'!D:D,'02效果表'!E:E),0)+O679*MAX(_xlfn.XLOOKUP(N679,'02效果表'!D:D,'02效果表'!E:E),0)+Q679*MAX(_xlfn.XLOOKUP(P679,'02效果表'!D:D,'02效果表'!E:E),0)+S679*MAX(_xlfn.XLOOKUP(R679,'02效果表'!D:D,'02效果表'!E:E),0)+U679*MAX(_xlfn.XLOOKUP(T679,'02效果表'!D:D,'02效果表'!E:E),0)+W679*MAX(_xlfn.XLOOKUP(V679,'02效果表'!D:D,'02效果表'!E:E),0)+Y679*MAX(_xlfn.XLOOKUP(X679,'02效果表'!D:D,'02效果表'!E:E),0)+AA679*MAX(_xlfn.XLOOKUP(Z679,'02效果表'!D:D,'02效果表'!E:E),0)+AC679*MAX(_xlfn.XLOOKUP(AB679,'02效果表'!D:D,'02效果表'!E:E),0)+AE679*MAX(_xlfn.XLOOKUP(AD679,'02效果表'!D:D,'02效果表'!E:E),0)),1)</f>
        <v>0</v>
      </c>
      <c r="H679" s="6"/>
      <c r="I679" s="6"/>
      <c r="J679" s="6"/>
      <c r="K679" s="6"/>
      <c r="L679" s="6"/>
      <c r="M679" s="6"/>
      <c r="N679" s="6"/>
      <c r="O679" s="6"/>
      <c r="P679" s="6"/>
      <c r="Q679" s="6"/>
      <c r="R679" s="6"/>
      <c r="S679" s="6"/>
      <c r="T679" s="6"/>
      <c r="U679" s="6"/>
      <c r="V679" s="6"/>
      <c r="W679" s="6"/>
      <c r="X679" s="6"/>
      <c r="Y679" s="6"/>
      <c r="Z679" s="6"/>
      <c r="AA679" s="6"/>
      <c r="AB679" s="6"/>
      <c r="AC679" s="6"/>
      <c r="AD679" s="6"/>
      <c r="AE679" s="6"/>
    </row>
    <row r="680" spans="1:31" x14ac:dyDescent="0.35">
      <c r="A680" s="6">
        <v>680</v>
      </c>
      <c r="B680" s="6" t="s">
        <v>8</v>
      </c>
      <c r="C680" s="10" t="s">
        <v>2</v>
      </c>
      <c r="D680" s="9" t="s">
        <v>1796</v>
      </c>
      <c r="E680" s="7">
        <f t="shared" si="17"/>
        <v>0</v>
      </c>
      <c r="F680" s="7">
        <f>-1*ROUND(1/6*(I680*IF(_xlfn.XLOOKUP(H680,'02效果表'!D:D,'02效果表'!E:E)&lt;0, _xlfn.XLOOKUP(H680,'02效果表'!D:D,'02效果表'!E:E), 0) +
K680*IF(_xlfn.XLOOKUP(J680,'02效果表'!D:D,'02效果表'!E:E)&lt;0, _xlfn.XLOOKUP(J680,'02效果表'!D:D,'02效果表'!E:E), 0) +
M680*IF(_xlfn.XLOOKUP(L680,'02效果表'!D:D,'02效果表'!E:E)&lt;0, _xlfn.XLOOKUP(L680,'02效果表'!D:D,'02效果表'!E:E), 0) +
O680*IF(_xlfn.XLOOKUP(N680,'02效果表'!D:D,'02效果表'!E:E)&lt;0, _xlfn.XLOOKUP(N680,'02效果表'!D:D,'02效果表'!E:E), 0) +
Q680*IF(_xlfn.XLOOKUP(P680,'02效果表'!D:D,'02效果表'!E:E)&lt;0, _xlfn.XLOOKUP(P680,'02效果表'!D:D,'02效果表'!E:E), 0) +
S680*IF(_xlfn.XLOOKUP(R680,'02效果表'!D:D,'02效果表'!E:E)&lt;0, _xlfn.XLOOKUP(R680,'02效果表'!D:D,'02效果表'!E:E), 0) +
U680*IF(_xlfn.XLOOKUP(T680,'02效果表'!D:D,'02效果表'!E:E)&lt;0, _xlfn.XLOOKUP(T680,'02效果表'!D:D,'02效果表'!E:E), 0) +
W680*IF(_xlfn.XLOOKUP(V680,'02效果表'!D:D,'02效果表'!E:E)&lt;0, _xlfn.XLOOKUP(V680,'02效果表'!D:D,'02效果表'!E:E), 0) +
Y680*IF(_xlfn.XLOOKUP(X680,'02效果表'!D:D,'02效果表'!E:E)&lt;0, _xlfn.XLOOKUP(X680,'02效果表'!D:D,'02效果表'!E:E), 0) +
AA680*IF(_xlfn.XLOOKUP(Z680,'02效果表'!D:D,'02效果表'!E:E)&lt;0, _xlfn.XLOOKUP(Z680,'02效果表'!D:D,'02效果表'!E:E), 0) +
AC680*IF(_xlfn.XLOOKUP(AB680,'02效果表'!D:D,'02效果表'!E:E)&lt;0, _xlfn.XLOOKUP(AB680,'02效果表'!D:D,'02效果表'!E:E), 0) +
AE680*IF(_xlfn.XLOOKUP(AD680,'02效果表'!D:D,'02效果表'!E:E)&lt;0, _xlfn.XLOOKUP(AD680,'02效果表'!D:D,'02效果表'!E:E), 0)), 1)</f>
        <v>0</v>
      </c>
      <c r="G680" s="7">
        <f>ROUND(1/6*(I680*MAX(_xlfn.XLOOKUP(H680,'02效果表'!D:D,'02效果表'!E:E),0)+K680*MAX(_xlfn.XLOOKUP(J680,'02效果表'!D:D,'02效果表'!E:E),0)+M680*MAX(_xlfn.XLOOKUP(L680,'02效果表'!D:D,'02效果表'!E:E),0)+O680*MAX(_xlfn.XLOOKUP(N680,'02效果表'!D:D,'02效果表'!E:E),0)+Q680*MAX(_xlfn.XLOOKUP(P680,'02效果表'!D:D,'02效果表'!E:E),0)+S680*MAX(_xlfn.XLOOKUP(R680,'02效果表'!D:D,'02效果表'!E:E),0)+U680*MAX(_xlfn.XLOOKUP(T680,'02效果表'!D:D,'02效果表'!E:E),0)+W680*MAX(_xlfn.XLOOKUP(V680,'02效果表'!D:D,'02效果表'!E:E),0)+Y680*MAX(_xlfn.XLOOKUP(X680,'02效果表'!D:D,'02效果表'!E:E),0)+AA680*MAX(_xlfn.XLOOKUP(Z680,'02效果表'!D:D,'02效果表'!E:E),0)+AC680*MAX(_xlfn.XLOOKUP(AB680,'02效果表'!D:D,'02效果表'!E:E),0)+AE680*MAX(_xlfn.XLOOKUP(AD680,'02效果表'!D:D,'02效果表'!E:E),0)),1)</f>
        <v>0</v>
      </c>
      <c r="H680" s="6"/>
      <c r="I680" s="6"/>
      <c r="J680" s="6"/>
      <c r="K680" s="6"/>
      <c r="L680" s="6"/>
      <c r="M680" s="6"/>
      <c r="N680" s="6"/>
      <c r="O680" s="6"/>
      <c r="P680" s="6"/>
      <c r="Q680" s="6"/>
      <c r="R680" s="6"/>
      <c r="S680" s="6"/>
      <c r="T680" s="6"/>
      <c r="U680" s="6"/>
      <c r="V680" s="6"/>
      <c r="W680" s="6"/>
      <c r="X680" s="6"/>
      <c r="Y680" s="6"/>
      <c r="Z680" s="6"/>
      <c r="AA680" s="6"/>
      <c r="AB680" s="6"/>
      <c r="AC680" s="6"/>
      <c r="AD680" s="6"/>
      <c r="AE680" s="6"/>
    </row>
    <row r="681" spans="1:31" x14ac:dyDescent="0.35">
      <c r="A681" s="6">
        <v>681</v>
      </c>
      <c r="B681" s="6" t="s">
        <v>8</v>
      </c>
      <c r="C681" s="10" t="s">
        <v>2</v>
      </c>
      <c r="D681" s="9" t="s">
        <v>1797</v>
      </c>
      <c r="E681" s="7">
        <f t="shared" si="17"/>
        <v>0</v>
      </c>
      <c r="F681" s="7">
        <f>-1*ROUND(1/6*(I681*IF(_xlfn.XLOOKUP(H681,'02效果表'!D:D,'02效果表'!E:E)&lt;0, _xlfn.XLOOKUP(H681,'02效果表'!D:D,'02效果表'!E:E), 0) +
K681*IF(_xlfn.XLOOKUP(J681,'02效果表'!D:D,'02效果表'!E:E)&lt;0, _xlfn.XLOOKUP(J681,'02效果表'!D:D,'02效果表'!E:E), 0) +
M681*IF(_xlfn.XLOOKUP(L681,'02效果表'!D:D,'02效果表'!E:E)&lt;0, _xlfn.XLOOKUP(L681,'02效果表'!D:D,'02效果表'!E:E), 0) +
O681*IF(_xlfn.XLOOKUP(N681,'02效果表'!D:D,'02效果表'!E:E)&lt;0, _xlfn.XLOOKUP(N681,'02效果表'!D:D,'02效果表'!E:E), 0) +
Q681*IF(_xlfn.XLOOKUP(P681,'02效果表'!D:D,'02效果表'!E:E)&lt;0, _xlfn.XLOOKUP(P681,'02效果表'!D:D,'02效果表'!E:E), 0) +
S681*IF(_xlfn.XLOOKUP(R681,'02效果表'!D:D,'02效果表'!E:E)&lt;0, _xlfn.XLOOKUP(R681,'02效果表'!D:D,'02效果表'!E:E), 0) +
U681*IF(_xlfn.XLOOKUP(T681,'02效果表'!D:D,'02效果表'!E:E)&lt;0, _xlfn.XLOOKUP(T681,'02效果表'!D:D,'02效果表'!E:E), 0) +
W681*IF(_xlfn.XLOOKUP(V681,'02效果表'!D:D,'02效果表'!E:E)&lt;0, _xlfn.XLOOKUP(V681,'02效果表'!D:D,'02效果表'!E:E), 0) +
Y681*IF(_xlfn.XLOOKUP(X681,'02效果表'!D:D,'02效果表'!E:E)&lt;0, _xlfn.XLOOKUP(X681,'02效果表'!D:D,'02效果表'!E:E), 0) +
AA681*IF(_xlfn.XLOOKUP(Z681,'02效果表'!D:D,'02效果表'!E:E)&lt;0, _xlfn.XLOOKUP(Z681,'02效果表'!D:D,'02效果表'!E:E), 0) +
AC681*IF(_xlfn.XLOOKUP(AB681,'02效果表'!D:D,'02效果表'!E:E)&lt;0, _xlfn.XLOOKUP(AB681,'02效果表'!D:D,'02效果表'!E:E), 0) +
AE681*IF(_xlfn.XLOOKUP(AD681,'02效果表'!D:D,'02效果表'!E:E)&lt;0, _xlfn.XLOOKUP(AD681,'02效果表'!D:D,'02效果表'!E:E), 0)), 1)</f>
        <v>0</v>
      </c>
      <c r="G681" s="7">
        <f>ROUND(1/6*(I681*MAX(_xlfn.XLOOKUP(H681,'02效果表'!D:D,'02效果表'!E:E),0)+K681*MAX(_xlfn.XLOOKUP(J681,'02效果表'!D:D,'02效果表'!E:E),0)+M681*MAX(_xlfn.XLOOKUP(L681,'02效果表'!D:D,'02效果表'!E:E),0)+O681*MAX(_xlfn.XLOOKUP(N681,'02效果表'!D:D,'02效果表'!E:E),0)+Q681*MAX(_xlfn.XLOOKUP(P681,'02效果表'!D:D,'02效果表'!E:E),0)+S681*MAX(_xlfn.XLOOKUP(R681,'02效果表'!D:D,'02效果表'!E:E),0)+U681*MAX(_xlfn.XLOOKUP(T681,'02效果表'!D:D,'02效果表'!E:E),0)+W681*MAX(_xlfn.XLOOKUP(V681,'02效果表'!D:D,'02效果表'!E:E),0)+Y681*MAX(_xlfn.XLOOKUP(X681,'02效果表'!D:D,'02效果表'!E:E),0)+AA681*MAX(_xlfn.XLOOKUP(Z681,'02效果表'!D:D,'02效果表'!E:E),0)+AC681*MAX(_xlfn.XLOOKUP(AB681,'02效果表'!D:D,'02效果表'!E:E),0)+AE681*MAX(_xlfn.XLOOKUP(AD681,'02效果表'!D:D,'02效果表'!E:E),0)),1)</f>
        <v>0</v>
      </c>
      <c r="H681" s="6"/>
      <c r="I681" s="6"/>
      <c r="J681" s="6"/>
      <c r="K681" s="6"/>
      <c r="L681" s="6"/>
      <c r="M681" s="6"/>
      <c r="N681" s="6"/>
      <c r="O681" s="6"/>
      <c r="P681" s="6"/>
      <c r="Q681" s="6"/>
      <c r="R681" s="6"/>
      <c r="S681" s="6"/>
      <c r="T681" s="6"/>
      <c r="U681" s="6"/>
      <c r="V681" s="6"/>
      <c r="W681" s="6"/>
      <c r="X681" s="6"/>
      <c r="Y681" s="6"/>
      <c r="Z681" s="6"/>
      <c r="AA681" s="6"/>
      <c r="AB681" s="6"/>
      <c r="AC681" s="6"/>
      <c r="AD681" s="6"/>
      <c r="AE681" s="6"/>
    </row>
    <row r="682" spans="1:31" x14ac:dyDescent="0.35">
      <c r="A682" s="6">
        <v>682</v>
      </c>
      <c r="B682" s="6" t="s">
        <v>8</v>
      </c>
      <c r="C682" s="10" t="s">
        <v>2</v>
      </c>
      <c r="D682" s="9" t="s">
        <v>1798</v>
      </c>
      <c r="E682" s="7">
        <f t="shared" si="17"/>
        <v>0</v>
      </c>
      <c r="F682" s="7">
        <f>-1*ROUND(1/6*(I682*IF(_xlfn.XLOOKUP(H682,'02效果表'!D:D,'02效果表'!E:E)&lt;0, _xlfn.XLOOKUP(H682,'02效果表'!D:D,'02效果表'!E:E), 0) +
K682*IF(_xlfn.XLOOKUP(J682,'02效果表'!D:D,'02效果表'!E:E)&lt;0, _xlfn.XLOOKUP(J682,'02效果表'!D:D,'02效果表'!E:E), 0) +
M682*IF(_xlfn.XLOOKUP(L682,'02效果表'!D:D,'02效果表'!E:E)&lt;0, _xlfn.XLOOKUP(L682,'02效果表'!D:D,'02效果表'!E:E), 0) +
O682*IF(_xlfn.XLOOKUP(N682,'02效果表'!D:D,'02效果表'!E:E)&lt;0, _xlfn.XLOOKUP(N682,'02效果表'!D:D,'02效果表'!E:E), 0) +
Q682*IF(_xlfn.XLOOKUP(P682,'02效果表'!D:D,'02效果表'!E:E)&lt;0, _xlfn.XLOOKUP(P682,'02效果表'!D:D,'02效果表'!E:E), 0) +
S682*IF(_xlfn.XLOOKUP(R682,'02效果表'!D:D,'02效果表'!E:E)&lt;0, _xlfn.XLOOKUP(R682,'02效果表'!D:D,'02效果表'!E:E), 0) +
U682*IF(_xlfn.XLOOKUP(T682,'02效果表'!D:D,'02效果表'!E:E)&lt;0, _xlfn.XLOOKUP(T682,'02效果表'!D:D,'02效果表'!E:E), 0) +
W682*IF(_xlfn.XLOOKUP(V682,'02效果表'!D:D,'02效果表'!E:E)&lt;0, _xlfn.XLOOKUP(V682,'02效果表'!D:D,'02效果表'!E:E), 0) +
Y682*IF(_xlfn.XLOOKUP(X682,'02效果表'!D:D,'02效果表'!E:E)&lt;0, _xlfn.XLOOKUP(X682,'02效果表'!D:D,'02效果表'!E:E), 0) +
AA682*IF(_xlfn.XLOOKUP(Z682,'02效果表'!D:D,'02效果表'!E:E)&lt;0, _xlfn.XLOOKUP(Z682,'02效果表'!D:D,'02效果表'!E:E), 0) +
AC682*IF(_xlfn.XLOOKUP(AB682,'02效果表'!D:D,'02效果表'!E:E)&lt;0, _xlfn.XLOOKUP(AB682,'02效果表'!D:D,'02效果表'!E:E), 0) +
AE682*IF(_xlfn.XLOOKUP(AD682,'02效果表'!D:D,'02效果表'!E:E)&lt;0, _xlfn.XLOOKUP(AD682,'02效果表'!D:D,'02效果表'!E:E), 0)), 1)</f>
        <v>0</v>
      </c>
      <c r="G682" s="7">
        <f>ROUND(1/6*(I682*MAX(_xlfn.XLOOKUP(H682,'02效果表'!D:D,'02效果表'!E:E),0)+K682*MAX(_xlfn.XLOOKUP(J682,'02效果表'!D:D,'02效果表'!E:E),0)+M682*MAX(_xlfn.XLOOKUP(L682,'02效果表'!D:D,'02效果表'!E:E),0)+O682*MAX(_xlfn.XLOOKUP(N682,'02效果表'!D:D,'02效果表'!E:E),0)+Q682*MAX(_xlfn.XLOOKUP(P682,'02效果表'!D:D,'02效果表'!E:E),0)+S682*MAX(_xlfn.XLOOKUP(R682,'02效果表'!D:D,'02效果表'!E:E),0)+U682*MAX(_xlfn.XLOOKUP(T682,'02效果表'!D:D,'02效果表'!E:E),0)+W682*MAX(_xlfn.XLOOKUP(V682,'02效果表'!D:D,'02效果表'!E:E),0)+Y682*MAX(_xlfn.XLOOKUP(X682,'02效果表'!D:D,'02效果表'!E:E),0)+AA682*MAX(_xlfn.XLOOKUP(Z682,'02效果表'!D:D,'02效果表'!E:E),0)+AC682*MAX(_xlfn.XLOOKUP(AB682,'02效果表'!D:D,'02效果表'!E:E),0)+AE682*MAX(_xlfn.XLOOKUP(AD682,'02效果表'!D:D,'02效果表'!E:E),0)),1)</f>
        <v>0</v>
      </c>
      <c r="H682" s="6"/>
      <c r="I682" s="6"/>
      <c r="J682" s="6"/>
      <c r="K682" s="6"/>
      <c r="L682" s="6"/>
      <c r="M682" s="6"/>
      <c r="N682" s="6"/>
      <c r="O682" s="6"/>
      <c r="P682" s="6"/>
      <c r="Q682" s="6"/>
      <c r="R682" s="6"/>
      <c r="S682" s="6"/>
      <c r="T682" s="6"/>
      <c r="U682" s="6"/>
      <c r="V682" s="6"/>
      <c r="W682" s="6"/>
      <c r="X682" s="6"/>
      <c r="Y682" s="6"/>
      <c r="Z682" s="6"/>
      <c r="AA682" s="6"/>
      <c r="AB682" s="6"/>
      <c r="AC682" s="6"/>
      <c r="AD682" s="6"/>
      <c r="AE682" s="6"/>
    </row>
    <row r="683" spans="1:31" x14ac:dyDescent="0.35">
      <c r="A683" s="6">
        <v>683</v>
      </c>
      <c r="B683" s="6" t="s">
        <v>8</v>
      </c>
      <c r="C683" s="10" t="s">
        <v>2</v>
      </c>
      <c r="D683" s="9" t="s">
        <v>1799</v>
      </c>
      <c r="E683" s="7">
        <f t="shared" si="17"/>
        <v>0</v>
      </c>
      <c r="F683" s="7">
        <f>-1*ROUND(1/6*(I683*IF(_xlfn.XLOOKUP(H683,'02效果表'!D:D,'02效果表'!E:E)&lt;0, _xlfn.XLOOKUP(H683,'02效果表'!D:D,'02效果表'!E:E), 0) +
K683*IF(_xlfn.XLOOKUP(J683,'02效果表'!D:D,'02效果表'!E:E)&lt;0, _xlfn.XLOOKUP(J683,'02效果表'!D:D,'02效果表'!E:E), 0) +
M683*IF(_xlfn.XLOOKUP(L683,'02效果表'!D:D,'02效果表'!E:E)&lt;0, _xlfn.XLOOKUP(L683,'02效果表'!D:D,'02效果表'!E:E), 0) +
O683*IF(_xlfn.XLOOKUP(N683,'02效果表'!D:D,'02效果表'!E:E)&lt;0, _xlfn.XLOOKUP(N683,'02效果表'!D:D,'02效果表'!E:E), 0) +
Q683*IF(_xlfn.XLOOKUP(P683,'02效果表'!D:D,'02效果表'!E:E)&lt;0, _xlfn.XLOOKUP(P683,'02效果表'!D:D,'02效果表'!E:E), 0) +
S683*IF(_xlfn.XLOOKUP(R683,'02效果表'!D:D,'02效果表'!E:E)&lt;0, _xlfn.XLOOKUP(R683,'02效果表'!D:D,'02效果表'!E:E), 0) +
U683*IF(_xlfn.XLOOKUP(T683,'02效果表'!D:D,'02效果表'!E:E)&lt;0, _xlfn.XLOOKUP(T683,'02效果表'!D:D,'02效果表'!E:E), 0) +
W683*IF(_xlfn.XLOOKUP(V683,'02效果表'!D:D,'02效果表'!E:E)&lt;0, _xlfn.XLOOKUP(V683,'02效果表'!D:D,'02效果表'!E:E), 0) +
Y683*IF(_xlfn.XLOOKUP(X683,'02效果表'!D:D,'02效果表'!E:E)&lt;0, _xlfn.XLOOKUP(X683,'02效果表'!D:D,'02效果表'!E:E), 0) +
AA683*IF(_xlfn.XLOOKUP(Z683,'02效果表'!D:D,'02效果表'!E:E)&lt;0, _xlfn.XLOOKUP(Z683,'02效果表'!D:D,'02效果表'!E:E), 0) +
AC683*IF(_xlfn.XLOOKUP(AB683,'02效果表'!D:D,'02效果表'!E:E)&lt;0, _xlfn.XLOOKUP(AB683,'02效果表'!D:D,'02效果表'!E:E), 0) +
AE683*IF(_xlfn.XLOOKUP(AD683,'02效果表'!D:D,'02效果表'!E:E)&lt;0, _xlfn.XLOOKUP(AD683,'02效果表'!D:D,'02效果表'!E:E), 0)), 1)</f>
        <v>0</v>
      </c>
      <c r="G683" s="7">
        <f>ROUND(1/6*(I683*MAX(_xlfn.XLOOKUP(H683,'02效果表'!D:D,'02效果表'!E:E),0)+K683*MAX(_xlfn.XLOOKUP(J683,'02效果表'!D:D,'02效果表'!E:E),0)+M683*MAX(_xlfn.XLOOKUP(L683,'02效果表'!D:D,'02效果表'!E:E),0)+O683*MAX(_xlfn.XLOOKUP(N683,'02效果表'!D:D,'02效果表'!E:E),0)+Q683*MAX(_xlfn.XLOOKUP(P683,'02效果表'!D:D,'02效果表'!E:E),0)+S683*MAX(_xlfn.XLOOKUP(R683,'02效果表'!D:D,'02效果表'!E:E),0)+U683*MAX(_xlfn.XLOOKUP(T683,'02效果表'!D:D,'02效果表'!E:E),0)+W683*MAX(_xlfn.XLOOKUP(V683,'02效果表'!D:D,'02效果表'!E:E),0)+Y683*MAX(_xlfn.XLOOKUP(X683,'02效果表'!D:D,'02效果表'!E:E),0)+AA683*MAX(_xlfn.XLOOKUP(Z683,'02效果表'!D:D,'02效果表'!E:E),0)+AC683*MAX(_xlfn.XLOOKUP(AB683,'02效果表'!D:D,'02效果表'!E:E),0)+AE683*MAX(_xlfn.XLOOKUP(AD683,'02效果表'!D:D,'02效果表'!E:E),0)),1)</f>
        <v>0</v>
      </c>
      <c r="H683" s="6"/>
      <c r="I683" s="6"/>
      <c r="J683" s="6"/>
      <c r="K683" s="6"/>
      <c r="L683" s="6"/>
      <c r="M683" s="6"/>
      <c r="N683" s="6"/>
      <c r="O683" s="6"/>
      <c r="P683" s="6"/>
      <c r="Q683" s="6"/>
      <c r="R683" s="6"/>
      <c r="S683" s="6"/>
      <c r="T683" s="6"/>
      <c r="U683" s="6"/>
      <c r="V683" s="6"/>
      <c r="W683" s="6"/>
      <c r="X683" s="6"/>
      <c r="Y683" s="6"/>
      <c r="Z683" s="6"/>
      <c r="AA683" s="6"/>
      <c r="AB683" s="6"/>
      <c r="AC683" s="6"/>
      <c r="AD683" s="6"/>
      <c r="AE683" s="6"/>
    </row>
    <row r="684" spans="1:31" x14ac:dyDescent="0.35">
      <c r="A684" s="6">
        <v>684</v>
      </c>
      <c r="B684" s="6" t="s">
        <v>8</v>
      </c>
      <c r="C684" s="10" t="s">
        <v>2</v>
      </c>
      <c r="D684" s="9" t="s">
        <v>1800</v>
      </c>
      <c r="E684" s="7">
        <f t="shared" si="17"/>
        <v>0</v>
      </c>
      <c r="F684" s="7">
        <f>-1*ROUND(1/6*(I684*IF(_xlfn.XLOOKUP(H684,'02效果表'!D:D,'02效果表'!E:E)&lt;0, _xlfn.XLOOKUP(H684,'02效果表'!D:D,'02效果表'!E:E), 0) +
K684*IF(_xlfn.XLOOKUP(J684,'02效果表'!D:D,'02效果表'!E:E)&lt;0, _xlfn.XLOOKUP(J684,'02效果表'!D:D,'02效果表'!E:E), 0) +
M684*IF(_xlfn.XLOOKUP(L684,'02效果表'!D:D,'02效果表'!E:E)&lt;0, _xlfn.XLOOKUP(L684,'02效果表'!D:D,'02效果表'!E:E), 0) +
O684*IF(_xlfn.XLOOKUP(N684,'02效果表'!D:D,'02效果表'!E:E)&lt;0, _xlfn.XLOOKUP(N684,'02效果表'!D:D,'02效果表'!E:E), 0) +
Q684*IF(_xlfn.XLOOKUP(P684,'02效果表'!D:D,'02效果表'!E:E)&lt;0, _xlfn.XLOOKUP(P684,'02效果表'!D:D,'02效果表'!E:E), 0) +
S684*IF(_xlfn.XLOOKUP(R684,'02效果表'!D:D,'02效果表'!E:E)&lt;0, _xlfn.XLOOKUP(R684,'02效果表'!D:D,'02效果表'!E:E), 0) +
U684*IF(_xlfn.XLOOKUP(T684,'02效果表'!D:D,'02效果表'!E:E)&lt;0, _xlfn.XLOOKUP(T684,'02效果表'!D:D,'02效果表'!E:E), 0) +
W684*IF(_xlfn.XLOOKUP(V684,'02效果表'!D:D,'02效果表'!E:E)&lt;0, _xlfn.XLOOKUP(V684,'02效果表'!D:D,'02效果表'!E:E), 0) +
Y684*IF(_xlfn.XLOOKUP(X684,'02效果表'!D:D,'02效果表'!E:E)&lt;0, _xlfn.XLOOKUP(X684,'02效果表'!D:D,'02效果表'!E:E), 0) +
AA684*IF(_xlfn.XLOOKUP(Z684,'02效果表'!D:D,'02效果表'!E:E)&lt;0, _xlfn.XLOOKUP(Z684,'02效果表'!D:D,'02效果表'!E:E), 0) +
AC684*IF(_xlfn.XLOOKUP(AB684,'02效果表'!D:D,'02效果表'!E:E)&lt;0, _xlfn.XLOOKUP(AB684,'02效果表'!D:D,'02效果表'!E:E), 0) +
AE684*IF(_xlfn.XLOOKUP(AD684,'02效果表'!D:D,'02效果表'!E:E)&lt;0, _xlfn.XLOOKUP(AD684,'02效果表'!D:D,'02效果表'!E:E), 0)), 1)</f>
        <v>0</v>
      </c>
      <c r="G684" s="7">
        <f>ROUND(1/6*(I684*MAX(_xlfn.XLOOKUP(H684,'02效果表'!D:D,'02效果表'!E:E),0)+K684*MAX(_xlfn.XLOOKUP(J684,'02效果表'!D:D,'02效果表'!E:E),0)+M684*MAX(_xlfn.XLOOKUP(L684,'02效果表'!D:D,'02效果表'!E:E),0)+O684*MAX(_xlfn.XLOOKUP(N684,'02效果表'!D:D,'02效果表'!E:E),0)+Q684*MAX(_xlfn.XLOOKUP(P684,'02效果表'!D:D,'02效果表'!E:E),0)+S684*MAX(_xlfn.XLOOKUP(R684,'02效果表'!D:D,'02效果表'!E:E),0)+U684*MAX(_xlfn.XLOOKUP(T684,'02效果表'!D:D,'02效果表'!E:E),0)+W684*MAX(_xlfn.XLOOKUP(V684,'02效果表'!D:D,'02效果表'!E:E),0)+Y684*MAX(_xlfn.XLOOKUP(X684,'02效果表'!D:D,'02效果表'!E:E),0)+AA684*MAX(_xlfn.XLOOKUP(Z684,'02效果表'!D:D,'02效果表'!E:E),0)+AC684*MAX(_xlfn.XLOOKUP(AB684,'02效果表'!D:D,'02效果表'!E:E),0)+AE684*MAX(_xlfn.XLOOKUP(AD684,'02效果表'!D:D,'02效果表'!E:E),0)),1)</f>
        <v>0</v>
      </c>
      <c r="H684" s="6"/>
      <c r="I684" s="6"/>
      <c r="J684" s="6"/>
      <c r="K684" s="6"/>
      <c r="L684" s="6"/>
      <c r="M684" s="6"/>
      <c r="N684" s="6"/>
      <c r="O684" s="6"/>
      <c r="P684" s="6"/>
      <c r="Q684" s="6"/>
      <c r="R684" s="6"/>
      <c r="S684" s="6"/>
      <c r="T684" s="6"/>
      <c r="U684" s="6"/>
      <c r="V684" s="6"/>
      <c r="W684" s="6"/>
      <c r="X684" s="6"/>
      <c r="Y684" s="6"/>
      <c r="Z684" s="6"/>
      <c r="AA684" s="6"/>
      <c r="AB684" s="6"/>
      <c r="AC684" s="6"/>
      <c r="AD684" s="6"/>
      <c r="AE684" s="6"/>
    </row>
    <row r="685" spans="1:31" x14ac:dyDescent="0.35">
      <c r="A685" s="6">
        <v>685</v>
      </c>
      <c r="B685" s="6" t="s">
        <v>8</v>
      </c>
      <c r="C685" s="10" t="s">
        <v>2</v>
      </c>
      <c r="D685" s="9" t="s">
        <v>1801</v>
      </c>
      <c r="E685" s="7">
        <f t="shared" si="17"/>
        <v>0</v>
      </c>
      <c r="F685" s="7">
        <f>-1*ROUND(1/6*(I685*IF(_xlfn.XLOOKUP(H685,'02效果表'!D:D,'02效果表'!E:E)&lt;0, _xlfn.XLOOKUP(H685,'02效果表'!D:D,'02效果表'!E:E), 0) +
K685*IF(_xlfn.XLOOKUP(J685,'02效果表'!D:D,'02效果表'!E:E)&lt;0, _xlfn.XLOOKUP(J685,'02效果表'!D:D,'02效果表'!E:E), 0) +
M685*IF(_xlfn.XLOOKUP(L685,'02效果表'!D:D,'02效果表'!E:E)&lt;0, _xlfn.XLOOKUP(L685,'02效果表'!D:D,'02效果表'!E:E), 0) +
O685*IF(_xlfn.XLOOKUP(N685,'02效果表'!D:D,'02效果表'!E:E)&lt;0, _xlfn.XLOOKUP(N685,'02效果表'!D:D,'02效果表'!E:E), 0) +
Q685*IF(_xlfn.XLOOKUP(P685,'02效果表'!D:D,'02效果表'!E:E)&lt;0, _xlfn.XLOOKUP(P685,'02效果表'!D:D,'02效果表'!E:E), 0) +
S685*IF(_xlfn.XLOOKUP(R685,'02效果表'!D:D,'02效果表'!E:E)&lt;0, _xlfn.XLOOKUP(R685,'02效果表'!D:D,'02效果表'!E:E), 0) +
U685*IF(_xlfn.XLOOKUP(T685,'02效果表'!D:D,'02效果表'!E:E)&lt;0, _xlfn.XLOOKUP(T685,'02效果表'!D:D,'02效果表'!E:E), 0) +
W685*IF(_xlfn.XLOOKUP(V685,'02效果表'!D:D,'02效果表'!E:E)&lt;0, _xlfn.XLOOKUP(V685,'02效果表'!D:D,'02效果表'!E:E), 0) +
Y685*IF(_xlfn.XLOOKUP(X685,'02效果表'!D:D,'02效果表'!E:E)&lt;0, _xlfn.XLOOKUP(X685,'02效果表'!D:D,'02效果表'!E:E), 0) +
AA685*IF(_xlfn.XLOOKUP(Z685,'02效果表'!D:D,'02效果表'!E:E)&lt;0, _xlfn.XLOOKUP(Z685,'02效果表'!D:D,'02效果表'!E:E), 0) +
AC685*IF(_xlfn.XLOOKUP(AB685,'02效果表'!D:D,'02效果表'!E:E)&lt;0, _xlfn.XLOOKUP(AB685,'02效果表'!D:D,'02效果表'!E:E), 0) +
AE685*IF(_xlfn.XLOOKUP(AD685,'02效果表'!D:D,'02效果表'!E:E)&lt;0, _xlfn.XLOOKUP(AD685,'02效果表'!D:D,'02效果表'!E:E), 0)), 1)</f>
        <v>0</v>
      </c>
      <c r="G685" s="7">
        <f>ROUND(1/6*(I685*MAX(_xlfn.XLOOKUP(H685,'02效果表'!D:D,'02效果表'!E:E),0)+K685*MAX(_xlfn.XLOOKUP(J685,'02效果表'!D:D,'02效果表'!E:E),0)+M685*MAX(_xlfn.XLOOKUP(L685,'02效果表'!D:D,'02效果表'!E:E),0)+O685*MAX(_xlfn.XLOOKUP(N685,'02效果表'!D:D,'02效果表'!E:E),0)+Q685*MAX(_xlfn.XLOOKUP(P685,'02效果表'!D:D,'02效果表'!E:E),0)+S685*MAX(_xlfn.XLOOKUP(R685,'02效果表'!D:D,'02效果表'!E:E),0)+U685*MAX(_xlfn.XLOOKUP(T685,'02效果表'!D:D,'02效果表'!E:E),0)+W685*MAX(_xlfn.XLOOKUP(V685,'02效果表'!D:D,'02效果表'!E:E),0)+Y685*MAX(_xlfn.XLOOKUP(X685,'02效果表'!D:D,'02效果表'!E:E),0)+AA685*MAX(_xlfn.XLOOKUP(Z685,'02效果表'!D:D,'02效果表'!E:E),0)+AC685*MAX(_xlfn.XLOOKUP(AB685,'02效果表'!D:D,'02效果表'!E:E),0)+AE685*MAX(_xlfn.XLOOKUP(AD685,'02效果表'!D:D,'02效果表'!E:E),0)),1)</f>
        <v>0</v>
      </c>
      <c r="H685" s="6"/>
      <c r="I685" s="6"/>
      <c r="J685" s="6"/>
      <c r="K685" s="6"/>
      <c r="L685" s="6"/>
      <c r="M685" s="6"/>
      <c r="N685" s="6"/>
      <c r="O685" s="6"/>
      <c r="P685" s="6"/>
      <c r="Q685" s="6"/>
      <c r="R685" s="6"/>
      <c r="S685" s="6"/>
      <c r="T685" s="6"/>
      <c r="U685" s="6"/>
      <c r="V685" s="6"/>
      <c r="W685" s="6"/>
      <c r="X685" s="6"/>
      <c r="Y685" s="6"/>
      <c r="Z685" s="6"/>
      <c r="AA685" s="6"/>
      <c r="AB685" s="6"/>
      <c r="AC685" s="6"/>
      <c r="AD685" s="6"/>
      <c r="AE685" s="6"/>
    </row>
    <row r="686" spans="1:31" x14ac:dyDescent="0.35">
      <c r="A686" s="6">
        <v>686</v>
      </c>
      <c r="B686" s="6" t="s">
        <v>8</v>
      </c>
      <c r="C686" s="10" t="s">
        <v>2</v>
      </c>
      <c r="D686" s="9"/>
      <c r="E686" s="7">
        <f t="shared" si="17"/>
        <v>0</v>
      </c>
      <c r="F686" s="7">
        <f>-1*ROUND(1/6*(I686*IF(_xlfn.XLOOKUP(H686,'02效果表'!D:D,'02效果表'!E:E)&lt;0, _xlfn.XLOOKUP(H686,'02效果表'!D:D,'02效果表'!E:E), 0) +
K686*IF(_xlfn.XLOOKUP(J686,'02效果表'!D:D,'02效果表'!E:E)&lt;0, _xlfn.XLOOKUP(J686,'02效果表'!D:D,'02效果表'!E:E), 0) +
M686*IF(_xlfn.XLOOKUP(L686,'02效果表'!D:D,'02效果表'!E:E)&lt;0, _xlfn.XLOOKUP(L686,'02效果表'!D:D,'02效果表'!E:E), 0) +
O686*IF(_xlfn.XLOOKUP(N686,'02效果表'!D:D,'02效果表'!E:E)&lt;0, _xlfn.XLOOKUP(N686,'02效果表'!D:D,'02效果表'!E:E), 0) +
Q686*IF(_xlfn.XLOOKUP(P686,'02效果表'!D:D,'02效果表'!E:E)&lt;0, _xlfn.XLOOKUP(P686,'02效果表'!D:D,'02效果表'!E:E), 0) +
S686*IF(_xlfn.XLOOKUP(R686,'02效果表'!D:D,'02效果表'!E:E)&lt;0, _xlfn.XLOOKUP(R686,'02效果表'!D:D,'02效果表'!E:E), 0) +
U686*IF(_xlfn.XLOOKUP(T686,'02效果表'!D:D,'02效果表'!E:E)&lt;0, _xlfn.XLOOKUP(T686,'02效果表'!D:D,'02效果表'!E:E), 0) +
W686*IF(_xlfn.XLOOKUP(V686,'02效果表'!D:D,'02效果表'!E:E)&lt;0, _xlfn.XLOOKUP(V686,'02效果表'!D:D,'02效果表'!E:E), 0) +
Y686*IF(_xlfn.XLOOKUP(X686,'02效果表'!D:D,'02效果表'!E:E)&lt;0, _xlfn.XLOOKUP(X686,'02效果表'!D:D,'02效果表'!E:E), 0) +
AA686*IF(_xlfn.XLOOKUP(Z686,'02效果表'!D:D,'02效果表'!E:E)&lt;0, _xlfn.XLOOKUP(Z686,'02效果表'!D:D,'02效果表'!E:E), 0) +
AC686*IF(_xlfn.XLOOKUP(AB686,'02效果表'!D:D,'02效果表'!E:E)&lt;0, _xlfn.XLOOKUP(AB686,'02效果表'!D:D,'02效果表'!E:E), 0) +
AE686*IF(_xlfn.XLOOKUP(AD686,'02效果表'!D:D,'02效果表'!E:E)&lt;0, _xlfn.XLOOKUP(AD686,'02效果表'!D:D,'02效果表'!E:E), 0)), 1)</f>
        <v>0</v>
      </c>
      <c r="G686" s="7">
        <f>ROUND(1/6*(I686*MAX(_xlfn.XLOOKUP(H686,'02效果表'!D:D,'02效果表'!E:E),0)+K686*MAX(_xlfn.XLOOKUP(J686,'02效果表'!D:D,'02效果表'!E:E),0)+M686*MAX(_xlfn.XLOOKUP(L686,'02效果表'!D:D,'02效果表'!E:E),0)+O686*MAX(_xlfn.XLOOKUP(N686,'02效果表'!D:D,'02效果表'!E:E),0)+Q686*MAX(_xlfn.XLOOKUP(P686,'02效果表'!D:D,'02效果表'!E:E),0)+S686*MAX(_xlfn.XLOOKUP(R686,'02效果表'!D:D,'02效果表'!E:E),0)+U686*MAX(_xlfn.XLOOKUP(T686,'02效果表'!D:D,'02效果表'!E:E),0)+W686*MAX(_xlfn.XLOOKUP(V686,'02效果表'!D:D,'02效果表'!E:E),0)+Y686*MAX(_xlfn.XLOOKUP(X686,'02效果表'!D:D,'02效果表'!E:E),0)+AA686*MAX(_xlfn.XLOOKUP(Z686,'02效果表'!D:D,'02效果表'!E:E),0)+AC686*MAX(_xlfn.XLOOKUP(AB686,'02效果表'!D:D,'02效果表'!E:E),0)+AE686*MAX(_xlfn.XLOOKUP(AD686,'02效果表'!D:D,'02效果表'!E:E),0)),1)</f>
        <v>0</v>
      </c>
      <c r="H686" s="6"/>
      <c r="I686" s="6"/>
      <c r="J686" s="6"/>
      <c r="K686" s="6"/>
      <c r="L686" s="6"/>
      <c r="M686" s="6"/>
      <c r="N686" s="6"/>
      <c r="O686" s="6"/>
      <c r="P686" s="6"/>
      <c r="Q686" s="6"/>
      <c r="R686" s="6"/>
      <c r="S686" s="6"/>
      <c r="T686" s="6"/>
      <c r="U686" s="6"/>
      <c r="V686" s="6"/>
      <c r="W686" s="6"/>
      <c r="X686" s="6"/>
      <c r="Y686" s="6"/>
      <c r="Z686" s="6"/>
      <c r="AA686" s="6"/>
      <c r="AB686" s="6"/>
      <c r="AC686" s="6"/>
      <c r="AD686" s="6"/>
      <c r="AE686" s="6"/>
    </row>
    <row r="687" spans="1:31" x14ac:dyDescent="0.35">
      <c r="A687" s="6">
        <v>687</v>
      </c>
      <c r="B687" s="6" t="s">
        <v>8</v>
      </c>
      <c r="C687" s="10" t="s">
        <v>2</v>
      </c>
      <c r="D687" s="9"/>
      <c r="E687" s="7">
        <f t="shared" si="17"/>
        <v>0</v>
      </c>
      <c r="F687" s="7">
        <f>-1*ROUND(1/6*(I687*IF(_xlfn.XLOOKUP(H687,'02效果表'!D:D,'02效果表'!E:E)&lt;0, _xlfn.XLOOKUP(H687,'02效果表'!D:D,'02效果表'!E:E), 0) +
K687*IF(_xlfn.XLOOKUP(J687,'02效果表'!D:D,'02效果表'!E:E)&lt;0, _xlfn.XLOOKUP(J687,'02效果表'!D:D,'02效果表'!E:E), 0) +
M687*IF(_xlfn.XLOOKUP(L687,'02效果表'!D:D,'02效果表'!E:E)&lt;0, _xlfn.XLOOKUP(L687,'02效果表'!D:D,'02效果表'!E:E), 0) +
O687*IF(_xlfn.XLOOKUP(N687,'02效果表'!D:D,'02效果表'!E:E)&lt;0, _xlfn.XLOOKUP(N687,'02效果表'!D:D,'02效果表'!E:E), 0) +
Q687*IF(_xlfn.XLOOKUP(P687,'02效果表'!D:D,'02效果表'!E:E)&lt;0, _xlfn.XLOOKUP(P687,'02效果表'!D:D,'02效果表'!E:E), 0) +
S687*IF(_xlfn.XLOOKUP(R687,'02效果表'!D:D,'02效果表'!E:E)&lt;0, _xlfn.XLOOKUP(R687,'02效果表'!D:D,'02效果表'!E:E), 0) +
U687*IF(_xlfn.XLOOKUP(T687,'02效果表'!D:D,'02效果表'!E:E)&lt;0, _xlfn.XLOOKUP(T687,'02效果表'!D:D,'02效果表'!E:E), 0) +
W687*IF(_xlfn.XLOOKUP(V687,'02效果表'!D:D,'02效果表'!E:E)&lt;0, _xlfn.XLOOKUP(V687,'02效果表'!D:D,'02效果表'!E:E), 0) +
Y687*IF(_xlfn.XLOOKUP(X687,'02效果表'!D:D,'02效果表'!E:E)&lt;0, _xlfn.XLOOKUP(X687,'02效果表'!D:D,'02效果表'!E:E), 0) +
AA687*IF(_xlfn.XLOOKUP(Z687,'02效果表'!D:D,'02效果表'!E:E)&lt;0, _xlfn.XLOOKUP(Z687,'02效果表'!D:D,'02效果表'!E:E), 0) +
AC687*IF(_xlfn.XLOOKUP(AB687,'02效果表'!D:D,'02效果表'!E:E)&lt;0, _xlfn.XLOOKUP(AB687,'02效果表'!D:D,'02效果表'!E:E), 0) +
AE687*IF(_xlfn.XLOOKUP(AD687,'02效果表'!D:D,'02效果表'!E:E)&lt;0, _xlfn.XLOOKUP(AD687,'02效果表'!D:D,'02效果表'!E:E), 0)), 1)</f>
        <v>0</v>
      </c>
      <c r="G687" s="7">
        <f>ROUND(1/6*(I687*MAX(_xlfn.XLOOKUP(H687,'02效果表'!D:D,'02效果表'!E:E),0)+K687*MAX(_xlfn.XLOOKUP(J687,'02效果表'!D:D,'02效果表'!E:E),0)+M687*MAX(_xlfn.XLOOKUP(L687,'02效果表'!D:D,'02效果表'!E:E),0)+O687*MAX(_xlfn.XLOOKUP(N687,'02效果表'!D:D,'02效果表'!E:E),0)+Q687*MAX(_xlfn.XLOOKUP(P687,'02效果表'!D:D,'02效果表'!E:E),0)+S687*MAX(_xlfn.XLOOKUP(R687,'02效果表'!D:D,'02效果表'!E:E),0)+U687*MAX(_xlfn.XLOOKUP(T687,'02效果表'!D:D,'02效果表'!E:E),0)+W687*MAX(_xlfn.XLOOKUP(V687,'02效果表'!D:D,'02效果表'!E:E),0)+Y687*MAX(_xlfn.XLOOKUP(X687,'02效果表'!D:D,'02效果表'!E:E),0)+AA687*MAX(_xlfn.XLOOKUP(Z687,'02效果表'!D:D,'02效果表'!E:E),0)+AC687*MAX(_xlfn.XLOOKUP(AB687,'02效果表'!D:D,'02效果表'!E:E),0)+AE687*MAX(_xlfn.XLOOKUP(AD687,'02效果表'!D:D,'02效果表'!E:E),0)),1)</f>
        <v>0</v>
      </c>
      <c r="H687" s="6"/>
      <c r="I687" s="6"/>
      <c r="J687" s="6"/>
      <c r="K687" s="6"/>
      <c r="L687" s="6"/>
      <c r="M687" s="6"/>
      <c r="N687" s="6"/>
      <c r="O687" s="6"/>
      <c r="P687" s="6"/>
      <c r="Q687" s="6"/>
      <c r="R687" s="6"/>
      <c r="S687" s="6"/>
      <c r="T687" s="6"/>
      <c r="U687" s="6"/>
      <c r="V687" s="6"/>
      <c r="W687" s="6"/>
      <c r="X687" s="6"/>
      <c r="Y687" s="6"/>
      <c r="Z687" s="6"/>
      <c r="AA687" s="6"/>
      <c r="AB687" s="6"/>
      <c r="AC687" s="6"/>
      <c r="AD687" s="6"/>
      <c r="AE687" s="6"/>
    </row>
    <row r="688" spans="1:31" x14ac:dyDescent="0.35">
      <c r="A688" s="6">
        <v>688</v>
      </c>
      <c r="B688" s="6" t="s">
        <v>8</v>
      </c>
      <c r="C688" s="10" t="s">
        <v>2</v>
      </c>
      <c r="D688" s="9"/>
      <c r="E688" s="7">
        <f t="shared" si="17"/>
        <v>0</v>
      </c>
      <c r="F688" s="7">
        <f>-1*ROUND(1/6*(I688*IF(_xlfn.XLOOKUP(H688,'02效果表'!D:D,'02效果表'!E:E)&lt;0, _xlfn.XLOOKUP(H688,'02效果表'!D:D,'02效果表'!E:E), 0) +
K688*IF(_xlfn.XLOOKUP(J688,'02效果表'!D:D,'02效果表'!E:E)&lt;0, _xlfn.XLOOKUP(J688,'02效果表'!D:D,'02效果表'!E:E), 0) +
M688*IF(_xlfn.XLOOKUP(L688,'02效果表'!D:D,'02效果表'!E:E)&lt;0, _xlfn.XLOOKUP(L688,'02效果表'!D:D,'02效果表'!E:E), 0) +
O688*IF(_xlfn.XLOOKUP(N688,'02效果表'!D:D,'02效果表'!E:E)&lt;0, _xlfn.XLOOKUP(N688,'02效果表'!D:D,'02效果表'!E:E), 0) +
Q688*IF(_xlfn.XLOOKUP(P688,'02效果表'!D:D,'02效果表'!E:E)&lt;0, _xlfn.XLOOKUP(P688,'02效果表'!D:D,'02效果表'!E:E), 0) +
S688*IF(_xlfn.XLOOKUP(R688,'02效果表'!D:D,'02效果表'!E:E)&lt;0, _xlfn.XLOOKUP(R688,'02效果表'!D:D,'02效果表'!E:E), 0) +
U688*IF(_xlfn.XLOOKUP(T688,'02效果表'!D:D,'02效果表'!E:E)&lt;0, _xlfn.XLOOKUP(T688,'02效果表'!D:D,'02效果表'!E:E), 0) +
W688*IF(_xlfn.XLOOKUP(V688,'02效果表'!D:D,'02效果表'!E:E)&lt;0, _xlfn.XLOOKUP(V688,'02效果表'!D:D,'02效果表'!E:E), 0) +
Y688*IF(_xlfn.XLOOKUP(X688,'02效果表'!D:D,'02效果表'!E:E)&lt;0, _xlfn.XLOOKUP(X688,'02效果表'!D:D,'02效果表'!E:E), 0) +
AA688*IF(_xlfn.XLOOKUP(Z688,'02效果表'!D:D,'02效果表'!E:E)&lt;0, _xlfn.XLOOKUP(Z688,'02效果表'!D:D,'02效果表'!E:E), 0) +
AC688*IF(_xlfn.XLOOKUP(AB688,'02效果表'!D:D,'02效果表'!E:E)&lt;0, _xlfn.XLOOKUP(AB688,'02效果表'!D:D,'02效果表'!E:E), 0) +
AE688*IF(_xlfn.XLOOKUP(AD688,'02效果表'!D:D,'02效果表'!E:E)&lt;0, _xlfn.XLOOKUP(AD688,'02效果表'!D:D,'02效果表'!E:E), 0)), 1)</f>
        <v>0</v>
      </c>
      <c r="G688" s="7">
        <f>ROUND(1/6*(I688*MAX(_xlfn.XLOOKUP(H688,'02效果表'!D:D,'02效果表'!E:E),0)+K688*MAX(_xlfn.XLOOKUP(J688,'02效果表'!D:D,'02效果表'!E:E),0)+M688*MAX(_xlfn.XLOOKUP(L688,'02效果表'!D:D,'02效果表'!E:E),0)+O688*MAX(_xlfn.XLOOKUP(N688,'02效果表'!D:D,'02效果表'!E:E),0)+Q688*MAX(_xlfn.XLOOKUP(P688,'02效果表'!D:D,'02效果表'!E:E),0)+S688*MAX(_xlfn.XLOOKUP(R688,'02效果表'!D:D,'02效果表'!E:E),0)+U688*MAX(_xlfn.XLOOKUP(T688,'02效果表'!D:D,'02效果表'!E:E),0)+W688*MAX(_xlfn.XLOOKUP(V688,'02效果表'!D:D,'02效果表'!E:E),0)+Y688*MAX(_xlfn.XLOOKUP(X688,'02效果表'!D:D,'02效果表'!E:E),0)+AA688*MAX(_xlfn.XLOOKUP(Z688,'02效果表'!D:D,'02效果表'!E:E),0)+AC688*MAX(_xlfn.XLOOKUP(AB688,'02效果表'!D:D,'02效果表'!E:E),0)+AE688*MAX(_xlfn.XLOOKUP(AD688,'02效果表'!D:D,'02效果表'!E:E),0)),1)</f>
        <v>0</v>
      </c>
      <c r="H688" s="6"/>
      <c r="I688" s="6"/>
      <c r="J688" s="6"/>
      <c r="K688" s="6"/>
      <c r="L688" s="6"/>
      <c r="M688" s="6"/>
      <c r="N688" s="6"/>
      <c r="O688" s="6"/>
      <c r="P688" s="6"/>
      <c r="Q688" s="6"/>
      <c r="R688" s="6"/>
      <c r="S688" s="6"/>
      <c r="T688" s="6"/>
      <c r="U688" s="6"/>
      <c r="V688" s="6"/>
      <c r="W688" s="6"/>
      <c r="X688" s="6"/>
      <c r="Y688" s="6"/>
      <c r="Z688" s="6"/>
      <c r="AA688" s="6"/>
      <c r="AB688" s="6"/>
      <c r="AC688" s="6"/>
      <c r="AD688" s="6"/>
      <c r="AE688" s="6"/>
    </row>
    <row r="689" spans="1:31" x14ac:dyDescent="0.35">
      <c r="A689" s="6">
        <v>689</v>
      </c>
      <c r="B689" s="6" t="s">
        <v>8</v>
      </c>
      <c r="C689" s="10" t="s">
        <v>2</v>
      </c>
      <c r="D689" s="9"/>
      <c r="E689" s="7">
        <f t="shared" si="17"/>
        <v>0</v>
      </c>
      <c r="F689" s="7">
        <f>-1*ROUND(1/6*(I689*IF(_xlfn.XLOOKUP(H689,'02效果表'!D:D,'02效果表'!E:E)&lt;0, _xlfn.XLOOKUP(H689,'02效果表'!D:D,'02效果表'!E:E), 0) +
K689*IF(_xlfn.XLOOKUP(J689,'02效果表'!D:D,'02效果表'!E:E)&lt;0, _xlfn.XLOOKUP(J689,'02效果表'!D:D,'02效果表'!E:E), 0) +
M689*IF(_xlfn.XLOOKUP(L689,'02效果表'!D:D,'02效果表'!E:E)&lt;0, _xlfn.XLOOKUP(L689,'02效果表'!D:D,'02效果表'!E:E), 0) +
O689*IF(_xlfn.XLOOKUP(N689,'02效果表'!D:D,'02效果表'!E:E)&lt;0, _xlfn.XLOOKUP(N689,'02效果表'!D:D,'02效果表'!E:E), 0) +
Q689*IF(_xlfn.XLOOKUP(P689,'02效果表'!D:D,'02效果表'!E:E)&lt;0, _xlfn.XLOOKUP(P689,'02效果表'!D:D,'02效果表'!E:E), 0) +
S689*IF(_xlfn.XLOOKUP(R689,'02效果表'!D:D,'02效果表'!E:E)&lt;0, _xlfn.XLOOKUP(R689,'02效果表'!D:D,'02效果表'!E:E), 0) +
U689*IF(_xlfn.XLOOKUP(T689,'02效果表'!D:D,'02效果表'!E:E)&lt;0, _xlfn.XLOOKUP(T689,'02效果表'!D:D,'02效果表'!E:E), 0) +
W689*IF(_xlfn.XLOOKUP(V689,'02效果表'!D:D,'02效果表'!E:E)&lt;0, _xlfn.XLOOKUP(V689,'02效果表'!D:D,'02效果表'!E:E), 0) +
Y689*IF(_xlfn.XLOOKUP(X689,'02效果表'!D:D,'02效果表'!E:E)&lt;0, _xlfn.XLOOKUP(X689,'02效果表'!D:D,'02效果表'!E:E), 0) +
AA689*IF(_xlfn.XLOOKUP(Z689,'02效果表'!D:D,'02效果表'!E:E)&lt;0, _xlfn.XLOOKUP(Z689,'02效果表'!D:D,'02效果表'!E:E), 0) +
AC689*IF(_xlfn.XLOOKUP(AB689,'02效果表'!D:D,'02效果表'!E:E)&lt;0, _xlfn.XLOOKUP(AB689,'02效果表'!D:D,'02效果表'!E:E), 0) +
AE689*IF(_xlfn.XLOOKUP(AD689,'02效果表'!D:D,'02效果表'!E:E)&lt;0, _xlfn.XLOOKUP(AD689,'02效果表'!D:D,'02效果表'!E:E), 0)), 1)</f>
        <v>0</v>
      </c>
      <c r="G689" s="7">
        <f>ROUND(1/6*(I689*MAX(_xlfn.XLOOKUP(H689,'02效果表'!D:D,'02效果表'!E:E),0)+K689*MAX(_xlfn.XLOOKUP(J689,'02效果表'!D:D,'02效果表'!E:E),0)+M689*MAX(_xlfn.XLOOKUP(L689,'02效果表'!D:D,'02效果表'!E:E),0)+O689*MAX(_xlfn.XLOOKUP(N689,'02效果表'!D:D,'02效果表'!E:E),0)+Q689*MAX(_xlfn.XLOOKUP(P689,'02效果表'!D:D,'02效果表'!E:E),0)+S689*MAX(_xlfn.XLOOKUP(R689,'02效果表'!D:D,'02效果表'!E:E),0)+U689*MAX(_xlfn.XLOOKUP(T689,'02效果表'!D:D,'02效果表'!E:E),0)+W689*MAX(_xlfn.XLOOKUP(V689,'02效果表'!D:D,'02效果表'!E:E),0)+Y689*MAX(_xlfn.XLOOKUP(X689,'02效果表'!D:D,'02效果表'!E:E),0)+AA689*MAX(_xlfn.XLOOKUP(Z689,'02效果表'!D:D,'02效果表'!E:E),0)+AC689*MAX(_xlfn.XLOOKUP(AB689,'02效果表'!D:D,'02效果表'!E:E),0)+AE689*MAX(_xlfn.XLOOKUP(AD689,'02效果表'!D:D,'02效果表'!E:E),0)),1)</f>
        <v>0</v>
      </c>
      <c r="H689" s="6"/>
      <c r="I689" s="6"/>
      <c r="J689" s="6"/>
      <c r="K689" s="6"/>
      <c r="L689" s="6"/>
      <c r="M689" s="6"/>
      <c r="N689" s="6"/>
      <c r="O689" s="6"/>
      <c r="P689" s="6"/>
      <c r="Q689" s="6"/>
      <c r="R689" s="6"/>
      <c r="S689" s="6"/>
      <c r="T689" s="6"/>
      <c r="U689" s="6"/>
      <c r="V689" s="6"/>
      <c r="W689" s="6"/>
      <c r="X689" s="6"/>
      <c r="Y689" s="6"/>
      <c r="Z689" s="6"/>
      <c r="AA689" s="6"/>
      <c r="AB689" s="6"/>
      <c r="AC689" s="6"/>
      <c r="AD689" s="6"/>
      <c r="AE689" s="6"/>
    </row>
    <row r="690" spans="1:31" x14ac:dyDescent="0.35">
      <c r="A690" s="6">
        <v>690</v>
      </c>
      <c r="B690" s="6" t="s">
        <v>8</v>
      </c>
      <c r="C690" s="10" t="s">
        <v>2</v>
      </c>
      <c r="D690" s="9"/>
      <c r="E690" s="7">
        <f t="shared" si="17"/>
        <v>0</v>
      </c>
      <c r="F690" s="7">
        <f>-1*ROUND(1/6*(I690*IF(_xlfn.XLOOKUP(H690,'02效果表'!D:D,'02效果表'!E:E)&lt;0, _xlfn.XLOOKUP(H690,'02效果表'!D:D,'02效果表'!E:E), 0) +
K690*IF(_xlfn.XLOOKUP(J690,'02效果表'!D:D,'02效果表'!E:E)&lt;0, _xlfn.XLOOKUP(J690,'02效果表'!D:D,'02效果表'!E:E), 0) +
M690*IF(_xlfn.XLOOKUP(L690,'02效果表'!D:D,'02效果表'!E:E)&lt;0, _xlfn.XLOOKUP(L690,'02效果表'!D:D,'02效果表'!E:E), 0) +
O690*IF(_xlfn.XLOOKUP(N690,'02效果表'!D:D,'02效果表'!E:E)&lt;0, _xlfn.XLOOKUP(N690,'02效果表'!D:D,'02效果表'!E:E), 0) +
Q690*IF(_xlfn.XLOOKUP(P690,'02效果表'!D:D,'02效果表'!E:E)&lt;0, _xlfn.XLOOKUP(P690,'02效果表'!D:D,'02效果表'!E:E), 0) +
S690*IF(_xlfn.XLOOKUP(R690,'02效果表'!D:D,'02效果表'!E:E)&lt;0, _xlfn.XLOOKUP(R690,'02效果表'!D:D,'02效果表'!E:E), 0) +
U690*IF(_xlfn.XLOOKUP(T690,'02效果表'!D:D,'02效果表'!E:E)&lt;0, _xlfn.XLOOKUP(T690,'02效果表'!D:D,'02效果表'!E:E), 0) +
W690*IF(_xlfn.XLOOKUP(V690,'02效果表'!D:D,'02效果表'!E:E)&lt;0, _xlfn.XLOOKUP(V690,'02效果表'!D:D,'02效果表'!E:E), 0) +
Y690*IF(_xlfn.XLOOKUP(X690,'02效果表'!D:D,'02效果表'!E:E)&lt;0, _xlfn.XLOOKUP(X690,'02效果表'!D:D,'02效果表'!E:E), 0) +
AA690*IF(_xlfn.XLOOKUP(Z690,'02效果表'!D:D,'02效果表'!E:E)&lt;0, _xlfn.XLOOKUP(Z690,'02效果表'!D:D,'02效果表'!E:E), 0) +
AC690*IF(_xlfn.XLOOKUP(AB690,'02效果表'!D:D,'02效果表'!E:E)&lt;0, _xlfn.XLOOKUP(AB690,'02效果表'!D:D,'02效果表'!E:E), 0) +
AE690*IF(_xlfn.XLOOKUP(AD690,'02效果表'!D:D,'02效果表'!E:E)&lt;0, _xlfn.XLOOKUP(AD690,'02效果表'!D:D,'02效果表'!E:E), 0)), 1)</f>
        <v>0</v>
      </c>
      <c r="G690" s="7">
        <f>ROUND(1/6*(I690*MAX(_xlfn.XLOOKUP(H690,'02效果表'!D:D,'02效果表'!E:E),0)+K690*MAX(_xlfn.XLOOKUP(J690,'02效果表'!D:D,'02效果表'!E:E),0)+M690*MAX(_xlfn.XLOOKUP(L690,'02效果表'!D:D,'02效果表'!E:E),0)+O690*MAX(_xlfn.XLOOKUP(N690,'02效果表'!D:D,'02效果表'!E:E),0)+Q690*MAX(_xlfn.XLOOKUP(P690,'02效果表'!D:D,'02效果表'!E:E),0)+S690*MAX(_xlfn.XLOOKUP(R690,'02效果表'!D:D,'02效果表'!E:E),0)+U690*MAX(_xlfn.XLOOKUP(T690,'02效果表'!D:D,'02效果表'!E:E),0)+W690*MAX(_xlfn.XLOOKUP(V690,'02效果表'!D:D,'02效果表'!E:E),0)+Y690*MAX(_xlfn.XLOOKUP(X690,'02效果表'!D:D,'02效果表'!E:E),0)+AA690*MAX(_xlfn.XLOOKUP(Z690,'02效果表'!D:D,'02效果表'!E:E),0)+AC690*MAX(_xlfn.XLOOKUP(AB690,'02效果表'!D:D,'02效果表'!E:E),0)+AE690*MAX(_xlfn.XLOOKUP(AD690,'02效果表'!D:D,'02效果表'!E:E),0)),1)</f>
        <v>0</v>
      </c>
      <c r="H690" s="6"/>
      <c r="I690" s="6"/>
      <c r="J690" s="6"/>
      <c r="K690" s="6"/>
      <c r="L690" s="6"/>
      <c r="M690" s="6"/>
      <c r="N690" s="6"/>
      <c r="O690" s="6"/>
      <c r="P690" s="6"/>
      <c r="Q690" s="6"/>
      <c r="R690" s="6"/>
      <c r="S690" s="6"/>
      <c r="T690" s="6"/>
      <c r="U690" s="6"/>
      <c r="V690" s="6"/>
      <c r="W690" s="6"/>
      <c r="X690" s="6"/>
      <c r="Y690" s="6"/>
      <c r="Z690" s="6"/>
      <c r="AA690" s="6"/>
      <c r="AB690" s="6"/>
      <c r="AC690" s="6"/>
      <c r="AD690" s="6"/>
      <c r="AE690" s="6"/>
    </row>
    <row r="691" spans="1:31" x14ac:dyDescent="0.35">
      <c r="A691" s="6">
        <v>691</v>
      </c>
      <c r="B691" s="6" t="s">
        <v>8</v>
      </c>
      <c r="C691" s="10" t="s">
        <v>2</v>
      </c>
      <c r="D691" s="9"/>
      <c r="E691" s="7">
        <f t="shared" si="17"/>
        <v>0</v>
      </c>
      <c r="F691" s="7">
        <f>-1*ROUND(1/6*(I691*IF(_xlfn.XLOOKUP(H691,'02效果表'!D:D,'02效果表'!E:E)&lt;0, _xlfn.XLOOKUP(H691,'02效果表'!D:D,'02效果表'!E:E), 0) +
K691*IF(_xlfn.XLOOKUP(J691,'02效果表'!D:D,'02效果表'!E:E)&lt;0, _xlfn.XLOOKUP(J691,'02效果表'!D:D,'02效果表'!E:E), 0) +
M691*IF(_xlfn.XLOOKUP(L691,'02效果表'!D:D,'02效果表'!E:E)&lt;0, _xlfn.XLOOKUP(L691,'02效果表'!D:D,'02效果表'!E:E), 0) +
O691*IF(_xlfn.XLOOKUP(N691,'02效果表'!D:D,'02效果表'!E:E)&lt;0, _xlfn.XLOOKUP(N691,'02效果表'!D:D,'02效果表'!E:E), 0) +
Q691*IF(_xlfn.XLOOKUP(P691,'02效果表'!D:D,'02效果表'!E:E)&lt;0, _xlfn.XLOOKUP(P691,'02效果表'!D:D,'02效果表'!E:E), 0) +
S691*IF(_xlfn.XLOOKUP(R691,'02效果表'!D:D,'02效果表'!E:E)&lt;0, _xlfn.XLOOKUP(R691,'02效果表'!D:D,'02效果表'!E:E), 0) +
U691*IF(_xlfn.XLOOKUP(T691,'02效果表'!D:D,'02效果表'!E:E)&lt;0, _xlfn.XLOOKUP(T691,'02效果表'!D:D,'02效果表'!E:E), 0) +
W691*IF(_xlfn.XLOOKUP(V691,'02效果表'!D:D,'02效果表'!E:E)&lt;0, _xlfn.XLOOKUP(V691,'02效果表'!D:D,'02效果表'!E:E), 0) +
Y691*IF(_xlfn.XLOOKUP(X691,'02效果表'!D:D,'02效果表'!E:E)&lt;0, _xlfn.XLOOKUP(X691,'02效果表'!D:D,'02效果表'!E:E), 0) +
AA691*IF(_xlfn.XLOOKUP(Z691,'02效果表'!D:D,'02效果表'!E:E)&lt;0, _xlfn.XLOOKUP(Z691,'02效果表'!D:D,'02效果表'!E:E), 0) +
AC691*IF(_xlfn.XLOOKUP(AB691,'02效果表'!D:D,'02效果表'!E:E)&lt;0, _xlfn.XLOOKUP(AB691,'02效果表'!D:D,'02效果表'!E:E), 0) +
AE691*IF(_xlfn.XLOOKUP(AD691,'02效果表'!D:D,'02效果表'!E:E)&lt;0, _xlfn.XLOOKUP(AD691,'02效果表'!D:D,'02效果表'!E:E), 0)), 1)</f>
        <v>0</v>
      </c>
      <c r="G691" s="7">
        <f>ROUND(1/6*(I691*MAX(_xlfn.XLOOKUP(H691,'02效果表'!D:D,'02效果表'!E:E),0)+K691*MAX(_xlfn.XLOOKUP(J691,'02效果表'!D:D,'02效果表'!E:E),0)+M691*MAX(_xlfn.XLOOKUP(L691,'02效果表'!D:D,'02效果表'!E:E),0)+O691*MAX(_xlfn.XLOOKUP(N691,'02效果表'!D:D,'02效果表'!E:E),0)+Q691*MAX(_xlfn.XLOOKUP(P691,'02效果表'!D:D,'02效果表'!E:E),0)+S691*MAX(_xlfn.XLOOKUP(R691,'02效果表'!D:D,'02效果表'!E:E),0)+U691*MAX(_xlfn.XLOOKUP(T691,'02效果表'!D:D,'02效果表'!E:E),0)+W691*MAX(_xlfn.XLOOKUP(V691,'02效果表'!D:D,'02效果表'!E:E),0)+Y691*MAX(_xlfn.XLOOKUP(X691,'02效果表'!D:D,'02效果表'!E:E),0)+AA691*MAX(_xlfn.XLOOKUP(Z691,'02效果表'!D:D,'02效果表'!E:E),0)+AC691*MAX(_xlfn.XLOOKUP(AB691,'02效果表'!D:D,'02效果表'!E:E),0)+AE691*MAX(_xlfn.XLOOKUP(AD691,'02效果表'!D:D,'02效果表'!E:E),0)),1)</f>
        <v>0</v>
      </c>
      <c r="H691" s="6"/>
      <c r="I691" s="6"/>
      <c r="J691" s="6"/>
      <c r="K691" s="6"/>
      <c r="L691" s="6"/>
      <c r="M691" s="6"/>
      <c r="N691" s="6"/>
      <c r="O691" s="6"/>
      <c r="P691" s="6"/>
      <c r="Q691" s="6"/>
      <c r="R691" s="6"/>
      <c r="S691" s="6"/>
      <c r="T691" s="6"/>
      <c r="U691" s="6"/>
      <c r="V691" s="6"/>
      <c r="W691" s="6"/>
      <c r="X691" s="6"/>
      <c r="Y691" s="6"/>
      <c r="Z691" s="6"/>
      <c r="AA691" s="6"/>
      <c r="AB691" s="6"/>
      <c r="AC691" s="6"/>
      <c r="AD691" s="6"/>
      <c r="AE691" s="6"/>
    </row>
    <row r="692" spans="1:31" x14ac:dyDescent="0.35">
      <c r="A692" s="6">
        <v>692</v>
      </c>
      <c r="B692" s="6" t="s">
        <v>8</v>
      </c>
      <c r="C692" s="10" t="s">
        <v>2</v>
      </c>
      <c r="D692" s="9"/>
      <c r="E692" s="7">
        <f t="shared" si="17"/>
        <v>0</v>
      </c>
      <c r="F692" s="7">
        <f>-1*ROUND(1/6*(I692*IF(_xlfn.XLOOKUP(H692,'02效果表'!D:D,'02效果表'!E:E)&lt;0, _xlfn.XLOOKUP(H692,'02效果表'!D:D,'02效果表'!E:E), 0) +
K692*IF(_xlfn.XLOOKUP(J692,'02效果表'!D:D,'02效果表'!E:E)&lt;0, _xlfn.XLOOKUP(J692,'02效果表'!D:D,'02效果表'!E:E), 0) +
M692*IF(_xlfn.XLOOKUP(L692,'02效果表'!D:D,'02效果表'!E:E)&lt;0, _xlfn.XLOOKUP(L692,'02效果表'!D:D,'02效果表'!E:E), 0) +
O692*IF(_xlfn.XLOOKUP(N692,'02效果表'!D:D,'02效果表'!E:E)&lt;0, _xlfn.XLOOKUP(N692,'02效果表'!D:D,'02效果表'!E:E), 0) +
Q692*IF(_xlfn.XLOOKUP(P692,'02效果表'!D:D,'02效果表'!E:E)&lt;0, _xlfn.XLOOKUP(P692,'02效果表'!D:D,'02效果表'!E:E), 0) +
S692*IF(_xlfn.XLOOKUP(R692,'02效果表'!D:D,'02效果表'!E:E)&lt;0, _xlfn.XLOOKUP(R692,'02效果表'!D:D,'02效果表'!E:E), 0) +
U692*IF(_xlfn.XLOOKUP(T692,'02效果表'!D:D,'02效果表'!E:E)&lt;0, _xlfn.XLOOKUP(T692,'02效果表'!D:D,'02效果表'!E:E), 0) +
W692*IF(_xlfn.XLOOKUP(V692,'02效果表'!D:D,'02效果表'!E:E)&lt;0, _xlfn.XLOOKUP(V692,'02效果表'!D:D,'02效果表'!E:E), 0) +
Y692*IF(_xlfn.XLOOKUP(X692,'02效果表'!D:D,'02效果表'!E:E)&lt;0, _xlfn.XLOOKUP(X692,'02效果表'!D:D,'02效果表'!E:E), 0) +
AA692*IF(_xlfn.XLOOKUP(Z692,'02效果表'!D:D,'02效果表'!E:E)&lt;0, _xlfn.XLOOKUP(Z692,'02效果表'!D:D,'02效果表'!E:E), 0) +
AC692*IF(_xlfn.XLOOKUP(AB692,'02效果表'!D:D,'02效果表'!E:E)&lt;0, _xlfn.XLOOKUP(AB692,'02效果表'!D:D,'02效果表'!E:E), 0) +
AE692*IF(_xlfn.XLOOKUP(AD692,'02效果表'!D:D,'02效果表'!E:E)&lt;0, _xlfn.XLOOKUP(AD692,'02效果表'!D:D,'02效果表'!E:E), 0)), 1)</f>
        <v>0</v>
      </c>
      <c r="G692" s="7">
        <f>ROUND(1/6*(I692*MAX(_xlfn.XLOOKUP(H692,'02效果表'!D:D,'02效果表'!E:E),0)+K692*MAX(_xlfn.XLOOKUP(J692,'02效果表'!D:D,'02效果表'!E:E),0)+M692*MAX(_xlfn.XLOOKUP(L692,'02效果表'!D:D,'02效果表'!E:E),0)+O692*MAX(_xlfn.XLOOKUP(N692,'02效果表'!D:D,'02效果表'!E:E),0)+Q692*MAX(_xlfn.XLOOKUP(P692,'02效果表'!D:D,'02效果表'!E:E),0)+S692*MAX(_xlfn.XLOOKUP(R692,'02效果表'!D:D,'02效果表'!E:E),0)+U692*MAX(_xlfn.XLOOKUP(T692,'02效果表'!D:D,'02效果表'!E:E),0)+W692*MAX(_xlfn.XLOOKUP(V692,'02效果表'!D:D,'02效果表'!E:E),0)+Y692*MAX(_xlfn.XLOOKUP(X692,'02效果表'!D:D,'02效果表'!E:E),0)+AA692*MAX(_xlfn.XLOOKUP(Z692,'02效果表'!D:D,'02效果表'!E:E),0)+AC692*MAX(_xlfn.XLOOKUP(AB692,'02效果表'!D:D,'02效果表'!E:E),0)+AE692*MAX(_xlfn.XLOOKUP(AD692,'02效果表'!D:D,'02效果表'!E:E),0)),1)</f>
        <v>0</v>
      </c>
      <c r="H692" s="6"/>
      <c r="I692" s="6"/>
      <c r="J692" s="6"/>
      <c r="K692" s="6"/>
      <c r="L692" s="6"/>
      <c r="M692" s="6"/>
      <c r="N692" s="6"/>
      <c r="O692" s="6"/>
      <c r="P692" s="6"/>
      <c r="Q692" s="6"/>
      <c r="R692" s="6"/>
      <c r="S692" s="6"/>
      <c r="T692" s="6"/>
      <c r="U692" s="6"/>
      <c r="V692" s="6"/>
      <c r="W692" s="6"/>
      <c r="X692" s="6"/>
      <c r="Y692" s="6"/>
      <c r="Z692" s="6"/>
      <c r="AA692" s="6"/>
      <c r="AB692" s="6"/>
      <c r="AC692" s="6"/>
      <c r="AD692" s="6"/>
      <c r="AE692" s="6"/>
    </row>
    <row r="693" spans="1:31" x14ac:dyDescent="0.35">
      <c r="A693" s="6">
        <v>693</v>
      </c>
      <c r="B693" s="6" t="s">
        <v>8</v>
      </c>
      <c r="C693" s="10" t="s">
        <v>2</v>
      </c>
      <c r="D693" s="9"/>
      <c r="E693" s="7">
        <f t="shared" si="17"/>
        <v>0</v>
      </c>
      <c r="F693" s="7">
        <f>-1*ROUND(1/6*(I693*IF(_xlfn.XLOOKUP(H693,'02效果表'!D:D,'02效果表'!E:E)&lt;0, _xlfn.XLOOKUP(H693,'02效果表'!D:D,'02效果表'!E:E), 0) +
K693*IF(_xlfn.XLOOKUP(J693,'02效果表'!D:D,'02效果表'!E:E)&lt;0, _xlfn.XLOOKUP(J693,'02效果表'!D:D,'02效果表'!E:E), 0) +
M693*IF(_xlfn.XLOOKUP(L693,'02效果表'!D:D,'02效果表'!E:E)&lt;0, _xlfn.XLOOKUP(L693,'02效果表'!D:D,'02效果表'!E:E), 0) +
O693*IF(_xlfn.XLOOKUP(N693,'02效果表'!D:D,'02效果表'!E:E)&lt;0, _xlfn.XLOOKUP(N693,'02效果表'!D:D,'02效果表'!E:E), 0) +
Q693*IF(_xlfn.XLOOKUP(P693,'02效果表'!D:D,'02效果表'!E:E)&lt;0, _xlfn.XLOOKUP(P693,'02效果表'!D:D,'02效果表'!E:E), 0) +
S693*IF(_xlfn.XLOOKUP(R693,'02效果表'!D:D,'02效果表'!E:E)&lt;0, _xlfn.XLOOKUP(R693,'02效果表'!D:D,'02效果表'!E:E), 0) +
U693*IF(_xlfn.XLOOKUP(T693,'02效果表'!D:D,'02效果表'!E:E)&lt;0, _xlfn.XLOOKUP(T693,'02效果表'!D:D,'02效果表'!E:E), 0) +
W693*IF(_xlfn.XLOOKUP(V693,'02效果表'!D:D,'02效果表'!E:E)&lt;0, _xlfn.XLOOKUP(V693,'02效果表'!D:D,'02效果表'!E:E), 0) +
Y693*IF(_xlfn.XLOOKUP(X693,'02效果表'!D:D,'02效果表'!E:E)&lt;0, _xlfn.XLOOKUP(X693,'02效果表'!D:D,'02效果表'!E:E), 0) +
AA693*IF(_xlfn.XLOOKUP(Z693,'02效果表'!D:D,'02效果表'!E:E)&lt;0, _xlfn.XLOOKUP(Z693,'02效果表'!D:D,'02效果表'!E:E), 0) +
AC693*IF(_xlfn.XLOOKUP(AB693,'02效果表'!D:D,'02效果表'!E:E)&lt;0, _xlfn.XLOOKUP(AB693,'02效果表'!D:D,'02效果表'!E:E), 0) +
AE693*IF(_xlfn.XLOOKUP(AD693,'02效果表'!D:D,'02效果表'!E:E)&lt;0, _xlfn.XLOOKUP(AD693,'02效果表'!D:D,'02效果表'!E:E), 0)), 1)</f>
        <v>0</v>
      </c>
      <c r="G693" s="7">
        <f>ROUND(1/6*(I693*MAX(_xlfn.XLOOKUP(H693,'02效果表'!D:D,'02效果表'!E:E),0)+K693*MAX(_xlfn.XLOOKUP(J693,'02效果表'!D:D,'02效果表'!E:E),0)+M693*MAX(_xlfn.XLOOKUP(L693,'02效果表'!D:D,'02效果表'!E:E),0)+O693*MAX(_xlfn.XLOOKUP(N693,'02效果表'!D:D,'02效果表'!E:E),0)+Q693*MAX(_xlfn.XLOOKUP(P693,'02效果表'!D:D,'02效果表'!E:E),0)+S693*MAX(_xlfn.XLOOKUP(R693,'02效果表'!D:D,'02效果表'!E:E),0)+U693*MAX(_xlfn.XLOOKUP(T693,'02效果表'!D:D,'02效果表'!E:E),0)+W693*MAX(_xlfn.XLOOKUP(V693,'02效果表'!D:D,'02效果表'!E:E),0)+Y693*MAX(_xlfn.XLOOKUP(X693,'02效果表'!D:D,'02效果表'!E:E),0)+AA693*MAX(_xlfn.XLOOKUP(Z693,'02效果表'!D:D,'02效果表'!E:E),0)+AC693*MAX(_xlfn.XLOOKUP(AB693,'02效果表'!D:D,'02效果表'!E:E),0)+AE693*MAX(_xlfn.XLOOKUP(AD693,'02效果表'!D:D,'02效果表'!E:E),0)),1)</f>
        <v>0</v>
      </c>
      <c r="H693" s="6"/>
      <c r="I693" s="6"/>
      <c r="J693" s="6"/>
      <c r="K693" s="6"/>
      <c r="L693" s="6"/>
      <c r="M693" s="6"/>
      <c r="N693" s="6"/>
      <c r="O693" s="6"/>
      <c r="P693" s="6"/>
      <c r="Q693" s="6"/>
      <c r="R693" s="6"/>
      <c r="S693" s="6"/>
      <c r="T693" s="6"/>
      <c r="U693" s="6"/>
      <c r="V693" s="6"/>
      <c r="W693" s="6"/>
      <c r="X693" s="6"/>
      <c r="Y693" s="6"/>
      <c r="Z693" s="6"/>
      <c r="AA693" s="6"/>
      <c r="AB693" s="6"/>
      <c r="AC693" s="6"/>
      <c r="AD693" s="6"/>
      <c r="AE693" s="6"/>
    </row>
    <row r="694" spans="1:31" x14ac:dyDescent="0.35">
      <c r="A694" s="6">
        <v>694</v>
      </c>
      <c r="B694" s="6" t="s">
        <v>8</v>
      </c>
      <c r="C694" s="10" t="s">
        <v>16</v>
      </c>
      <c r="D694" s="9" t="s">
        <v>1802</v>
      </c>
      <c r="E694" s="7">
        <f t="shared" si="17"/>
        <v>0</v>
      </c>
      <c r="F694" s="7">
        <f>-1*ROUND(1/6*(I694*IF(_xlfn.XLOOKUP(H694,'02效果表'!D:D,'02效果表'!E:E)&lt;0, _xlfn.XLOOKUP(H694,'02效果表'!D:D,'02效果表'!E:E), 0) +
K694*IF(_xlfn.XLOOKUP(J694,'02效果表'!D:D,'02效果表'!E:E)&lt;0, _xlfn.XLOOKUP(J694,'02效果表'!D:D,'02效果表'!E:E), 0) +
M694*IF(_xlfn.XLOOKUP(L694,'02效果表'!D:D,'02效果表'!E:E)&lt;0, _xlfn.XLOOKUP(L694,'02效果表'!D:D,'02效果表'!E:E), 0) +
O694*IF(_xlfn.XLOOKUP(N694,'02效果表'!D:D,'02效果表'!E:E)&lt;0, _xlfn.XLOOKUP(N694,'02效果表'!D:D,'02效果表'!E:E), 0) +
Q694*IF(_xlfn.XLOOKUP(P694,'02效果表'!D:D,'02效果表'!E:E)&lt;0, _xlfn.XLOOKUP(P694,'02效果表'!D:D,'02效果表'!E:E), 0) +
S694*IF(_xlfn.XLOOKUP(R694,'02效果表'!D:D,'02效果表'!E:E)&lt;0, _xlfn.XLOOKUP(R694,'02效果表'!D:D,'02效果表'!E:E), 0) +
U694*IF(_xlfn.XLOOKUP(T694,'02效果表'!D:D,'02效果表'!E:E)&lt;0, _xlfn.XLOOKUP(T694,'02效果表'!D:D,'02效果表'!E:E), 0) +
W694*IF(_xlfn.XLOOKUP(V694,'02效果表'!D:D,'02效果表'!E:E)&lt;0, _xlfn.XLOOKUP(V694,'02效果表'!D:D,'02效果表'!E:E), 0) +
Y694*IF(_xlfn.XLOOKUP(X694,'02效果表'!D:D,'02效果表'!E:E)&lt;0, _xlfn.XLOOKUP(X694,'02效果表'!D:D,'02效果表'!E:E), 0) +
AA694*IF(_xlfn.XLOOKUP(Z694,'02效果表'!D:D,'02效果表'!E:E)&lt;0, _xlfn.XLOOKUP(Z694,'02效果表'!D:D,'02效果表'!E:E), 0) +
AC694*IF(_xlfn.XLOOKUP(AB694,'02效果表'!D:D,'02效果表'!E:E)&lt;0, _xlfn.XLOOKUP(AB694,'02效果表'!D:D,'02效果表'!E:E), 0) +
AE694*IF(_xlfn.XLOOKUP(AD694,'02效果表'!D:D,'02效果表'!E:E)&lt;0, _xlfn.XLOOKUP(AD694,'02效果表'!D:D,'02效果表'!E:E), 0)), 1)</f>
        <v>0</v>
      </c>
      <c r="G694" s="7">
        <f>ROUND(1/6*(I694*MAX(_xlfn.XLOOKUP(H694,'02效果表'!D:D,'02效果表'!E:E),0)+K694*MAX(_xlfn.XLOOKUP(J694,'02效果表'!D:D,'02效果表'!E:E),0)+M694*MAX(_xlfn.XLOOKUP(L694,'02效果表'!D:D,'02效果表'!E:E),0)+O694*MAX(_xlfn.XLOOKUP(N694,'02效果表'!D:D,'02效果表'!E:E),0)+Q694*MAX(_xlfn.XLOOKUP(P694,'02效果表'!D:D,'02效果表'!E:E),0)+S694*MAX(_xlfn.XLOOKUP(R694,'02效果表'!D:D,'02效果表'!E:E),0)+U694*MAX(_xlfn.XLOOKUP(T694,'02效果表'!D:D,'02效果表'!E:E),0)+W694*MAX(_xlfn.XLOOKUP(V694,'02效果表'!D:D,'02效果表'!E:E),0)+Y694*MAX(_xlfn.XLOOKUP(X694,'02效果表'!D:D,'02效果表'!E:E),0)+AA694*MAX(_xlfn.XLOOKUP(Z694,'02效果表'!D:D,'02效果表'!E:E),0)+AC694*MAX(_xlfn.XLOOKUP(AB694,'02效果表'!D:D,'02效果表'!E:E),0)+AE694*MAX(_xlfn.XLOOKUP(AD694,'02效果表'!D:D,'02效果表'!E:E),0)),1)</f>
        <v>0</v>
      </c>
      <c r="H694" s="6"/>
      <c r="I694" s="6"/>
      <c r="J694" s="6"/>
      <c r="K694" s="6"/>
      <c r="L694" s="6"/>
      <c r="M694" s="6"/>
      <c r="N694" s="6"/>
      <c r="O694" s="6"/>
      <c r="P694" s="6"/>
      <c r="Q694" s="6"/>
      <c r="R694" s="6"/>
      <c r="S694" s="6"/>
      <c r="T694" s="6"/>
      <c r="U694" s="6"/>
      <c r="V694" s="6"/>
      <c r="W694" s="6"/>
      <c r="X694" s="6"/>
      <c r="Y694" s="6"/>
      <c r="Z694" s="6"/>
      <c r="AA694" s="6"/>
      <c r="AB694" s="6"/>
      <c r="AC694" s="6"/>
      <c r="AD694" s="6"/>
      <c r="AE694" s="6"/>
    </row>
    <row r="695" spans="1:31" x14ac:dyDescent="0.35">
      <c r="A695" s="6">
        <v>695</v>
      </c>
      <c r="B695" s="6" t="s">
        <v>8</v>
      </c>
      <c r="C695" s="10" t="s">
        <v>16</v>
      </c>
      <c r="D695" s="9" t="s">
        <v>1803</v>
      </c>
      <c r="E695" s="7">
        <f t="shared" si="17"/>
        <v>0</v>
      </c>
      <c r="F695" s="7">
        <f>-1*ROUND(1/6*(I695*IF(_xlfn.XLOOKUP(H695,'02效果表'!D:D,'02效果表'!E:E)&lt;0, _xlfn.XLOOKUP(H695,'02效果表'!D:D,'02效果表'!E:E), 0) +
K695*IF(_xlfn.XLOOKUP(J695,'02效果表'!D:D,'02效果表'!E:E)&lt;0, _xlfn.XLOOKUP(J695,'02效果表'!D:D,'02效果表'!E:E), 0) +
M695*IF(_xlfn.XLOOKUP(L695,'02效果表'!D:D,'02效果表'!E:E)&lt;0, _xlfn.XLOOKUP(L695,'02效果表'!D:D,'02效果表'!E:E), 0) +
O695*IF(_xlfn.XLOOKUP(N695,'02效果表'!D:D,'02效果表'!E:E)&lt;0, _xlfn.XLOOKUP(N695,'02效果表'!D:D,'02效果表'!E:E), 0) +
Q695*IF(_xlfn.XLOOKUP(P695,'02效果表'!D:D,'02效果表'!E:E)&lt;0, _xlfn.XLOOKUP(P695,'02效果表'!D:D,'02效果表'!E:E), 0) +
S695*IF(_xlfn.XLOOKUP(R695,'02效果表'!D:D,'02效果表'!E:E)&lt;0, _xlfn.XLOOKUP(R695,'02效果表'!D:D,'02效果表'!E:E), 0) +
U695*IF(_xlfn.XLOOKUP(T695,'02效果表'!D:D,'02效果表'!E:E)&lt;0, _xlfn.XLOOKUP(T695,'02效果表'!D:D,'02效果表'!E:E), 0) +
W695*IF(_xlfn.XLOOKUP(V695,'02效果表'!D:D,'02效果表'!E:E)&lt;0, _xlfn.XLOOKUP(V695,'02效果表'!D:D,'02效果表'!E:E), 0) +
Y695*IF(_xlfn.XLOOKUP(X695,'02效果表'!D:D,'02效果表'!E:E)&lt;0, _xlfn.XLOOKUP(X695,'02效果表'!D:D,'02效果表'!E:E), 0) +
AA695*IF(_xlfn.XLOOKUP(Z695,'02效果表'!D:D,'02效果表'!E:E)&lt;0, _xlfn.XLOOKUP(Z695,'02效果表'!D:D,'02效果表'!E:E), 0) +
AC695*IF(_xlfn.XLOOKUP(AB695,'02效果表'!D:D,'02效果表'!E:E)&lt;0, _xlfn.XLOOKUP(AB695,'02效果表'!D:D,'02效果表'!E:E), 0) +
AE695*IF(_xlfn.XLOOKUP(AD695,'02效果表'!D:D,'02效果表'!E:E)&lt;0, _xlfn.XLOOKUP(AD695,'02效果表'!D:D,'02效果表'!E:E), 0)), 1)</f>
        <v>0</v>
      </c>
      <c r="G695" s="7">
        <f>ROUND(1/6*(I695*MAX(_xlfn.XLOOKUP(H695,'02效果表'!D:D,'02效果表'!E:E),0)+K695*MAX(_xlfn.XLOOKUP(J695,'02效果表'!D:D,'02效果表'!E:E),0)+M695*MAX(_xlfn.XLOOKUP(L695,'02效果表'!D:D,'02效果表'!E:E),0)+O695*MAX(_xlfn.XLOOKUP(N695,'02效果表'!D:D,'02效果表'!E:E),0)+Q695*MAX(_xlfn.XLOOKUP(P695,'02效果表'!D:D,'02效果表'!E:E),0)+S695*MAX(_xlfn.XLOOKUP(R695,'02效果表'!D:D,'02效果表'!E:E),0)+U695*MAX(_xlfn.XLOOKUP(T695,'02效果表'!D:D,'02效果表'!E:E),0)+W695*MAX(_xlfn.XLOOKUP(V695,'02效果表'!D:D,'02效果表'!E:E),0)+Y695*MAX(_xlfn.XLOOKUP(X695,'02效果表'!D:D,'02效果表'!E:E),0)+AA695*MAX(_xlfn.XLOOKUP(Z695,'02效果表'!D:D,'02效果表'!E:E),0)+AC695*MAX(_xlfn.XLOOKUP(AB695,'02效果表'!D:D,'02效果表'!E:E),0)+AE695*MAX(_xlfn.XLOOKUP(AD695,'02效果表'!D:D,'02效果表'!E:E),0)),1)</f>
        <v>0</v>
      </c>
      <c r="H695" s="6"/>
      <c r="I695" s="6"/>
      <c r="J695" s="6"/>
      <c r="K695" s="6"/>
      <c r="L695" s="6"/>
      <c r="M695" s="6"/>
      <c r="N695" s="6"/>
      <c r="O695" s="6"/>
      <c r="P695" s="6"/>
      <c r="Q695" s="6"/>
      <c r="R695" s="6"/>
      <c r="S695" s="6"/>
      <c r="T695" s="6"/>
      <c r="U695" s="6"/>
      <c r="V695" s="6"/>
      <c r="W695" s="6"/>
      <c r="X695" s="6"/>
      <c r="Y695" s="6"/>
      <c r="Z695" s="6"/>
      <c r="AA695" s="6"/>
      <c r="AB695" s="6"/>
      <c r="AC695" s="6"/>
      <c r="AD695" s="6"/>
      <c r="AE695" s="6"/>
    </row>
    <row r="696" spans="1:31" x14ac:dyDescent="0.35">
      <c r="A696" s="6">
        <v>696</v>
      </c>
      <c r="B696" s="6" t="s">
        <v>8</v>
      </c>
      <c r="C696" s="10" t="s">
        <v>16</v>
      </c>
      <c r="D696" s="9" t="s">
        <v>1804</v>
      </c>
      <c r="E696" s="7">
        <f t="shared" si="17"/>
        <v>0</v>
      </c>
      <c r="F696" s="7">
        <f>-1*ROUND(1/6*(I696*IF(_xlfn.XLOOKUP(H696,'02效果表'!D:D,'02效果表'!E:E)&lt;0, _xlfn.XLOOKUP(H696,'02效果表'!D:D,'02效果表'!E:E), 0) +
K696*IF(_xlfn.XLOOKUP(J696,'02效果表'!D:D,'02效果表'!E:E)&lt;0, _xlfn.XLOOKUP(J696,'02效果表'!D:D,'02效果表'!E:E), 0) +
M696*IF(_xlfn.XLOOKUP(L696,'02效果表'!D:D,'02效果表'!E:E)&lt;0, _xlfn.XLOOKUP(L696,'02效果表'!D:D,'02效果表'!E:E), 0) +
O696*IF(_xlfn.XLOOKUP(N696,'02效果表'!D:D,'02效果表'!E:E)&lt;0, _xlfn.XLOOKUP(N696,'02效果表'!D:D,'02效果表'!E:E), 0) +
Q696*IF(_xlfn.XLOOKUP(P696,'02效果表'!D:D,'02效果表'!E:E)&lt;0, _xlfn.XLOOKUP(P696,'02效果表'!D:D,'02效果表'!E:E), 0) +
S696*IF(_xlfn.XLOOKUP(R696,'02效果表'!D:D,'02效果表'!E:E)&lt;0, _xlfn.XLOOKUP(R696,'02效果表'!D:D,'02效果表'!E:E), 0) +
U696*IF(_xlfn.XLOOKUP(T696,'02效果表'!D:D,'02效果表'!E:E)&lt;0, _xlfn.XLOOKUP(T696,'02效果表'!D:D,'02效果表'!E:E), 0) +
W696*IF(_xlfn.XLOOKUP(V696,'02效果表'!D:D,'02效果表'!E:E)&lt;0, _xlfn.XLOOKUP(V696,'02效果表'!D:D,'02效果表'!E:E), 0) +
Y696*IF(_xlfn.XLOOKUP(X696,'02效果表'!D:D,'02效果表'!E:E)&lt;0, _xlfn.XLOOKUP(X696,'02效果表'!D:D,'02效果表'!E:E), 0) +
AA696*IF(_xlfn.XLOOKUP(Z696,'02效果表'!D:D,'02效果表'!E:E)&lt;0, _xlfn.XLOOKUP(Z696,'02效果表'!D:D,'02效果表'!E:E), 0) +
AC696*IF(_xlfn.XLOOKUP(AB696,'02效果表'!D:D,'02效果表'!E:E)&lt;0, _xlfn.XLOOKUP(AB696,'02效果表'!D:D,'02效果表'!E:E), 0) +
AE696*IF(_xlfn.XLOOKUP(AD696,'02效果表'!D:D,'02效果表'!E:E)&lt;0, _xlfn.XLOOKUP(AD696,'02效果表'!D:D,'02效果表'!E:E), 0)), 1)</f>
        <v>0</v>
      </c>
      <c r="G696" s="7">
        <f>ROUND(1/6*(I696*MAX(_xlfn.XLOOKUP(H696,'02效果表'!D:D,'02效果表'!E:E),0)+K696*MAX(_xlfn.XLOOKUP(J696,'02效果表'!D:D,'02效果表'!E:E),0)+M696*MAX(_xlfn.XLOOKUP(L696,'02效果表'!D:D,'02效果表'!E:E),0)+O696*MAX(_xlfn.XLOOKUP(N696,'02效果表'!D:D,'02效果表'!E:E),0)+Q696*MAX(_xlfn.XLOOKUP(P696,'02效果表'!D:D,'02效果表'!E:E),0)+S696*MAX(_xlfn.XLOOKUP(R696,'02效果表'!D:D,'02效果表'!E:E),0)+U696*MAX(_xlfn.XLOOKUP(T696,'02效果表'!D:D,'02效果表'!E:E),0)+W696*MAX(_xlfn.XLOOKUP(V696,'02效果表'!D:D,'02效果表'!E:E),0)+Y696*MAX(_xlfn.XLOOKUP(X696,'02效果表'!D:D,'02效果表'!E:E),0)+AA696*MAX(_xlfn.XLOOKUP(Z696,'02效果表'!D:D,'02效果表'!E:E),0)+AC696*MAX(_xlfn.XLOOKUP(AB696,'02效果表'!D:D,'02效果表'!E:E),0)+AE696*MAX(_xlfn.XLOOKUP(AD696,'02效果表'!D:D,'02效果表'!E:E),0)),1)</f>
        <v>0</v>
      </c>
      <c r="H696" s="6"/>
      <c r="I696" s="6"/>
      <c r="J696" s="6"/>
      <c r="K696" s="6"/>
      <c r="L696" s="6"/>
      <c r="M696" s="6"/>
      <c r="N696" s="6"/>
      <c r="O696" s="6"/>
      <c r="P696" s="6"/>
      <c r="Q696" s="6"/>
      <c r="R696" s="6"/>
      <c r="S696" s="6"/>
      <c r="T696" s="6"/>
      <c r="U696" s="6"/>
      <c r="V696" s="6"/>
      <c r="W696" s="6"/>
      <c r="X696" s="6"/>
      <c r="Y696" s="6"/>
      <c r="Z696" s="6"/>
      <c r="AA696" s="6"/>
      <c r="AB696" s="6"/>
      <c r="AC696" s="6"/>
      <c r="AD696" s="6"/>
      <c r="AE696" s="6"/>
    </row>
    <row r="697" spans="1:31" x14ac:dyDescent="0.35">
      <c r="A697" s="6">
        <v>697</v>
      </c>
      <c r="B697" s="6" t="s">
        <v>8</v>
      </c>
      <c r="C697" s="10" t="s">
        <v>16</v>
      </c>
      <c r="D697" s="9" t="s">
        <v>1805</v>
      </c>
      <c r="E697" s="7">
        <f t="shared" si="17"/>
        <v>0</v>
      </c>
      <c r="F697" s="7">
        <f>-1*ROUND(1/6*(I697*IF(_xlfn.XLOOKUP(H697,'02效果表'!D:D,'02效果表'!E:E)&lt;0, _xlfn.XLOOKUP(H697,'02效果表'!D:D,'02效果表'!E:E), 0) +
K697*IF(_xlfn.XLOOKUP(J697,'02效果表'!D:D,'02效果表'!E:E)&lt;0, _xlfn.XLOOKUP(J697,'02效果表'!D:D,'02效果表'!E:E), 0) +
M697*IF(_xlfn.XLOOKUP(L697,'02效果表'!D:D,'02效果表'!E:E)&lt;0, _xlfn.XLOOKUP(L697,'02效果表'!D:D,'02效果表'!E:E), 0) +
O697*IF(_xlfn.XLOOKUP(N697,'02效果表'!D:D,'02效果表'!E:E)&lt;0, _xlfn.XLOOKUP(N697,'02效果表'!D:D,'02效果表'!E:E), 0) +
Q697*IF(_xlfn.XLOOKUP(P697,'02效果表'!D:D,'02效果表'!E:E)&lt;0, _xlfn.XLOOKUP(P697,'02效果表'!D:D,'02效果表'!E:E), 0) +
S697*IF(_xlfn.XLOOKUP(R697,'02效果表'!D:D,'02效果表'!E:E)&lt;0, _xlfn.XLOOKUP(R697,'02效果表'!D:D,'02效果表'!E:E), 0) +
U697*IF(_xlfn.XLOOKUP(T697,'02效果表'!D:D,'02效果表'!E:E)&lt;0, _xlfn.XLOOKUP(T697,'02效果表'!D:D,'02效果表'!E:E), 0) +
W697*IF(_xlfn.XLOOKUP(V697,'02效果表'!D:D,'02效果表'!E:E)&lt;0, _xlfn.XLOOKUP(V697,'02效果表'!D:D,'02效果表'!E:E), 0) +
Y697*IF(_xlfn.XLOOKUP(X697,'02效果表'!D:D,'02效果表'!E:E)&lt;0, _xlfn.XLOOKUP(X697,'02效果表'!D:D,'02效果表'!E:E), 0) +
AA697*IF(_xlfn.XLOOKUP(Z697,'02效果表'!D:D,'02效果表'!E:E)&lt;0, _xlfn.XLOOKUP(Z697,'02效果表'!D:D,'02效果表'!E:E), 0) +
AC697*IF(_xlfn.XLOOKUP(AB697,'02效果表'!D:D,'02效果表'!E:E)&lt;0, _xlfn.XLOOKUP(AB697,'02效果表'!D:D,'02效果表'!E:E), 0) +
AE697*IF(_xlfn.XLOOKUP(AD697,'02效果表'!D:D,'02效果表'!E:E)&lt;0, _xlfn.XLOOKUP(AD697,'02效果表'!D:D,'02效果表'!E:E), 0)), 1)</f>
        <v>0</v>
      </c>
      <c r="G697" s="7">
        <f>ROUND(1/6*(I697*MAX(_xlfn.XLOOKUP(H697,'02效果表'!D:D,'02效果表'!E:E),0)+K697*MAX(_xlfn.XLOOKUP(J697,'02效果表'!D:D,'02效果表'!E:E),0)+M697*MAX(_xlfn.XLOOKUP(L697,'02效果表'!D:D,'02效果表'!E:E),0)+O697*MAX(_xlfn.XLOOKUP(N697,'02效果表'!D:D,'02效果表'!E:E),0)+Q697*MAX(_xlfn.XLOOKUP(P697,'02效果表'!D:D,'02效果表'!E:E),0)+S697*MAX(_xlfn.XLOOKUP(R697,'02效果表'!D:D,'02效果表'!E:E),0)+U697*MAX(_xlfn.XLOOKUP(T697,'02效果表'!D:D,'02效果表'!E:E),0)+W697*MAX(_xlfn.XLOOKUP(V697,'02效果表'!D:D,'02效果表'!E:E),0)+Y697*MAX(_xlfn.XLOOKUP(X697,'02效果表'!D:D,'02效果表'!E:E),0)+AA697*MAX(_xlfn.XLOOKUP(Z697,'02效果表'!D:D,'02效果表'!E:E),0)+AC697*MAX(_xlfn.XLOOKUP(AB697,'02效果表'!D:D,'02效果表'!E:E),0)+AE697*MAX(_xlfn.XLOOKUP(AD697,'02效果表'!D:D,'02效果表'!E:E),0)),1)</f>
        <v>0</v>
      </c>
      <c r="H697" s="6"/>
      <c r="I697" s="6"/>
      <c r="J697" s="6"/>
      <c r="K697" s="6"/>
      <c r="L697" s="6"/>
      <c r="M697" s="6"/>
      <c r="N697" s="6"/>
      <c r="O697" s="6"/>
      <c r="P697" s="6"/>
      <c r="Q697" s="6"/>
      <c r="R697" s="6"/>
      <c r="S697" s="6"/>
      <c r="T697" s="6"/>
      <c r="U697" s="6"/>
      <c r="V697" s="6"/>
      <c r="W697" s="6"/>
      <c r="X697" s="6"/>
      <c r="Y697" s="6"/>
      <c r="Z697" s="6"/>
      <c r="AA697" s="6"/>
      <c r="AB697" s="6"/>
      <c r="AC697" s="6"/>
      <c r="AD697" s="6"/>
      <c r="AE697" s="6"/>
    </row>
    <row r="698" spans="1:31" x14ac:dyDescent="0.35">
      <c r="A698" s="6">
        <v>698</v>
      </c>
      <c r="B698" s="6" t="s">
        <v>8</v>
      </c>
      <c r="C698" s="10" t="s">
        <v>16</v>
      </c>
      <c r="D698" s="9" t="s">
        <v>1806</v>
      </c>
      <c r="E698" s="7">
        <f t="shared" si="17"/>
        <v>0</v>
      </c>
      <c r="F698" s="7">
        <f>-1*ROUND(1/6*(I698*IF(_xlfn.XLOOKUP(H698,'02效果表'!D:D,'02效果表'!E:E)&lt;0, _xlfn.XLOOKUP(H698,'02效果表'!D:D,'02效果表'!E:E), 0) +
K698*IF(_xlfn.XLOOKUP(J698,'02效果表'!D:D,'02效果表'!E:E)&lt;0, _xlfn.XLOOKUP(J698,'02效果表'!D:D,'02效果表'!E:E), 0) +
M698*IF(_xlfn.XLOOKUP(L698,'02效果表'!D:D,'02效果表'!E:E)&lt;0, _xlfn.XLOOKUP(L698,'02效果表'!D:D,'02效果表'!E:E), 0) +
O698*IF(_xlfn.XLOOKUP(N698,'02效果表'!D:D,'02效果表'!E:E)&lt;0, _xlfn.XLOOKUP(N698,'02效果表'!D:D,'02效果表'!E:E), 0) +
Q698*IF(_xlfn.XLOOKUP(P698,'02效果表'!D:D,'02效果表'!E:E)&lt;0, _xlfn.XLOOKUP(P698,'02效果表'!D:D,'02效果表'!E:E), 0) +
S698*IF(_xlfn.XLOOKUP(R698,'02效果表'!D:D,'02效果表'!E:E)&lt;0, _xlfn.XLOOKUP(R698,'02效果表'!D:D,'02效果表'!E:E), 0) +
U698*IF(_xlfn.XLOOKUP(T698,'02效果表'!D:D,'02效果表'!E:E)&lt;0, _xlfn.XLOOKUP(T698,'02效果表'!D:D,'02效果表'!E:E), 0) +
W698*IF(_xlfn.XLOOKUP(V698,'02效果表'!D:D,'02效果表'!E:E)&lt;0, _xlfn.XLOOKUP(V698,'02效果表'!D:D,'02效果表'!E:E), 0) +
Y698*IF(_xlfn.XLOOKUP(X698,'02效果表'!D:D,'02效果表'!E:E)&lt;0, _xlfn.XLOOKUP(X698,'02效果表'!D:D,'02效果表'!E:E), 0) +
AA698*IF(_xlfn.XLOOKUP(Z698,'02效果表'!D:D,'02效果表'!E:E)&lt;0, _xlfn.XLOOKUP(Z698,'02效果表'!D:D,'02效果表'!E:E), 0) +
AC698*IF(_xlfn.XLOOKUP(AB698,'02效果表'!D:D,'02效果表'!E:E)&lt;0, _xlfn.XLOOKUP(AB698,'02效果表'!D:D,'02效果表'!E:E), 0) +
AE698*IF(_xlfn.XLOOKUP(AD698,'02效果表'!D:D,'02效果表'!E:E)&lt;0, _xlfn.XLOOKUP(AD698,'02效果表'!D:D,'02效果表'!E:E), 0)), 1)</f>
        <v>0</v>
      </c>
      <c r="G698" s="7">
        <f>ROUND(1/6*(I698*MAX(_xlfn.XLOOKUP(H698,'02效果表'!D:D,'02效果表'!E:E),0)+K698*MAX(_xlfn.XLOOKUP(J698,'02效果表'!D:D,'02效果表'!E:E),0)+M698*MAX(_xlfn.XLOOKUP(L698,'02效果表'!D:D,'02效果表'!E:E),0)+O698*MAX(_xlfn.XLOOKUP(N698,'02效果表'!D:D,'02效果表'!E:E),0)+Q698*MAX(_xlfn.XLOOKUP(P698,'02效果表'!D:D,'02效果表'!E:E),0)+S698*MAX(_xlfn.XLOOKUP(R698,'02效果表'!D:D,'02效果表'!E:E),0)+U698*MAX(_xlfn.XLOOKUP(T698,'02效果表'!D:D,'02效果表'!E:E),0)+W698*MAX(_xlfn.XLOOKUP(V698,'02效果表'!D:D,'02效果表'!E:E),0)+Y698*MAX(_xlfn.XLOOKUP(X698,'02效果表'!D:D,'02效果表'!E:E),0)+AA698*MAX(_xlfn.XLOOKUP(Z698,'02效果表'!D:D,'02效果表'!E:E),0)+AC698*MAX(_xlfn.XLOOKUP(AB698,'02效果表'!D:D,'02效果表'!E:E),0)+AE698*MAX(_xlfn.XLOOKUP(AD698,'02效果表'!D:D,'02效果表'!E:E),0)),1)</f>
        <v>0</v>
      </c>
      <c r="H698" s="6"/>
      <c r="I698" s="6"/>
      <c r="J698" s="6"/>
      <c r="K698" s="6"/>
      <c r="L698" s="6"/>
      <c r="M698" s="6"/>
      <c r="N698" s="6"/>
      <c r="O698" s="6"/>
      <c r="P698" s="6"/>
      <c r="Q698" s="6"/>
      <c r="R698" s="6"/>
      <c r="S698" s="6"/>
      <c r="T698" s="6"/>
      <c r="U698" s="6"/>
      <c r="V698" s="6"/>
      <c r="W698" s="6"/>
      <c r="X698" s="6"/>
      <c r="Y698" s="6"/>
      <c r="Z698" s="6"/>
      <c r="AA698" s="6"/>
      <c r="AB698" s="6"/>
      <c r="AC698" s="6"/>
      <c r="AD698" s="6"/>
      <c r="AE698" s="6"/>
    </row>
    <row r="699" spans="1:31" x14ac:dyDescent="0.35">
      <c r="A699" s="6">
        <v>699</v>
      </c>
      <c r="B699" s="6" t="s">
        <v>8</v>
      </c>
      <c r="C699" s="10" t="s">
        <v>16</v>
      </c>
      <c r="D699" s="9" t="s">
        <v>1807</v>
      </c>
      <c r="E699" s="7">
        <f t="shared" si="17"/>
        <v>0</v>
      </c>
      <c r="F699" s="7">
        <f>-1*ROUND(1/6*(I699*IF(_xlfn.XLOOKUP(H699,'02效果表'!D:D,'02效果表'!E:E)&lt;0, _xlfn.XLOOKUP(H699,'02效果表'!D:D,'02效果表'!E:E), 0) +
K699*IF(_xlfn.XLOOKUP(J699,'02效果表'!D:D,'02效果表'!E:E)&lt;0, _xlfn.XLOOKUP(J699,'02效果表'!D:D,'02效果表'!E:E), 0) +
M699*IF(_xlfn.XLOOKUP(L699,'02效果表'!D:D,'02效果表'!E:E)&lt;0, _xlfn.XLOOKUP(L699,'02效果表'!D:D,'02效果表'!E:E), 0) +
O699*IF(_xlfn.XLOOKUP(N699,'02效果表'!D:D,'02效果表'!E:E)&lt;0, _xlfn.XLOOKUP(N699,'02效果表'!D:D,'02效果表'!E:E), 0) +
Q699*IF(_xlfn.XLOOKUP(P699,'02效果表'!D:D,'02效果表'!E:E)&lt;0, _xlfn.XLOOKUP(P699,'02效果表'!D:D,'02效果表'!E:E), 0) +
S699*IF(_xlfn.XLOOKUP(R699,'02效果表'!D:D,'02效果表'!E:E)&lt;0, _xlfn.XLOOKUP(R699,'02效果表'!D:D,'02效果表'!E:E), 0) +
U699*IF(_xlfn.XLOOKUP(T699,'02效果表'!D:D,'02效果表'!E:E)&lt;0, _xlfn.XLOOKUP(T699,'02效果表'!D:D,'02效果表'!E:E), 0) +
W699*IF(_xlfn.XLOOKUP(V699,'02效果表'!D:D,'02效果表'!E:E)&lt;0, _xlfn.XLOOKUP(V699,'02效果表'!D:D,'02效果表'!E:E), 0) +
Y699*IF(_xlfn.XLOOKUP(X699,'02效果表'!D:D,'02效果表'!E:E)&lt;0, _xlfn.XLOOKUP(X699,'02效果表'!D:D,'02效果表'!E:E), 0) +
AA699*IF(_xlfn.XLOOKUP(Z699,'02效果表'!D:D,'02效果表'!E:E)&lt;0, _xlfn.XLOOKUP(Z699,'02效果表'!D:D,'02效果表'!E:E), 0) +
AC699*IF(_xlfn.XLOOKUP(AB699,'02效果表'!D:D,'02效果表'!E:E)&lt;0, _xlfn.XLOOKUP(AB699,'02效果表'!D:D,'02效果表'!E:E), 0) +
AE699*IF(_xlfn.XLOOKUP(AD699,'02效果表'!D:D,'02效果表'!E:E)&lt;0, _xlfn.XLOOKUP(AD699,'02效果表'!D:D,'02效果表'!E:E), 0)), 1)</f>
        <v>0</v>
      </c>
      <c r="G699" s="7">
        <f>ROUND(1/6*(I699*MAX(_xlfn.XLOOKUP(H699,'02效果表'!D:D,'02效果表'!E:E),0)+K699*MAX(_xlfn.XLOOKUP(J699,'02效果表'!D:D,'02效果表'!E:E),0)+M699*MAX(_xlfn.XLOOKUP(L699,'02效果表'!D:D,'02效果表'!E:E),0)+O699*MAX(_xlfn.XLOOKUP(N699,'02效果表'!D:D,'02效果表'!E:E),0)+Q699*MAX(_xlfn.XLOOKUP(P699,'02效果表'!D:D,'02效果表'!E:E),0)+S699*MAX(_xlfn.XLOOKUP(R699,'02效果表'!D:D,'02效果表'!E:E),0)+U699*MAX(_xlfn.XLOOKUP(T699,'02效果表'!D:D,'02效果表'!E:E),0)+W699*MAX(_xlfn.XLOOKUP(V699,'02效果表'!D:D,'02效果表'!E:E),0)+Y699*MAX(_xlfn.XLOOKUP(X699,'02效果表'!D:D,'02效果表'!E:E),0)+AA699*MAX(_xlfn.XLOOKUP(Z699,'02效果表'!D:D,'02效果表'!E:E),0)+AC699*MAX(_xlfn.XLOOKUP(AB699,'02效果表'!D:D,'02效果表'!E:E),0)+AE699*MAX(_xlfn.XLOOKUP(AD699,'02效果表'!D:D,'02效果表'!E:E),0)),1)</f>
        <v>0</v>
      </c>
      <c r="H699" s="6"/>
      <c r="I699" s="6"/>
      <c r="J699" s="6"/>
      <c r="K699" s="6"/>
      <c r="L699" s="6"/>
      <c r="M699" s="6"/>
      <c r="N699" s="6"/>
      <c r="O699" s="6"/>
      <c r="P699" s="6"/>
      <c r="Q699" s="6"/>
      <c r="R699" s="6"/>
      <c r="S699" s="6"/>
      <c r="T699" s="6"/>
      <c r="U699" s="6"/>
      <c r="V699" s="6"/>
      <c r="W699" s="6"/>
      <c r="X699" s="6"/>
      <c r="Y699" s="6"/>
      <c r="Z699" s="6"/>
      <c r="AA699" s="6"/>
      <c r="AB699" s="6"/>
      <c r="AC699" s="6"/>
      <c r="AD699" s="6"/>
      <c r="AE699" s="6"/>
    </row>
    <row r="700" spans="1:31" x14ac:dyDescent="0.35">
      <c r="A700" s="6">
        <v>700</v>
      </c>
      <c r="B700" s="6" t="s">
        <v>8</v>
      </c>
      <c r="C700" s="10" t="s">
        <v>16</v>
      </c>
      <c r="D700" s="9" t="s">
        <v>1808</v>
      </c>
      <c r="E700" s="7">
        <f t="shared" si="17"/>
        <v>0</v>
      </c>
      <c r="F700" s="7">
        <f>-1*ROUND(1/6*(I700*IF(_xlfn.XLOOKUP(H700,'02效果表'!D:D,'02效果表'!E:E)&lt;0, _xlfn.XLOOKUP(H700,'02效果表'!D:D,'02效果表'!E:E), 0) +
K700*IF(_xlfn.XLOOKUP(J700,'02效果表'!D:D,'02效果表'!E:E)&lt;0, _xlfn.XLOOKUP(J700,'02效果表'!D:D,'02效果表'!E:E), 0) +
M700*IF(_xlfn.XLOOKUP(L700,'02效果表'!D:D,'02效果表'!E:E)&lt;0, _xlfn.XLOOKUP(L700,'02效果表'!D:D,'02效果表'!E:E), 0) +
O700*IF(_xlfn.XLOOKUP(N700,'02效果表'!D:D,'02效果表'!E:E)&lt;0, _xlfn.XLOOKUP(N700,'02效果表'!D:D,'02效果表'!E:E), 0) +
Q700*IF(_xlfn.XLOOKUP(P700,'02效果表'!D:D,'02效果表'!E:E)&lt;0, _xlfn.XLOOKUP(P700,'02效果表'!D:D,'02效果表'!E:E), 0) +
S700*IF(_xlfn.XLOOKUP(R700,'02效果表'!D:D,'02效果表'!E:E)&lt;0, _xlfn.XLOOKUP(R700,'02效果表'!D:D,'02效果表'!E:E), 0) +
U700*IF(_xlfn.XLOOKUP(T700,'02效果表'!D:D,'02效果表'!E:E)&lt;0, _xlfn.XLOOKUP(T700,'02效果表'!D:D,'02效果表'!E:E), 0) +
W700*IF(_xlfn.XLOOKUP(V700,'02效果表'!D:D,'02效果表'!E:E)&lt;0, _xlfn.XLOOKUP(V700,'02效果表'!D:D,'02效果表'!E:E), 0) +
Y700*IF(_xlfn.XLOOKUP(X700,'02效果表'!D:D,'02效果表'!E:E)&lt;0, _xlfn.XLOOKUP(X700,'02效果表'!D:D,'02效果表'!E:E), 0) +
AA700*IF(_xlfn.XLOOKUP(Z700,'02效果表'!D:D,'02效果表'!E:E)&lt;0, _xlfn.XLOOKUP(Z700,'02效果表'!D:D,'02效果表'!E:E), 0) +
AC700*IF(_xlfn.XLOOKUP(AB700,'02效果表'!D:D,'02效果表'!E:E)&lt;0, _xlfn.XLOOKUP(AB700,'02效果表'!D:D,'02效果表'!E:E), 0) +
AE700*IF(_xlfn.XLOOKUP(AD700,'02效果表'!D:D,'02效果表'!E:E)&lt;0, _xlfn.XLOOKUP(AD700,'02效果表'!D:D,'02效果表'!E:E), 0)), 1)</f>
        <v>0</v>
      </c>
      <c r="G700" s="7">
        <f>ROUND(1/6*(I700*MAX(_xlfn.XLOOKUP(H700,'02效果表'!D:D,'02效果表'!E:E),0)+K700*MAX(_xlfn.XLOOKUP(J700,'02效果表'!D:D,'02效果表'!E:E),0)+M700*MAX(_xlfn.XLOOKUP(L700,'02效果表'!D:D,'02效果表'!E:E),0)+O700*MAX(_xlfn.XLOOKUP(N700,'02效果表'!D:D,'02效果表'!E:E),0)+Q700*MAX(_xlfn.XLOOKUP(P700,'02效果表'!D:D,'02效果表'!E:E),0)+S700*MAX(_xlfn.XLOOKUP(R700,'02效果表'!D:D,'02效果表'!E:E),0)+U700*MAX(_xlfn.XLOOKUP(T700,'02效果表'!D:D,'02效果表'!E:E),0)+W700*MAX(_xlfn.XLOOKUP(V700,'02效果表'!D:D,'02效果表'!E:E),0)+Y700*MAX(_xlfn.XLOOKUP(X700,'02效果表'!D:D,'02效果表'!E:E),0)+AA700*MAX(_xlfn.XLOOKUP(Z700,'02效果表'!D:D,'02效果表'!E:E),0)+AC700*MAX(_xlfn.XLOOKUP(AB700,'02效果表'!D:D,'02效果表'!E:E),0)+AE700*MAX(_xlfn.XLOOKUP(AD700,'02效果表'!D:D,'02效果表'!E:E),0)),1)</f>
        <v>0</v>
      </c>
      <c r="H700" s="6"/>
      <c r="I700" s="6"/>
      <c r="J700" s="6"/>
      <c r="K700" s="6"/>
      <c r="L700" s="6"/>
      <c r="M700" s="6"/>
      <c r="N700" s="6"/>
      <c r="O700" s="6"/>
      <c r="P700" s="6"/>
      <c r="Q700" s="6"/>
      <c r="R700" s="6"/>
      <c r="S700" s="6"/>
      <c r="T700" s="6"/>
      <c r="U700" s="6"/>
      <c r="V700" s="6"/>
      <c r="W700" s="6"/>
      <c r="X700" s="6"/>
      <c r="Y700" s="6"/>
      <c r="Z700" s="6"/>
      <c r="AA700" s="6"/>
      <c r="AB700" s="6"/>
      <c r="AC700" s="6"/>
      <c r="AD700" s="6"/>
      <c r="AE700" s="6"/>
    </row>
    <row r="701" spans="1:31" x14ac:dyDescent="0.35">
      <c r="A701" s="6">
        <v>701</v>
      </c>
      <c r="B701" s="6" t="s">
        <v>8</v>
      </c>
      <c r="C701" s="10" t="s">
        <v>16</v>
      </c>
      <c r="D701" s="9" t="s">
        <v>1809</v>
      </c>
      <c r="E701" s="7">
        <f t="shared" si="17"/>
        <v>0</v>
      </c>
      <c r="F701" s="7">
        <f>-1*ROUND(1/6*(I701*IF(_xlfn.XLOOKUP(H701,'02效果表'!D:D,'02效果表'!E:E)&lt;0, _xlfn.XLOOKUP(H701,'02效果表'!D:D,'02效果表'!E:E), 0) +
K701*IF(_xlfn.XLOOKUP(J701,'02效果表'!D:D,'02效果表'!E:E)&lt;0, _xlfn.XLOOKUP(J701,'02效果表'!D:D,'02效果表'!E:E), 0) +
M701*IF(_xlfn.XLOOKUP(L701,'02效果表'!D:D,'02效果表'!E:E)&lt;0, _xlfn.XLOOKUP(L701,'02效果表'!D:D,'02效果表'!E:E), 0) +
O701*IF(_xlfn.XLOOKUP(N701,'02效果表'!D:D,'02效果表'!E:E)&lt;0, _xlfn.XLOOKUP(N701,'02效果表'!D:D,'02效果表'!E:E), 0) +
Q701*IF(_xlfn.XLOOKUP(P701,'02效果表'!D:D,'02效果表'!E:E)&lt;0, _xlfn.XLOOKUP(P701,'02效果表'!D:D,'02效果表'!E:E), 0) +
S701*IF(_xlfn.XLOOKUP(R701,'02效果表'!D:D,'02效果表'!E:E)&lt;0, _xlfn.XLOOKUP(R701,'02效果表'!D:D,'02效果表'!E:E), 0) +
U701*IF(_xlfn.XLOOKUP(T701,'02效果表'!D:D,'02效果表'!E:E)&lt;0, _xlfn.XLOOKUP(T701,'02效果表'!D:D,'02效果表'!E:E), 0) +
W701*IF(_xlfn.XLOOKUP(V701,'02效果表'!D:D,'02效果表'!E:E)&lt;0, _xlfn.XLOOKUP(V701,'02效果表'!D:D,'02效果表'!E:E), 0) +
Y701*IF(_xlfn.XLOOKUP(X701,'02效果表'!D:D,'02效果表'!E:E)&lt;0, _xlfn.XLOOKUP(X701,'02效果表'!D:D,'02效果表'!E:E), 0) +
AA701*IF(_xlfn.XLOOKUP(Z701,'02效果表'!D:D,'02效果表'!E:E)&lt;0, _xlfn.XLOOKUP(Z701,'02效果表'!D:D,'02效果表'!E:E), 0) +
AC701*IF(_xlfn.XLOOKUP(AB701,'02效果表'!D:D,'02效果表'!E:E)&lt;0, _xlfn.XLOOKUP(AB701,'02效果表'!D:D,'02效果表'!E:E), 0) +
AE701*IF(_xlfn.XLOOKUP(AD701,'02效果表'!D:D,'02效果表'!E:E)&lt;0, _xlfn.XLOOKUP(AD701,'02效果表'!D:D,'02效果表'!E:E), 0)), 1)</f>
        <v>0</v>
      </c>
      <c r="G701" s="7">
        <f>ROUND(1/6*(I701*MAX(_xlfn.XLOOKUP(H701,'02效果表'!D:D,'02效果表'!E:E),0)+K701*MAX(_xlfn.XLOOKUP(J701,'02效果表'!D:D,'02效果表'!E:E),0)+M701*MAX(_xlfn.XLOOKUP(L701,'02效果表'!D:D,'02效果表'!E:E),0)+O701*MAX(_xlfn.XLOOKUP(N701,'02效果表'!D:D,'02效果表'!E:E),0)+Q701*MAX(_xlfn.XLOOKUP(P701,'02效果表'!D:D,'02效果表'!E:E),0)+S701*MAX(_xlfn.XLOOKUP(R701,'02效果表'!D:D,'02效果表'!E:E),0)+U701*MAX(_xlfn.XLOOKUP(T701,'02效果表'!D:D,'02效果表'!E:E),0)+W701*MAX(_xlfn.XLOOKUP(V701,'02效果表'!D:D,'02效果表'!E:E),0)+Y701*MAX(_xlfn.XLOOKUP(X701,'02效果表'!D:D,'02效果表'!E:E),0)+AA701*MAX(_xlfn.XLOOKUP(Z701,'02效果表'!D:D,'02效果表'!E:E),0)+AC701*MAX(_xlfn.XLOOKUP(AB701,'02效果表'!D:D,'02效果表'!E:E),0)+AE701*MAX(_xlfn.XLOOKUP(AD701,'02效果表'!D:D,'02效果表'!E:E),0)),1)</f>
        <v>0</v>
      </c>
      <c r="H701" s="6"/>
      <c r="I701" s="6"/>
      <c r="J701" s="6"/>
      <c r="K701" s="6"/>
      <c r="L701" s="6"/>
      <c r="M701" s="6"/>
      <c r="N701" s="6"/>
      <c r="O701" s="6"/>
      <c r="P701" s="6"/>
      <c r="Q701" s="6"/>
      <c r="R701" s="6"/>
      <c r="S701" s="6"/>
      <c r="T701" s="6"/>
      <c r="U701" s="6"/>
      <c r="V701" s="6"/>
      <c r="W701" s="6"/>
      <c r="X701" s="6"/>
      <c r="Y701" s="6"/>
      <c r="Z701" s="6"/>
      <c r="AA701" s="6"/>
      <c r="AB701" s="6"/>
      <c r="AC701" s="6"/>
      <c r="AD701" s="6"/>
      <c r="AE701" s="6"/>
    </row>
    <row r="702" spans="1:31" x14ac:dyDescent="0.35">
      <c r="A702" s="6">
        <v>702</v>
      </c>
      <c r="B702" s="6" t="s">
        <v>8</v>
      </c>
      <c r="C702" s="10" t="s">
        <v>16</v>
      </c>
      <c r="D702" s="9" t="s">
        <v>1810</v>
      </c>
      <c r="E702" s="7">
        <f t="shared" si="17"/>
        <v>0</v>
      </c>
      <c r="F702" s="7">
        <f>-1*ROUND(1/6*(I702*IF(_xlfn.XLOOKUP(H702,'02效果表'!D:D,'02效果表'!E:E)&lt;0, _xlfn.XLOOKUP(H702,'02效果表'!D:D,'02效果表'!E:E), 0) +
K702*IF(_xlfn.XLOOKUP(J702,'02效果表'!D:D,'02效果表'!E:E)&lt;0, _xlfn.XLOOKUP(J702,'02效果表'!D:D,'02效果表'!E:E), 0) +
M702*IF(_xlfn.XLOOKUP(L702,'02效果表'!D:D,'02效果表'!E:E)&lt;0, _xlfn.XLOOKUP(L702,'02效果表'!D:D,'02效果表'!E:E), 0) +
O702*IF(_xlfn.XLOOKUP(N702,'02效果表'!D:D,'02效果表'!E:E)&lt;0, _xlfn.XLOOKUP(N702,'02效果表'!D:D,'02效果表'!E:E), 0) +
Q702*IF(_xlfn.XLOOKUP(P702,'02效果表'!D:D,'02效果表'!E:E)&lt;0, _xlfn.XLOOKUP(P702,'02效果表'!D:D,'02效果表'!E:E), 0) +
S702*IF(_xlfn.XLOOKUP(R702,'02效果表'!D:D,'02效果表'!E:E)&lt;0, _xlfn.XLOOKUP(R702,'02效果表'!D:D,'02效果表'!E:E), 0) +
U702*IF(_xlfn.XLOOKUP(T702,'02效果表'!D:D,'02效果表'!E:E)&lt;0, _xlfn.XLOOKUP(T702,'02效果表'!D:D,'02效果表'!E:E), 0) +
W702*IF(_xlfn.XLOOKUP(V702,'02效果表'!D:D,'02效果表'!E:E)&lt;0, _xlfn.XLOOKUP(V702,'02效果表'!D:D,'02效果表'!E:E), 0) +
Y702*IF(_xlfn.XLOOKUP(X702,'02效果表'!D:D,'02效果表'!E:E)&lt;0, _xlfn.XLOOKUP(X702,'02效果表'!D:D,'02效果表'!E:E), 0) +
AA702*IF(_xlfn.XLOOKUP(Z702,'02效果表'!D:D,'02效果表'!E:E)&lt;0, _xlfn.XLOOKUP(Z702,'02效果表'!D:D,'02效果表'!E:E), 0) +
AC702*IF(_xlfn.XLOOKUP(AB702,'02效果表'!D:D,'02效果表'!E:E)&lt;0, _xlfn.XLOOKUP(AB702,'02效果表'!D:D,'02效果表'!E:E), 0) +
AE702*IF(_xlfn.XLOOKUP(AD702,'02效果表'!D:D,'02效果表'!E:E)&lt;0, _xlfn.XLOOKUP(AD702,'02效果表'!D:D,'02效果表'!E:E), 0)), 1)</f>
        <v>0</v>
      </c>
      <c r="G702" s="7">
        <f>ROUND(1/6*(I702*MAX(_xlfn.XLOOKUP(H702,'02效果表'!D:D,'02效果表'!E:E),0)+K702*MAX(_xlfn.XLOOKUP(J702,'02效果表'!D:D,'02效果表'!E:E),0)+M702*MAX(_xlfn.XLOOKUP(L702,'02效果表'!D:D,'02效果表'!E:E),0)+O702*MAX(_xlfn.XLOOKUP(N702,'02效果表'!D:D,'02效果表'!E:E),0)+Q702*MAX(_xlfn.XLOOKUP(P702,'02效果表'!D:D,'02效果表'!E:E),0)+S702*MAX(_xlfn.XLOOKUP(R702,'02效果表'!D:D,'02效果表'!E:E),0)+U702*MAX(_xlfn.XLOOKUP(T702,'02效果表'!D:D,'02效果表'!E:E),0)+W702*MAX(_xlfn.XLOOKUP(V702,'02效果表'!D:D,'02效果表'!E:E),0)+Y702*MAX(_xlfn.XLOOKUP(X702,'02效果表'!D:D,'02效果表'!E:E),0)+AA702*MAX(_xlfn.XLOOKUP(Z702,'02效果表'!D:D,'02效果表'!E:E),0)+AC702*MAX(_xlfn.XLOOKUP(AB702,'02效果表'!D:D,'02效果表'!E:E),0)+AE702*MAX(_xlfn.XLOOKUP(AD702,'02效果表'!D:D,'02效果表'!E:E),0)),1)</f>
        <v>0</v>
      </c>
      <c r="H702" s="6"/>
      <c r="I702" s="6"/>
      <c r="J702" s="6"/>
      <c r="K702" s="6"/>
      <c r="L702" s="6"/>
      <c r="M702" s="6"/>
      <c r="N702" s="6"/>
      <c r="O702" s="6"/>
      <c r="P702" s="6"/>
      <c r="Q702" s="6"/>
      <c r="R702" s="6"/>
      <c r="S702" s="6"/>
      <c r="T702" s="6"/>
      <c r="U702" s="6"/>
      <c r="V702" s="6"/>
      <c r="W702" s="6"/>
      <c r="X702" s="6"/>
      <c r="Y702" s="6"/>
      <c r="Z702" s="6"/>
      <c r="AA702" s="6"/>
      <c r="AB702" s="6"/>
      <c r="AC702" s="6"/>
      <c r="AD702" s="6"/>
      <c r="AE702" s="6"/>
    </row>
    <row r="703" spans="1:31" x14ac:dyDescent="0.35">
      <c r="A703" s="6">
        <v>703</v>
      </c>
      <c r="B703" s="6" t="s">
        <v>8</v>
      </c>
      <c r="C703" s="10" t="s">
        <v>16</v>
      </c>
      <c r="D703" s="9" t="s">
        <v>1811</v>
      </c>
      <c r="E703" s="7">
        <f t="shared" si="17"/>
        <v>0</v>
      </c>
      <c r="F703" s="7">
        <f>-1*ROUND(1/6*(I703*IF(_xlfn.XLOOKUP(H703,'02效果表'!D:D,'02效果表'!E:E)&lt;0, _xlfn.XLOOKUP(H703,'02效果表'!D:D,'02效果表'!E:E), 0) +
K703*IF(_xlfn.XLOOKUP(J703,'02效果表'!D:D,'02效果表'!E:E)&lt;0, _xlfn.XLOOKUP(J703,'02效果表'!D:D,'02效果表'!E:E), 0) +
M703*IF(_xlfn.XLOOKUP(L703,'02效果表'!D:D,'02效果表'!E:E)&lt;0, _xlfn.XLOOKUP(L703,'02效果表'!D:D,'02效果表'!E:E), 0) +
O703*IF(_xlfn.XLOOKUP(N703,'02效果表'!D:D,'02效果表'!E:E)&lt;0, _xlfn.XLOOKUP(N703,'02效果表'!D:D,'02效果表'!E:E), 0) +
Q703*IF(_xlfn.XLOOKUP(P703,'02效果表'!D:D,'02效果表'!E:E)&lt;0, _xlfn.XLOOKUP(P703,'02效果表'!D:D,'02效果表'!E:E), 0) +
S703*IF(_xlfn.XLOOKUP(R703,'02效果表'!D:D,'02效果表'!E:E)&lt;0, _xlfn.XLOOKUP(R703,'02效果表'!D:D,'02效果表'!E:E), 0) +
U703*IF(_xlfn.XLOOKUP(T703,'02效果表'!D:D,'02效果表'!E:E)&lt;0, _xlfn.XLOOKUP(T703,'02效果表'!D:D,'02效果表'!E:E), 0) +
W703*IF(_xlfn.XLOOKUP(V703,'02效果表'!D:D,'02效果表'!E:E)&lt;0, _xlfn.XLOOKUP(V703,'02效果表'!D:D,'02效果表'!E:E), 0) +
Y703*IF(_xlfn.XLOOKUP(X703,'02效果表'!D:D,'02效果表'!E:E)&lt;0, _xlfn.XLOOKUP(X703,'02效果表'!D:D,'02效果表'!E:E), 0) +
AA703*IF(_xlfn.XLOOKUP(Z703,'02效果表'!D:D,'02效果表'!E:E)&lt;0, _xlfn.XLOOKUP(Z703,'02效果表'!D:D,'02效果表'!E:E), 0) +
AC703*IF(_xlfn.XLOOKUP(AB703,'02效果表'!D:D,'02效果表'!E:E)&lt;0, _xlfn.XLOOKUP(AB703,'02效果表'!D:D,'02效果表'!E:E), 0) +
AE703*IF(_xlfn.XLOOKUP(AD703,'02效果表'!D:D,'02效果表'!E:E)&lt;0, _xlfn.XLOOKUP(AD703,'02效果表'!D:D,'02效果表'!E:E), 0)), 1)</f>
        <v>0</v>
      </c>
      <c r="G703" s="7">
        <f>ROUND(1/6*(I703*MAX(_xlfn.XLOOKUP(H703,'02效果表'!D:D,'02效果表'!E:E),0)+K703*MAX(_xlfn.XLOOKUP(J703,'02效果表'!D:D,'02效果表'!E:E),0)+M703*MAX(_xlfn.XLOOKUP(L703,'02效果表'!D:D,'02效果表'!E:E),0)+O703*MAX(_xlfn.XLOOKUP(N703,'02效果表'!D:D,'02效果表'!E:E),0)+Q703*MAX(_xlfn.XLOOKUP(P703,'02效果表'!D:D,'02效果表'!E:E),0)+S703*MAX(_xlfn.XLOOKUP(R703,'02效果表'!D:D,'02效果表'!E:E),0)+U703*MAX(_xlfn.XLOOKUP(T703,'02效果表'!D:D,'02效果表'!E:E),0)+W703*MAX(_xlfn.XLOOKUP(V703,'02效果表'!D:D,'02效果表'!E:E),0)+Y703*MAX(_xlfn.XLOOKUP(X703,'02效果表'!D:D,'02效果表'!E:E),0)+AA703*MAX(_xlfn.XLOOKUP(Z703,'02效果表'!D:D,'02效果表'!E:E),0)+AC703*MAX(_xlfn.XLOOKUP(AB703,'02效果表'!D:D,'02效果表'!E:E),0)+AE703*MAX(_xlfn.XLOOKUP(AD703,'02效果表'!D:D,'02效果表'!E:E),0)),1)</f>
        <v>0</v>
      </c>
      <c r="H703" s="6"/>
      <c r="I703" s="6"/>
      <c r="J703" s="6"/>
      <c r="K703" s="6"/>
      <c r="L703" s="6"/>
      <c r="M703" s="6"/>
      <c r="N703" s="6"/>
      <c r="O703" s="6"/>
      <c r="P703" s="6"/>
      <c r="Q703" s="6"/>
      <c r="R703" s="6"/>
      <c r="S703" s="6"/>
      <c r="T703" s="6"/>
      <c r="U703" s="6"/>
      <c r="V703" s="6"/>
      <c r="W703" s="6"/>
      <c r="X703" s="6"/>
      <c r="Y703" s="6"/>
      <c r="Z703" s="6"/>
      <c r="AA703" s="6"/>
      <c r="AB703" s="6"/>
      <c r="AC703" s="6"/>
      <c r="AD703" s="6"/>
      <c r="AE703" s="6"/>
    </row>
    <row r="704" spans="1:31" x14ac:dyDescent="0.35">
      <c r="A704" s="6">
        <v>704</v>
      </c>
      <c r="B704" s="6" t="s">
        <v>8</v>
      </c>
      <c r="C704" s="10" t="s">
        <v>16</v>
      </c>
      <c r="D704" s="9" t="s">
        <v>1812</v>
      </c>
      <c r="E704" s="7">
        <f t="shared" si="17"/>
        <v>0</v>
      </c>
      <c r="F704" s="7">
        <f>-1*ROUND(1/6*(I704*IF(_xlfn.XLOOKUP(H704,'02效果表'!D:D,'02效果表'!E:E)&lt;0, _xlfn.XLOOKUP(H704,'02效果表'!D:D,'02效果表'!E:E), 0) +
K704*IF(_xlfn.XLOOKUP(J704,'02效果表'!D:D,'02效果表'!E:E)&lt;0, _xlfn.XLOOKUP(J704,'02效果表'!D:D,'02效果表'!E:E), 0) +
M704*IF(_xlfn.XLOOKUP(L704,'02效果表'!D:D,'02效果表'!E:E)&lt;0, _xlfn.XLOOKUP(L704,'02效果表'!D:D,'02效果表'!E:E), 0) +
O704*IF(_xlfn.XLOOKUP(N704,'02效果表'!D:D,'02效果表'!E:E)&lt;0, _xlfn.XLOOKUP(N704,'02效果表'!D:D,'02效果表'!E:E), 0) +
Q704*IF(_xlfn.XLOOKUP(P704,'02效果表'!D:D,'02效果表'!E:E)&lt;0, _xlfn.XLOOKUP(P704,'02效果表'!D:D,'02效果表'!E:E), 0) +
S704*IF(_xlfn.XLOOKUP(R704,'02效果表'!D:D,'02效果表'!E:E)&lt;0, _xlfn.XLOOKUP(R704,'02效果表'!D:D,'02效果表'!E:E), 0) +
U704*IF(_xlfn.XLOOKUP(T704,'02效果表'!D:D,'02效果表'!E:E)&lt;0, _xlfn.XLOOKUP(T704,'02效果表'!D:D,'02效果表'!E:E), 0) +
W704*IF(_xlfn.XLOOKUP(V704,'02效果表'!D:D,'02效果表'!E:E)&lt;0, _xlfn.XLOOKUP(V704,'02效果表'!D:D,'02效果表'!E:E), 0) +
Y704*IF(_xlfn.XLOOKUP(X704,'02效果表'!D:D,'02效果表'!E:E)&lt;0, _xlfn.XLOOKUP(X704,'02效果表'!D:D,'02效果表'!E:E), 0) +
AA704*IF(_xlfn.XLOOKUP(Z704,'02效果表'!D:D,'02效果表'!E:E)&lt;0, _xlfn.XLOOKUP(Z704,'02效果表'!D:D,'02效果表'!E:E), 0) +
AC704*IF(_xlfn.XLOOKUP(AB704,'02效果表'!D:D,'02效果表'!E:E)&lt;0, _xlfn.XLOOKUP(AB704,'02效果表'!D:D,'02效果表'!E:E), 0) +
AE704*IF(_xlfn.XLOOKUP(AD704,'02效果表'!D:D,'02效果表'!E:E)&lt;0, _xlfn.XLOOKUP(AD704,'02效果表'!D:D,'02效果表'!E:E), 0)), 1)</f>
        <v>0</v>
      </c>
      <c r="G704" s="7">
        <f>ROUND(1/6*(I704*MAX(_xlfn.XLOOKUP(H704,'02效果表'!D:D,'02效果表'!E:E),0)+K704*MAX(_xlfn.XLOOKUP(J704,'02效果表'!D:D,'02效果表'!E:E),0)+M704*MAX(_xlfn.XLOOKUP(L704,'02效果表'!D:D,'02效果表'!E:E),0)+O704*MAX(_xlfn.XLOOKUP(N704,'02效果表'!D:D,'02效果表'!E:E),0)+Q704*MAX(_xlfn.XLOOKUP(P704,'02效果表'!D:D,'02效果表'!E:E),0)+S704*MAX(_xlfn.XLOOKUP(R704,'02效果表'!D:D,'02效果表'!E:E),0)+U704*MAX(_xlfn.XLOOKUP(T704,'02效果表'!D:D,'02效果表'!E:E),0)+W704*MAX(_xlfn.XLOOKUP(V704,'02效果表'!D:D,'02效果表'!E:E),0)+Y704*MAX(_xlfn.XLOOKUP(X704,'02效果表'!D:D,'02效果表'!E:E),0)+AA704*MAX(_xlfn.XLOOKUP(Z704,'02效果表'!D:D,'02效果表'!E:E),0)+AC704*MAX(_xlfn.XLOOKUP(AB704,'02效果表'!D:D,'02效果表'!E:E),0)+AE704*MAX(_xlfn.XLOOKUP(AD704,'02效果表'!D:D,'02效果表'!E:E),0)),1)</f>
        <v>0</v>
      </c>
      <c r="H704" s="6"/>
      <c r="I704" s="6"/>
      <c r="J704" s="6"/>
      <c r="K704" s="6"/>
      <c r="L704" s="6"/>
      <c r="M704" s="6"/>
      <c r="N704" s="6"/>
      <c r="O704" s="6"/>
      <c r="P704" s="6"/>
      <c r="Q704" s="6"/>
      <c r="R704" s="6"/>
      <c r="S704" s="6"/>
      <c r="T704" s="6"/>
      <c r="U704" s="6"/>
      <c r="V704" s="6"/>
      <c r="W704" s="6"/>
      <c r="X704" s="6"/>
      <c r="Y704" s="6"/>
      <c r="Z704" s="6"/>
      <c r="AA704" s="6"/>
      <c r="AB704" s="6"/>
      <c r="AC704" s="6"/>
      <c r="AD704" s="6"/>
      <c r="AE704" s="6"/>
    </row>
    <row r="705" spans="1:31" x14ac:dyDescent="0.35">
      <c r="A705" s="6">
        <v>705</v>
      </c>
      <c r="B705" s="6" t="s">
        <v>8</v>
      </c>
      <c r="C705" s="10" t="s">
        <v>16</v>
      </c>
      <c r="D705" s="9" t="s">
        <v>1814</v>
      </c>
      <c r="E705" s="7">
        <f t="shared" si="17"/>
        <v>0</v>
      </c>
      <c r="F705" s="7">
        <f>-1*ROUND(1/6*(I705*IF(_xlfn.XLOOKUP(H705,'02效果表'!D:D,'02效果表'!E:E)&lt;0, _xlfn.XLOOKUP(H705,'02效果表'!D:D,'02效果表'!E:E), 0) +
K705*IF(_xlfn.XLOOKUP(J705,'02效果表'!D:D,'02效果表'!E:E)&lt;0, _xlfn.XLOOKUP(J705,'02效果表'!D:D,'02效果表'!E:E), 0) +
M705*IF(_xlfn.XLOOKUP(L705,'02效果表'!D:D,'02效果表'!E:E)&lt;0, _xlfn.XLOOKUP(L705,'02效果表'!D:D,'02效果表'!E:E), 0) +
O705*IF(_xlfn.XLOOKUP(N705,'02效果表'!D:D,'02效果表'!E:E)&lt;0, _xlfn.XLOOKUP(N705,'02效果表'!D:D,'02效果表'!E:E), 0) +
Q705*IF(_xlfn.XLOOKUP(P705,'02效果表'!D:D,'02效果表'!E:E)&lt;0, _xlfn.XLOOKUP(P705,'02效果表'!D:D,'02效果表'!E:E), 0) +
S705*IF(_xlfn.XLOOKUP(R705,'02效果表'!D:D,'02效果表'!E:E)&lt;0, _xlfn.XLOOKUP(R705,'02效果表'!D:D,'02效果表'!E:E), 0) +
U705*IF(_xlfn.XLOOKUP(T705,'02效果表'!D:D,'02效果表'!E:E)&lt;0, _xlfn.XLOOKUP(T705,'02效果表'!D:D,'02效果表'!E:E), 0) +
W705*IF(_xlfn.XLOOKUP(V705,'02效果表'!D:D,'02效果表'!E:E)&lt;0, _xlfn.XLOOKUP(V705,'02效果表'!D:D,'02效果表'!E:E), 0) +
Y705*IF(_xlfn.XLOOKUP(X705,'02效果表'!D:D,'02效果表'!E:E)&lt;0, _xlfn.XLOOKUP(X705,'02效果表'!D:D,'02效果表'!E:E), 0) +
AA705*IF(_xlfn.XLOOKUP(Z705,'02效果表'!D:D,'02效果表'!E:E)&lt;0, _xlfn.XLOOKUP(Z705,'02效果表'!D:D,'02效果表'!E:E), 0) +
AC705*IF(_xlfn.XLOOKUP(AB705,'02效果表'!D:D,'02效果表'!E:E)&lt;0, _xlfn.XLOOKUP(AB705,'02效果表'!D:D,'02效果表'!E:E), 0) +
AE705*IF(_xlfn.XLOOKUP(AD705,'02效果表'!D:D,'02效果表'!E:E)&lt;0, _xlfn.XLOOKUP(AD705,'02效果表'!D:D,'02效果表'!E:E), 0)), 1)</f>
        <v>0</v>
      </c>
      <c r="G705" s="7">
        <f>ROUND(1/6*(I705*MAX(_xlfn.XLOOKUP(H705,'02效果表'!D:D,'02效果表'!E:E),0)+K705*MAX(_xlfn.XLOOKUP(J705,'02效果表'!D:D,'02效果表'!E:E),0)+M705*MAX(_xlfn.XLOOKUP(L705,'02效果表'!D:D,'02效果表'!E:E),0)+O705*MAX(_xlfn.XLOOKUP(N705,'02效果表'!D:D,'02效果表'!E:E),0)+Q705*MAX(_xlfn.XLOOKUP(P705,'02效果表'!D:D,'02效果表'!E:E),0)+S705*MAX(_xlfn.XLOOKUP(R705,'02效果表'!D:D,'02效果表'!E:E),0)+U705*MAX(_xlfn.XLOOKUP(T705,'02效果表'!D:D,'02效果表'!E:E),0)+W705*MAX(_xlfn.XLOOKUP(V705,'02效果表'!D:D,'02效果表'!E:E),0)+Y705*MAX(_xlfn.XLOOKUP(X705,'02效果表'!D:D,'02效果表'!E:E),0)+AA705*MAX(_xlfn.XLOOKUP(Z705,'02效果表'!D:D,'02效果表'!E:E),0)+AC705*MAX(_xlfn.XLOOKUP(AB705,'02效果表'!D:D,'02效果表'!E:E),0)+AE705*MAX(_xlfn.XLOOKUP(AD705,'02效果表'!D:D,'02效果表'!E:E),0)),1)</f>
        <v>0</v>
      </c>
      <c r="H705" s="6"/>
      <c r="I705" s="6"/>
      <c r="J705" s="6"/>
      <c r="K705" s="6"/>
      <c r="L705" s="6"/>
      <c r="M705" s="6"/>
      <c r="N705" s="6"/>
      <c r="O705" s="6"/>
      <c r="P705" s="6"/>
      <c r="Q705" s="6"/>
      <c r="R705" s="6"/>
      <c r="S705" s="6"/>
      <c r="T705" s="6"/>
      <c r="U705" s="6"/>
      <c r="V705" s="6"/>
      <c r="W705" s="6"/>
      <c r="X705" s="6"/>
      <c r="Y705" s="6"/>
      <c r="Z705" s="6"/>
      <c r="AA705" s="6"/>
      <c r="AB705" s="6"/>
      <c r="AC705" s="6"/>
      <c r="AD705" s="6"/>
      <c r="AE705" s="6"/>
    </row>
    <row r="706" spans="1:31" x14ac:dyDescent="0.35">
      <c r="A706" s="6">
        <v>706</v>
      </c>
      <c r="B706" s="6" t="s">
        <v>8</v>
      </c>
      <c r="C706" s="10" t="s">
        <v>16</v>
      </c>
      <c r="D706" s="9" t="s">
        <v>1815</v>
      </c>
      <c r="E706" s="7">
        <f t="shared" ref="E706:E751" si="18">ROUND(G706-F706,0)</f>
        <v>0</v>
      </c>
      <c r="F706" s="7">
        <f>-1*ROUND(1/6*(I706*IF(_xlfn.XLOOKUP(H706,'02效果表'!D:D,'02效果表'!E:E)&lt;0, _xlfn.XLOOKUP(H706,'02效果表'!D:D,'02效果表'!E:E), 0) +
K706*IF(_xlfn.XLOOKUP(J706,'02效果表'!D:D,'02效果表'!E:E)&lt;0, _xlfn.XLOOKUP(J706,'02效果表'!D:D,'02效果表'!E:E), 0) +
M706*IF(_xlfn.XLOOKUP(L706,'02效果表'!D:D,'02效果表'!E:E)&lt;0, _xlfn.XLOOKUP(L706,'02效果表'!D:D,'02效果表'!E:E), 0) +
O706*IF(_xlfn.XLOOKUP(N706,'02效果表'!D:D,'02效果表'!E:E)&lt;0, _xlfn.XLOOKUP(N706,'02效果表'!D:D,'02效果表'!E:E), 0) +
Q706*IF(_xlfn.XLOOKUP(P706,'02效果表'!D:D,'02效果表'!E:E)&lt;0, _xlfn.XLOOKUP(P706,'02效果表'!D:D,'02效果表'!E:E), 0) +
S706*IF(_xlfn.XLOOKUP(R706,'02效果表'!D:D,'02效果表'!E:E)&lt;0, _xlfn.XLOOKUP(R706,'02效果表'!D:D,'02效果表'!E:E), 0) +
U706*IF(_xlfn.XLOOKUP(T706,'02效果表'!D:D,'02效果表'!E:E)&lt;0, _xlfn.XLOOKUP(T706,'02效果表'!D:D,'02效果表'!E:E), 0) +
W706*IF(_xlfn.XLOOKUP(V706,'02效果表'!D:D,'02效果表'!E:E)&lt;0, _xlfn.XLOOKUP(V706,'02效果表'!D:D,'02效果表'!E:E), 0) +
Y706*IF(_xlfn.XLOOKUP(X706,'02效果表'!D:D,'02效果表'!E:E)&lt;0, _xlfn.XLOOKUP(X706,'02效果表'!D:D,'02效果表'!E:E), 0) +
AA706*IF(_xlfn.XLOOKUP(Z706,'02效果表'!D:D,'02效果表'!E:E)&lt;0, _xlfn.XLOOKUP(Z706,'02效果表'!D:D,'02效果表'!E:E), 0) +
AC706*IF(_xlfn.XLOOKUP(AB706,'02效果表'!D:D,'02效果表'!E:E)&lt;0, _xlfn.XLOOKUP(AB706,'02效果表'!D:D,'02效果表'!E:E), 0) +
AE706*IF(_xlfn.XLOOKUP(AD706,'02效果表'!D:D,'02效果表'!E:E)&lt;0, _xlfn.XLOOKUP(AD706,'02效果表'!D:D,'02效果表'!E:E), 0)), 1)</f>
        <v>0</v>
      </c>
      <c r="G706" s="7">
        <f>ROUND(1/6*(I706*MAX(_xlfn.XLOOKUP(H706,'02效果表'!D:D,'02效果表'!E:E),0)+K706*MAX(_xlfn.XLOOKUP(J706,'02效果表'!D:D,'02效果表'!E:E),0)+M706*MAX(_xlfn.XLOOKUP(L706,'02效果表'!D:D,'02效果表'!E:E),0)+O706*MAX(_xlfn.XLOOKUP(N706,'02效果表'!D:D,'02效果表'!E:E),0)+Q706*MAX(_xlfn.XLOOKUP(P706,'02效果表'!D:D,'02效果表'!E:E),0)+S706*MAX(_xlfn.XLOOKUP(R706,'02效果表'!D:D,'02效果表'!E:E),0)+U706*MAX(_xlfn.XLOOKUP(T706,'02效果表'!D:D,'02效果表'!E:E),0)+W706*MAX(_xlfn.XLOOKUP(V706,'02效果表'!D:D,'02效果表'!E:E),0)+Y706*MAX(_xlfn.XLOOKUP(X706,'02效果表'!D:D,'02效果表'!E:E),0)+AA706*MAX(_xlfn.XLOOKUP(Z706,'02效果表'!D:D,'02效果表'!E:E),0)+AC706*MAX(_xlfn.XLOOKUP(AB706,'02效果表'!D:D,'02效果表'!E:E),0)+AE706*MAX(_xlfn.XLOOKUP(AD706,'02效果表'!D:D,'02效果表'!E:E),0)),1)</f>
        <v>0</v>
      </c>
      <c r="H706" s="6"/>
      <c r="I706" s="6"/>
      <c r="J706" s="6"/>
      <c r="K706" s="6"/>
      <c r="L706" s="6"/>
      <c r="M706" s="6"/>
      <c r="N706" s="6"/>
      <c r="O706" s="6"/>
      <c r="P706" s="6"/>
      <c r="Q706" s="6"/>
      <c r="R706" s="6"/>
      <c r="S706" s="6"/>
      <c r="T706" s="6"/>
      <c r="U706" s="6"/>
      <c r="V706" s="6"/>
      <c r="W706" s="6"/>
      <c r="X706" s="6"/>
      <c r="Y706" s="6"/>
      <c r="Z706" s="6"/>
      <c r="AA706" s="6"/>
      <c r="AB706" s="6"/>
      <c r="AC706" s="6"/>
      <c r="AD706" s="6"/>
      <c r="AE706" s="6"/>
    </row>
    <row r="707" spans="1:31" x14ac:dyDescent="0.35">
      <c r="A707" s="6">
        <v>707</v>
      </c>
      <c r="B707" s="6" t="s">
        <v>8</v>
      </c>
      <c r="C707" s="10" t="s">
        <v>16</v>
      </c>
      <c r="D707" s="9" t="s">
        <v>1816</v>
      </c>
      <c r="E707" s="7">
        <f t="shared" si="18"/>
        <v>0</v>
      </c>
      <c r="F707" s="7">
        <f>-1*ROUND(1/6*(I707*IF(_xlfn.XLOOKUP(H707,'02效果表'!D:D,'02效果表'!E:E)&lt;0, _xlfn.XLOOKUP(H707,'02效果表'!D:D,'02效果表'!E:E), 0) +
K707*IF(_xlfn.XLOOKUP(J707,'02效果表'!D:D,'02效果表'!E:E)&lt;0, _xlfn.XLOOKUP(J707,'02效果表'!D:D,'02效果表'!E:E), 0) +
M707*IF(_xlfn.XLOOKUP(L707,'02效果表'!D:D,'02效果表'!E:E)&lt;0, _xlfn.XLOOKUP(L707,'02效果表'!D:D,'02效果表'!E:E), 0) +
O707*IF(_xlfn.XLOOKUP(N707,'02效果表'!D:D,'02效果表'!E:E)&lt;0, _xlfn.XLOOKUP(N707,'02效果表'!D:D,'02效果表'!E:E), 0) +
Q707*IF(_xlfn.XLOOKUP(P707,'02效果表'!D:D,'02效果表'!E:E)&lt;0, _xlfn.XLOOKUP(P707,'02效果表'!D:D,'02效果表'!E:E), 0) +
S707*IF(_xlfn.XLOOKUP(R707,'02效果表'!D:D,'02效果表'!E:E)&lt;0, _xlfn.XLOOKUP(R707,'02效果表'!D:D,'02效果表'!E:E), 0) +
U707*IF(_xlfn.XLOOKUP(T707,'02效果表'!D:D,'02效果表'!E:E)&lt;0, _xlfn.XLOOKUP(T707,'02效果表'!D:D,'02效果表'!E:E), 0) +
W707*IF(_xlfn.XLOOKUP(V707,'02效果表'!D:D,'02效果表'!E:E)&lt;0, _xlfn.XLOOKUP(V707,'02效果表'!D:D,'02效果表'!E:E), 0) +
Y707*IF(_xlfn.XLOOKUP(X707,'02效果表'!D:D,'02效果表'!E:E)&lt;0, _xlfn.XLOOKUP(X707,'02效果表'!D:D,'02效果表'!E:E), 0) +
AA707*IF(_xlfn.XLOOKUP(Z707,'02效果表'!D:D,'02效果表'!E:E)&lt;0, _xlfn.XLOOKUP(Z707,'02效果表'!D:D,'02效果表'!E:E), 0) +
AC707*IF(_xlfn.XLOOKUP(AB707,'02效果表'!D:D,'02效果表'!E:E)&lt;0, _xlfn.XLOOKUP(AB707,'02效果表'!D:D,'02效果表'!E:E), 0) +
AE707*IF(_xlfn.XLOOKUP(AD707,'02效果表'!D:D,'02效果表'!E:E)&lt;0, _xlfn.XLOOKUP(AD707,'02效果表'!D:D,'02效果表'!E:E), 0)), 1)</f>
        <v>0</v>
      </c>
      <c r="G707" s="7">
        <f>ROUND(1/6*(I707*MAX(_xlfn.XLOOKUP(H707,'02效果表'!D:D,'02效果表'!E:E),0)+K707*MAX(_xlfn.XLOOKUP(J707,'02效果表'!D:D,'02效果表'!E:E),0)+M707*MAX(_xlfn.XLOOKUP(L707,'02效果表'!D:D,'02效果表'!E:E),0)+O707*MAX(_xlfn.XLOOKUP(N707,'02效果表'!D:D,'02效果表'!E:E),0)+Q707*MAX(_xlfn.XLOOKUP(P707,'02效果表'!D:D,'02效果表'!E:E),0)+S707*MAX(_xlfn.XLOOKUP(R707,'02效果表'!D:D,'02效果表'!E:E),0)+U707*MAX(_xlfn.XLOOKUP(T707,'02效果表'!D:D,'02效果表'!E:E),0)+W707*MAX(_xlfn.XLOOKUP(V707,'02效果表'!D:D,'02效果表'!E:E),0)+Y707*MAX(_xlfn.XLOOKUP(X707,'02效果表'!D:D,'02效果表'!E:E),0)+AA707*MAX(_xlfn.XLOOKUP(Z707,'02效果表'!D:D,'02效果表'!E:E),0)+AC707*MAX(_xlfn.XLOOKUP(AB707,'02效果表'!D:D,'02效果表'!E:E),0)+AE707*MAX(_xlfn.XLOOKUP(AD707,'02效果表'!D:D,'02效果表'!E:E),0)),1)</f>
        <v>0</v>
      </c>
      <c r="H707" s="6"/>
      <c r="I707" s="6"/>
      <c r="J707" s="6"/>
      <c r="K707" s="6"/>
      <c r="L707" s="6"/>
      <c r="M707" s="6"/>
      <c r="N707" s="6"/>
      <c r="O707" s="6"/>
      <c r="P707" s="6"/>
      <c r="Q707" s="6"/>
      <c r="R707" s="6"/>
      <c r="S707" s="6"/>
      <c r="T707" s="6"/>
      <c r="U707" s="6"/>
      <c r="V707" s="6"/>
      <c r="W707" s="6"/>
      <c r="X707" s="6"/>
      <c r="Y707" s="6"/>
      <c r="Z707" s="6"/>
      <c r="AA707" s="6"/>
      <c r="AB707" s="6"/>
      <c r="AC707" s="6"/>
      <c r="AD707" s="6"/>
      <c r="AE707" s="6"/>
    </row>
    <row r="708" spans="1:31" x14ac:dyDescent="0.35">
      <c r="A708" s="6">
        <v>708</v>
      </c>
      <c r="B708" s="6" t="s">
        <v>8</v>
      </c>
      <c r="C708" s="10" t="s">
        <v>16</v>
      </c>
      <c r="D708" s="9" t="s">
        <v>1817</v>
      </c>
      <c r="E708" s="7">
        <f t="shared" si="18"/>
        <v>0</v>
      </c>
      <c r="F708" s="7">
        <f>-1*ROUND(1/6*(I708*IF(_xlfn.XLOOKUP(H708,'02效果表'!D:D,'02效果表'!E:E)&lt;0, _xlfn.XLOOKUP(H708,'02效果表'!D:D,'02效果表'!E:E), 0) +
K708*IF(_xlfn.XLOOKUP(J708,'02效果表'!D:D,'02效果表'!E:E)&lt;0, _xlfn.XLOOKUP(J708,'02效果表'!D:D,'02效果表'!E:E), 0) +
M708*IF(_xlfn.XLOOKUP(L708,'02效果表'!D:D,'02效果表'!E:E)&lt;0, _xlfn.XLOOKUP(L708,'02效果表'!D:D,'02效果表'!E:E), 0) +
O708*IF(_xlfn.XLOOKUP(N708,'02效果表'!D:D,'02效果表'!E:E)&lt;0, _xlfn.XLOOKUP(N708,'02效果表'!D:D,'02效果表'!E:E), 0) +
Q708*IF(_xlfn.XLOOKUP(P708,'02效果表'!D:D,'02效果表'!E:E)&lt;0, _xlfn.XLOOKUP(P708,'02效果表'!D:D,'02效果表'!E:E), 0) +
S708*IF(_xlfn.XLOOKUP(R708,'02效果表'!D:D,'02效果表'!E:E)&lt;0, _xlfn.XLOOKUP(R708,'02效果表'!D:D,'02效果表'!E:E), 0) +
U708*IF(_xlfn.XLOOKUP(T708,'02效果表'!D:D,'02效果表'!E:E)&lt;0, _xlfn.XLOOKUP(T708,'02效果表'!D:D,'02效果表'!E:E), 0) +
W708*IF(_xlfn.XLOOKUP(V708,'02效果表'!D:D,'02效果表'!E:E)&lt;0, _xlfn.XLOOKUP(V708,'02效果表'!D:D,'02效果表'!E:E), 0) +
Y708*IF(_xlfn.XLOOKUP(X708,'02效果表'!D:D,'02效果表'!E:E)&lt;0, _xlfn.XLOOKUP(X708,'02效果表'!D:D,'02效果表'!E:E), 0) +
AA708*IF(_xlfn.XLOOKUP(Z708,'02效果表'!D:D,'02效果表'!E:E)&lt;0, _xlfn.XLOOKUP(Z708,'02效果表'!D:D,'02效果表'!E:E), 0) +
AC708*IF(_xlfn.XLOOKUP(AB708,'02效果表'!D:D,'02效果表'!E:E)&lt;0, _xlfn.XLOOKUP(AB708,'02效果表'!D:D,'02效果表'!E:E), 0) +
AE708*IF(_xlfn.XLOOKUP(AD708,'02效果表'!D:D,'02效果表'!E:E)&lt;0, _xlfn.XLOOKUP(AD708,'02效果表'!D:D,'02效果表'!E:E), 0)), 1)</f>
        <v>0</v>
      </c>
      <c r="G708" s="7">
        <f>ROUND(1/6*(I708*MAX(_xlfn.XLOOKUP(H708,'02效果表'!D:D,'02效果表'!E:E),0)+K708*MAX(_xlfn.XLOOKUP(J708,'02效果表'!D:D,'02效果表'!E:E),0)+M708*MAX(_xlfn.XLOOKUP(L708,'02效果表'!D:D,'02效果表'!E:E),0)+O708*MAX(_xlfn.XLOOKUP(N708,'02效果表'!D:D,'02效果表'!E:E),0)+Q708*MAX(_xlfn.XLOOKUP(P708,'02效果表'!D:D,'02效果表'!E:E),0)+S708*MAX(_xlfn.XLOOKUP(R708,'02效果表'!D:D,'02效果表'!E:E),0)+U708*MAX(_xlfn.XLOOKUP(T708,'02效果表'!D:D,'02效果表'!E:E),0)+W708*MAX(_xlfn.XLOOKUP(V708,'02效果表'!D:D,'02效果表'!E:E),0)+Y708*MAX(_xlfn.XLOOKUP(X708,'02效果表'!D:D,'02效果表'!E:E),0)+AA708*MAX(_xlfn.XLOOKUP(Z708,'02效果表'!D:D,'02效果表'!E:E),0)+AC708*MAX(_xlfn.XLOOKUP(AB708,'02效果表'!D:D,'02效果表'!E:E),0)+AE708*MAX(_xlfn.XLOOKUP(AD708,'02效果表'!D:D,'02效果表'!E:E),0)),1)</f>
        <v>0</v>
      </c>
      <c r="H708" s="6"/>
      <c r="I708" s="6"/>
      <c r="J708" s="6"/>
      <c r="K708" s="6"/>
      <c r="L708" s="6"/>
      <c r="M708" s="6"/>
      <c r="N708" s="6"/>
      <c r="O708" s="6"/>
      <c r="P708" s="6"/>
      <c r="Q708" s="6"/>
      <c r="R708" s="6"/>
      <c r="S708" s="6"/>
      <c r="T708" s="6"/>
      <c r="U708" s="6"/>
      <c r="V708" s="6"/>
      <c r="W708" s="6"/>
      <c r="X708" s="6"/>
      <c r="Y708" s="6"/>
      <c r="Z708" s="6"/>
      <c r="AA708" s="6"/>
      <c r="AB708" s="6"/>
      <c r="AC708" s="6"/>
      <c r="AD708" s="6"/>
      <c r="AE708" s="6"/>
    </row>
    <row r="709" spans="1:31" x14ac:dyDescent="0.35">
      <c r="A709" s="6">
        <v>709</v>
      </c>
      <c r="B709" s="6" t="s">
        <v>8</v>
      </c>
      <c r="C709" s="10" t="s">
        <v>16</v>
      </c>
      <c r="D709" s="9" t="s">
        <v>1818</v>
      </c>
      <c r="E709" s="7">
        <f t="shared" si="18"/>
        <v>0</v>
      </c>
      <c r="F709" s="7">
        <f>-1*ROUND(1/6*(I709*IF(_xlfn.XLOOKUP(H709,'02效果表'!D:D,'02效果表'!E:E)&lt;0, _xlfn.XLOOKUP(H709,'02效果表'!D:D,'02效果表'!E:E), 0) +
K709*IF(_xlfn.XLOOKUP(J709,'02效果表'!D:D,'02效果表'!E:E)&lt;0, _xlfn.XLOOKUP(J709,'02效果表'!D:D,'02效果表'!E:E), 0) +
M709*IF(_xlfn.XLOOKUP(L709,'02效果表'!D:D,'02效果表'!E:E)&lt;0, _xlfn.XLOOKUP(L709,'02效果表'!D:D,'02效果表'!E:E), 0) +
O709*IF(_xlfn.XLOOKUP(N709,'02效果表'!D:D,'02效果表'!E:E)&lt;0, _xlfn.XLOOKUP(N709,'02效果表'!D:D,'02效果表'!E:E), 0) +
Q709*IF(_xlfn.XLOOKUP(P709,'02效果表'!D:D,'02效果表'!E:E)&lt;0, _xlfn.XLOOKUP(P709,'02效果表'!D:D,'02效果表'!E:E), 0) +
S709*IF(_xlfn.XLOOKUP(R709,'02效果表'!D:D,'02效果表'!E:E)&lt;0, _xlfn.XLOOKUP(R709,'02效果表'!D:D,'02效果表'!E:E), 0) +
U709*IF(_xlfn.XLOOKUP(T709,'02效果表'!D:D,'02效果表'!E:E)&lt;0, _xlfn.XLOOKUP(T709,'02效果表'!D:D,'02效果表'!E:E), 0) +
W709*IF(_xlfn.XLOOKUP(V709,'02效果表'!D:D,'02效果表'!E:E)&lt;0, _xlfn.XLOOKUP(V709,'02效果表'!D:D,'02效果表'!E:E), 0) +
Y709*IF(_xlfn.XLOOKUP(X709,'02效果表'!D:D,'02效果表'!E:E)&lt;0, _xlfn.XLOOKUP(X709,'02效果表'!D:D,'02效果表'!E:E), 0) +
AA709*IF(_xlfn.XLOOKUP(Z709,'02效果表'!D:D,'02效果表'!E:E)&lt;0, _xlfn.XLOOKUP(Z709,'02效果表'!D:D,'02效果表'!E:E), 0) +
AC709*IF(_xlfn.XLOOKUP(AB709,'02效果表'!D:D,'02效果表'!E:E)&lt;0, _xlfn.XLOOKUP(AB709,'02效果表'!D:D,'02效果表'!E:E), 0) +
AE709*IF(_xlfn.XLOOKUP(AD709,'02效果表'!D:D,'02效果表'!E:E)&lt;0, _xlfn.XLOOKUP(AD709,'02效果表'!D:D,'02效果表'!E:E), 0)), 1)</f>
        <v>0</v>
      </c>
      <c r="G709" s="7">
        <f>ROUND(1/6*(I709*MAX(_xlfn.XLOOKUP(H709,'02效果表'!D:D,'02效果表'!E:E),0)+K709*MAX(_xlfn.XLOOKUP(J709,'02效果表'!D:D,'02效果表'!E:E),0)+M709*MAX(_xlfn.XLOOKUP(L709,'02效果表'!D:D,'02效果表'!E:E),0)+O709*MAX(_xlfn.XLOOKUP(N709,'02效果表'!D:D,'02效果表'!E:E),0)+Q709*MAX(_xlfn.XLOOKUP(P709,'02效果表'!D:D,'02效果表'!E:E),0)+S709*MAX(_xlfn.XLOOKUP(R709,'02效果表'!D:D,'02效果表'!E:E),0)+U709*MAX(_xlfn.XLOOKUP(T709,'02效果表'!D:D,'02效果表'!E:E),0)+W709*MAX(_xlfn.XLOOKUP(V709,'02效果表'!D:D,'02效果表'!E:E),0)+Y709*MAX(_xlfn.XLOOKUP(X709,'02效果表'!D:D,'02效果表'!E:E),0)+AA709*MAX(_xlfn.XLOOKUP(Z709,'02效果表'!D:D,'02效果表'!E:E),0)+AC709*MAX(_xlfn.XLOOKUP(AB709,'02效果表'!D:D,'02效果表'!E:E),0)+AE709*MAX(_xlfn.XLOOKUP(AD709,'02效果表'!D:D,'02效果表'!E:E),0)),1)</f>
        <v>0</v>
      </c>
      <c r="H709" s="6"/>
      <c r="I709" s="6"/>
      <c r="J709" s="6"/>
      <c r="K709" s="6"/>
      <c r="L709" s="6"/>
      <c r="M709" s="6"/>
      <c r="N709" s="6"/>
      <c r="O709" s="6"/>
      <c r="P709" s="6"/>
      <c r="Q709" s="6"/>
      <c r="R709" s="6"/>
      <c r="S709" s="6"/>
      <c r="T709" s="6"/>
      <c r="U709" s="6"/>
      <c r="V709" s="6"/>
      <c r="W709" s="6"/>
      <c r="X709" s="6"/>
      <c r="Y709" s="6"/>
      <c r="Z709" s="6"/>
      <c r="AA709" s="6"/>
      <c r="AB709" s="6"/>
      <c r="AC709" s="6"/>
      <c r="AD709" s="6"/>
      <c r="AE709" s="6"/>
    </row>
    <row r="710" spans="1:31" x14ac:dyDescent="0.35">
      <c r="A710" s="6">
        <v>710</v>
      </c>
      <c r="B710" s="6" t="s">
        <v>8</v>
      </c>
      <c r="C710" s="10" t="s">
        <v>16</v>
      </c>
      <c r="D710" s="9" t="s">
        <v>1819</v>
      </c>
      <c r="E710" s="7">
        <f t="shared" si="18"/>
        <v>0</v>
      </c>
      <c r="F710" s="7">
        <f>-1*ROUND(1/6*(I710*IF(_xlfn.XLOOKUP(H710,'02效果表'!D:D,'02效果表'!E:E)&lt;0, _xlfn.XLOOKUP(H710,'02效果表'!D:D,'02效果表'!E:E), 0) +
K710*IF(_xlfn.XLOOKUP(J710,'02效果表'!D:D,'02效果表'!E:E)&lt;0, _xlfn.XLOOKUP(J710,'02效果表'!D:D,'02效果表'!E:E), 0) +
M710*IF(_xlfn.XLOOKUP(L710,'02效果表'!D:D,'02效果表'!E:E)&lt;0, _xlfn.XLOOKUP(L710,'02效果表'!D:D,'02效果表'!E:E), 0) +
O710*IF(_xlfn.XLOOKUP(N710,'02效果表'!D:D,'02效果表'!E:E)&lt;0, _xlfn.XLOOKUP(N710,'02效果表'!D:D,'02效果表'!E:E), 0) +
Q710*IF(_xlfn.XLOOKUP(P710,'02效果表'!D:D,'02效果表'!E:E)&lt;0, _xlfn.XLOOKUP(P710,'02效果表'!D:D,'02效果表'!E:E), 0) +
S710*IF(_xlfn.XLOOKUP(R710,'02效果表'!D:D,'02效果表'!E:E)&lt;0, _xlfn.XLOOKUP(R710,'02效果表'!D:D,'02效果表'!E:E), 0) +
U710*IF(_xlfn.XLOOKUP(T710,'02效果表'!D:D,'02效果表'!E:E)&lt;0, _xlfn.XLOOKUP(T710,'02效果表'!D:D,'02效果表'!E:E), 0) +
W710*IF(_xlfn.XLOOKUP(V710,'02效果表'!D:D,'02效果表'!E:E)&lt;0, _xlfn.XLOOKUP(V710,'02效果表'!D:D,'02效果表'!E:E), 0) +
Y710*IF(_xlfn.XLOOKUP(X710,'02效果表'!D:D,'02效果表'!E:E)&lt;0, _xlfn.XLOOKUP(X710,'02效果表'!D:D,'02效果表'!E:E), 0) +
AA710*IF(_xlfn.XLOOKUP(Z710,'02效果表'!D:D,'02效果表'!E:E)&lt;0, _xlfn.XLOOKUP(Z710,'02效果表'!D:D,'02效果表'!E:E), 0) +
AC710*IF(_xlfn.XLOOKUP(AB710,'02效果表'!D:D,'02效果表'!E:E)&lt;0, _xlfn.XLOOKUP(AB710,'02效果表'!D:D,'02效果表'!E:E), 0) +
AE710*IF(_xlfn.XLOOKUP(AD710,'02效果表'!D:D,'02效果表'!E:E)&lt;0, _xlfn.XLOOKUP(AD710,'02效果表'!D:D,'02效果表'!E:E), 0)), 1)</f>
        <v>0</v>
      </c>
      <c r="G710" s="7">
        <f>ROUND(1/6*(I710*MAX(_xlfn.XLOOKUP(H710,'02效果表'!D:D,'02效果表'!E:E),0)+K710*MAX(_xlfn.XLOOKUP(J710,'02效果表'!D:D,'02效果表'!E:E),0)+M710*MAX(_xlfn.XLOOKUP(L710,'02效果表'!D:D,'02效果表'!E:E),0)+O710*MAX(_xlfn.XLOOKUP(N710,'02效果表'!D:D,'02效果表'!E:E),0)+Q710*MAX(_xlfn.XLOOKUP(P710,'02效果表'!D:D,'02效果表'!E:E),0)+S710*MAX(_xlfn.XLOOKUP(R710,'02效果表'!D:D,'02效果表'!E:E),0)+U710*MAX(_xlfn.XLOOKUP(T710,'02效果表'!D:D,'02效果表'!E:E),0)+W710*MAX(_xlfn.XLOOKUP(V710,'02效果表'!D:D,'02效果表'!E:E),0)+Y710*MAX(_xlfn.XLOOKUP(X710,'02效果表'!D:D,'02效果表'!E:E),0)+AA710*MAX(_xlfn.XLOOKUP(Z710,'02效果表'!D:D,'02效果表'!E:E),0)+AC710*MAX(_xlfn.XLOOKUP(AB710,'02效果表'!D:D,'02效果表'!E:E),0)+AE710*MAX(_xlfn.XLOOKUP(AD710,'02效果表'!D:D,'02效果表'!E:E),0)),1)</f>
        <v>0</v>
      </c>
      <c r="H710" s="6"/>
      <c r="I710" s="6"/>
      <c r="J710" s="6"/>
      <c r="K710" s="6"/>
      <c r="L710" s="6"/>
      <c r="M710" s="6"/>
      <c r="N710" s="6"/>
      <c r="O710" s="6"/>
      <c r="P710" s="6"/>
      <c r="Q710" s="6"/>
      <c r="R710" s="6"/>
      <c r="S710" s="6"/>
      <c r="T710" s="6"/>
      <c r="U710" s="6"/>
      <c r="V710" s="6"/>
      <c r="W710" s="6"/>
      <c r="X710" s="6"/>
      <c r="Y710" s="6"/>
      <c r="Z710" s="6"/>
      <c r="AA710" s="6"/>
      <c r="AB710" s="6"/>
      <c r="AC710" s="6"/>
      <c r="AD710" s="6"/>
      <c r="AE710" s="6"/>
    </row>
    <row r="711" spans="1:31" x14ac:dyDescent="0.35">
      <c r="A711" s="6">
        <v>711</v>
      </c>
      <c r="B711" s="6" t="s">
        <v>8</v>
      </c>
      <c r="C711" s="10" t="s">
        <v>16</v>
      </c>
      <c r="D711" s="9" t="s">
        <v>1820</v>
      </c>
      <c r="E711" s="7">
        <f t="shared" si="18"/>
        <v>0</v>
      </c>
      <c r="F711" s="7">
        <f>-1*ROUND(1/6*(I711*IF(_xlfn.XLOOKUP(H711,'02效果表'!D:D,'02效果表'!E:E)&lt;0, _xlfn.XLOOKUP(H711,'02效果表'!D:D,'02效果表'!E:E), 0) +
K711*IF(_xlfn.XLOOKUP(J711,'02效果表'!D:D,'02效果表'!E:E)&lt;0, _xlfn.XLOOKUP(J711,'02效果表'!D:D,'02效果表'!E:E), 0) +
M711*IF(_xlfn.XLOOKUP(L711,'02效果表'!D:D,'02效果表'!E:E)&lt;0, _xlfn.XLOOKUP(L711,'02效果表'!D:D,'02效果表'!E:E), 0) +
O711*IF(_xlfn.XLOOKUP(N711,'02效果表'!D:D,'02效果表'!E:E)&lt;0, _xlfn.XLOOKUP(N711,'02效果表'!D:D,'02效果表'!E:E), 0) +
Q711*IF(_xlfn.XLOOKUP(P711,'02效果表'!D:D,'02效果表'!E:E)&lt;0, _xlfn.XLOOKUP(P711,'02效果表'!D:D,'02效果表'!E:E), 0) +
S711*IF(_xlfn.XLOOKUP(R711,'02效果表'!D:D,'02效果表'!E:E)&lt;0, _xlfn.XLOOKUP(R711,'02效果表'!D:D,'02效果表'!E:E), 0) +
U711*IF(_xlfn.XLOOKUP(T711,'02效果表'!D:D,'02效果表'!E:E)&lt;0, _xlfn.XLOOKUP(T711,'02效果表'!D:D,'02效果表'!E:E), 0) +
W711*IF(_xlfn.XLOOKUP(V711,'02效果表'!D:D,'02效果表'!E:E)&lt;0, _xlfn.XLOOKUP(V711,'02效果表'!D:D,'02效果表'!E:E), 0) +
Y711*IF(_xlfn.XLOOKUP(X711,'02效果表'!D:D,'02效果表'!E:E)&lt;0, _xlfn.XLOOKUP(X711,'02效果表'!D:D,'02效果表'!E:E), 0) +
AA711*IF(_xlfn.XLOOKUP(Z711,'02效果表'!D:D,'02效果表'!E:E)&lt;0, _xlfn.XLOOKUP(Z711,'02效果表'!D:D,'02效果表'!E:E), 0) +
AC711*IF(_xlfn.XLOOKUP(AB711,'02效果表'!D:D,'02效果表'!E:E)&lt;0, _xlfn.XLOOKUP(AB711,'02效果表'!D:D,'02效果表'!E:E), 0) +
AE711*IF(_xlfn.XLOOKUP(AD711,'02效果表'!D:D,'02效果表'!E:E)&lt;0, _xlfn.XLOOKUP(AD711,'02效果表'!D:D,'02效果表'!E:E), 0)), 1)</f>
        <v>0</v>
      </c>
      <c r="G711" s="7">
        <f>ROUND(1/6*(I711*MAX(_xlfn.XLOOKUP(H711,'02效果表'!D:D,'02效果表'!E:E),0)+K711*MAX(_xlfn.XLOOKUP(J711,'02效果表'!D:D,'02效果表'!E:E),0)+M711*MAX(_xlfn.XLOOKUP(L711,'02效果表'!D:D,'02效果表'!E:E),0)+O711*MAX(_xlfn.XLOOKUP(N711,'02效果表'!D:D,'02效果表'!E:E),0)+Q711*MAX(_xlfn.XLOOKUP(P711,'02效果表'!D:D,'02效果表'!E:E),0)+S711*MAX(_xlfn.XLOOKUP(R711,'02效果表'!D:D,'02效果表'!E:E),0)+U711*MAX(_xlfn.XLOOKUP(T711,'02效果表'!D:D,'02效果表'!E:E),0)+W711*MAX(_xlfn.XLOOKUP(V711,'02效果表'!D:D,'02效果表'!E:E),0)+Y711*MAX(_xlfn.XLOOKUP(X711,'02效果表'!D:D,'02效果表'!E:E),0)+AA711*MAX(_xlfn.XLOOKUP(Z711,'02效果表'!D:D,'02效果表'!E:E),0)+AC711*MAX(_xlfn.XLOOKUP(AB711,'02效果表'!D:D,'02效果表'!E:E),0)+AE711*MAX(_xlfn.XLOOKUP(AD711,'02效果表'!D:D,'02效果表'!E:E),0)),1)</f>
        <v>0</v>
      </c>
      <c r="H711" s="6"/>
      <c r="I711" s="6"/>
      <c r="J711" s="6"/>
      <c r="K711" s="6"/>
      <c r="L711" s="6"/>
      <c r="M711" s="6"/>
      <c r="N711" s="6"/>
      <c r="O711" s="6"/>
      <c r="P711" s="6"/>
      <c r="Q711" s="6"/>
      <c r="R711" s="6"/>
      <c r="S711" s="6"/>
      <c r="T711" s="6"/>
      <c r="U711" s="6"/>
      <c r="V711" s="6"/>
      <c r="W711" s="6"/>
      <c r="X711" s="6"/>
      <c r="Y711" s="6"/>
      <c r="Z711" s="6"/>
      <c r="AA711" s="6"/>
      <c r="AB711" s="6"/>
      <c r="AC711" s="6"/>
      <c r="AD711" s="6"/>
      <c r="AE711" s="6"/>
    </row>
    <row r="712" spans="1:31" x14ac:dyDescent="0.35">
      <c r="A712" s="6">
        <v>712</v>
      </c>
      <c r="B712" s="6" t="s">
        <v>8</v>
      </c>
      <c r="C712" s="10" t="s">
        <v>16</v>
      </c>
      <c r="D712" s="9" t="s">
        <v>1821</v>
      </c>
      <c r="E712" s="7">
        <f t="shared" si="18"/>
        <v>0</v>
      </c>
      <c r="F712" s="7">
        <f>-1*ROUND(1/6*(I712*IF(_xlfn.XLOOKUP(H712,'02效果表'!D:D,'02效果表'!E:E)&lt;0, _xlfn.XLOOKUP(H712,'02效果表'!D:D,'02效果表'!E:E), 0) +
K712*IF(_xlfn.XLOOKUP(J712,'02效果表'!D:D,'02效果表'!E:E)&lt;0, _xlfn.XLOOKUP(J712,'02效果表'!D:D,'02效果表'!E:E), 0) +
M712*IF(_xlfn.XLOOKUP(L712,'02效果表'!D:D,'02效果表'!E:E)&lt;0, _xlfn.XLOOKUP(L712,'02效果表'!D:D,'02效果表'!E:E), 0) +
O712*IF(_xlfn.XLOOKUP(N712,'02效果表'!D:D,'02效果表'!E:E)&lt;0, _xlfn.XLOOKUP(N712,'02效果表'!D:D,'02效果表'!E:E), 0) +
Q712*IF(_xlfn.XLOOKUP(P712,'02效果表'!D:D,'02效果表'!E:E)&lt;0, _xlfn.XLOOKUP(P712,'02效果表'!D:D,'02效果表'!E:E), 0) +
S712*IF(_xlfn.XLOOKUP(R712,'02效果表'!D:D,'02效果表'!E:E)&lt;0, _xlfn.XLOOKUP(R712,'02效果表'!D:D,'02效果表'!E:E), 0) +
U712*IF(_xlfn.XLOOKUP(T712,'02效果表'!D:D,'02效果表'!E:E)&lt;0, _xlfn.XLOOKUP(T712,'02效果表'!D:D,'02效果表'!E:E), 0) +
W712*IF(_xlfn.XLOOKUP(V712,'02效果表'!D:D,'02效果表'!E:E)&lt;0, _xlfn.XLOOKUP(V712,'02效果表'!D:D,'02效果表'!E:E), 0) +
Y712*IF(_xlfn.XLOOKUP(X712,'02效果表'!D:D,'02效果表'!E:E)&lt;0, _xlfn.XLOOKUP(X712,'02效果表'!D:D,'02效果表'!E:E), 0) +
AA712*IF(_xlfn.XLOOKUP(Z712,'02效果表'!D:D,'02效果表'!E:E)&lt;0, _xlfn.XLOOKUP(Z712,'02效果表'!D:D,'02效果表'!E:E), 0) +
AC712*IF(_xlfn.XLOOKUP(AB712,'02效果表'!D:D,'02效果表'!E:E)&lt;0, _xlfn.XLOOKUP(AB712,'02效果表'!D:D,'02效果表'!E:E), 0) +
AE712*IF(_xlfn.XLOOKUP(AD712,'02效果表'!D:D,'02效果表'!E:E)&lt;0, _xlfn.XLOOKUP(AD712,'02效果表'!D:D,'02效果表'!E:E), 0)), 1)</f>
        <v>0</v>
      </c>
      <c r="G712" s="7">
        <f>ROUND(1/6*(I712*MAX(_xlfn.XLOOKUP(H712,'02效果表'!D:D,'02效果表'!E:E),0)+K712*MAX(_xlfn.XLOOKUP(J712,'02效果表'!D:D,'02效果表'!E:E),0)+M712*MAX(_xlfn.XLOOKUP(L712,'02效果表'!D:D,'02效果表'!E:E),0)+O712*MAX(_xlfn.XLOOKUP(N712,'02效果表'!D:D,'02效果表'!E:E),0)+Q712*MAX(_xlfn.XLOOKUP(P712,'02效果表'!D:D,'02效果表'!E:E),0)+S712*MAX(_xlfn.XLOOKUP(R712,'02效果表'!D:D,'02效果表'!E:E),0)+U712*MAX(_xlfn.XLOOKUP(T712,'02效果表'!D:D,'02效果表'!E:E),0)+W712*MAX(_xlfn.XLOOKUP(V712,'02效果表'!D:D,'02效果表'!E:E),0)+Y712*MAX(_xlfn.XLOOKUP(X712,'02效果表'!D:D,'02效果表'!E:E),0)+AA712*MAX(_xlfn.XLOOKUP(Z712,'02效果表'!D:D,'02效果表'!E:E),0)+AC712*MAX(_xlfn.XLOOKUP(AB712,'02效果表'!D:D,'02效果表'!E:E),0)+AE712*MAX(_xlfn.XLOOKUP(AD712,'02效果表'!D:D,'02效果表'!E:E),0)),1)</f>
        <v>0</v>
      </c>
      <c r="H712" s="6"/>
      <c r="I712" s="6"/>
      <c r="J712" s="6"/>
      <c r="K712" s="6"/>
      <c r="L712" s="6"/>
      <c r="M712" s="6"/>
      <c r="N712" s="6"/>
      <c r="O712" s="6"/>
      <c r="P712" s="6"/>
      <c r="Q712" s="6"/>
      <c r="R712" s="6"/>
      <c r="S712" s="6"/>
      <c r="T712" s="6"/>
      <c r="U712" s="6"/>
      <c r="V712" s="6"/>
      <c r="W712" s="6"/>
      <c r="X712" s="6"/>
      <c r="Y712" s="6"/>
      <c r="Z712" s="6"/>
      <c r="AA712" s="6"/>
      <c r="AB712" s="6"/>
      <c r="AC712" s="6"/>
      <c r="AD712" s="6"/>
      <c r="AE712" s="6"/>
    </row>
    <row r="713" spans="1:31" x14ac:dyDescent="0.35">
      <c r="A713" s="6">
        <v>713</v>
      </c>
      <c r="B713" s="6" t="s">
        <v>8</v>
      </c>
      <c r="C713" s="10" t="s">
        <v>16</v>
      </c>
      <c r="D713" s="9"/>
      <c r="E713" s="7">
        <f t="shared" si="18"/>
        <v>0</v>
      </c>
      <c r="F713" s="7">
        <f>-1*ROUND(1/6*(I713*IF(_xlfn.XLOOKUP(H713,'02效果表'!D:D,'02效果表'!E:E)&lt;0, _xlfn.XLOOKUP(H713,'02效果表'!D:D,'02效果表'!E:E), 0) +
K713*IF(_xlfn.XLOOKUP(J713,'02效果表'!D:D,'02效果表'!E:E)&lt;0, _xlfn.XLOOKUP(J713,'02效果表'!D:D,'02效果表'!E:E), 0) +
M713*IF(_xlfn.XLOOKUP(L713,'02效果表'!D:D,'02效果表'!E:E)&lt;0, _xlfn.XLOOKUP(L713,'02效果表'!D:D,'02效果表'!E:E), 0) +
O713*IF(_xlfn.XLOOKUP(N713,'02效果表'!D:D,'02效果表'!E:E)&lt;0, _xlfn.XLOOKUP(N713,'02效果表'!D:D,'02效果表'!E:E), 0) +
Q713*IF(_xlfn.XLOOKUP(P713,'02效果表'!D:D,'02效果表'!E:E)&lt;0, _xlfn.XLOOKUP(P713,'02效果表'!D:D,'02效果表'!E:E), 0) +
S713*IF(_xlfn.XLOOKUP(R713,'02效果表'!D:D,'02效果表'!E:E)&lt;0, _xlfn.XLOOKUP(R713,'02效果表'!D:D,'02效果表'!E:E), 0) +
U713*IF(_xlfn.XLOOKUP(T713,'02效果表'!D:D,'02效果表'!E:E)&lt;0, _xlfn.XLOOKUP(T713,'02效果表'!D:D,'02效果表'!E:E), 0) +
W713*IF(_xlfn.XLOOKUP(V713,'02效果表'!D:D,'02效果表'!E:E)&lt;0, _xlfn.XLOOKUP(V713,'02效果表'!D:D,'02效果表'!E:E), 0) +
Y713*IF(_xlfn.XLOOKUP(X713,'02效果表'!D:D,'02效果表'!E:E)&lt;0, _xlfn.XLOOKUP(X713,'02效果表'!D:D,'02效果表'!E:E), 0) +
AA713*IF(_xlfn.XLOOKUP(Z713,'02效果表'!D:D,'02效果表'!E:E)&lt;0, _xlfn.XLOOKUP(Z713,'02效果表'!D:D,'02效果表'!E:E), 0) +
AC713*IF(_xlfn.XLOOKUP(AB713,'02效果表'!D:D,'02效果表'!E:E)&lt;0, _xlfn.XLOOKUP(AB713,'02效果表'!D:D,'02效果表'!E:E), 0) +
AE713*IF(_xlfn.XLOOKUP(AD713,'02效果表'!D:D,'02效果表'!E:E)&lt;0, _xlfn.XLOOKUP(AD713,'02效果表'!D:D,'02效果表'!E:E), 0)), 1)</f>
        <v>0</v>
      </c>
      <c r="G713" s="7">
        <f>ROUND(1/6*(I713*MAX(_xlfn.XLOOKUP(H713,'02效果表'!D:D,'02效果表'!E:E),0)+K713*MAX(_xlfn.XLOOKUP(J713,'02效果表'!D:D,'02效果表'!E:E),0)+M713*MAX(_xlfn.XLOOKUP(L713,'02效果表'!D:D,'02效果表'!E:E),0)+O713*MAX(_xlfn.XLOOKUP(N713,'02效果表'!D:D,'02效果表'!E:E),0)+Q713*MAX(_xlfn.XLOOKUP(P713,'02效果表'!D:D,'02效果表'!E:E),0)+S713*MAX(_xlfn.XLOOKUP(R713,'02效果表'!D:D,'02效果表'!E:E),0)+U713*MAX(_xlfn.XLOOKUP(T713,'02效果表'!D:D,'02效果表'!E:E),0)+W713*MAX(_xlfn.XLOOKUP(V713,'02效果表'!D:D,'02效果表'!E:E),0)+Y713*MAX(_xlfn.XLOOKUP(X713,'02效果表'!D:D,'02效果表'!E:E),0)+AA713*MAX(_xlfn.XLOOKUP(Z713,'02效果表'!D:D,'02效果表'!E:E),0)+AC713*MAX(_xlfn.XLOOKUP(AB713,'02效果表'!D:D,'02效果表'!E:E),0)+AE713*MAX(_xlfn.XLOOKUP(AD713,'02效果表'!D:D,'02效果表'!E:E),0)),1)</f>
        <v>0</v>
      </c>
      <c r="H713" s="6"/>
      <c r="I713" s="6"/>
      <c r="J713" s="6"/>
      <c r="K713" s="6"/>
      <c r="L713" s="6"/>
      <c r="M713" s="6"/>
      <c r="N713" s="6"/>
      <c r="O713" s="6"/>
      <c r="P713" s="6"/>
      <c r="Q713" s="6"/>
      <c r="R713" s="6"/>
      <c r="S713" s="6"/>
      <c r="T713" s="6"/>
      <c r="U713" s="6"/>
      <c r="V713" s="6"/>
      <c r="W713" s="6"/>
      <c r="X713" s="6"/>
      <c r="Y713" s="6"/>
      <c r="Z713" s="6"/>
      <c r="AA713" s="6"/>
      <c r="AB713" s="6"/>
      <c r="AC713" s="6"/>
      <c r="AD713" s="6"/>
      <c r="AE713" s="6"/>
    </row>
    <row r="714" spans="1:31" x14ac:dyDescent="0.35">
      <c r="A714" s="6">
        <v>714</v>
      </c>
      <c r="B714" s="6" t="s">
        <v>8</v>
      </c>
      <c r="C714" s="10" t="s">
        <v>16</v>
      </c>
      <c r="D714" s="9"/>
      <c r="E714" s="7">
        <f t="shared" si="18"/>
        <v>0</v>
      </c>
      <c r="F714" s="7">
        <f>-1*ROUND(1/6*(I714*IF(_xlfn.XLOOKUP(H714,'02效果表'!D:D,'02效果表'!E:E)&lt;0, _xlfn.XLOOKUP(H714,'02效果表'!D:D,'02效果表'!E:E), 0) +
K714*IF(_xlfn.XLOOKUP(J714,'02效果表'!D:D,'02效果表'!E:E)&lt;0, _xlfn.XLOOKUP(J714,'02效果表'!D:D,'02效果表'!E:E), 0) +
M714*IF(_xlfn.XLOOKUP(L714,'02效果表'!D:D,'02效果表'!E:E)&lt;0, _xlfn.XLOOKUP(L714,'02效果表'!D:D,'02效果表'!E:E), 0) +
O714*IF(_xlfn.XLOOKUP(N714,'02效果表'!D:D,'02效果表'!E:E)&lt;0, _xlfn.XLOOKUP(N714,'02效果表'!D:D,'02效果表'!E:E), 0) +
Q714*IF(_xlfn.XLOOKUP(P714,'02效果表'!D:D,'02效果表'!E:E)&lt;0, _xlfn.XLOOKUP(P714,'02效果表'!D:D,'02效果表'!E:E), 0) +
S714*IF(_xlfn.XLOOKUP(R714,'02效果表'!D:D,'02效果表'!E:E)&lt;0, _xlfn.XLOOKUP(R714,'02效果表'!D:D,'02效果表'!E:E), 0) +
U714*IF(_xlfn.XLOOKUP(T714,'02效果表'!D:D,'02效果表'!E:E)&lt;0, _xlfn.XLOOKUP(T714,'02效果表'!D:D,'02效果表'!E:E), 0) +
W714*IF(_xlfn.XLOOKUP(V714,'02效果表'!D:D,'02效果表'!E:E)&lt;0, _xlfn.XLOOKUP(V714,'02效果表'!D:D,'02效果表'!E:E), 0) +
Y714*IF(_xlfn.XLOOKUP(X714,'02效果表'!D:D,'02效果表'!E:E)&lt;0, _xlfn.XLOOKUP(X714,'02效果表'!D:D,'02效果表'!E:E), 0) +
AA714*IF(_xlfn.XLOOKUP(Z714,'02效果表'!D:D,'02效果表'!E:E)&lt;0, _xlfn.XLOOKUP(Z714,'02效果表'!D:D,'02效果表'!E:E), 0) +
AC714*IF(_xlfn.XLOOKUP(AB714,'02效果表'!D:D,'02效果表'!E:E)&lt;0, _xlfn.XLOOKUP(AB714,'02效果表'!D:D,'02效果表'!E:E), 0) +
AE714*IF(_xlfn.XLOOKUP(AD714,'02效果表'!D:D,'02效果表'!E:E)&lt;0, _xlfn.XLOOKUP(AD714,'02效果表'!D:D,'02效果表'!E:E), 0)), 1)</f>
        <v>0</v>
      </c>
      <c r="G714" s="7">
        <f>ROUND(1/6*(I714*MAX(_xlfn.XLOOKUP(H714,'02效果表'!D:D,'02效果表'!E:E),0)+K714*MAX(_xlfn.XLOOKUP(J714,'02效果表'!D:D,'02效果表'!E:E),0)+M714*MAX(_xlfn.XLOOKUP(L714,'02效果表'!D:D,'02效果表'!E:E),0)+O714*MAX(_xlfn.XLOOKUP(N714,'02效果表'!D:D,'02效果表'!E:E),0)+Q714*MAX(_xlfn.XLOOKUP(P714,'02效果表'!D:D,'02效果表'!E:E),0)+S714*MAX(_xlfn.XLOOKUP(R714,'02效果表'!D:D,'02效果表'!E:E),0)+U714*MAX(_xlfn.XLOOKUP(T714,'02效果表'!D:D,'02效果表'!E:E),0)+W714*MAX(_xlfn.XLOOKUP(V714,'02效果表'!D:D,'02效果表'!E:E),0)+Y714*MAX(_xlfn.XLOOKUP(X714,'02效果表'!D:D,'02效果表'!E:E),0)+AA714*MAX(_xlfn.XLOOKUP(Z714,'02效果表'!D:D,'02效果表'!E:E),0)+AC714*MAX(_xlfn.XLOOKUP(AB714,'02效果表'!D:D,'02效果表'!E:E),0)+AE714*MAX(_xlfn.XLOOKUP(AD714,'02效果表'!D:D,'02效果表'!E:E),0)),1)</f>
        <v>0</v>
      </c>
      <c r="H714" s="6"/>
      <c r="I714" s="6"/>
      <c r="J714" s="6"/>
      <c r="K714" s="6"/>
      <c r="L714" s="6"/>
      <c r="M714" s="6"/>
      <c r="N714" s="6"/>
      <c r="O714" s="6"/>
      <c r="P714" s="6"/>
      <c r="Q714" s="6"/>
      <c r="R714" s="6"/>
      <c r="S714" s="6"/>
      <c r="T714" s="6"/>
      <c r="U714" s="6"/>
      <c r="V714" s="6"/>
      <c r="W714" s="6"/>
      <c r="X714" s="6"/>
      <c r="Y714" s="6"/>
      <c r="Z714" s="6"/>
      <c r="AA714" s="6"/>
      <c r="AB714" s="6"/>
      <c r="AC714" s="6"/>
      <c r="AD714" s="6"/>
      <c r="AE714" s="6"/>
    </row>
    <row r="715" spans="1:31" x14ac:dyDescent="0.35">
      <c r="A715" s="6">
        <v>715</v>
      </c>
      <c r="B715" s="6" t="s">
        <v>8</v>
      </c>
      <c r="C715" s="10" t="s">
        <v>16</v>
      </c>
      <c r="D715" s="9"/>
      <c r="E715" s="7">
        <f t="shared" si="18"/>
        <v>0</v>
      </c>
      <c r="F715" s="7">
        <f>-1*ROUND(1/6*(I715*IF(_xlfn.XLOOKUP(H715,'02效果表'!D:D,'02效果表'!E:E)&lt;0, _xlfn.XLOOKUP(H715,'02效果表'!D:D,'02效果表'!E:E), 0) +
K715*IF(_xlfn.XLOOKUP(J715,'02效果表'!D:D,'02效果表'!E:E)&lt;0, _xlfn.XLOOKUP(J715,'02效果表'!D:D,'02效果表'!E:E), 0) +
M715*IF(_xlfn.XLOOKUP(L715,'02效果表'!D:D,'02效果表'!E:E)&lt;0, _xlfn.XLOOKUP(L715,'02效果表'!D:D,'02效果表'!E:E), 0) +
O715*IF(_xlfn.XLOOKUP(N715,'02效果表'!D:D,'02效果表'!E:E)&lt;0, _xlfn.XLOOKUP(N715,'02效果表'!D:D,'02效果表'!E:E), 0) +
Q715*IF(_xlfn.XLOOKUP(P715,'02效果表'!D:D,'02效果表'!E:E)&lt;0, _xlfn.XLOOKUP(P715,'02效果表'!D:D,'02效果表'!E:E), 0) +
S715*IF(_xlfn.XLOOKUP(R715,'02效果表'!D:D,'02效果表'!E:E)&lt;0, _xlfn.XLOOKUP(R715,'02效果表'!D:D,'02效果表'!E:E), 0) +
U715*IF(_xlfn.XLOOKUP(T715,'02效果表'!D:D,'02效果表'!E:E)&lt;0, _xlfn.XLOOKUP(T715,'02效果表'!D:D,'02效果表'!E:E), 0) +
W715*IF(_xlfn.XLOOKUP(V715,'02效果表'!D:D,'02效果表'!E:E)&lt;0, _xlfn.XLOOKUP(V715,'02效果表'!D:D,'02效果表'!E:E), 0) +
Y715*IF(_xlfn.XLOOKUP(X715,'02效果表'!D:D,'02效果表'!E:E)&lt;0, _xlfn.XLOOKUP(X715,'02效果表'!D:D,'02效果表'!E:E), 0) +
AA715*IF(_xlfn.XLOOKUP(Z715,'02效果表'!D:D,'02效果表'!E:E)&lt;0, _xlfn.XLOOKUP(Z715,'02效果表'!D:D,'02效果表'!E:E), 0) +
AC715*IF(_xlfn.XLOOKUP(AB715,'02效果表'!D:D,'02效果表'!E:E)&lt;0, _xlfn.XLOOKUP(AB715,'02效果表'!D:D,'02效果表'!E:E), 0) +
AE715*IF(_xlfn.XLOOKUP(AD715,'02效果表'!D:D,'02效果表'!E:E)&lt;0, _xlfn.XLOOKUP(AD715,'02效果表'!D:D,'02效果表'!E:E), 0)), 1)</f>
        <v>0</v>
      </c>
      <c r="G715" s="7">
        <f>ROUND(1/6*(I715*MAX(_xlfn.XLOOKUP(H715,'02效果表'!D:D,'02效果表'!E:E),0)+K715*MAX(_xlfn.XLOOKUP(J715,'02效果表'!D:D,'02效果表'!E:E),0)+M715*MAX(_xlfn.XLOOKUP(L715,'02效果表'!D:D,'02效果表'!E:E),0)+O715*MAX(_xlfn.XLOOKUP(N715,'02效果表'!D:D,'02效果表'!E:E),0)+Q715*MAX(_xlfn.XLOOKUP(P715,'02效果表'!D:D,'02效果表'!E:E),0)+S715*MAX(_xlfn.XLOOKUP(R715,'02效果表'!D:D,'02效果表'!E:E),0)+U715*MAX(_xlfn.XLOOKUP(T715,'02效果表'!D:D,'02效果表'!E:E),0)+W715*MAX(_xlfn.XLOOKUP(V715,'02效果表'!D:D,'02效果表'!E:E),0)+Y715*MAX(_xlfn.XLOOKUP(X715,'02效果表'!D:D,'02效果表'!E:E),0)+AA715*MAX(_xlfn.XLOOKUP(Z715,'02效果表'!D:D,'02效果表'!E:E),0)+AC715*MAX(_xlfn.XLOOKUP(AB715,'02效果表'!D:D,'02效果表'!E:E),0)+AE715*MAX(_xlfn.XLOOKUP(AD715,'02效果表'!D:D,'02效果表'!E:E),0)),1)</f>
        <v>0</v>
      </c>
      <c r="H715" s="6"/>
      <c r="I715" s="6"/>
      <c r="J715" s="6"/>
      <c r="K715" s="6"/>
      <c r="L715" s="6"/>
      <c r="M715" s="6"/>
      <c r="N715" s="6"/>
      <c r="O715" s="6"/>
      <c r="P715" s="6"/>
      <c r="Q715" s="6"/>
      <c r="R715" s="6"/>
      <c r="S715" s="6"/>
      <c r="T715" s="6"/>
      <c r="U715" s="6"/>
      <c r="V715" s="6"/>
      <c r="W715" s="6"/>
      <c r="X715" s="6"/>
      <c r="Y715" s="6"/>
      <c r="Z715" s="6"/>
      <c r="AA715" s="6"/>
      <c r="AB715" s="6"/>
      <c r="AC715" s="6"/>
      <c r="AD715" s="6"/>
      <c r="AE715" s="6"/>
    </row>
    <row r="716" spans="1:31" x14ac:dyDescent="0.35">
      <c r="A716" s="6">
        <v>716</v>
      </c>
      <c r="B716" s="6" t="s">
        <v>8</v>
      </c>
      <c r="C716" s="10" t="s">
        <v>16</v>
      </c>
      <c r="D716" s="9"/>
      <c r="E716" s="7">
        <f t="shared" si="18"/>
        <v>0</v>
      </c>
      <c r="F716" s="7">
        <f>-1*ROUND(1/6*(I716*IF(_xlfn.XLOOKUP(H716,'02效果表'!D:D,'02效果表'!E:E)&lt;0, _xlfn.XLOOKUP(H716,'02效果表'!D:D,'02效果表'!E:E), 0) +
K716*IF(_xlfn.XLOOKUP(J716,'02效果表'!D:D,'02效果表'!E:E)&lt;0, _xlfn.XLOOKUP(J716,'02效果表'!D:D,'02效果表'!E:E), 0) +
M716*IF(_xlfn.XLOOKUP(L716,'02效果表'!D:D,'02效果表'!E:E)&lt;0, _xlfn.XLOOKUP(L716,'02效果表'!D:D,'02效果表'!E:E), 0) +
O716*IF(_xlfn.XLOOKUP(N716,'02效果表'!D:D,'02效果表'!E:E)&lt;0, _xlfn.XLOOKUP(N716,'02效果表'!D:D,'02效果表'!E:E), 0) +
Q716*IF(_xlfn.XLOOKUP(P716,'02效果表'!D:D,'02效果表'!E:E)&lt;0, _xlfn.XLOOKUP(P716,'02效果表'!D:D,'02效果表'!E:E), 0) +
S716*IF(_xlfn.XLOOKUP(R716,'02效果表'!D:D,'02效果表'!E:E)&lt;0, _xlfn.XLOOKUP(R716,'02效果表'!D:D,'02效果表'!E:E), 0) +
U716*IF(_xlfn.XLOOKUP(T716,'02效果表'!D:D,'02效果表'!E:E)&lt;0, _xlfn.XLOOKUP(T716,'02效果表'!D:D,'02效果表'!E:E), 0) +
W716*IF(_xlfn.XLOOKUP(V716,'02效果表'!D:D,'02效果表'!E:E)&lt;0, _xlfn.XLOOKUP(V716,'02效果表'!D:D,'02效果表'!E:E), 0) +
Y716*IF(_xlfn.XLOOKUP(X716,'02效果表'!D:D,'02效果表'!E:E)&lt;0, _xlfn.XLOOKUP(X716,'02效果表'!D:D,'02效果表'!E:E), 0) +
AA716*IF(_xlfn.XLOOKUP(Z716,'02效果表'!D:D,'02效果表'!E:E)&lt;0, _xlfn.XLOOKUP(Z716,'02效果表'!D:D,'02效果表'!E:E), 0) +
AC716*IF(_xlfn.XLOOKUP(AB716,'02效果表'!D:D,'02效果表'!E:E)&lt;0, _xlfn.XLOOKUP(AB716,'02效果表'!D:D,'02效果表'!E:E), 0) +
AE716*IF(_xlfn.XLOOKUP(AD716,'02效果表'!D:D,'02效果表'!E:E)&lt;0, _xlfn.XLOOKUP(AD716,'02效果表'!D:D,'02效果表'!E:E), 0)), 1)</f>
        <v>0</v>
      </c>
      <c r="G716" s="7">
        <f>ROUND(1/6*(I716*MAX(_xlfn.XLOOKUP(H716,'02效果表'!D:D,'02效果表'!E:E),0)+K716*MAX(_xlfn.XLOOKUP(J716,'02效果表'!D:D,'02效果表'!E:E),0)+M716*MAX(_xlfn.XLOOKUP(L716,'02效果表'!D:D,'02效果表'!E:E),0)+O716*MAX(_xlfn.XLOOKUP(N716,'02效果表'!D:D,'02效果表'!E:E),0)+Q716*MAX(_xlfn.XLOOKUP(P716,'02效果表'!D:D,'02效果表'!E:E),0)+S716*MAX(_xlfn.XLOOKUP(R716,'02效果表'!D:D,'02效果表'!E:E),0)+U716*MAX(_xlfn.XLOOKUP(T716,'02效果表'!D:D,'02效果表'!E:E),0)+W716*MAX(_xlfn.XLOOKUP(V716,'02效果表'!D:D,'02效果表'!E:E),0)+Y716*MAX(_xlfn.XLOOKUP(X716,'02效果表'!D:D,'02效果表'!E:E),0)+AA716*MAX(_xlfn.XLOOKUP(Z716,'02效果表'!D:D,'02效果表'!E:E),0)+AC716*MAX(_xlfn.XLOOKUP(AB716,'02效果表'!D:D,'02效果表'!E:E),0)+AE716*MAX(_xlfn.XLOOKUP(AD716,'02效果表'!D:D,'02效果表'!E:E),0)),1)</f>
        <v>0</v>
      </c>
      <c r="H716" s="6"/>
      <c r="I716" s="6"/>
      <c r="J716" s="6"/>
      <c r="K716" s="6"/>
      <c r="L716" s="6"/>
      <c r="M716" s="6"/>
      <c r="N716" s="6"/>
      <c r="O716" s="6"/>
      <c r="P716" s="6"/>
      <c r="Q716" s="6"/>
      <c r="R716" s="6"/>
      <c r="S716" s="6"/>
      <c r="T716" s="6"/>
      <c r="U716" s="6"/>
      <c r="V716" s="6"/>
      <c r="W716" s="6"/>
      <c r="X716" s="6"/>
      <c r="Y716" s="6"/>
      <c r="Z716" s="6"/>
      <c r="AA716" s="6"/>
      <c r="AB716" s="6"/>
      <c r="AC716" s="6"/>
      <c r="AD716" s="6"/>
      <c r="AE716" s="6"/>
    </row>
    <row r="717" spans="1:31" x14ac:dyDescent="0.35">
      <c r="A717" s="6">
        <v>717</v>
      </c>
      <c r="B717" s="6" t="s">
        <v>8</v>
      </c>
      <c r="C717" s="10" t="s">
        <v>16</v>
      </c>
      <c r="D717" s="9"/>
      <c r="E717" s="7">
        <f t="shared" si="18"/>
        <v>0</v>
      </c>
      <c r="F717" s="7">
        <f>-1*ROUND(1/6*(I717*IF(_xlfn.XLOOKUP(H717,'02效果表'!D:D,'02效果表'!E:E)&lt;0, _xlfn.XLOOKUP(H717,'02效果表'!D:D,'02效果表'!E:E), 0) +
K717*IF(_xlfn.XLOOKUP(J717,'02效果表'!D:D,'02效果表'!E:E)&lt;0, _xlfn.XLOOKUP(J717,'02效果表'!D:D,'02效果表'!E:E), 0) +
M717*IF(_xlfn.XLOOKUP(L717,'02效果表'!D:D,'02效果表'!E:E)&lt;0, _xlfn.XLOOKUP(L717,'02效果表'!D:D,'02效果表'!E:E), 0) +
O717*IF(_xlfn.XLOOKUP(N717,'02效果表'!D:D,'02效果表'!E:E)&lt;0, _xlfn.XLOOKUP(N717,'02效果表'!D:D,'02效果表'!E:E), 0) +
Q717*IF(_xlfn.XLOOKUP(P717,'02效果表'!D:D,'02效果表'!E:E)&lt;0, _xlfn.XLOOKUP(P717,'02效果表'!D:D,'02效果表'!E:E), 0) +
S717*IF(_xlfn.XLOOKUP(R717,'02效果表'!D:D,'02效果表'!E:E)&lt;0, _xlfn.XLOOKUP(R717,'02效果表'!D:D,'02效果表'!E:E), 0) +
U717*IF(_xlfn.XLOOKUP(T717,'02效果表'!D:D,'02效果表'!E:E)&lt;0, _xlfn.XLOOKUP(T717,'02效果表'!D:D,'02效果表'!E:E), 0) +
W717*IF(_xlfn.XLOOKUP(V717,'02效果表'!D:D,'02效果表'!E:E)&lt;0, _xlfn.XLOOKUP(V717,'02效果表'!D:D,'02效果表'!E:E), 0) +
Y717*IF(_xlfn.XLOOKUP(X717,'02效果表'!D:D,'02效果表'!E:E)&lt;0, _xlfn.XLOOKUP(X717,'02效果表'!D:D,'02效果表'!E:E), 0) +
AA717*IF(_xlfn.XLOOKUP(Z717,'02效果表'!D:D,'02效果表'!E:E)&lt;0, _xlfn.XLOOKUP(Z717,'02效果表'!D:D,'02效果表'!E:E), 0) +
AC717*IF(_xlfn.XLOOKUP(AB717,'02效果表'!D:D,'02效果表'!E:E)&lt;0, _xlfn.XLOOKUP(AB717,'02效果表'!D:D,'02效果表'!E:E), 0) +
AE717*IF(_xlfn.XLOOKUP(AD717,'02效果表'!D:D,'02效果表'!E:E)&lt;0, _xlfn.XLOOKUP(AD717,'02效果表'!D:D,'02效果表'!E:E), 0)), 1)</f>
        <v>0</v>
      </c>
      <c r="G717" s="7">
        <f>ROUND(1/6*(I717*MAX(_xlfn.XLOOKUP(H717,'02效果表'!D:D,'02效果表'!E:E),0)+K717*MAX(_xlfn.XLOOKUP(J717,'02效果表'!D:D,'02效果表'!E:E),0)+M717*MAX(_xlfn.XLOOKUP(L717,'02效果表'!D:D,'02效果表'!E:E),0)+O717*MAX(_xlfn.XLOOKUP(N717,'02效果表'!D:D,'02效果表'!E:E),0)+Q717*MAX(_xlfn.XLOOKUP(P717,'02效果表'!D:D,'02效果表'!E:E),0)+S717*MAX(_xlfn.XLOOKUP(R717,'02效果表'!D:D,'02效果表'!E:E),0)+U717*MAX(_xlfn.XLOOKUP(T717,'02效果表'!D:D,'02效果表'!E:E),0)+W717*MAX(_xlfn.XLOOKUP(V717,'02效果表'!D:D,'02效果表'!E:E),0)+Y717*MAX(_xlfn.XLOOKUP(X717,'02效果表'!D:D,'02效果表'!E:E),0)+AA717*MAX(_xlfn.XLOOKUP(Z717,'02效果表'!D:D,'02效果表'!E:E),0)+AC717*MAX(_xlfn.XLOOKUP(AB717,'02效果表'!D:D,'02效果表'!E:E),0)+AE717*MAX(_xlfn.XLOOKUP(AD717,'02效果表'!D:D,'02效果表'!E:E),0)),1)</f>
        <v>0</v>
      </c>
      <c r="H717" s="6"/>
      <c r="I717" s="6"/>
      <c r="J717" s="6"/>
      <c r="K717" s="6"/>
      <c r="L717" s="6"/>
      <c r="M717" s="6"/>
      <c r="N717" s="6"/>
      <c r="O717" s="6"/>
      <c r="P717" s="6"/>
      <c r="Q717" s="6"/>
      <c r="R717" s="6"/>
      <c r="S717" s="6"/>
      <c r="T717" s="6"/>
      <c r="U717" s="6"/>
      <c r="V717" s="6"/>
      <c r="W717" s="6"/>
      <c r="X717" s="6"/>
      <c r="Y717" s="6"/>
      <c r="Z717" s="6"/>
      <c r="AA717" s="6"/>
      <c r="AB717" s="6"/>
      <c r="AC717" s="6"/>
      <c r="AD717" s="6"/>
      <c r="AE717" s="6"/>
    </row>
    <row r="718" spans="1:31" x14ac:dyDescent="0.35">
      <c r="A718" s="6">
        <v>718</v>
      </c>
      <c r="B718" s="6" t="s">
        <v>8</v>
      </c>
      <c r="C718" s="10" t="s">
        <v>16</v>
      </c>
      <c r="D718" s="9"/>
      <c r="E718" s="7">
        <f t="shared" si="18"/>
        <v>0</v>
      </c>
      <c r="F718" s="7">
        <f>-1*ROUND(1/6*(I718*IF(_xlfn.XLOOKUP(H718,'02效果表'!D:D,'02效果表'!E:E)&lt;0, _xlfn.XLOOKUP(H718,'02效果表'!D:D,'02效果表'!E:E), 0) +
K718*IF(_xlfn.XLOOKUP(J718,'02效果表'!D:D,'02效果表'!E:E)&lt;0, _xlfn.XLOOKUP(J718,'02效果表'!D:D,'02效果表'!E:E), 0) +
M718*IF(_xlfn.XLOOKUP(L718,'02效果表'!D:D,'02效果表'!E:E)&lt;0, _xlfn.XLOOKUP(L718,'02效果表'!D:D,'02效果表'!E:E), 0) +
O718*IF(_xlfn.XLOOKUP(N718,'02效果表'!D:D,'02效果表'!E:E)&lt;0, _xlfn.XLOOKUP(N718,'02效果表'!D:D,'02效果表'!E:E), 0) +
Q718*IF(_xlfn.XLOOKUP(P718,'02效果表'!D:D,'02效果表'!E:E)&lt;0, _xlfn.XLOOKUP(P718,'02效果表'!D:D,'02效果表'!E:E), 0) +
S718*IF(_xlfn.XLOOKUP(R718,'02效果表'!D:D,'02效果表'!E:E)&lt;0, _xlfn.XLOOKUP(R718,'02效果表'!D:D,'02效果表'!E:E), 0) +
U718*IF(_xlfn.XLOOKUP(T718,'02效果表'!D:D,'02效果表'!E:E)&lt;0, _xlfn.XLOOKUP(T718,'02效果表'!D:D,'02效果表'!E:E), 0) +
W718*IF(_xlfn.XLOOKUP(V718,'02效果表'!D:D,'02效果表'!E:E)&lt;0, _xlfn.XLOOKUP(V718,'02效果表'!D:D,'02效果表'!E:E), 0) +
Y718*IF(_xlfn.XLOOKUP(X718,'02效果表'!D:D,'02效果表'!E:E)&lt;0, _xlfn.XLOOKUP(X718,'02效果表'!D:D,'02效果表'!E:E), 0) +
AA718*IF(_xlfn.XLOOKUP(Z718,'02效果表'!D:D,'02效果表'!E:E)&lt;0, _xlfn.XLOOKUP(Z718,'02效果表'!D:D,'02效果表'!E:E), 0) +
AC718*IF(_xlfn.XLOOKUP(AB718,'02效果表'!D:D,'02效果表'!E:E)&lt;0, _xlfn.XLOOKUP(AB718,'02效果表'!D:D,'02效果表'!E:E), 0) +
AE718*IF(_xlfn.XLOOKUP(AD718,'02效果表'!D:D,'02效果表'!E:E)&lt;0, _xlfn.XLOOKUP(AD718,'02效果表'!D:D,'02效果表'!E:E), 0)), 1)</f>
        <v>0</v>
      </c>
      <c r="G718" s="7">
        <f>ROUND(1/6*(I718*MAX(_xlfn.XLOOKUP(H718,'02效果表'!D:D,'02效果表'!E:E),0)+K718*MAX(_xlfn.XLOOKUP(J718,'02效果表'!D:D,'02效果表'!E:E),0)+M718*MAX(_xlfn.XLOOKUP(L718,'02效果表'!D:D,'02效果表'!E:E),0)+O718*MAX(_xlfn.XLOOKUP(N718,'02效果表'!D:D,'02效果表'!E:E),0)+Q718*MAX(_xlfn.XLOOKUP(P718,'02效果表'!D:D,'02效果表'!E:E),0)+S718*MAX(_xlfn.XLOOKUP(R718,'02效果表'!D:D,'02效果表'!E:E),0)+U718*MAX(_xlfn.XLOOKUP(T718,'02效果表'!D:D,'02效果表'!E:E),0)+W718*MAX(_xlfn.XLOOKUP(V718,'02效果表'!D:D,'02效果表'!E:E),0)+Y718*MAX(_xlfn.XLOOKUP(X718,'02效果表'!D:D,'02效果表'!E:E),0)+AA718*MAX(_xlfn.XLOOKUP(Z718,'02效果表'!D:D,'02效果表'!E:E),0)+AC718*MAX(_xlfn.XLOOKUP(AB718,'02效果表'!D:D,'02效果表'!E:E),0)+AE718*MAX(_xlfn.XLOOKUP(AD718,'02效果表'!D:D,'02效果表'!E:E),0)),1)</f>
        <v>0</v>
      </c>
      <c r="H718" s="6"/>
      <c r="I718" s="6"/>
      <c r="J718" s="6"/>
      <c r="K718" s="6"/>
      <c r="L718" s="6"/>
      <c r="M718" s="6"/>
      <c r="N718" s="6"/>
      <c r="O718" s="6"/>
      <c r="P718" s="6"/>
      <c r="Q718" s="6"/>
      <c r="R718" s="6"/>
      <c r="S718" s="6"/>
      <c r="T718" s="6"/>
      <c r="U718" s="6"/>
      <c r="V718" s="6"/>
      <c r="W718" s="6"/>
      <c r="X718" s="6"/>
      <c r="Y718" s="6"/>
      <c r="Z718" s="6"/>
      <c r="AA718" s="6"/>
      <c r="AB718" s="6"/>
      <c r="AC718" s="6"/>
      <c r="AD718" s="6"/>
      <c r="AE718" s="6"/>
    </row>
    <row r="719" spans="1:31" x14ac:dyDescent="0.35">
      <c r="A719" s="6">
        <v>719</v>
      </c>
      <c r="B719" s="6" t="s">
        <v>8</v>
      </c>
      <c r="C719" s="10" t="s">
        <v>16</v>
      </c>
      <c r="D719" s="9"/>
      <c r="E719" s="7">
        <f t="shared" si="18"/>
        <v>0</v>
      </c>
      <c r="F719" s="7">
        <f>-1*ROUND(1/6*(I719*IF(_xlfn.XLOOKUP(H719,'02效果表'!D:D,'02效果表'!E:E)&lt;0, _xlfn.XLOOKUP(H719,'02效果表'!D:D,'02效果表'!E:E), 0) +
K719*IF(_xlfn.XLOOKUP(J719,'02效果表'!D:D,'02效果表'!E:E)&lt;0, _xlfn.XLOOKUP(J719,'02效果表'!D:D,'02效果表'!E:E), 0) +
M719*IF(_xlfn.XLOOKUP(L719,'02效果表'!D:D,'02效果表'!E:E)&lt;0, _xlfn.XLOOKUP(L719,'02效果表'!D:D,'02效果表'!E:E), 0) +
O719*IF(_xlfn.XLOOKUP(N719,'02效果表'!D:D,'02效果表'!E:E)&lt;0, _xlfn.XLOOKUP(N719,'02效果表'!D:D,'02效果表'!E:E), 0) +
Q719*IF(_xlfn.XLOOKUP(P719,'02效果表'!D:D,'02效果表'!E:E)&lt;0, _xlfn.XLOOKUP(P719,'02效果表'!D:D,'02效果表'!E:E), 0) +
S719*IF(_xlfn.XLOOKUP(R719,'02效果表'!D:D,'02效果表'!E:E)&lt;0, _xlfn.XLOOKUP(R719,'02效果表'!D:D,'02效果表'!E:E), 0) +
U719*IF(_xlfn.XLOOKUP(T719,'02效果表'!D:D,'02效果表'!E:E)&lt;0, _xlfn.XLOOKUP(T719,'02效果表'!D:D,'02效果表'!E:E), 0) +
W719*IF(_xlfn.XLOOKUP(V719,'02效果表'!D:D,'02效果表'!E:E)&lt;0, _xlfn.XLOOKUP(V719,'02效果表'!D:D,'02效果表'!E:E), 0) +
Y719*IF(_xlfn.XLOOKUP(X719,'02效果表'!D:D,'02效果表'!E:E)&lt;0, _xlfn.XLOOKUP(X719,'02效果表'!D:D,'02效果表'!E:E), 0) +
AA719*IF(_xlfn.XLOOKUP(Z719,'02效果表'!D:D,'02效果表'!E:E)&lt;0, _xlfn.XLOOKUP(Z719,'02效果表'!D:D,'02效果表'!E:E), 0) +
AC719*IF(_xlfn.XLOOKUP(AB719,'02效果表'!D:D,'02效果表'!E:E)&lt;0, _xlfn.XLOOKUP(AB719,'02效果表'!D:D,'02效果表'!E:E), 0) +
AE719*IF(_xlfn.XLOOKUP(AD719,'02效果表'!D:D,'02效果表'!E:E)&lt;0, _xlfn.XLOOKUP(AD719,'02效果表'!D:D,'02效果表'!E:E), 0)), 1)</f>
        <v>0</v>
      </c>
      <c r="G719" s="7">
        <f>ROUND(1/6*(I719*MAX(_xlfn.XLOOKUP(H719,'02效果表'!D:D,'02效果表'!E:E),0)+K719*MAX(_xlfn.XLOOKUP(J719,'02效果表'!D:D,'02效果表'!E:E),0)+M719*MAX(_xlfn.XLOOKUP(L719,'02效果表'!D:D,'02效果表'!E:E),0)+O719*MAX(_xlfn.XLOOKUP(N719,'02效果表'!D:D,'02效果表'!E:E),0)+Q719*MAX(_xlfn.XLOOKUP(P719,'02效果表'!D:D,'02效果表'!E:E),0)+S719*MAX(_xlfn.XLOOKUP(R719,'02效果表'!D:D,'02效果表'!E:E),0)+U719*MAX(_xlfn.XLOOKUP(T719,'02效果表'!D:D,'02效果表'!E:E),0)+W719*MAX(_xlfn.XLOOKUP(V719,'02效果表'!D:D,'02效果表'!E:E),0)+Y719*MAX(_xlfn.XLOOKUP(X719,'02效果表'!D:D,'02效果表'!E:E),0)+AA719*MAX(_xlfn.XLOOKUP(Z719,'02效果表'!D:D,'02效果表'!E:E),0)+AC719*MAX(_xlfn.XLOOKUP(AB719,'02效果表'!D:D,'02效果表'!E:E),0)+AE719*MAX(_xlfn.XLOOKUP(AD719,'02效果表'!D:D,'02效果表'!E:E),0)),1)</f>
        <v>0</v>
      </c>
      <c r="H719" s="6"/>
      <c r="I719" s="6"/>
      <c r="J719" s="6"/>
      <c r="K719" s="6"/>
      <c r="L719" s="6"/>
      <c r="M719" s="6"/>
      <c r="N719" s="6"/>
      <c r="O719" s="6"/>
      <c r="P719" s="6"/>
      <c r="Q719" s="6"/>
      <c r="R719" s="6"/>
      <c r="S719" s="6"/>
      <c r="T719" s="6"/>
      <c r="U719" s="6"/>
      <c r="V719" s="6"/>
      <c r="W719" s="6"/>
      <c r="X719" s="6"/>
      <c r="Y719" s="6"/>
      <c r="Z719" s="6"/>
      <c r="AA719" s="6"/>
      <c r="AB719" s="6"/>
      <c r="AC719" s="6"/>
      <c r="AD719" s="6"/>
      <c r="AE719" s="6"/>
    </row>
    <row r="720" spans="1:31" x14ac:dyDescent="0.35">
      <c r="A720" s="6">
        <v>720</v>
      </c>
      <c r="B720" s="6" t="s">
        <v>8</v>
      </c>
      <c r="C720" s="10" t="s">
        <v>16</v>
      </c>
      <c r="D720" s="9"/>
      <c r="E720" s="7">
        <f t="shared" si="18"/>
        <v>0</v>
      </c>
      <c r="F720" s="7">
        <f>-1*ROUND(1/6*(I720*IF(_xlfn.XLOOKUP(H720,'02效果表'!D:D,'02效果表'!E:E)&lt;0, _xlfn.XLOOKUP(H720,'02效果表'!D:D,'02效果表'!E:E), 0) +
K720*IF(_xlfn.XLOOKUP(J720,'02效果表'!D:D,'02效果表'!E:E)&lt;0, _xlfn.XLOOKUP(J720,'02效果表'!D:D,'02效果表'!E:E), 0) +
M720*IF(_xlfn.XLOOKUP(L720,'02效果表'!D:D,'02效果表'!E:E)&lt;0, _xlfn.XLOOKUP(L720,'02效果表'!D:D,'02效果表'!E:E), 0) +
O720*IF(_xlfn.XLOOKUP(N720,'02效果表'!D:D,'02效果表'!E:E)&lt;0, _xlfn.XLOOKUP(N720,'02效果表'!D:D,'02效果表'!E:E), 0) +
Q720*IF(_xlfn.XLOOKUP(P720,'02效果表'!D:D,'02效果表'!E:E)&lt;0, _xlfn.XLOOKUP(P720,'02效果表'!D:D,'02效果表'!E:E), 0) +
S720*IF(_xlfn.XLOOKUP(R720,'02效果表'!D:D,'02效果表'!E:E)&lt;0, _xlfn.XLOOKUP(R720,'02效果表'!D:D,'02效果表'!E:E), 0) +
U720*IF(_xlfn.XLOOKUP(T720,'02效果表'!D:D,'02效果表'!E:E)&lt;0, _xlfn.XLOOKUP(T720,'02效果表'!D:D,'02效果表'!E:E), 0) +
W720*IF(_xlfn.XLOOKUP(V720,'02效果表'!D:D,'02效果表'!E:E)&lt;0, _xlfn.XLOOKUP(V720,'02效果表'!D:D,'02效果表'!E:E), 0) +
Y720*IF(_xlfn.XLOOKUP(X720,'02效果表'!D:D,'02效果表'!E:E)&lt;0, _xlfn.XLOOKUP(X720,'02效果表'!D:D,'02效果表'!E:E), 0) +
AA720*IF(_xlfn.XLOOKUP(Z720,'02效果表'!D:D,'02效果表'!E:E)&lt;0, _xlfn.XLOOKUP(Z720,'02效果表'!D:D,'02效果表'!E:E), 0) +
AC720*IF(_xlfn.XLOOKUP(AB720,'02效果表'!D:D,'02效果表'!E:E)&lt;0, _xlfn.XLOOKUP(AB720,'02效果表'!D:D,'02效果表'!E:E), 0) +
AE720*IF(_xlfn.XLOOKUP(AD720,'02效果表'!D:D,'02效果表'!E:E)&lt;0, _xlfn.XLOOKUP(AD720,'02效果表'!D:D,'02效果表'!E:E), 0)), 1)</f>
        <v>0</v>
      </c>
      <c r="G720" s="7">
        <f>ROUND(1/6*(I720*MAX(_xlfn.XLOOKUP(H720,'02效果表'!D:D,'02效果表'!E:E),0)+K720*MAX(_xlfn.XLOOKUP(J720,'02效果表'!D:D,'02效果表'!E:E),0)+M720*MAX(_xlfn.XLOOKUP(L720,'02效果表'!D:D,'02效果表'!E:E),0)+O720*MAX(_xlfn.XLOOKUP(N720,'02效果表'!D:D,'02效果表'!E:E),0)+Q720*MAX(_xlfn.XLOOKUP(P720,'02效果表'!D:D,'02效果表'!E:E),0)+S720*MAX(_xlfn.XLOOKUP(R720,'02效果表'!D:D,'02效果表'!E:E),0)+U720*MAX(_xlfn.XLOOKUP(T720,'02效果表'!D:D,'02效果表'!E:E),0)+W720*MAX(_xlfn.XLOOKUP(V720,'02效果表'!D:D,'02效果表'!E:E),0)+Y720*MAX(_xlfn.XLOOKUP(X720,'02效果表'!D:D,'02效果表'!E:E),0)+AA720*MAX(_xlfn.XLOOKUP(Z720,'02效果表'!D:D,'02效果表'!E:E),0)+AC720*MAX(_xlfn.XLOOKUP(AB720,'02效果表'!D:D,'02效果表'!E:E),0)+AE720*MAX(_xlfn.XLOOKUP(AD720,'02效果表'!D:D,'02效果表'!E:E),0)),1)</f>
        <v>0</v>
      </c>
      <c r="H720" s="6"/>
      <c r="I720" s="6"/>
      <c r="J720" s="6"/>
      <c r="K720" s="6"/>
      <c r="L720" s="6"/>
      <c r="M720" s="6"/>
      <c r="N720" s="6"/>
      <c r="O720" s="6"/>
      <c r="P720" s="6"/>
      <c r="Q720" s="6"/>
      <c r="R720" s="6"/>
      <c r="S720" s="6"/>
      <c r="T720" s="6"/>
      <c r="U720" s="6"/>
      <c r="V720" s="6"/>
      <c r="W720" s="6"/>
      <c r="X720" s="6"/>
      <c r="Y720" s="6"/>
      <c r="Z720" s="6"/>
      <c r="AA720" s="6"/>
      <c r="AB720" s="6"/>
      <c r="AC720" s="6"/>
      <c r="AD720" s="6"/>
      <c r="AE720" s="6"/>
    </row>
    <row r="721" spans="1:31" x14ac:dyDescent="0.35">
      <c r="A721" s="6">
        <v>721</v>
      </c>
      <c r="B721" s="6" t="s">
        <v>8</v>
      </c>
      <c r="C721" s="10" t="s">
        <v>16</v>
      </c>
      <c r="D721" s="9"/>
      <c r="E721" s="7">
        <f t="shared" si="18"/>
        <v>0</v>
      </c>
      <c r="F721" s="7">
        <f>-1*ROUND(1/6*(I721*IF(_xlfn.XLOOKUP(H721,'02效果表'!D:D,'02效果表'!E:E)&lt;0, _xlfn.XLOOKUP(H721,'02效果表'!D:D,'02效果表'!E:E), 0) +
K721*IF(_xlfn.XLOOKUP(J721,'02效果表'!D:D,'02效果表'!E:E)&lt;0, _xlfn.XLOOKUP(J721,'02效果表'!D:D,'02效果表'!E:E), 0) +
M721*IF(_xlfn.XLOOKUP(L721,'02效果表'!D:D,'02效果表'!E:E)&lt;0, _xlfn.XLOOKUP(L721,'02效果表'!D:D,'02效果表'!E:E), 0) +
O721*IF(_xlfn.XLOOKUP(N721,'02效果表'!D:D,'02效果表'!E:E)&lt;0, _xlfn.XLOOKUP(N721,'02效果表'!D:D,'02效果表'!E:E), 0) +
Q721*IF(_xlfn.XLOOKUP(P721,'02效果表'!D:D,'02效果表'!E:E)&lt;0, _xlfn.XLOOKUP(P721,'02效果表'!D:D,'02效果表'!E:E), 0) +
S721*IF(_xlfn.XLOOKUP(R721,'02效果表'!D:D,'02效果表'!E:E)&lt;0, _xlfn.XLOOKUP(R721,'02效果表'!D:D,'02效果表'!E:E), 0) +
U721*IF(_xlfn.XLOOKUP(T721,'02效果表'!D:D,'02效果表'!E:E)&lt;0, _xlfn.XLOOKUP(T721,'02效果表'!D:D,'02效果表'!E:E), 0) +
W721*IF(_xlfn.XLOOKUP(V721,'02效果表'!D:D,'02效果表'!E:E)&lt;0, _xlfn.XLOOKUP(V721,'02效果表'!D:D,'02效果表'!E:E), 0) +
Y721*IF(_xlfn.XLOOKUP(X721,'02效果表'!D:D,'02效果表'!E:E)&lt;0, _xlfn.XLOOKUP(X721,'02效果表'!D:D,'02效果表'!E:E), 0) +
AA721*IF(_xlfn.XLOOKUP(Z721,'02效果表'!D:D,'02效果表'!E:E)&lt;0, _xlfn.XLOOKUP(Z721,'02效果表'!D:D,'02效果表'!E:E), 0) +
AC721*IF(_xlfn.XLOOKUP(AB721,'02效果表'!D:D,'02效果表'!E:E)&lt;0, _xlfn.XLOOKUP(AB721,'02效果表'!D:D,'02效果表'!E:E), 0) +
AE721*IF(_xlfn.XLOOKUP(AD721,'02效果表'!D:D,'02效果表'!E:E)&lt;0, _xlfn.XLOOKUP(AD721,'02效果表'!D:D,'02效果表'!E:E), 0)), 1)</f>
        <v>0</v>
      </c>
      <c r="G721" s="7">
        <f>ROUND(1/6*(I721*MAX(_xlfn.XLOOKUP(H721,'02效果表'!D:D,'02效果表'!E:E),0)+K721*MAX(_xlfn.XLOOKUP(J721,'02效果表'!D:D,'02效果表'!E:E),0)+M721*MAX(_xlfn.XLOOKUP(L721,'02效果表'!D:D,'02效果表'!E:E),0)+O721*MAX(_xlfn.XLOOKUP(N721,'02效果表'!D:D,'02效果表'!E:E),0)+Q721*MAX(_xlfn.XLOOKUP(P721,'02效果表'!D:D,'02效果表'!E:E),0)+S721*MAX(_xlfn.XLOOKUP(R721,'02效果表'!D:D,'02效果表'!E:E),0)+U721*MAX(_xlfn.XLOOKUP(T721,'02效果表'!D:D,'02效果表'!E:E),0)+W721*MAX(_xlfn.XLOOKUP(V721,'02效果表'!D:D,'02效果表'!E:E),0)+Y721*MAX(_xlfn.XLOOKUP(X721,'02效果表'!D:D,'02效果表'!E:E),0)+AA721*MAX(_xlfn.XLOOKUP(Z721,'02效果表'!D:D,'02效果表'!E:E),0)+AC721*MAX(_xlfn.XLOOKUP(AB721,'02效果表'!D:D,'02效果表'!E:E),0)+AE721*MAX(_xlfn.XLOOKUP(AD721,'02效果表'!D:D,'02效果表'!E:E),0)),1)</f>
        <v>0</v>
      </c>
      <c r="H721" s="6"/>
      <c r="I721" s="6"/>
      <c r="J721" s="6"/>
      <c r="K721" s="6"/>
      <c r="L721" s="6"/>
      <c r="M721" s="6"/>
      <c r="N721" s="6"/>
      <c r="O721" s="6"/>
      <c r="P721" s="6"/>
      <c r="Q721" s="6"/>
      <c r="R721" s="6"/>
      <c r="S721" s="6"/>
      <c r="T721" s="6"/>
      <c r="U721" s="6"/>
      <c r="V721" s="6"/>
      <c r="W721" s="6"/>
      <c r="X721" s="6"/>
      <c r="Y721" s="6"/>
      <c r="Z721" s="6"/>
      <c r="AA721" s="6"/>
      <c r="AB721" s="6"/>
      <c r="AC721" s="6"/>
      <c r="AD721" s="6"/>
      <c r="AE721" s="6"/>
    </row>
    <row r="722" spans="1:31" x14ac:dyDescent="0.35">
      <c r="A722" s="6">
        <v>722</v>
      </c>
      <c r="B722" s="6" t="s">
        <v>8</v>
      </c>
      <c r="C722" s="10" t="s">
        <v>16</v>
      </c>
      <c r="D722" s="9"/>
      <c r="E722" s="7">
        <f t="shared" si="18"/>
        <v>0</v>
      </c>
      <c r="F722" s="7">
        <f>-1*ROUND(1/6*(I722*IF(_xlfn.XLOOKUP(H722,'02效果表'!D:D,'02效果表'!E:E)&lt;0, _xlfn.XLOOKUP(H722,'02效果表'!D:D,'02效果表'!E:E), 0) +
K722*IF(_xlfn.XLOOKUP(J722,'02效果表'!D:D,'02效果表'!E:E)&lt;0, _xlfn.XLOOKUP(J722,'02效果表'!D:D,'02效果表'!E:E), 0) +
M722*IF(_xlfn.XLOOKUP(L722,'02效果表'!D:D,'02效果表'!E:E)&lt;0, _xlfn.XLOOKUP(L722,'02效果表'!D:D,'02效果表'!E:E), 0) +
O722*IF(_xlfn.XLOOKUP(N722,'02效果表'!D:D,'02效果表'!E:E)&lt;0, _xlfn.XLOOKUP(N722,'02效果表'!D:D,'02效果表'!E:E), 0) +
Q722*IF(_xlfn.XLOOKUP(P722,'02效果表'!D:D,'02效果表'!E:E)&lt;0, _xlfn.XLOOKUP(P722,'02效果表'!D:D,'02效果表'!E:E), 0) +
S722*IF(_xlfn.XLOOKUP(R722,'02效果表'!D:D,'02效果表'!E:E)&lt;0, _xlfn.XLOOKUP(R722,'02效果表'!D:D,'02效果表'!E:E), 0) +
U722*IF(_xlfn.XLOOKUP(T722,'02效果表'!D:D,'02效果表'!E:E)&lt;0, _xlfn.XLOOKUP(T722,'02效果表'!D:D,'02效果表'!E:E), 0) +
W722*IF(_xlfn.XLOOKUP(V722,'02效果表'!D:D,'02效果表'!E:E)&lt;0, _xlfn.XLOOKUP(V722,'02效果表'!D:D,'02效果表'!E:E), 0) +
Y722*IF(_xlfn.XLOOKUP(X722,'02效果表'!D:D,'02效果表'!E:E)&lt;0, _xlfn.XLOOKUP(X722,'02效果表'!D:D,'02效果表'!E:E), 0) +
AA722*IF(_xlfn.XLOOKUP(Z722,'02效果表'!D:D,'02效果表'!E:E)&lt;0, _xlfn.XLOOKUP(Z722,'02效果表'!D:D,'02效果表'!E:E), 0) +
AC722*IF(_xlfn.XLOOKUP(AB722,'02效果表'!D:D,'02效果表'!E:E)&lt;0, _xlfn.XLOOKUP(AB722,'02效果表'!D:D,'02效果表'!E:E), 0) +
AE722*IF(_xlfn.XLOOKUP(AD722,'02效果表'!D:D,'02效果表'!E:E)&lt;0, _xlfn.XLOOKUP(AD722,'02效果表'!D:D,'02效果表'!E:E), 0)), 1)</f>
        <v>0</v>
      </c>
      <c r="G722" s="7">
        <f>ROUND(1/6*(I722*MAX(_xlfn.XLOOKUP(H722,'02效果表'!D:D,'02效果表'!E:E),0)+K722*MAX(_xlfn.XLOOKUP(J722,'02效果表'!D:D,'02效果表'!E:E),0)+M722*MAX(_xlfn.XLOOKUP(L722,'02效果表'!D:D,'02效果表'!E:E),0)+O722*MAX(_xlfn.XLOOKUP(N722,'02效果表'!D:D,'02效果表'!E:E),0)+Q722*MAX(_xlfn.XLOOKUP(P722,'02效果表'!D:D,'02效果表'!E:E),0)+S722*MAX(_xlfn.XLOOKUP(R722,'02效果表'!D:D,'02效果表'!E:E),0)+U722*MAX(_xlfn.XLOOKUP(T722,'02效果表'!D:D,'02效果表'!E:E),0)+W722*MAX(_xlfn.XLOOKUP(V722,'02效果表'!D:D,'02效果表'!E:E),0)+Y722*MAX(_xlfn.XLOOKUP(X722,'02效果表'!D:D,'02效果表'!E:E),0)+AA722*MAX(_xlfn.XLOOKUP(Z722,'02效果表'!D:D,'02效果表'!E:E),0)+AC722*MAX(_xlfn.XLOOKUP(AB722,'02效果表'!D:D,'02效果表'!E:E),0)+AE722*MAX(_xlfn.XLOOKUP(AD722,'02效果表'!D:D,'02效果表'!E:E),0)),1)</f>
        <v>0</v>
      </c>
      <c r="H722" s="6"/>
      <c r="I722" s="6"/>
      <c r="J722" s="6"/>
      <c r="K722" s="6"/>
      <c r="L722" s="6"/>
      <c r="M722" s="6"/>
      <c r="N722" s="6"/>
      <c r="O722" s="6"/>
      <c r="P722" s="6"/>
      <c r="Q722" s="6"/>
      <c r="R722" s="6"/>
      <c r="S722" s="6"/>
      <c r="T722" s="6"/>
      <c r="U722" s="6"/>
      <c r="V722" s="6"/>
      <c r="W722" s="6"/>
      <c r="X722" s="6"/>
      <c r="Y722" s="6"/>
      <c r="Z722" s="6"/>
      <c r="AA722" s="6"/>
      <c r="AB722" s="6"/>
      <c r="AC722" s="6"/>
      <c r="AD722" s="6"/>
      <c r="AE722" s="6"/>
    </row>
    <row r="723" spans="1:31" x14ac:dyDescent="0.35">
      <c r="A723" s="6">
        <v>723</v>
      </c>
      <c r="B723" s="6" t="s">
        <v>8</v>
      </c>
      <c r="C723" s="10" t="s">
        <v>17</v>
      </c>
      <c r="D723" s="9" t="s">
        <v>1822</v>
      </c>
      <c r="E723" s="7">
        <f t="shared" si="18"/>
        <v>0</v>
      </c>
      <c r="F723" s="7">
        <f>-1*ROUND(1/6*(I723*IF(_xlfn.XLOOKUP(H723,'02效果表'!D:D,'02效果表'!E:E)&lt;0, _xlfn.XLOOKUP(H723,'02效果表'!D:D,'02效果表'!E:E), 0) +
K723*IF(_xlfn.XLOOKUP(J723,'02效果表'!D:D,'02效果表'!E:E)&lt;0, _xlfn.XLOOKUP(J723,'02效果表'!D:D,'02效果表'!E:E), 0) +
M723*IF(_xlfn.XLOOKUP(L723,'02效果表'!D:D,'02效果表'!E:E)&lt;0, _xlfn.XLOOKUP(L723,'02效果表'!D:D,'02效果表'!E:E), 0) +
O723*IF(_xlfn.XLOOKUP(N723,'02效果表'!D:D,'02效果表'!E:E)&lt;0, _xlfn.XLOOKUP(N723,'02效果表'!D:D,'02效果表'!E:E), 0) +
Q723*IF(_xlfn.XLOOKUP(P723,'02效果表'!D:D,'02效果表'!E:E)&lt;0, _xlfn.XLOOKUP(P723,'02效果表'!D:D,'02效果表'!E:E), 0) +
S723*IF(_xlfn.XLOOKUP(R723,'02效果表'!D:D,'02效果表'!E:E)&lt;0, _xlfn.XLOOKUP(R723,'02效果表'!D:D,'02效果表'!E:E), 0) +
U723*IF(_xlfn.XLOOKUP(T723,'02效果表'!D:D,'02效果表'!E:E)&lt;0, _xlfn.XLOOKUP(T723,'02效果表'!D:D,'02效果表'!E:E), 0) +
W723*IF(_xlfn.XLOOKUP(V723,'02效果表'!D:D,'02效果表'!E:E)&lt;0, _xlfn.XLOOKUP(V723,'02效果表'!D:D,'02效果表'!E:E), 0) +
Y723*IF(_xlfn.XLOOKUP(X723,'02效果表'!D:D,'02效果表'!E:E)&lt;0, _xlfn.XLOOKUP(X723,'02效果表'!D:D,'02效果表'!E:E), 0) +
AA723*IF(_xlfn.XLOOKUP(Z723,'02效果表'!D:D,'02效果表'!E:E)&lt;0, _xlfn.XLOOKUP(Z723,'02效果表'!D:D,'02效果表'!E:E), 0) +
AC723*IF(_xlfn.XLOOKUP(AB723,'02效果表'!D:D,'02效果表'!E:E)&lt;0, _xlfn.XLOOKUP(AB723,'02效果表'!D:D,'02效果表'!E:E), 0) +
AE723*IF(_xlfn.XLOOKUP(AD723,'02效果表'!D:D,'02效果表'!E:E)&lt;0, _xlfn.XLOOKUP(AD723,'02效果表'!D:D,'02效果表'!E:E), 0)), 1)</f>
        <v>0</v>
      </c>
      <c r="G723" s="7">
        <f>ROUND(1/6*(I723*MAX(_xlfn.XLOOKUP(H723,'02效果表'!D:D,'02效果表'!E:E),0)+K723*MAX(_xlfn.XLOOKUP(J723,'02效果表'!D:D,'02效果表'!E:E),0)+M723*MAX(_xlfn.XLOOKUP(L723,'02效果表'!D:D,'02效果表'!E:E),0)+O723*MAX(_xlfn.XLOOKUP(N723,'02效果表'!D:D,'02效果表'!E:E),0)+Q723*MAX(_xlfn.XLOOKUP(P723,'02效果表'!D:D,'02效果表'!E:E),0)+S723*MAX(_xlfn.XLOOKUP(R723,'02效果表'!D:D,'02效果表'!E:E),0)+U723*MAX(_xlfn.XLOOKUP(T723,'02效果表'!D:D,'02效果表'!E:E),0)+W723*MAX(_xlfn.XLOOKUP(V723,'02效果表'!D:D,'02效果表'!E:E),0)+Y723*MAX(_xlfn.XLOOKUP(X723,'02效果表'!D:D,'02效果表'!E:E),0)+AA723*MAX(_xlfn.XLOOKUP(Z723,'02效果表'!D:D,'02效果表'!E:E),0)+AC723*MAX(_xlfn.XLOOKUP(AB723,'02效果表'!D:D,'02效果表'!E:E),0)+AE723*MAX(_xlfn.XLOOKUP(AD723,'02效果表'!D:D,'02效果表'!E:E),0)),1)</f>
        <v>0</v>
      </c>
      <c r="H723" s="6"/>
      <c r="I723" s="6"/>
      <c r="J723" s="6"/>
      <c r="K723" s="6"/>
      <c r="L723" s="6"/>
      <c r="M723" s="6"/>
      <c r="N723" s="6"/>
      <c r="O723" s="6"/>
      <c r="P723" s="6"/>
      <c r="Q723" s="6"/>
      <c r="R723" s="6"/>
      <c r="S723" s="6"/>
      <c r="T723" s="6"/>
      <c r="U723" s="6"/>
      <c r="V723" s="6"/>
      <c r="W723" s="6"/>
      <c r="X723" s="6"/>
      <c r="Y723" s="6"/>
      <c r="Z723" s="6"/>
      <c r="AA723" s="6"/>
      <c r="AB723" s="6"/>
      <c r="AC723" s="6"/>
      <c r="AD723" s="6"/>
      <c r="AE723" s="6"/>
    </row>
    <row r="724" spans="1:31" x14ac:dyDescent="0.35">
      <c r="A724" s="6">
        <v>724</v>
      </c>
      <c r="B724" s="6" t="s">
        <v>8</v>
      </c>
      <c r="C724" s="10" t="s">
        <v>17</v>
      </c>
      <c r="D724" s="9" t="s">
        <v>1823</v>
      </c>
      <c r="E724" s="7">
        <f t="shared" si="18"/>
        <v>0</v>
      </c>
      <c r="F724" s="7">
        <f>-1*ROUND(1/6*(I724*IF(_xlfn.XLOOKUP(H724,'02效果表'!D:D,'02效果表'!E:E)&lt;0, _xlfn.XLOOKUP(H724,'02效果表'!D:D,'02效果表'!E:E), 0) +
K724*IF(_xlfn.XLOOKUP(J724,'02效果表'!D:D,'02效果表'!E:E)&lt;0, _xlfn.XLOOKUP(J724,'02效果表'!D:D,'02效果表'!E:E), 0) +
M724*IF(_xlfn.XLOOKUP(L724,'02效果表'!D:D,'02效果表'!E:E)&lt;0, _xlfn.XLOOKUP(L724,'02效果表'!D:D,'02效果表'!E:E), 0) +
O724*IF(_xlfn.XLOOKUP(N724,'02效果表'!D:D,'02效果表'!E:E)&lt;0, _xlfn.XLOOKUP(N724,'02效果表'!D:D,'02效果表'!E:E), 0) +
Q724*IF(_xlfn.XLOOKUP(P724,'02效果表'!D:D,'02效果表'!E:E)&lt;0, _xlfn.XLOOKUP(P724,'02效果表'!D:D,'02效果表'!E:E), 0) +
S724*IF(_xlfn.XLOOKUP(R724,'02效果表'!D:D,'02效果表'!E:E)&lt;0, _xlfn.XLOOKUP(R724,'02效果表'!D:D,'02效果表'!E:E), 0) +
U724*IF(_xlfn.XLOOKUP(T724,'02效果表'!D:D,'02效果表'!E:E)&lt;0, _xlfn.XLOOKUP(T724,'02效果表'!D:D,'02效果表'!E:E), 0) +
W724*IF(_xlfn.XLOOKUP(V724,'02效果表'!D:D,'02效果表'!E:E)&lt;0, _xlfn.XLOOKUP(V724,'02效果表'!D:D,'02效果表'!E:E), 0) +
Y724*IF(_xlfn.XLOOKUP(X724,'02效果表'!D:D,'02效果表'!E:E)&lt;0, _xlfn.XLOOKUP(X724,'02效果表'!D:D,'02效果表'!E:E), 0) +
AA724*IF(_xlfn.XLOOKUP(Z724,'02效果表'!D:D,'02效果表'!E:E)&lt;0, _xlfn.XLOOKUP(Z724,'02效果表'!D:D,'02效果表'!E:E), 0) +
AC724*IF(_xlfn.XLOOKUP(AB724,'02效果表'!D:D,'02效果表'!E:E)&lt;0, _xlfn.XLOOKUP(AB724,'02效果表'!D:D,'02效果表'!E:E), 0) +
AE724*IF(_xlfn.XLOOKUP(AD724,'02效果表'!D:D,'02效果表'!E:E)&lt;0, _xlfn.XLOOKUP(AD724,'02效果表'!D:D,'02效果表'!E:E), 0)), 1)</f>
        <v>0</v>
      </c>
      <c r="G724" s="7">
        <f>ROUND(1/6*(I724*MAX(_xlfn.XLOOKUP(H724,'02效果表'!D:D,'02效果表'!E:E),0)+K724*MAX(_xlfn.XLOOKUP(J724,'02效果表'!D:D,'02效果表'!E:E),0)+M724*MAX(_xlfn.XLOOKUP(L724,'02效果表'!D:D,'02效果表'!E:E),0)+O724*MAX(_xlfn.XLOOKUP(N724,'02效果表'!D:D,'02效果表'!E:E),0)+Q724*MAX(_xlfn.XLOOKUP(P724,'02效果表'!D:D,'02效果表'!E:E),0)+S724*MAX(_xlfn.XLOOKUP(R724,'02效果表'!D:D,'02效果表'!E:E),0)+U724*MAX(_xlfn.XLOOKUP(T724,'02效果表'!D:D,'02效果表'!E:E),0)+W724*MAX(_xlfn.XLOOKUP(V724,'02效果表'!D:D,'02效果表'!E:E),0)+Y724*MAX(_xlfn.XLOOKUP(X724,'02效果表'!D:D,'02效果表'!E:E),0)+AA724*MAX(_xlfn.XLOOKUP(Z724,'02效果表'!D:D,'02效果表'!E:E),0)+AC724*MAX(_xlfn.XLOOKUP(AB724,'02效果表'!D:D,'02效果表'!E:E),0)+AE724*MAX(_xlfn.XLOOKUP(AD724,'02效果表'!D:D,'02效果表'!E:E),0)),1)</f>
        <v>0</v>
      </c>
      <c r="H724" s="6"/>
      <c r="I724" s="6"/>
      <c r="J724" s="6"/>
      <c r="K724" s="6"/>
      <c r="L724" s="6"/>
      <c r="M724" s="6"/>
      <c r="N724" s="6"/>
      <c r="O724" s="6"/>
      <c r="P724" s="6"/>
      <c r="Q724" s="6"/>
      <c r="R724" s="6"/>
      <c r="S724" s="6"/>
      <c r="T724" s="6"/>
      <c r="U724" s="6"/>
      <c r="V724" s="6"/>
      <c r="W724" s="6"/>
      <c r="X724" s="6"/>
      <c r="Y724" s="6"/>
      <c r="Z724" s="6"/>
      <c r="AA724" s="6"/>
      <c r="AB724" s="6"/>
      <c r="AC724" s="6"/>
      <c r="AD724" s="6"/>
      <c r="AE724" s="6"/>
    </row>
    <row r="725" spans="1:31" x14ac:dyDescent="0.35">
      <c r="A725" s="6">
        <v>725</v>
      </c>
      <c r="B725" s="6" t="s">
        <v>8</v>
      </c>
      <c r="C725" s="10" t="s">
        <v>17</v>
      </c>
      <c r="D725" s="9" t="s">
        <v>1824</v>
      </c>
      <c r="E725" s="7">
        <f t="shared" si="18"/>
        <v>0</v>
      </c>
      <c r="F725" s="7">
        <f>-1*ROUND(1/6*(I725*IF(_xlfn.XLOOKUP(H725,'02效果表'!D:D,'02效果表'!E:E)&lt;0, _xlfn.XLOOKUP(H725,'02效果表'!D:D,'02效果表'!E:E), 0) +
K725*IF(_xlfn.XLOOKUP(J725,'02效果表'!D:D,'02效果表'!E:E)&lt;0, _xlfn.XLOOKUP(J725,'02效果表'!D:D,'02效果表'!E:E), 0) +
M725*IF(_xlfn.XLOOKUP(L725,'02效果表'!D:D,'02效果表'!E:E)&lt;0, _xlfn.XLOOKUP(L725,'02效果表'!D:D,'02效果表'!E:E), 0) +
O725*IF(_xlfn.XLOOKUP(N725,'02效果表'!D:D,'02效果表'!E:E)&lt;0, _xlfn.XLOOKUP(N725,'02效果表'!D:D,'02效果表'!E:E), 0) +
Q725*IF(_xlfn.XLOOKUP(P725,'02效果表'!D:D,'02效果表'!E:E)&lt;0, _xlfn.XLOOKUP(P725,'02效果表'!D:D,'02效果表'!E:E), 0) +
S725*IF(_xlfn.XLOOKUP(R725,'02效果表'!D:D,'02效果表'!E:E)&lt;0, _xlfn.XLOOKUP(R725,'02效果表'!D:D,'02效果表'!E:E), 0) +
U725*IF(_xlfn.XLOOKUP(T725,'02效果表'!D:D,'02效果表'!E:E)&lt;0, _xlfn.XLOOKUP(T725,'02效果表'!D:D,'02效果表'!E:E), 0) +
W725*IF(_xlfn.XLOOKUP(V725,'02效果表'!D:D,'02效果表'!E:E)&lt;0, _xlfn.XLOOKUP(V725,'02效果表'!D:D,'02效果表'!E:E), 0) +
Y725*IF(_xlfn.XLOOKUP(X725,'02效果表'!D:D,'02效果表'!E:E)&lt;0, _xlfn.XLOOKUP(X725,'02效果表'!D:D,'02效果表'!E:E), 0) +
AA725*IF(_xlfn.XLOOKUP(Z725,'02效果表'!D:D,'02效果表'!E:E)&lt;0, _xlfn.XLOOKUP(Z725,'02效果表'!D:D,'02效果表'!E:E), 0) +
AC725*IF(_xlfn.XLOOKUP(AB725,'02效果表'!D:D,'02效果表'!E:E)&lt;0, _xlfn.XLOOKUP(AB725,'02效果表'!D:D,'02效果表'!E:E), 0) +
AE725*IF(_xlfn.XLOOKUP(AD725,'02效果表'!D:D,'02效果表'!E:E)&lt;0, _xlfn.XLOOKUP(AD725,'02效果表'!D:D,'02效果表'!E:E), 0)), 1)</f>
        <v>0</v>
      </c>
      <c r="G725" s="7">
        <f>ROUND(1/6*(I725*MAX(_xlfn.XLOOKUP(H725,'02效果表'!D:D,'02效果表'!E:E),0)+K725*MAX(_xlfn.XLOOKUP(J725,'02效果表'!D:D,'02效果表'!E:E),0)+M725*MAX(_xlfn.XLOOKUP(L725,'02效果表'!D:D,'02效果表'!E:E),0)+O725*MAX(_xlfn.XLOOKUP(N725,'02效果表'!D:D,'02效果表'!E:E),0)+Q725*MAX(_xlfn.XLOOKUP(P725,'02效果表'!D:D,'02效果表'!E:E),0)+S725*MAX(_xlfn.XLOOKUP(R725,'02效果表'!D:D,'02效果表'!E:E),0)+U725*MAX(_xlfn.XLOOKUP(T725,'02效果表'!D:D,'02效果表'!E:E),0)+W725*MAX(_xlfn.XLOOKUP(V725,'02效果表'!D:D,'02效果表'!E:E),0)+Y725*MAX(_xlfn.XLOOKUP(X725,'02效果表'!D:D,'02效果表'!E:E),0)+AA725*MAX(_xlfn.XLOOKUP(Z725,'02效果表'!D:D,'02效果表'!E:E),0)+AC725*MAX(_xlfn.XLOOKUP(AB725,'02效果表'!D:D,'02效果表'!E:E),0)+AE725*MAX(_xlfn.XLOOKUP(AD725,'02效果表'!D:D,'02效果表'!E:E),0)),1)</f>
        <v>0</v>
      </c>
      <c r="H725" s="6"/>
      <c r="I725" s="6"/>
      <c r="J725" s="6"/>
      <c r="K725" s="6"/>
      <c r="L725" s="6"/>
      <c r="M725" s="6"/>
      <c r="N725" s="6"/>
      <c r="O725" s="6"/>
      <c r="P725" s="6"/>
      <c r="Q725" s="6"/>
      <c r="R725" s="6"/>
      <c r="S725" s="6"/>
      <c r="T725" s="6"/>
      <c r="U725" s="6"/>
      <c r="V725" s="6"/>
      <c r="W725" s="6"/>
      <c r="X725" s="6"/>
      <c r="Y725" s="6"/>
      <c r="Z725" s="6"/>
      <c r="AA725" s="6"/>
      <c r="AB725" s="6"/>
      <c r="AC725" s="6"/>
      <c r="AD725" s="6"/>
      <c r="AE725" s="6"/>
    </row>
    <row r="726" spans="1:31" x14ac:dyDescent="0.35">
      <c r="A726" s="6">
        <v>726</v>
      </c>
      <c r="B726" s="6" t="s">
        <v>8</v>
      </c>
      <c r="C726" s="10" t="s">
        <v>17</v>
      </c>
      <c r="D726" s="9" t="s">
        <v>1825</v>
      </c>
      <c r="E726" s="7">
        <f t="shared" si="18"/>
        <v>0</v>
      </c>
      <c r="F726" s="7">
        <f>-1*ROUND(1/6*(I726*IF(_xlfn.XLOOKUP(H726,'02效果表'!D:D,'02效果表'!E:E)&lt;0, _xlfn.XLOOKUP(H726,'02效果表'!D:D,'02效果表'!E:E), 0) +
K726*IF(_xlfn.XLOOKUP(J726,'02效果表'!D:D,'02效果表'!E:E)&lt;0, _xlfn.XLOOKUP(J726,'02效果表'!D:D,'02效果表'!E:E), 0) +
M726*IF(_xlfn.XLOOKUP(L726,'02效果表'!D:D,'02效果表'!E:E)&lt;0, _xlfn.XLOOKUP(L726,'02效果表'!D:D,'02效果表'!E:E), 0) +
O726*IF(_xlfn.XLOOKUP(N726,'02效果表'!D:D,'02效果表'!E:E)&lt;0, _xlfn.XLOOKUP(N726,'02效果表'!D:D,'02效果表'!E:E), 0) +
Q726*IF(_xlfn.XLOOKUP(P726,'02效果表'!D:D,'02效果表'!E:E)&lt;0, _xlfn.XLOOKUP(P726,'02效果表'!D:D,'02效果表'!E:E), 0) +
S726*IF(_xlfn.XLOOKUP(R726,'02效果表'!D:D,'02效果表'!E:E)&lt;0, _xlfn.XLOOKUP(R726,'02效果表'!D:D,'02效果表'!E:E), 0) +
U726*IF(_xlfn.XLOOKUP(T726,'02效果表'!D:D,'02效果表'!E:E)&lt;0, _xlfn.XLOOKUP(T726,'02效果表'!D:D,'02效果表'!E:E), 0) +
W726*IF(_xlfn.XLOOKUP(V726,'02效果表'!D:D,'02效果表'!E:E)&lt;0, _xlfn.XLOOKUP(V726,'02效果表'!D:D,'02效果表'!E:E), 0) +
Y726*IF(_xlfn.XLOOKUP(X726,'02效果表'!D:D,'02效果表'!E:E)&lt;0, _xlfn.XLOOKUP(X726,'02效果表'!D:D,'02效果表'!E:E), 0) +
AA726*IF(_xlfn.XLOOKUP(Z726,'02效果表'!D:D,'02效果表'!E:E)&lt;0, _xlfn.XLOOKUP(Z726,'02效果表'!D:D,'02效果表'!E:E), 0) +
AC726*IF(_xlfn.XLOOKUP(AB726,'02效果表'!D:D,'02效果表'!E:E)&lt;0, _xlfn.XLOOKUP(AB726,'02效果表'!D:D,'02效果表'!E:E), 0) +
AE726*IF(_xlfn.XLOOKUP(AD726,'02效果表'!D:D,'02效果表'!E:E)&lt;0, _xlfn.XLOOKUP(AD726,'02效果表'!D:D,'02效果表'!E:E), 0)), 1)</f>
        <v>0</v>
      </c>
      <c r="G726" s="7">
        <f>ROUND(1/6*(I726*MAX(_xlfn.XLOOKUP(H726,'02效果表'!D:D,'02效果表'!E:E),0)+K726*MAX(_xlfn.XLOOKUP(J726,'02效果表'!D:D,'02效果表'!E:E),0)+M726*MAX(_xlfn.XLOOKUP(L726,'02效果表'!D:D,'02效果表'!E:E),0)+O726*MAX(_xlfn.XLOOKUP(N726,'02效果表'!D:D,'02效果表'!E:E),0)+Q726*MAX(_xlfn.XLOOKUP(P726,'02效果表'!D:D,'02效果表'!E:E),0)+S726*MAX(_xlfn.XLOOKUP(R726,'02效果表'!D:D,'02效果表'!E:E),0)+U726*MAX(_xlfn.XLOOKUP(T726,'02效果表'!D:D,'02效果表'!E:E),0)+W726*MAX(_xlfn.XLOOKUP(V726,'02效果表'!D:D,'02效果表'!E:E),0)+Y726*MAX(_xlfn.XLOOKUP(X726,'02效果表'!D:D,'02效果表'!E:E),0)+AA726*MAX(_xlfn.XLOOKUP(Z726,'02效果表'!D:D,'02效果表'!E:E),0)+AC726*MAX(_xlfn.XLOOKUP(AB726,'02效果表'!D:D,'02效果表'!E:E),0)+AE726*MAX(_xlfn.XLOOKUP(AD726,'02效果表'!D:D,'02效果表'!E:E),0)),1)</f>
        <v>0</v>
      </c>
      <c r="H726" s="6"/>
      <c r="I726" s="6"/>
      <c r="J726" s="6"/>
      <c r="K726" s="6"/>
      <c r="L726" s="6"/>
      <c r="M726" s="6"/>
      <c r="N726" s="6"/>
      <c r="O726" s="6"/>
      <c r="P726" s="6"/>
      <c r="Q726" s="6"/>
      <c r="R726" s="6"/>
      <c r="S726" s="6"/>
      <c r="T726" s="6"/>
      <c r="U726" s="6"/>
      <c r="V726" s="6"/>
      <c r="W726" s="6"/>
      <c r="X726" s="6"/>
      <c r="Y726" s="6"/>
      <c r="Z726" s="6"/>
      <c r="AA726" s="6"/>
      <c r="AB726" s="6"/>
      <c r="AC726" s="6"/>
      <c r="AD726" s="6"/>
      <c r="AE726" s="6"/>
    </row>
    <row r="727" spans="1:31" x14ac:dyDescent="0.35">
      <c r="A727" s="6">
        <v>727</v>
      </c>
      <c r="B727" s="6" t="s">
        <v>8</v>
      </c>
      <c r="C727" s="10" t="s">
        <v>17</v>
      </c>
      <c r="D727" s="9" t="s">
        <v>1826</v>
      </c>
      <c r="E727" s="7">
        <f t="shared" si="18"/>
        <v>0</v>
      </c>
      <c r="F727" s="7">
        <f>-1*ROUND(1/6*(I727*IF(_xlfn.XLOOKUP(H727,'02效果表'!D:D,'02效果表'!E:E)&lt;0, _xlfn.XLOOKUP(H727,'02效果表'!D:D,'02效果表'!E:E), 0) +
K727*IF(_xlfn.XLOOKUP(J727,'02效果表'!D:D,'02效果表'!E:E)&lt;0, _xlfn.XLOOKUP(J727,'02效果表'!D:D,'02效果表'!E:E), 0) +
M727*IF(_xlfn.XLOOKUP(L727,'02效果表'!D:D,'02效果表'!E:E)&lt;0, _xlfn.XLOOKUP(L727,'02效果表'!D:D,'02效果表'!E:E), 0) +
O727*IF(_xlfn.XLOOKUP(N727,'02效果表'!D:D,'02效果表'!E:E)&lt;0, _xlfn.XLOOKUP(N727,'02效果表'!D:D,'02效果表'!E:E), 0) +
Q727*IF(_xlfn.XLOOKUP(P727,'02效果表'!D:D,'02效果表'!E:E)&lt;0, _xlfn.XLOOKUP(P727,'02效果表'!D:D,'02效果表'!E:E), 0) +
S727*IF(_xlfn.XLOOKUP(R727,'02效果表'!D:D,'02效果表'!E:E)&lt;0, _xlfn.XLOOKUP(R727,'02效果表'!D:D,'02效果表'!E:E), 0) +
U727*IF(_xlfn.XLOOKUP(T727,'02效果表'!D:D,'02效果表'!E:E)&lt;0, _xlfn.XLOOKUP(T727,'02效果表'!D:D,'02效果表'!E:E), 0) +
W727*IF(_xlfn.XLOOKUP(V727,'02效果表'!D:D,'02效果表'!E:E)&lt;0, _xlfn.XLOOKUP(V727,'02效果表'!D:D,'02效果表'!E:E), 0) +
Y727*IF(_xlfn.XLOOKUP(X727,'02效果表'!D:D,'02效果表'!E:E)&lt;0, _xlfn.XLOOKUP(X727,'02效果表'!D:D,'02效果表'!E:E), 0) +
AA727*IF(_xlfn.XLOOKUP(Z727,'02效果表'!D:D,'02效果表'!E:E)&lt;0, _xlfn.XLOOKUP(Z727,'02效果表'!D:D,'02效果表'!E:E), 0) +
AC727*IF(_xlfn.XLOOKUP(AB727,'02效果表'!D:D,'02效果表'!E:E)&lt;0, _xlfn.XLOOKUP(AB727,'02效果表'!D:D,'02效果表'!E:E), 0) +
AE727*IF(_xlfn.XLOOKUP(AD727,'02效果表'!D:D,'02效果表'!E:E)&lt;0, _xlfn.XLOOKUP(AD727,'02效果表'!D:D,'02效果表'!E:E), 0)), 1)</f>
        <v>0</v>
      </c>
      <c r="G727" s="7">
        <f>ROUND(1/6*(I727*MAX(_xlfn.XLOOKUP(H727,'02效果表'!D:D,'02效果表'!E:E),0)+K727*MAX(_xlfn.XLOOKUP(J727,'02效果表'!D:D,'02效果表'!E:E),0)+M727*MAX(_xlfn.XLOOKUP(L727,'02效果表'!D:D,'02效果表'!E:E),0)+O727*MAX(_xlfn.XLOOKUP(N727,'02效果表'!D:D,'02效果表'!E:E),0)+Q727*MAX(_xlfn.XLOOKUP(P727,'02效果表'!D:D,'02效果表'!E:E),0)+S727*MAX(_xlfn.XLOOKUP(R727,'02效果表'!D:D,'02效果表'!E:E),0)+U727*MAX(_xlfn.XLOOKUP(T727,'02效果表'!D:D,'02效果表'!E:E),0)+W727*MAX(_xlfn.XLOOKUP(V727,'02效果表'!D:D,'02效果表'!E:E),0)+Y727*MAX(_xlfn.XLOOKUP(X727,'02效果表'!D:D,'02效果表'!E:E),0)+AA727*MAX(_xlfn.XLOOKUP(Z727,'02效果表'!D:D,'02效果表'!E:E),0)+AC727*MAX(_xlfn.XLOOKUP(AB727,'02效果表'!D:D,'02效果表'!E:E),0)+AE727*MAX(_xlfn.XLOOKUP(AD727,'02效果表'!D:D,'02效果表'!E:E),0)),1)</f>
        <v>0</v>
      </c>
      <c r="H727" s="6"/>
      <c r="I727" s="6"/>
      <c r="J727" s="6"/>
      <c r="K727" s="6"/>
      <c r="L727" s="6"/>
      <c r="M727" s="6"/>
      <c r="N727" s="6"/>
      <c r="O727" s="6"/>
      <c r="P727" s="6"/>
      <c r="Q727" s="6"/>
      <c r="R727" s="6"/>
      <c r="S727" s="6"/>
      <c r="T727" s="6"/>
      <c r="U727" s="6"/>
      <c r="V727" s="6"/>
      <c r="W727" s="6"/>
      <c r="X727" s="6"/>
      <c r="Y727" s="6"/>
      <c r="Z727" s="6"/>
      <c r="AA727" s="6"/>
      <c r="AB727" s="6"/>
      <c r="AC727" s="6"/>
      <c r="AD727" s="6"/>
      <c r="AE727" s="6"/>
    </row>
    <row r="728" spans="1:31" x14ac:dyDescent="0.35">
      <c r="A728" s="6">
        <v>728</v>
      </c>
      <c r="B728" s="6" t="s">
        <v>8</v>
      </c>
      <c r="C728" s="10" t="s">
        <v>17</v>
      </c>
      <c r="D728" s="9" t="s">
        <v>1827</v>
      </c>
      <c r="E728" s="7">
        <f t="shared" si="18"/>
        <v>0</v>
      </c>
      <c r="F728" s="7">
        <f>-1*ROUND(1/6*(I728*IF(_xlfn.XLOOKUP(H728,'02效果表'!D:D,'02效果表'!E:E)&lt;0, _xlfn.XLOOKUP(H728,'02效果表'!D:D,'02效果表'!E:E), 0) +
K728*IF(_xlfn.XLOOKUP(J728,'02效果表'!D:D,'02效果表'!E:E)&lt;0, _xlfn.XLOOKUP(J728,'02效果表'!D:D,'02效果表'!E:E), 0) +
M728*IF(_xlfn.XLOOKUP(L728,'02效果表'!D:D,'02效果表'!E:E)&lt;0, _xlfn.XLOOKUP(L728,'02效果表'!D:D,'02效果表'!E:E), 0) +
O728*IF(_xlfn.XLOOKUP(N728,'02效果表'!D:D,'02效果表'!E:E)&lt;0, _xlfn.XLOOKUP(N728,'02效果表'!D:D,'02效果表'!E:E), 0) +
Q728*IF(_xlfn.XLOOKUP(P728,'02效果表'!D:D,'02效果表'!E:E)&lt;0, _xlfn.XLOOKUP(P728,'02效果表'!D:D,'02效果表'!E:E), 0) +
S728*IF(_xlfn.XLOOKUP(R728,'02效果表'!D:D,'02效果表'!E:E)&lt;0, _xlfn.XLOOKUP(R728,'02效果表'!D:D,'02效果表'!E:E), 0) +
U728*IF(_xlfn.XLOOKUP(T728,'02效果表'!D:D,'02效果表'!E:E)&lt;0, _xlfn.XLOOKUP(T728,'02效果表'!D:D,'02效果表'!E:E), 0) +
W728*IF(_xlfn.XLOOKUP(V728,'02效果表'!D:D,'02效果表'!E:E)&lt;0, _xlfn.XLOOKUP(V728,'02效果表'!D:D,'02效果表'!E:E), 0) +
Y728*IF(_xlfn.XLOOKUP(X728,'02效果表'!D:D,'02效果表'!E:E)&lt;0, _xlfn.XLOOKUP(X728,'02效果表'!D:D,'02效果表'!E:E), 0) +
AA728*IF(_xlfn.XLOOKUP(Z728,'02效果表'!D:D,'02效果表'!E:E)&lt;0, _xlfn.XLOOKUP(Z728,'02效果表'!D:D,'02效果表'!E:E), 0) +
AC728*IF(_xlfn.XLOOKUP(AB728,'02效果表'!D:D,'02效果表'!E:E)&lt;0, _xlfn.XLOOKUP(AB728,'02效果表'!D:D,'02效果表'!E:E), 0) +
AE728*IF(_xlfn.XLOOKUP(AD728,'02效果表'!D:D,'02效果表'!E:E)&lt;0, _xlfn.XLOOKUP(AD728,'02效果表'!D:D,'02效果表'!E:E), 0)), 1)</f>
        <v>0</v>
      </c>
      <c r="G728" s="7">
        <f>ROUND(1/6*(I728*MAX(_xlfn.XLOOKUP(H728,'02效果表'!D:D,'02效果表'!E:E),0)+K728*MAX(_xlfn.XLOOKUP(J728,'02效果表'!D:D,'02效果表'!E:E),0)+M728*MAX(_xlfn.XLOOKUP(L728,'02效果表'!D:D,'02效果表'!E:E),0)+O728*MAX(_xlfn.XLOOKUP(N728,'02效果表'!D:D,'02效果表'!E:E),0)+Q728*MAX(_xlfn.XLOOKUP(P728,'02效果表'!D:D,'02效果表'!E:E),0)+S728*MAX(_xlfn.XLOOKUP(R728,'02效果表'!D:D,'02效果表'!E:E),0)+U728*MAX(_xlfn.XLOOKUP(T728,'02效果表'!D:D,'02效果表'!E:E),0)+W728*MAX(_xlfn.XLOOKUP(V728,'02效果表'!D:D,'02效果表'!E:E),0)+Y728*MAX(_xlfn.XLOOKUP(X728,'02效果表'!D:D,'02效果表'!E:E),0)+AA728*MAX(_xlfn.XLOOKUP(Z728,'02效果表'!D:D,'02效果表'!E:E),0)+AC728*MAX(_xlfn.XLOOKUP(AB728,'02效果表'!D:D,'02效果表'!E:E),0)+AE728*MAX(_xlfn.XLOOKUP(AD728,'02效果表'!D:D,'02效果表'!E:E),0)),1)</f>
        <v>0</v>
      </c>
      <c r="H728" s="6"/>
      <c r="I728" s="6"/>
      <c r="J728" s="6"/>
      <c r="K728" s="6"/>
      <c r="L728" s="6"/>
      <c r="M728" s="6"/>
      <c r="N728" s="6"/>
      <c r="O728" s="6"/>
      <c r="P728" s="6"/>
      <c r="Q728" s="6"/>
      <c r="R728" s="6"/>
      <c r="S728" s="6"/>
      <c r="T728" s="6"/>
      <c r="U728" s="6"/>
      <c r="V728" s="6"/>
      <c r="W728" s="6"/>
      <c r="X728" s="6"/>
      <c r="Y728" s="6"/>
      <c r="Z728" s="6"/>
      <c r="AA728" s="6"/>
      <c r="AB728" s="6"/>
      <c r="AC728" s="6"/>
      <c r="AD728" s="6"/>
      <c r="AE728" s="6"/>
    </row>
    <row r="729" spans="1:31" x14ac:dyDescent="0.35">
      <c r="A729" s="6">
        <v>729</v>
      </c>
      <c r="B729" s="6" t="s">
        <v>8</v>
      </c>
      <c r="C729" s="10" t="s">
        <v>17</v>
      </c>
      <c r="D729" s="9" t="s">
        <v>1828</v>
      </c>
      <c r="E729" s="7">
        <f t="shared" si="18"/>
        <v>0</v>
      </c>
      <c r="F729" s="7">
        <f>-1*ROUND(1/6*(I729*IF(_xlfn.XLOOKUP(H729,'02效果表'!D:D,'02效果表'!E:E)&lt;0, _xlfn.XLOOKUP(H729,'02效果表'!D:D,'02效果表'!E:E), 0) +
K729*IF(_xlfn.XLOOKUP(J729,'02效果表'!D:D,'02效果表'!E:E)&lt;0, _xlfn.XLOOKUP(J729,'02效果表'!D:D,'02效果表'!E:E), 0) +
M729*IF(_xlfn.XLOOKUP(L729,'02效果表'!D:D,'02效果表'!E:E)&lt;0, _xlfn.XLOOKUP(L729,'02效果表'!D:D,'02效果表'!E:E), 0) +
O729*IF(_xlfn.XLOOKUP(N729,'02效果表'!D:D,'02效果表'!E:E)&lt;0, _xlfn.XLOOKUP(N729,'02效果表'!D:D,'02效果表'!E:E), 0) +
Q729*IF(_xlfn.XLOOKUP(P729,'02效果表'!D:D,'02效果表'!E:E)&lt;0, _xlfn.XLOOKUP(P729,'02效果表'!D:D,'02效果表'!E:E), 0) +
S729*IF(_xlfn.XLOOKUP(R729,'02效果表'!D:D,'02效果表'!E:E)&lt;0, _xlfn.XLOOKUP(R729,'02效果表'!D:D,'02效果表'!E:E), 0) +
U729*IF(_xlfn.XLOOKUP(T729,'02效果表'!D:D,'02效果表'!E:E)&lt;0, _xlfn.XLOOKUP(T729,'02效果表'!D:D,'02效果表'!E:E), 0) +
W729*IF(_xlfn.XLOOKUP(V729,'02效果表'!D:D,'02效果表'!E:E)&lt;0, _xlfn.XLOOKUP(V729,'02效果表'!D:D,'02效果表'!E:E), 0) +
Y729*IF(_xlfn.XLOOKUP(X729,'02效果表'!D:D,'02效果表'!E:E)&lt;0, _xlfn.XLOOKUP(X729,'02效果表'!D:D,'02效果表'!E:E), 0) +
AA729*IF(_xlfn.XLOOKUP(Z729,'02效果表'!D:D,'02效果表'!E:E)&lt;0, _xlfn.XLOOKUP(Z729,'02效果表'!D:D,'02效果表'!E:E), 0) +
AC729*IF(_xlfn.XLOOKUP(AB729,'02效果表'!D:D,'02效果表'!E:E)&lt;0, _xlfn.XLOOKUP(AB729,'02效果表'!D:D,'02效果表'!E:E), 0) +
AE729*IF(_xlfn.XLOOKUP(AD729,'02效果表'!D:D,'02效果表'!E:E)&lt;0, _xlfn.XLOOKUP(AD729,'02效果表'!D:D,'02效果表'!E:E), 0)), 1)</f>
        <v>0</v>
      </c>
      <c r="G729" s="7">
        <f>ROUND(1/6*(I729*MAX(_xlfn.XLOOKUP(H729,'02效果表'!D:D,'02效果表'!E:E),0)+K729*MAX(_xlfn.XLOOKUP(J729,'02效果表'!D:D,'02效果表'!E:E),0)+M729*MAX(_xlfn.XLOOKUP(L729,'02效果表'!D:D,'02效果表'!E:E),0)+O729*MAX(_xlfn.XLOOKUP(N729,'02效果表'!D:D,'02效果表'!E:E),0)+Q729*MAX(_xlfn.XLOOKUP(P729,'02效果表'!D:D,'02效果表'!E:E),0)+S729*MAX(_xlfn.XLOOKUP(R729,'02效果表'!D:D,'02效果表'!E:E),0)+U729*MAX(_xlfn.XLOOKUP(T729,'02效果表'!D:D,'02效果表'!E:E),0)+W729*MAX(_xlfn.XLOOKUP(V729,'02效果表'!D:D,'02效果表'!E:E),0)+Y729*MAX(_xlfn.XLOOKUP(X729,'02效果表'!D:D,'02效果表'!E:E),0)+AA729*MAX(_xlfn.XLOOKUP(Z729,'02效果表'!D:D,'02效果表'!E:E),0)+AC729*MAX(_xlfn.XLOOKUP(AB729,'02效果表'!D:D,'02效果表'!E:E),0)+AE729*MAX(_xlfn.XLOOKUP(AD729,'02效果表'!D:D,'02效果表'!E:E),0)),1)</f>
        <v>0</v>
      </c>
      <c r="H729" s="6"/>
      <c r="I729" s="6"/>
      <c r="J729" s="6"/>
      <c r="K729" s="6"/>
      <c r="L729" s="6"/>
      <c r="M729" s="6"/>
      <c r="N729" s="6"/>
      <c r="O729" s="6"/>
      <c r="P729" s="6"/>
      <c r="Q729" s="6"/>
      <c r="R729" s="6"/>
      <c r="S729" s="6"/>
      <c r="T729" s="6"/>
      <c r="U729" s="6"/>
      <c r="V729" s="6"/>
      <c r="W729" s="6"/>
      <c r="X729" s="6"/>
      <c r="Y729" s="6"/>
      <c r="Z729" s="6"/>
      <c r="AA729" s="6"/>
      <c r="AB729" s="6"/>
      <c r="AC729" s="6"/>
      <c r="AD729" s="6"/>
      <c r="AE729" s="6"/>
    </row>
    <row r="730" spans="1:31" x14ac:dyDescent="0.35">
      <c r="A730" s="6">
        <v>730</v>
      </c>
      <c r="B730" s="6" t="s">
        <v>8</v>
      </c>
      <c r="C730" s="10" t="s">
        <v>17</v>
      </c>
      <c r="D730" s="9" t="s">
        <v>1829</v>
      </c>
      <c r="E730" s="7">
        <f t="shared" si="18"/>
        <v>0</v>
      </c>
      <c r="F730" s="7">
        <f>-1*ROUND(1/6*(I730*IF(_xlfn.XLOOKUP(H730,'02效果表'!D:D,'02效果表'!E:E)&lt;0, _xlfn.XLOOKUP(H730,'02效果表'!D:D,'02效果表'!E:E), 0) +
K730*IF(_xlfn.XLOOKUP(J730,'02效果表'!D:D,'02效果表'!E:E)&lt;0, _xlfn.XLOOKUP(J730,'02效果表'!D:D,'02效果表'!E:E), 0) +
M730*IF(_xlfn.XLOOKUP(L730,'02效果表'!D:D,'02效果表'!E:E)&lt;0, _xlfn.XLOOKUP(L730,'02效果表'!D:D,'02效果表'!E:E), 0) +
O730*IF(_xlfn.XLOOKUP(N730,'02效果表'!D:D,'02效果表'!E:E)&lt;0, _xlfn.XLOOKUP(N730,'02效果表'!D:D,'02效果表'!E:E), 0) +
Q730*IF(_xlfn.XLOOKUP(P730,'02效果表'!D:D,'02效果表'!E:E)&lt;0, _xlfn.XLOOKUP(P730,'02效果表'!D:D,'02效果表'!E:E), 0) +
S730*IF(_xlfn.XLOOKUP(R730,'02效果表'!D:D,'02效果表'!E:E)&lt;0, _xlfn.XLOOKUP(R730,'02效果表'!D:D,'02效果表'!E:E), 0) +
U730*IF(_xlfn.XLOOKUP(T730,'02效果表'!D:D,'02效果表'!E:E)&lt;0, _xlfn.XLOOKUP(T730,'02效果表'!D:D,'02效果表'!E:E), 0) +
W730*IF(_xlfn.XLOOKUP(V730,'02效果表'!D:D,'02效果表'!E:E)&lt;0, _xlfn.XLOOKUP(V730,'02效果表'!D:D,'02效果表'!E:E), 0) +
Y730*IF(_xlfn.XLOOKUP(X730,'02效果表'!D:D,'02效果表'!E:E)&lt;0, _xlfn.XLOOKUP(X730,'02效果表'!D:D,'02效果表'!E:E), 0) +
AA730*IF(_xlfn.XLOOKUP(Z730,'02效果表'!D:D,'02效果表'!E:E)&lt;0, _xlfn.XLOOKUP(Z730,'02效果表'!D:D,'02效果表'!E:E), 0) +
AC730*IF(_xlfn.XLOOKUP(AB730,'02效果表'!D:D,'02效果表'!E:E)&lt;0, _xlfn.XLOOKUP(AB730,'02效果表'!D:D,'02效果表'!E:E), 0) +
AE730*IF(_xlfn.XLOOKUP(AD730,'02效果表'!D:D,'02效果表'!E:E)&lt;0, _xlfn.XLOOKUP(AD730,'02效果表'!D:D,'02效果表'!E:E), 0)), 1)</f>
        <v>0</v>
      </c>
      <c r="G730" s="7">
        <f>ROUND(1/6*(I730*MAX(_xlfn.XLOOKUP(H730,'02效果表'!D:D,'02效果表'!E:E),0)+K730*MAX(_xlfn.XLOOKUP(J730,'02效果表'!D:D,'02效果表'!E:E),0)+M730*MAX(_xlfn.XLOOKUP(L730,'02效果表'!D:D,'02效果表'!E:E),0)+O730*MAX(_xlfn.XLOOKUP(N730,'02效果表'!D:D,'02效果表'!E:E),0)+Q730*MAX(_xlfn.XLOOKUP(P730,'02效果表'!D:D,'02效果表'!E:E),0)+S730*MAX(_xlfn.XLOOKUP(R730,'02效果表'!D:D,'02效果表'!E:E),0)+U730*MAX(_xlfn.XLOOKUP(T730,'02效果表'!D:D,'02效果表'!E:E),0)+W730*MAX(_xlfn.XLOOKUP(V730,'02效果表'!D:D,'02效果表'!E:E),0)+Y730*MAX(_xlfn.XLOOKUP(X730,'02效果表'!D:D,'02效果表'!E:E),0)+AA730*MAX(_xlfn.XLOOKUP(Z730,'02效果表'!D:D,'02效果表'!E:E),0)+AC730*MAX(_xlfn.XLOOKUP(AB730,'02效果表'!D:D,'02效果表'!E:E),0)+AE730*MAX(_xlfn.XLOOKUP(AD730,'02效果表'!D:D,'02效果表'!E:E),0)),1)</f>
        <v>0</v>
      </c>
      <c r="H730" s="6"/>
      <c r="I730" s="6"/>
      <c r="J730" s="6"/>
      <c r="K730" s="6"/>
      <c r="L730" s="6"/>
      <c r="M730" s="6"/>
      <c r="N730" s="6"/>
      <c r="O730" s="6"/>
      <c r="P730" s="6"/>
      <c r="Q730" s="6"/>
      <c r="R730" s="6"/>
      <c r="S730" s="6"/>
      <c r="T730" s="6"/>
      <c r="U730" s="6"/>
      <c r="V730" s="6"/>
      <c r="W730" s="6"/>
      <c r="X730" s="6"/>
      <c r="Y730" s="6"/>
      <c r="Z730" s="6"/>
      <c r="AA730" s="6"/>
      <c r="AB730" s="6"/>
      <c r="AC730" s="6"/>
      <c r="AD730" s="6"/>
      <c r="AE730" s="6"/>
    </row>
    <row r="731" spans="1:31" x14ac:dyDescent="0.35">
      <c r="A731" s="6">
        <v>731</v>
      </c>
      <c r="B731" s="6" t="s">
        <v>8</v>
      </c>
      <c r="C731" s="10" t="s">
        <v>17</v>
      </c>
      <c r="D731" s="9" t="s">
        <v>1830</v>
      </c>
      <c r="E731" s="7">
        <f t="shared" si="18"/>
        <v>0</v>
      </c>
      <c r="F731" s="7">
        <f>-1*ROUND(1/6*(I731*IF(_xlfn.XLOOKUP(H731,'02效果表'!D:D,'02效果表'!E:E)&lt;0, _xlfn.XLOOKUP(H731,'02效果表'!D:D,'02效果表'!E:E), 0) +
K731*IF(_xlfn.XLOOKUP(J731,'02效果表'!D:D,'02效果表'!E:E)&lt;0, _xlfn.XLOOKUP(J731,'02效果表'!D:D,'02效果表'!E:E), 0) +
M731*IF(_xlfn.XLOOKUP(L731,'02效果表'!D:D,'02效果表'!E:E)&lt;0, _xlfn.XLOOKUP(L731,'02效果表'!D:D,'02效果表'!E:E), 0) +
O731*IF(_xlfn.XLOOKUP(N731,'02效果表'!D:D,'02效果表'!E:E)&lt;0, _xlfn.XLOOKUP(N731,'02效果表'!D:D,'02效果表'!E:E), 0) +
Q731*IF(_xlfn.XLOOKUP(P731,'02效果表'!D:D,'02效果表'!E:E)&lt;0, _xlfn.XLOOKUP(P731,'02效果表'!D:D,'02效果表'!E:E), 0) +
S731*IF(_xlfn.XLOOKUP(R731,'02效果表'!D:D,'02效果表'!E:E)&lt;0, _xlfn.XLOOKUP(R731,'02效果表'!D:D,'02效果表'!E:E), 0) +
U731*IF(_xlfn.XLOOKUP(T731,'02效果表'!D:D,'02效果表'!E:E)&lt;0, _xlfn.XLOOKUP(T731,'02效果表'!D:D,'02效果表'!E:E), 0) +
W731*IF(_xlfn.XLOOKUP(V731,'02效果表'!D:D,'02效果表'!E:E)&lt;0, _xlfn.XLOOKUP(V731,'02效果表'!D:D,'02效果表'!E:E), 0) +
Y731*IF(_xlfn.XLOOKUP(X731,'02效果表'!D:D,'02效果表'!E:E)&lt;0, _xlfn.XLOOKUP(X731,'02效果表'!D:D,'02效果表'!E:E), 0) +
AA731*IF(_xlfn.XLOOKUP(Z731,'02效果表'!D:D,'02效果表'!E:E)&lt;0, _xlfn.XLOOKUP(Z731,'02效果表'!D:D,'02效果表'!E:E), 0) +
AC731*IF(_xlfn.XLOOKUP(AB731,'02效果表'!D:D,'02效果表'!E:E)&lt;0, _xlfn.XLOOKUP(AB731,'02效果表'!D:D,'02效果表'!E:E), 0) +
AE731*IF(_xlfn.XLOOKUP(AD731,'02效果表'!D:D,'02效果表'!E:E)&lt;0, _xlfn.XLOOKUP(AD731,'02效果表'!D:D,'02效果表'!E:E), 0)), 1)</f>
        <v>0</v>
      </c>
      <c r="G731" s="7">
        <f>ROUND(1/6*(I731*MAX(_xlfn.XLOOKUP(H731,'02效果表'!D:D,'02效果表'!E:E),0)+K731*MAX(_xlfn.XLOOKUP(J731,'02效果表'!D:D,'02效果表'!E:E),0)+M731*MAX(_xlfn.XLOOKUP(L731,'02效果表'!D:D,'02效果表'!E:E),0)+O731*MAX(_xlfn.XLOOKUP(N731,'02效果表'!D:D,'02效果表'!E:E),0)+Q731*MAX(_xlfn.XLOOKUP(P731,'02效果表'!D:D,'02效果表'!E:E),0)+S731*MAX(_xlfn.XLOOKUP(R731,'02效果表'!D:D,'02效果表'!E:E),0)+U731*MAX(_xlfn.XLOOKUP(T731,'02效果表'!D:D,'02效果表'!E:E),0)+W731*MAX(_xlfn.XLOOKUP(V731,'02效果表'!D:D,'02效果表'!E:E),0)+Y731*MAX(_xlfn.XLOOKUP(X731,'02效果表'!D:D,'02效果表'!E:E),0)+AA731*MAX(_xlfn.XLOOKUP(Z731,'02效果表'!D:D,'02效果表'!E:E),0)+AC731*MAX(_xlfn.XLOOKUP(AB731,'02效果表'!D:D,'02效果表'!E:E),0)+AE731*MAX(_xlfn.XLOOKUP(AD731,'02效果表'!D:D,'02效果表'!E:E),0)),1)</f>
        <v>0</v>
      </c>
      <c r="H731" s="6"/>
      <c r="I731" s="6"/>
      <c r="J731" s="6"/>
      <c r="K731" s="6"/>
      <c r="L731" s="6"/>
      <c r="M731" s="6"/>
      <c r="N731" s="6"/>
      <c r="O731" s="6"/>
      <c r="P731" s="6"/>
      <c r="Q731" s="6"/>
      <c r="R731" s="6"/>
      <c r="S731" s="6"/>
      <c r="T731" s="6"/>
      <c r="U731" s="6"/>
      <c r="V731" s="6"/>
      <c r="W731" s="6"/>
      <c r="X731" s="6"/>
      <c r="Y731" s="6"/>
      <c r="Z731" s="6"/>
      <c r="AA731" s="6"/>
      <c r="AB731" s="6"/>
      <c r="AC731" s="6"/>
      <c r="AD731" s="6"/>
      <c r="AE731" s="6"/>
    </row>
    <row r="732" spans="1:31" x14ac:dyDescent="0.35">
      <c r="A732" s="6">
        <v>732</v>
      </c>
      <c r="B732" s="6" t="s">
        <v>8</v>
      </c>
      <c r="C732" s="10" t="s">
        <v>17</v>
      </c>
      <c r="D732" s="9" t="s">
        <v>1831</v>
      </c>
      <c r="E732" s="7">
        <f t="shared" si="18"/>
        <v>0</v>
      </c>
      <c r="F732" s="7">
        <f>-1*ROUND(1/6*(I732*IF(_xlfn.XLOOKUP(H732,'02效果表'!D:D,'02效果表'!E:E)&lt;0, _xlfn.XLOOKUP(H732,'02效果表'!D:D,'02效果表'!E:E), 0) +
K732*IF(_xlfn.XLOOKUP(J732,'02效果表'!D:D,'02效果表'!E:E)&lt;0, _xlfn.XLOOKUP(J732,'02效果表'!D:D,'02效果表'!E:E), 0) +
M732*IF(_xlfn.XLOOKUP(L732,'02效果表'!D:D,'02效果表'!E:E)&lt;0, _xlfn.XLOOKUP(L732,'02效果表'!D:D,'02效果表'!E:E), 0) +
O732*IF(_xlfn.XLOOKUP(N732,'02效果表'!D:D,'02效果表'!E:E)&lt;0, _xlfn.XLOOKUP(N732,'02效果表'!D:D,'02效果表'!E:E), 0) +
Q732*IF(_xlfn.XLOOKUP(P732,'02效果表'!D:D,'02效果表'!E:E)&lt;0, _xlfn.XLOOKUP(P732,'02效果表'!D:D,'02效果表'!E:E), 0) +
S732*IF(_xlfn.XLOOKUP(R732,'02效果表'!D:D,'02效果表'!E:E)&lt;0, _xlfn.XLOOKUP(R732,'02效果表'!D:D,'02效果表'!E:E), 0) +
U732*IF(_xlfn.XLOOKUP(T732,'02效果表'!D:D,'02效果表'!E:E)&lt;0, _xlfn.XLOOKUP(T732,'02效果表'!D:D,'02效果表'!E:E), 0) +
W732*IF(_xlfn.XLOOKUP(V732,'02效果表'!D:D,'02效果表'!E:E)&lt;0, _xlfn.XLOOKUP(V732,'02效果表'!D:D,'02效果表'!E:E), 0) +
Y732*IF(_xlfn.XLOOKUP(X732,'02效果表'!D:D,'02效果表'!E:E)&lt;0, _xlfn.XLOOKUP(X732,'02效果表'!D:D,'02效果表'!E:E), 0) +
AA732*IF(_xlfn.XLOOKUP(Z732,'02效果表'!D:D,'02效果表'!E:E)&lt;0, _xlfn.XLOOKUP(Z732,'02效果表'!D:D,'02效果表'!E:E), 0) +
AC732*IF(_xlfn.XLOOKUP(AB732,'02效果表'!D:D,'02效果表'!E:E)&lt;0, _xlfn.XLOOKUP(AB732,'02效果表'!D:D,'02效果表'!E:E), 0) +
AE732*IF(_xlfn.XLOOKUP(AD732,'02效果表'!D:D,'02效果表'!E:E)&lt;0, _xlfn.XLOOKUP(AD732,'02效果表'!D:D,'02效果表'!E:E), 0)), 1)</f>
        <v>0</v>
      </c>
      <c r="G732" s="7">
        <f>ROUND(1/6*(I732*MAX(_xlfn.XLOOKUP(H732,'02效果表'!D:D,'02效果表'!E:E),0)+K732*MAX(_xlfn.XLOOKUP(J732,'02效果表'!D:D,'02效果表'!E:E),0)+M732*MAX(_xlfn.XLOOKUP(L732,'02效果表'!D:D,'02效果表'!E:E),0)+O732*MAX(_xlfn.XLOOKUP(N732,'02效果表'!D:D,'02效果表'!E:E),0)+Q732*MAX(_xlfn.XLOOKUP(P732,'02效果表'!D:D,'02效果表'!E:E),0)+S732*MAX(_xlfn.XLOOKUP(R732,'02效果表'!D:D,'02效果表'!E:E),0)+U732*MAX(_xlfn.XLOOKUP(T732,'02效果表'!D:D,'02效果表'!E:E),0)+W732*MAX(_xlfn.XLOOKUP(V732,'02效果表'!D:D,'02效果表'!E:E),0)+Y732*MAX(_xlfn.XLOOKUP(X732,'02效果表'!D:D,'02效果表'!E:E),0)+AA732*MAX(_xlfn.XLOOKUP(Z732,'02效果表'!D:D,'02效果表'!E:E),0)+AC732*MAX(_xlfn.XLOOKUP(AB732,'02效果表'!D:D,'02效果表'!E:E),0)+AE732*MAX(_xlfn.XLOOKUP(AD732,'02效果表'!D:D,'02效果表'!E:E),0)),1)</f>
        <v>0</v>
      </c>
      <c r="H732" s="6"/>
      <c r="I732" s="6"/>
      <c r="J732" s="6"/>
      <c r="K732" s="6"/>
      <c r="L732" s="6"/>
      <c r="M732" s="6"/>
      <c r="N732" s="6"/>
      <c r="O732" s="6"/>
      <c r="P732" s="6"/>
      <c r="Q732" s="6"/>
      <c r="R732" s="6"/>
      <c r="S732" s="6"/>
      <c r="T732" s="6"/>
      <c r="U732" s="6"/>
      <c r="V732" s="6"/>
      <c r="W732" s="6"/>
      <c r="X732" s="6"/>
      <c r="Y732" s="6"/>
      <c r="Z732" s="6"/>
      <c r="AA732" s="6"/>
      <c r="AB732" s="6"/>
      <c r="AC732" s="6"/>
      <c r="AD732" s="6"/>
      <c r="AE732" s="6"/>
    </row>
    <row r="733" spans="1:31" x14ac:dyDescent="0.35">
      <c r="A733" s="6">
        <v>733</v>
      </c>
      <c r="B733" s="6" t="s">
        <v>8</v>
      </c>
      <c r="C733" s="10" t="s">
        <v>17</v>
      </c>
      <c r="D733" s="9" t="s">
        <v>1832</v>
      </c>
      <c r="E733" s="7">
        <f t="shared" si="18"/>
        <v>0</v>
      </c>
      <c r="F733" s="7">
        <f>-1*ROUND(1/6*(I733*IF(_xlfn.XLOOKUP(H733,'02效果表'!D:D,'02效果表'!E:E)&lt;0, _xlfn.XLOOKUP(H733,'02效果表'!D:D,'02效果表'!E:E), 0) +
K733*IF(_xlfn.XLOOKUP(J733,'02效果表'!D:D,'02效果表'!E:E)&lt;0, _xlfn.XLOOKUP(J733,'02效果表'!D:D,'02效果表'!E:E), 0) +
M733*IF(_xlfn.XLOOKUP(L733,'02效果表'!D:D,'02效果表'!E:E)&lt;0, _xlfn.XLOOKUP(L733,'02效果表'!D:D,'02效果表'!E:E), 0) +
O733*IF(_xlfn.XLOOKUP(N733,'02效果表'!D:D,'02效果表'!E:E)&lt;0, _xlfn.XLOOKUP(N733,'02效果表'!D:D,'02效果表'!E:E), 0) +
Q733*IF(_xlfn.XLOOKUP(P733,'02效果表'!D:D,'02效果表'!E:E)&lt;0, _xlfn.XLOOKUP(P733,'02效果表'!D:D,'02效果表'!E:E), 0) +
S733*IF(_xlfn.XLOOKUP(R733,'02效果表'!D:D,'02效果表'!E:E)&lt;0, _xlfn.XLOOKUP(R733,'02效果表'!D:D,'02效果表'!E:E), 0) +
U733*IF(_xlfn.XLOOKUP(T733,'02效果表'!D:D,'02效果表'!E:E)&lt;0, _xlfn.XLOOKUP(T733,'02效果表'!D:D,'02效果表'!E:E), 0) +
W733*IF(_xlfn.XLOOKUP(V733,'02效果表'!D:D,'02效果表'!E:E)&lt;0, _xlfn.XLOOKUP(V733,'02效果表'!D:D,'02效果表'!E:E), 0) +
Y733*IF(_xlfn.XLOOKUP(X733,'02效果表'!D:D,'02效果表'!E:E)&lt;0, _xlfn.XLOOKUP(X733,'02效果表'!D:D,'02效果表'!E:E), 0) +
AA733*IF(_xlfn.XLOOKUP(Z733,'02效果表'!D:D,'02效果表'!E:E)&lt;0, _xlfn.XLOOKUP(Z733,'02效果表'!D:D,'02效果表'!E:E), 0) +
AC733*IF(_xlfn.XLOOKUP(AB733,'02效果表'!D:D,'02效果表'!E:E)&lt;0, _xlfn.XLOOKUP(AB733,'02效果表'!D:D,'02效果表'!E:E), 0) +
AE733*IF(_xlfn.XLOOKUP(AD733,'02效果表'!D:D,'02效果表'!E:E)&lt;0, _xlfn.XLOOKUP(AD733,'02效果表'!D:D,'02效果表'!E:E), 0)), 1)</f>
        <v>0</v>
      </c>
      <c r="G733" s="7">
        <f>ROUND(1/6*(I733*MAX(_xlfn.XLOOKUP(H733,'02效果表'!D:D,'02效果表'!E:E),0)+K733*MAX(_xlfn.XLOOKUP(J733,'02效果表'!D:D,'02效果表'!E:E),0)+M733*MAX(_xlfn.XLOOKUP(L733,'02效果表'!D:D,'02效果表'!E:E),0)+O733*MAX(_xlfn.XLOOKUP(N733,'02效果表'!D:D,'02效果表'!E:E),0)+Q733*MAX(_xlfn.XLOOKUP(P733,'02效果表'!D:D,'02效果表'!E:E),0)+S733*MAX(_xlfn.XLOOKUP(R733,'02效果表'!D:D,'02效果表'!E:E),0)+U733*MAX(_xlfn.XLOOKUP(T733,'02效果表'!D:D,'02效果表'!E:E),0)+W733*MAX(_xlfn.XLOOKUP(V733,'02效果表'!D:D,'02效果表'!E:E),0)+Y733*MAX(_xlfn.XLOOKUP(X733,'02效果表'!D:D,'02效果表'!E:E),0)+AA733*MAX(_xlfn.XLOOKUP(Z733,'02效果表'!D:D,'02效果表'!E:E),0)+AC733*MAX(_xlfn.XLOOKUP(AB733,'02效果表'!D:D,'02效果表'!E:E),0)+AE733*MAX(_xlfn.XLOOKUP(AD733,'02效果表'!D:D,'02效果表'!E:E),0)),1)</f>
        <v>0</v>
      </c>
      <c r="H733" s="6"/>
      <c r="I733" s="6"/>
      <c r="J733" s="6"/>
      <c r="K733" s="6"/>
      <c r="L733" s="6"/>
      <c r="M733" s="6"/>
      <c r="N733" s="6"/>
      <c r="O733" s="6"/>
      <c r="P733" s="6"/>
      <c r="Q733" s="6"/>
      <c r="R733" s="6"/>
      <c r="S733" s="6"/>
      <c r="T733" s="6"/>
      <c r="U733" s="6"/>
      <c r="V733" s="6"/>
      <c r="W733" s="6"/>
      <c r="X733" s="6"/>
      <c r="Y733" s="6"/>
      <c r="Z733" s="6"/>
      <c r="AA733" s="6"/>
      <c r="AB733" s="6"/>
      <c r="AC733" s="6"/>
      <c r="AD733" s="6"/>
      <c r="AE733" s="6"/>
    </row>
    <row r="734" spans="1:31" x14ac:dyDescent="0.35">
      <c r="A734" s="6">
        <v>734</v>
      </c>
      <c r="B734" s="6" t="s">
        <v>8</v>
      </c>
      <c r="C734" s="10" t="s">
        <v>17</v>
      </c>
      <c r="D734" s="9" t="s">
        <v>1833</v>
      </c>
      <c r="E734" s="7">
        <f t="shared" si="18"/>
        <v>0</v>
      </c>
      <c r="F734" s="7">
        <f>-1*ROUND(1/6*(I734*IF(_xlfn.XLOOKUP(H734,'02效果表'!D:D,'02效果表'!E:E)&lt;0, _xlfn.XLOOKUP(H734,'02效果表'!D:D,'02效果表'!E:E), 0) +
K734*IF(_xlfn.XLOOKUP(J734,'02效果表'!D:D,'02效果表'!E:E)&lt;0, _xlfn.XLOOKUP(J734,'02效果表'!D:D,'02效果表'!E:E), 0) +
M734*IF(_xlfn.XLOOKUP(L734,'02效果表'!D:D,'02效果表'!E:E)&lt;0, _xlfn.XLOOKUP(L734,'02效果表'!D:D,'02效果表'!E:E), 0) +
O734*IF(_xlfn.XLOOKUP(N734,'02效果表'!D:D,'02效果表'!E:E)&lt;0, _xlfn.XLOOKUP(N734,'02效果表'!D:D,'02效果表'!E:E), 0) +
Q734*IF(_xlfn.XLOOKUP(P734,'02效果表'!D:D,'02效果表'!E:E)&lt;0, _xlfn.XLOOKUP(P734,'02效果表'!D:D,'02效果表'!E:E), 0) +
S734*IF(_xlfn.XLOOKUP(R734,'02效果表'!D:D,'02效果表'!E:E)&lt;0, _xlfn.XLOOKUP(R734,'02效果表'!D:D,'02效果表'!E:E), 0) +
U734*IF(_xlfn.XLOOKUP(T734,'02效果表'!D:D,'02效果表'!E:E)&lt;0, _xlfn.XLOOKUP(T734,'02效果表'!D:D,'02效果表'!E:E), 0) +
W734*IF(_xlfn.XLOOKUP(V734,'02效果表'!D:D,'02效果表'!E:E)&lt;0, _xlfn.XLOOKUP(V734,'02效果表'!D:D,'02效果表'!E:E), 0) +
Y734*IF(_xlfn.XLOOKUP(X734,'02效果表'!D:D,'02效果表'!E:E)&lt;0, _xlfn.XLOOKUP(X734,'02效果表'!D:D,'02效果表'!E:E), 0) +
AA734*IF(_xlfn.XLOOKUP(Z734,'02效果表'!D:D,'02效果表'!E:E)&lt;0, _xlfn.XLOOKUP(Z734,'02效果表'!D:D,'02效果表'!E:E), 0) +
AC734*IF(_xlfn.XLOOKUP(AB734,'02效果表'!D:D,'02效果表'!E:E)&lt;0, _xlfn.XLOOKUP(AB734,'02效果表'!D:D,'02效果表'!E:E), 0) +
AE734*IF(_xlfn.XLOOKUP(AD734,'02效果表'!D:D,'02效果表'!E:E)&lt;0, _xlfn.XLOOKUP(AD734,'02效果表'!D:D,'02效果表'!E:E), 0)), 1)</f>
        <v>0</v>
      </c>
      <c r="G734" s="7">
        <f>ROUND(1/6*(I734*MAX(_xlfn.XLOOKUP(H734,'02效果表'!D:D,'02效果表'!E:E),0)+K734*MAX(_xlfn.XLOOKUP(J734,'02效果表'!D:D,'02效果表'!E:E),0)+M734*MAX(_xlfn.XLOOKUP(L734,'02效果表'!D:D,'02效果表'!E:E),0)+O734*MAX(_xlfn.XLOOKUP(N734,'02效果表'!D:D,'02效果表'!E:E),0)+Q734*MAX(_xlfn.XLOOKUP(P734,'02效果表'!D:D,'02效果表'!E:E),0)+S734*MAX(_xlfn.XLOOKUP(R734,'02效果表'!D:D,'02效果表'!E:E),0)+U734*MAX(_xlfn.XLOOKUP(T734,'02效果表'!D:D,'02效果表'!E:E),0)+W734*MAX(_xlfn.XLOOKUP(V734,'02效果表'!D:D,'02效果表'!E:E),0)+Y734*MAX(_xlfn.XLOOKUP(X734,'02效果表'!D:D,'02效果表'!E:E),0)+AA734*MAX(_xlfn.XLOOKUP(Z734,'02效果表'!D:D,'02效果表'!E:E),0)+AC734*MAX(_xlfn.XLOOKUP(AB734,'02效果表'!D:D,'02效果表'!E:E),0)+AE734*MAX(_xlfn.XLOOKUP(AD734,'02效果表'!D:D,'02效果表'!E:E),0)),1)</f>
        <v>0</v>
      </c>
      <c r="H734" s="6"/>
      <c r="I734" s="6"/>
      <c r="J734" s="6"/>
      <c r="K734" s="6"/>
      <c r="L734" s="6"/>
      <c r="M734" s="6"/>
      <c r="N734" s="6"/>
      <c r="O734" s="6"/>
      <c r="P734" s="6"/>
      <c r="Q734" s="6"/>
      <c r="R734" s="6"/>
      <c r="S734" s="6"/>
      <c r="T734" s="6"/>
      <c r="U734" s="6"/>
      <c r="V734" s="6"/>
      <c r="W734" s="6"/>
      <c r="X734" s="6"/>
      <c r="Y734" s="6"/>
      <c r="Z734" s="6"/>
      <c r="AA734" s="6"/>
      <c r="AB734" s="6"/>
      <c r="AC734" s="6"/>
      <c r="AD734" s="6"/>
      <c r="AE734" s="6"/>
    </row>
    <row r="735" spans="1:31" x14ac:dyDescent="0.35">
      <c r="A735" s="6">
        <v>735</v>
      </c>
      <c r="B735" s="6" t="s">
        <v>8</v>
      </c>
      <c r="C735" s="10" t="s">
        <v>17</v>
      </c>
      <c r="D735" s="9" t="s">
        <v>1813</v>
      </c>
      <c r="E735" s="7">
        <f t="shared" si="18"/>
        <v>0</v>
      </c>
      <c r="F735" s="7">
        <f>-1*ROUND(1/6*(I735*IF(_xlfn.XLOOKUP(H735,'02效果表'!D:D,'02效果表'!E:E)&lt;0, _xlfn.XLOOKUP(H735,'02效果表'!D:D,'02效果表'!E:E), 0) +
K735*IF(_xlfn.XLOOKUP(J735,'02效果表'!D:D,'02效果表'!E:E)&lt;0, _xlfn.XLOOKUP(J735,'02效果表'!D:D,'02效果表'!E:E), 0) +
M735*IF(_xlfn.XLOOKUP(L735,'02效果表'!D:D,'02效果表'!E:E)&lt;0, _xlfn.XLOOKUP(L735,'02效果表'!D:D,'02效果表'!E:E), 0) +
O735*IF(_xlfn.XLOOKUP(N735,'02效果表'!D:D,'02效果表'!E:E)&lt;0, _xlfn.XLOOKUP(N735,'02效果表'!D:D,'02效果表'!E:E), 0) +
Q735*IF(_xlfn.XLOOKUP(P735,'02效果表'!D:D,'02效果表'!E:E)&lt;0, _xlfn.XLOOKUP(P735,'02效果表'!D:D,'02效果表'!E:E), 0) +
S735*IF(_xlfn.XLOOKUP(R735,'02效果表'!D:D,'02效果表'!E:E)&lt;0, _xlfn.XLOOKUP(R735,'02效果表'!D:D,'02效果表'!E:E), 0) +
U735*IF(_xlfn.XLOOKUP(T735,'02效果表'!D:D,'02效果表'!E:E)&lt;0, _xlfn.XLOOKUP(T735,'02效果表'!D:D,'02效果表'!E:E), 0) +
W735*IF(_xlfn.XLOOKUP(V735,'02效果表'!D:D,'02效果表'!E:E)&lt;0, _xlfn.XLOOKUP(V735,'02效果表'!D:D,'02效果表'!E:E), 0) +
Y735*IF(_xlfn.XLOOKUP(X735,'02效果表'!D:D,'02效果表'!E:E)&lt;0, _xlfn.XLOOKUP(X735,'02效果表'!D:D,'02效果表'!E:E), 0) +
AA735*IF(_xlfn.XLOOKUP(Z735,'02效果表'!D:D,'02效果表'!E:E)&lt;0, _xlfn.XLOOKUP(Z735,'02效果表'!D:D,'02效果表'!E:E), 0) +
AC735*IF(_xlfn.XLOOKUP(AB735,'02效果表'!D:D,'02效果表'!E:E)&lt;0, _xlfn.XLOOKUP(AB735,'02效果表'!D:D,'02效果表'!E:E), 0) +
AE735*IF(_xlfn.XLOOKUP(AD735,'02效果表'!D:D,'02效果表'!E:E)&lt;0, _xlfn.XLOOKUP(AD735,'02效果表'!D:D,'02效果表'!E:E), 0)), 1)</f>
        <v>0</v>
      </c>
      <c r="G735" s="7">
        <f>ROUND(1/6*(I735*MAX(_xlfn.XLOOKUP(H735,'02效果表'!D:D,'02效果表'!E:E),0)+K735*MAX(_xlfn.XLOOKUP(J735,'02效果表'!D:D,'02效果表'!E:E),0)+M735*MAX(_xlfn.XLOOKUP(L735,'02效果表'!D:D,'02效果表'!E:E),0)+O735*MAX(_xlfn.XLOOKUP(N735,'02效果表'!D:D,'02效果表'!E:E),0)+Q735*MAX(_xlfn.XLOOKUP(P735,'02效果表'!D:D,'02效果表'!E:E),0)+S735*MAX(_xlfn.XLOOKUP(R735,'02效果表'!D:D,'02效果表'!E:E),0)+U735*MAX(_xlfn.XLOOKUP(T735,'02效果表'!D:D,'02效果表'!E:E),0)+W735*MAX(_xlfn.XLOOKUP(V735,'02效果表'!D:D,'02效果表'!E:E),0)+Y735*MAX(_xlfn.XLOOKUP(X735,'02效果表'!D:D,'02效果表'!E:E),0)+AA735*MAX(_xlfn.XLOOKUP(Z735,'02效果表'!D:D,'02效果表'!E:E),0)+AC735*MAX(_xlfn.XLOOKUP(AB735,'02效果表'!D:D,'02效果表'!E:E),0)+AE735*MAX(_xlfn.XLOOKUP(AD735,'02效果表'!D:D,'02效果表'!E:E),0)),1)</f>
        <v>0</v>
      </c>
      <c r="H735" s="6"/>
      <c r="I735" s="6"/>
      <c r="J735" s="6"/>
      <c r="K735" s="6"/>
      <c r="L735" s="6"/>
      <c r="M735" s="6"/>
      <c r="N735" s="6"/>
      <c r="O735" s="6"/>
      <c r="P735" s="6"/>
      <c r="Q735" s="6"/>
      <c r="R735" s="6"/>
      <c r="S735" s="6"/>
      <c r="T735" s="6"/>
      <c r="U735" s="6"/>
      <c r="V735" s="6"/>
      <c r="W735" s="6"/>
      <c r="X735" s="6"/>
      <c r="Y735" s="6"/>
      <c r="Z735" s="6"/>
      <c r="AA735" s="6"/>
      <c r="AB735" s="6"/>
      <c r="AC735" s="6"/>
      <c r="AD735" s="6"/>
      <c r="AE735" s="6"/>
    </row>
    <row r="736" spans="1:31" x14ac:dyDescent="0.35">
      <c r="A736" s="6">
        <v>736</v>
      </c>
      <c r="B736" s="6" t="s">
        <v>8</v>
      </c>
      <c r="C736" s="10" t="s">
        <v>17</v>
      </c>
      <c r="D736" s="9" t="s">
        <v>1834</v>
      </c>
      <c r="E736" s="7">
        <f t="shared" si="18"/>
        <v>0</v>
      </c>
      <c r="F736" s="7">
        <f>-1*ROUND(1/6*(I736*IF(_xlfn.XLOOKUP(H736,'02效果表'!D:D,'02效果表'!E:E)&lt;0, _xlfn.XLOOKUP(H736,'02效果表'!D:D,'02效果表'!E:E), 0) +
K736*IF(_xlfn.XLOOKUP(J736,'02效果表'!D:D,'02效果表'!E:E)&lt;0, _xlfn.XLOOKUP(J736,'02效果表'!D:D,'02效果表'!E:E), 0) +
M736*IF(_xlfn.XLOOKUP(L736,'02效果表'!D:D,'02效果表'!E:E)&lt;0, _xlfn.XLOOKUP(L736,'02效果表'!D:D,'02效果表'!E:E), 0) +
O736*IF(_xlfn.XLOOKUP(N736,'02效果表'!D:D,'02效果表'!E:E)&lt;0, _xlfn.XLOOKUP(N736,'02效果表'!D:D,'02效果表'!E:E), 0) +
Q736*IF(_xlfn.XLOOKUP(P736,'02效果表'!D:D,'02效果表'!E:E)&lt;0, _xlfn.XLOOKUP(P736,'02效果表'!D:D,'02效果表'!E:E), 0) +
S736*IF(_xlfn.XLOOKUP(R736,'02效果表'!D:D,'02效果表'!E:E)&lt;0, _xlfn.XLOOKUP(R736,'02效果表'!D:D,'02效果表'!E:E), 0) +
U736*IF(_xlfn.XLOOKUP(T736,'02效果表'!D:D,'02效果表'!E:E)&lt;0, _xlfn.XLOOKUP(T736,'02效果表'!D:D,'02效果表'!E:E), 0) +
W736*IF(_xlfn.XLOOKUP(V736,'02效果表'!D:D,'02效果表'!E:E)&lt;0, _xlfn.XLOOKUP(V736,'02效果表'!D:D,'02效果表'!E:E), 0) +
Y736*IF(_xlfn.XLOOKUP(X736,'02效果表'!D:D,'02效果表'!E:E)&lt;0, _xlfn.XLOOKUP(X736,'02效果表'!D:D,'02效果表'!E:E), 0) +
AA736*IF(_xlfn.XLOOKUP(Z736,'02效果表'!D:D,'02效果表'!E:E)&lt;0, _xlfn.XLOOKUP(Z736,'02效果表'!D:D,'02效果表'!E:E), 0) +
AC736*IF(_xlfn.XLOOKUP(AB736,'02效果表'!D:D,'02效果表'!E:E)&lt;0, _xlfn.XLOOKUP(AB736,'02效果表'!D:D,'02效果表'!E:E), 0) +
AE736*IF(_xlfn.XLOOKUP(AD736,'02效果表'!D:D,'02效果表'!E:E)&lt;0, _xlfn.XLOOKUP(AD736,'02效果表'!D:D,'02效果表'!E:E), 0)), 1)</f>
        <v>0</v>
      </c>
      <c r="G736" s="7">
        <f>ROUND(1/6*(I736*MAX(_xlfn.XLOOKUP(H736,'02效果表'!D:D,'02效果表'!E:E),0)+K736*MAX(_xlfn.XLOOKUP(J736,'02效果表'!D:D,'02效果表'!E:E),0)+M736*MAX(_xlfn.XLOOKUP(L736,'02效果表'!D:D,'02效果表'!E:E),0)+O736*MAX(_xlfn.XLOOKUP(N736,'02效果表'!D:D,'02效果表'!E:E),0)+Q736*MAX(_xlfn.XLOOKUP(P736,'02效果表'!D:D,'02效果表'!E:E),0)+S736*MAX(_xlfn.XLOOKUP(R736,'02效果表'!D:D,'02效果表'!E:E),0)+U736*MAX(_xlfn.XLOOKUP(T736,'02效果表'!D:D,'02效果表'!E:E),0)+W736*MAX(_xlfn.XLOOKUP(V736,'02效果表'!D:D,'02效果表'!E:E),0)+Y736*MAX(_xlfn.XLOOKUP(X736,'02效果表'!D:D,'02效果表'!E:E),0)+AA736*MAX(_xlfn.XLOOKUP(Z736,'02效果表'!D:D,'02效果表'!E:E),0)+AC736*MAX(_xlfn.XLOOKUP(AB736,'02效果表'!D:D,'02效果表'!E:E),0)+AE736*MAX(_xlfn.XLOOKUP(AD736,'02效果表'!D:D,'02效果表'!E:E),0)),1)</f>
        <v>0</v>
      </c>
      <c r="H736" s="6"/>
      <c r="I736" s="6"/>
      <c r="J736" s="6"/>
      <c r="K736" s="6"/>
      <c r="L736" s="6"/>
      <c r="M736" s="6"/>
      <c r="N736" s="6"/>
      <c r="O736" s="6"/>
      <c r="P736" s="6"/>
      <c r="Q736" s="6"/>
      <c r="R736" s="6"/>
      <c r="S736" s="6"/>
      <c r="T736" s="6"/>
      <c r="U736" s="6"/>
      <c r="V736" s="6"/>
      <c r="W736" s="6"/>
      <c r="X736" s="6"/>
      <c r="Y736" s="6"/>
      <c r="Z736" s="6"/>
      <c r="AA736" s="6"/>
      <c r="AB736" s="6"/>
      <c r="AC736" s="6"/>
      <c r="AD736" s="6"/>
      <c r="AE736" s="6"/>
    </row>
    <row r="737" spans="1:31" x14ac:dyDescent="0.35">
      <c r="A737" s="6">
        <v>737</v>
      </c>
      <c r="B737" s="6" t="s">
        <v>8</v>
      </c>
      <c r="C737" s="10" t="s">
        <v>17</v>
      </c>
      <c r="D737" s="9" t="s">
        <v>1835</v>
      </c>
      <c r="E737" s="7">
        <f t="shared" si="18"/>
        <v>0</v>
      </c>
      <c r="F737" s="7">
        <f>-1*ROUND(1/6*(I737*IF(_xlfn.XLOOKUP(H737,'02效果表'!D:D,'02效果表'!E:E)&lt;0, _xlfn.XLOOKUP(H737,'02效果表'!D:D,'02效果表'!E:E), 0) +
K737*IF(_xlfn.XLOOKUP(J737,'02效果表'!D:D,'02效果表'!E:E)&lt;0, _xlfn.XLOOKUP(J737,'02效果表'!D:D,'02效果表'!E:E), 0) +
M737*IF(_xlfn.XLOOKUP(L737,'02效果表'!D:D,'02效果表'!E:E)&lt;0, _xlfn.XLOOKUP(L737,'02效果表'!D:D,'02效果表'!E:E), 0) +
O737*IF(_xlfn.XLOOKUP(N737,'02效果表'!D:D,'02效果表'!E:E)&lt;0, _xlfn.XLOOKUP(N737,'02效果表'!D:D,'02效果表'!E:E), 0) +
Q737*IF(_xlfn.XLOOKUP(P737,'02效果表'!D:D,'02效果表'!E:E)&lt;0, _xlfn.XLOOKUP(P737,'02效果表'!D:D,'02效果表'!E:E), 0) +
S737*IF(_xlfn.XLOOKUP(R737,'02效果表'!D:D,'02效果表'!E:E)&lt;0, _xlfn.XLOOKUP(R737,'02效果表'!D:D,'02效果表'!E:E), 0) +
U737*IF(_xlfn.XLOOKUP(T737,'02效果表'!D:D,'02效果表'!E:E)&lt;0, _xlfn.XLOOKUP(T737,'02效果表'!D:D,'02效果表'!E:E), 0) +
W737*IF(_xlfn.XLOOKUP(V737,'02效果表'!D:D,'02效果表'!E:E)&lt;0, _xlfn.XLOOKUP(V737,'02效果表'!D:D,'02效果表'!E:E), 0) +
Y737*IF(_xlfn.XLOOKUP(X737,'02效果表'!D:D,'02效果表'!E:E)&lt;0, _xlfn.XLOOKUP(X737,'02效果表'!D:D,'02效果表'!E:E), 0) +
AA737*IF(_xlfn.XLOOKUP(Z737,'02效果表'!D:D,'02效果表'!E:E)&lt;0, _xlfn.XLOOKUP(Z737,'02效果表'!D:D,'02效果表'!E:E), 0) +
AC737*IF(_xlfn.XLOOKUP(AB737,'02效果表'!D:D,'02效果表'!E:E)&lt;0, _xlfn.XLOOKUP(AB737,'02效果表'!D:D,'02效果表'!E:E), 0) +
AE737*IF(_xlfn.XLOOKUP(AD737,'02效果表'!D:D,'02效果表'!E:E)&lt;0, _xlfn.XLOOKUP(AD737,'02效果表'!D:D,'02效果表'!E:E), 0)), 1)</f>
        <v>0</v>
      </c>
      <c r="G737" s="7">
        <f>ROUND(1/6*(I737*MAX(_xlfn.XLOOKUP(H737,'02效果表'!D:D,'02效果表'!E:E),0)+K737*MAX(_xlfn.XLOOKUP(J737,'02效果表'!D:D,'02效果表'!E:E),0)+M737*MAX(_xlfn.XLOOKUP(L737,'02效果表'!D:D,'02效果表'!E:E),0)+O737*MAX(_xlfn.XLOOKUP(N737,'02效果表'!D:D,'02效果表'!E:E),0)+Q737*MAX(_xlfn.XLOOKUP(P737,'02效果表'!D:D,'02效果表'!E:E),0)+S737*MAX(_xlfn.XLOOKUP(R737,'02效果表'!D:D,'02效果表'!E:E),0)+U737*MAX(_xlfn.XLOOKUP(T737,'02效果表'!D:D,'02效果表'!E:E),0)+W737*MAX(_xlfn.XLOOKUP(V737,'02效果表'!D:D,'02效果表'!E:E),0)+Y737*MAX(_xlfn.XLOOKUP(X737,'02效果表'!D:D,'02效果表'!E:E),0)+AA737*MAX(_xlfn.XLOOKUP(Z737,'02效果表'!D:D,'02效果表'!E:E),0)+AC737*MAX(_xlfn.XLOOKUP(AB737,'02效果表'!D:D,'02效果表'!E:E),0)+AE737*MAX(_xlfn.XLOOKUP(AD737,'02效果表'!D:D,'02效果表'!E:E),0)),1)</f>
        <v>0</v>
      </c>
      <c r="H737" s="6"/>
      <c r="I737" s="6"/>
      <c r="J737" s="6"/>
      <c r="K737" s="6"/>
      <c r="L737" s="6"/>
      <c r="M737" s="6"/>
      <c r="N737" s="6"/>
      <c r="O737" s="6"/>
      <c r="P737" s="6"/>
      <c r="Q737" s="6"/>
      <c r="R737" s="6"/>
      <c r="S737" s="6"/>
      <c r="T737" s="6"/>
      <c r="U737" s="6"/>
      <c r="V737" s="6"/>
      <c r="W737" s="6"/>
      <c r="X737" s="6"/>
      <c r="Y737" s="6"/>
      <c r="Z737" s="6"/>
      <c r="AA737" s="6"/>
      <c r="AB737" s="6"/>
      <c r="AC737" s="6"/>
      <c r="AD737" s="6"/>
      <c r="AE737" s="6"/>
    </row>
    <row r="738" spans="1:31" x14ac:dyDescent="0.35">
      <c r="A738" s="6">
        <v>738</v>
      </c>
      <c r="B738" s="6" t="s">
        <v>8</v>
      </c>
      <c r="C738" s="10" t="s">
        <v>17</v>
      </c>
      <c r="D738" s="9" t="s">
        <v>1836</v>
      </c>
      <c r="E738" s="7">
        <f t="shared" si="18"/>
        <v>0</v>
      </c>
      <c r="F738" s="7">
        <f>-1*ROUND(1/6*(I738*IF(_xlfn.XLOOKUP(H738,'02效果表'!D:D,'02效果表'!E:E)&lt;0, _xlfn.XLOOKUP(H738,'02效果表'!D:D,'02效果表'!E:E), 0) +
K738*IF(_xlfn.XLOOKUP(J738,'02效果表'!D:D,'02效果表'!E:E)&lt;0, _xlfn.XLOOKUP(J738,'02效果表'!D:D,'02效果表'!E:E), 0) +
M738*IF(_xlfn.XLOOKUP(L738,'02效果表'!D:D,'02效果表'!E:E)&lt;0, _xlfn.XLOOKUP(L738,'02效果表'!D:D,'02效果表'!E:E), 0) +
O738*IF(_xlfn.XLOOKUP(N738,'02效果表'!D:D,'02效果表'!E:E)&lt;0, _xlfn.XLOOKUP(N738,'02效果表'!D:D,'02效果表'!E:E), 0) +
Q738*IF(_xlfn.XLOOKUP(P738,'02效果表'!D:D,'02效果表'!E:E)&lt;0, _xlfn.XLOOKUP(P738,'02效果表'!D:D,'02效果表'!E:E), 0) +
S738*IF(_xlfn.XLOOKUP(R738,'02效果表'!D:D,'02效果表'!E:E)&lt;0, _xlfn.XLOOKUP(R738,'02效果表'!D:D,'02效果表'!E:E), 0) +
U738*IF(_xlfn.XLOOKUP(T738,'02效果表'!D:D,'02效果表'!E:E)&lt;0, _xlfn.XLOOKUP(T738,'02效果表'!D:D,'02效果表'!E:E), 0) +
W738*IF(_xlfn.XLOOKUP(V738,'02效果表'!D:D,'02效果表'!E:E)&lt;0, _xlfn.XLOOKUP(V738,'02效果表'!D:D,'02效果表'!E:E), 0) +
Y738*IF(_xlfn.XLOOKUP(X738,'02效果表'!D:D,'02效果表'!E:E)&lt;0, _xlfn.XLOOKUP(X738,'02效果表'!D:D,'02效果表'!E:E), 0) +
AA738*IF(_xlfn.XLOOKUP(Z738,'02效果表'!D:D,'02效果表'!E:E)&lt;0, _xlfn.XLOOKUP(Z738,'02效果表'!D:D,'02效果表'!E:E), 0) +
AC738*IF(_xlfn.XLOOKUP(AB738,'02效果表'!D:D,'02效果表'!E:E)&lt;0, _xlfn.XLOOKUP(AB738,'02效果表'!D:D,'02效果表'!E:E), 0) +
AE738*IF(_xlfn.XLOOKUP(AD738,'02效果表'!D:D,'02效果表'!E:E)&lt;0, _xlfn.XLOOKUP(AD738,'02效果表'!D:D,'02效果表'!E:E), 0)), 1)</f>
        <v>0</v>
      </c>
      <c r="G738" s="7">
        <f>ROUND(1/6*(I738*MAX(_xlfn.XLOOKUP(H738,'02效果表'!D:D,'02效果表'!E:E),0)+K738*MAX(_xlfn.XLOOKUP(J738,'02效果表'!D:D,'02效果表'!E:E),0)+M738*MAX(_xlfn.XLOOKUP(L738,'02效果表'!D:D,'02效果表'!E:E),0)+O738*MAX(_xlfn.XLOOKUP(N738,'02效果表'!D:D,'02效果表'!E:E),0)+Q738*MAX(_xlfn.XLOOKUP(P738,'02效果表'!D:D,'02效果表'!E:E),0)+S738*MAX(_xlfn.XLOOKUP(R738,'02效果表'!D:D,'02效果表'!E:E),0)+U738*MAX(_xlfn.XLOOKUP(T738,'02效果表'!D:D,'02效果表'!E:E),0)+W738*MAX(_xlfn.XLOOKUP(V738,'02效果表'!D:D,'02效果表'!E:E),0)+Y738*MAX(_xlfn.XLOOKUP(X738,'02效果表'!D:D,'02效果表'!E:E),0)+AA738*MAX(_xlfn.XLOOKUP(Z738,'02效果表'!D:D,'02效果表'!E:E),0)+AC738*MAX(_xlfn.XLOOKUP(AB738,'02效果表'!D:D,'02效果表'!E:E),0)+AE738*MAX(_xlfn.XLOOKUP(AD738,'02效果表'!D:D,'02效果表'!E:E),0)),1)</f>
        <v>0</v>
      </c>
      <c r="H738" s="6"/>
      <c r="I738" s="6"/>
      <c r="J738" s="6"/>
      <c r="K738" s="6"/>
      <c r="L738" s="6"/>
      <c r="M738" s="6"/>
      <c r="N738" s="6"/>
      <c r="O738" s="6"/>
      <c r="P738" s="6"/>
      <c r="Q738" s="6"/>
      <c r="R738" s="6"/>
      <c r="S738" s="6"/>
      <c r="T738" s="6"/>
      <c r="U738" s="6"/>
      <c r="V738" s="6"/>
      <c r="W738" s="6"/>
      <c r="X738" s="6"/>
      <c r="Y738" s="6"/>
      <c r="Z738" s="6"/>
      <c r="AA738" s="6"/>
      <c r="AB738" s="6"/>
      <c r="AC738" s="6"/>
      <c r="AD738" s="6"/>
      <c r="AE738" s="6"/>
    </row>
    <row r="739" spans="1:31" x14ac:dyDescent="0.35">
      <c r="A739" s="6">
        <v>739</v>
      </c>
      <c r="B739" s="6" t="s">
        <v>8</v>
      </c>
      <c r="C739" s="10" t="s">
        <v>17</v>
      </c>
      <c r="D739" s="9" t="s">
        <v>1837</v>
      </c>
      <c r="E739" s="7">
        <f t="shared" si="18"/>
        <v>0</v>
      </c>
      <c r="F739" s="7">
        <f>-1*ROUND(1/6*(I739*IF(_xlfn.XLOOKUP(H739,'02效果表'!D:D,'02效果表'!E:E)&lt;0, _xlfn.XLOOKUP(H739,'02效果表'!D:D,'02效果表'!E:E), 0) +
K739*IF(_xlfn.XLOOKUP(J739,'02效果表'!D:D,'02效果表'!E:E)&lt;0, _xlfn.XLOOKUP(J739,'02效果表'!D:D,'02效果表'!E:E), 0) +
M739*IF(_xlfn.XLOOKUP(L739,'02效果表'!D:D,'02效果表'!E:E)&lt;0, _xlfn.XLOOKUP(L739,'02效果表'!D:D,'02效果表'!E:E), 0) +
O739*IF(_xlfn.XLOOKUP(N739,'02效果表'!D:D,'02效果表'!E:E)&lt;0, _xlfn.XLOOKUP(N739,'02效果表'!D:D,'02效果表'!E:E), 0) +
Q739*IF(_xlfn.XLOOKUP(P739,'02效果表'!D:D,'02效果表'!E:E)&lt;0, _xlfn.XLOOKUP(P739,'02效果表'!D:D,'02效果表'!E:E), 0) +
S739*IF(_xlfn.XLOOKUP(R739,'02效果表'!D:D,'02效果表'!E:E)&lt;0, _xlfn.XLOOKUP(R739,'02效果表'!D:D,'02效果表'!E:E), 0) +
U739*IF(_xlfn.XLOOKUP(T739,'02效果表'!D:D,'02效果表'!E:E)&lt;0, _xlfn.XLOOKUP(T739,'02效果表'!D:D,'02效果表'!E:E), 0) +
W739*IF(_xlfn.XLOOKUP(V739,'02效果表'!D:D,'02效果表'!E:E)&lt;0, _xlfn.XLOOKUP(V739,'02效果表'!D:D,'02效果表'!E:E), 0) +
Y739*IF(_xlfn.XLOOKUP(X739,'02效果表'!D:D,'02效果表'!E:E)&lt;0, _xlfn.XLOOKUP(X739,'02效果表'!D:D,'02效果表'!E:E), 0) +
AA739*IF(_xlfn.XLOOKUP(Z739,'02效果表'!D:D,'02效果表'!E:E)&lt;0, _xlfn.XLOOKUP(Z739,'02效果表'!D:D,'02效果表'!E:E), 0) +
AC739*IF(_xlfn.XLOOKUP(AB739,'02效果表'!D:D,'02效果表'!E:E)&lt;0, _xlfn.XLOOKUP(AB739,'02效果表'!D:D,'02效果表'!E:E), 0) +
AE739*IF(_xlfn.XLOOKUP(AD739,'02效果表'!D:D,'02效果表'!E:E)&lt;0, _xlfn.XLOOKUP(AD739,'02效果表'!D:D,'02效果表'!E:E), 0)), 1)</f>
        <v>0</v>
      </c>
      <c r="G739" s="7">
        <f>ROUND(1/6*(I739*MAX(_xlfn.XLOOKUP(H739,'02效果表'!D:D,'02效果表'!E:E),0)+K739*MAX(_xlfn.XLOOKUP(J739,'02效果表'!D:D,'02效果表'!E:E),0)+M739*MAX(_xlfn.XLOOKUP(L739,'02效果表'!D:D,'02效果表'!E:E),0)+O739*MAX(_xlfn.XLOOKUP(N739,'02效果表'!D:D,'02效果表'!E:E),0)+Q739*MAX(_xlfn.XLOOKUP(P739,'02效果表'!D:D,'02效果表'!E:E),0)+S739*MAX(_xlfn.XLOOKUP(R739,'02效果表'!D:D,'02效果表'!E:E),0)+U739*MAX(_xlfn.XLOOKUP(T739,'02效果表'!D:D,'02效果表'!E:E),0)+W739*MAX(_xlfn.XLOOKUP(V739,'02效果表'!D:D,'02效果表'!E:E),0)+Y739*MAX(_xlfn.XLOOKUP(X739,'02效果表'!D:D,'02效果表'!E:E),0)+AA739*MAX(_xlfn.XLOOKUP(Z739,'02效果表'!D:D,'02效果表'!E:E),0)+AC739*MAX(_xlfn.XLOOKUP(AB739,'02效果表'!D:D,'02效果表'!E:E),0)+AE739*MAX(_xlfn.XLOOKUP(AD739,'02效果表'!D:D,'02效果表'!E:E),0)),1)</f>
        <v>0</v>
      </c>
      <c r="H739" s="6"/>
      <c r="I739" s="6"/>
      <c r="J739" s="6"/>
      <c r="K739" s="6"/>
      <c r="L739" s="6"/>
      <c r="M739" s="6"/>
      <c r="N739" s="6"/>
      <c r="O739" s="6"/>
      <c r="P739" s="6"/>
      <c r="Q739" s="6"/>
      <c r="R739" s="6"/>
      <c r="S739" s="6"/>
      <c r="T739" s="6"/>
      <c r="U739" s="6"/>
      <c r="V739" s="6"/>
      <c r="W739" s="6"/>
      <c r="X739" s="6"/>
      <c r="Y739" s="6"/>
      <c r="Z739" s="6"/>
      <c r="AA739" s="6"/>
      <c r="AB739" s="6"/>
      <c r="AC739" s="6"/>
      <c r="AD739" s="6"/>
      <c r="AE739" s="6"/>
    </row>
    <row r="740" spans="1:31" x14ac:dyDescent="0.35">
      <c r="A740" s="6">
        <v>740</v>
      </c>
      <c r="B740" s="6" t="s">
        <v>8</v>
      </c>
      <c r="C740" s="10" t="s">
        <v>17</v>
      </c>
      <c r="D740" s="9" t="s">
        <v>1838</v>
      </c>
      <c r="E740" s="7">
        <f t="shared" si="18"/>
        <v>0</v>
      </c>
      <c r="F740" s="7">
        <f>-1*ROUND(1/6*(I740*IF(_xlfn.XLOOKUP(H740,'02效果表'!D:D,'02效果表'!E:E)&lt;0, _xlfn.XLOOKUP(H740,'02效果表'!D:D,'02效果表'!E:E), 0) +
K740*IF(_xlfn.XLOOKUP(J740,'02效果表'!D:D,'02效果表'!E:E)&lt;0, _xlfn.XLOOKUP(J740,'02效果表'!D:D,'02效果表'!E:E), 0) +
M740*IF(_xlfn.XLOOKUP(L740,'02效果表'!D:D,'02效果表'!E:E)&lt;0, _xlfn.XLOOKUP(L740,'02效果表'!D:D,'02效果表'!E:E), 0) +
O740*IF(_xlfn.XLOOKUP(N740,'02效果表'!D:D,'02效果表'!E:E)&lt;0, _xlfn.XLOOKUP(N740,'02效果表'!D:D,'02效果表'!E:E), 0) +
Q740*IF(_xlfn.XLOOKUP(P740,'02效果表'!D:D,'02效果表'!E:E)&lt;0, _xlfn.XLOOKUP(P740,'02效果表'!D:D,'02效果表'!E:E), 0) +
S740*IF(_xlfn.XLOOKUP(R740,'02效果表'!D:D,'02效果表'!E:E)&lt;0, _xlfn.XLOOKUP(R740,'02效果表'!D:D,'02效果表'!E:E), 0) +
U740*IF(_xlfn.XLOOKUP(T740,'02效果表'!D:D,'02效果表'!E:E)&lt;0, _xlfn.XLOOKUP(T740,'02效果表'!D:D,'02效果表'!E:E), 0) +
W740*IF(_xlfn.XLOOKUP(V740,'02效果表'!D:D,'02效果表'!E:E)&lt;0, _xlfn.XLOOKUP(V740,'02效果表'!D:D,'02效果表'!E:E), 0) +
Y740*IF(_xlfn.XLOOKUP(X740,'02效果表'!D:D,'02效果表'!E:E)&lt;0, _xlfn.XLOOKUP(X740,'02效果表'!D:D,'02效果表'!E:E), 0) +
AA740*IF(_xlfn.XLOOKUP(Z740,'02效果表'!D:D,'02效果表'!E:E)&lt;0, _xlfn.XLOOKUP(Z740,'02效果表'!D:D,'02效果表'!E:E), 0) +
AC740*IF(_xlfn.XLOOKUP(AB740,'02效果表'!D:D,'02效果表'!E:E)&lt;0, _xlfn.XLOOKUP(AB740,'02效果表'!D:D,'02效果表'!E:E), 0) +
AE740*IF(_xlfn.XLOOKUP(AD740,'02效果表'!D:D,'02效果表'!E:E)&lt;0, _xlfn.XLOOKUP(AD740,'02效果表'!D:D,'02效果表'!E:E), 0)), 1)</f>
        <v>0</v>
      </c>
      <c r="G740" s="7">
        <f>ROUND(1/6*(I740*MAX(_xlfn.XLOOKUP(H740,'02效果表'!D:D,'02效果表'!E:E),0)+K740*MAX(_xlfn.XLOOKUP(J740,'02效果表'!D:D,'02效果表'!E:E),0)+M740*MAX(_xlfn.XLOOKUP(L740,'02效果表'!D:D,'02效果表'!E:E),0)+O740*MAX(_xlfn.XLOOKUP(N740,'02效果表'!D:D,'02效果表'!E:E),0)+Q740*MAX(_xlfn.XLOOKUP(P740,'02效果表'!D:D,'02效果表'!E:E),0)+S740*MAX(_xlfn.XLOOKUP(R740,'02效果表'!D:D,'02效果表'!E:E),0)+U740*MAX(_xlfn.XLOOKUP(T740,'02效果表'!D:D,'02效果表'!E:E),0)+W740*MAX(_xlfn.XLOOKUP(V740,'02效果表'!D:D,'02效果表'!E:E),0)+Y740*MAX(_xlfn.XLOOKUP(X740,'02效果表'!D:D,'02效果表'!E:E),0)+AA740*MAX(_xlfn.XLOOKUP(Z740,'02效果表'!D:D,'02效果表'!E:E),0)+AC740*MAX(_xlfn.XLOOKUP(AB740,'02效果表'!D:D,'02效果表'!E:E),0)+AE740*MAX(_xlfn.XLOOKUP(AD740,'02效果表'!D:D,'02效果表'!E:E),0)),1)</f>
        <v>0</v>
      </c>
      <c r="H740" s="6"/>
      <c r="I740" s="6"/>
      <c r="J740" s="6"/>
      <c r="K740" s="6"/>
      <c r="L740" s="6"/>
      <c r="M740" s="6"/>
      <c r="N740" s="6"/>
      <c r="O740" s="6"/>
      <c r="P740" s="6"/>
      <c r="Q740" s="6"/>
      <c r="R740" s="6"/>
      <c r="S740" s="6"/>
      <c r="T740" s="6"/>
      <c r="U740" s="6"/>
      <c r="V740" s="6"/>
      <c r="W740" s="6"/>
      <c r="X740" s="6"/>
      <c r="Y740" s="6"/>
      <c r="Z740" s="6"/>
      <c r="AA740" s="6"/>
      <c r="AB740" s="6"/>
      <c r="AC740" s="6"/>
      <c r="AD740" s="6"/>
      <c r="AE740" s="6"/>
    </row>
    <row r="741" spans="1:31" x14ac:dyDescent="0.35">
      <c r="A741" s="6">
        <v>741</v>
      </c>
      <c r="B741" s="6" t="s">
        <v>8</v>
      </c>
      <c r="C741" s="10" t="s">
        <v>17</v>
      </c>
      <c r="D741" s="9" t="s">
        <v>1839</v>
      </c>
      <c r="E741" s="7">
        <f t="shared" si="18"/>
        <v>0</v>
      </c>
      <c r="F741" s="7">
        <f>-1*ROUND(1/6*(I741*IF(_xlfn.XLOOKUP(H741,'02效果表'!D:D,'02效果表'!E:E)&lt;0, _xlfn.XLOOKUP(H741,'02效果表'!D:D,'02效果表'!E:E), 0) +
K741*IF(_xlfn.XLOOKUP(J741,'02效果表'!D:D,'02效果表'!E:E)&lt;0, _xlfn.XLOOKUP(J741,'02效果表'!D:D,'02效果表'!E:E), 0) +
M741*IF(_xlfn.XLOOKUP(L741,'02效果表'!D:D,'02效果表'!E:E)&lt;0, _xlfn.XLOOKUP(L741,'02效果表'!D:D,'02效果表'!E:E), 0) +
O741*IF(_xlfn.XLOOKUP(N741,'02效果表'!D:D,'02效果表'!E:E)&lt;0, _xlfn.XLOOKUP(N741,'02效果表'!D:D,'02效果表'!E:E), 0) +
Q741*IF(_xlfn.XLOOKUP(P741,'02效果表'!D:D,'02效果表'!E:E)&lt;0, _xlfn.XLOOKUP(P741,'02效果表'!D:D,'02效果表'!E:E), 0) +
S741*IF(_xlfn.XLOOKUP(R741,'02效果表'!D:D,'02效果表'!E:E)&lt;0, _xlfn.XLOOKUP(R741,'02效果表'!D:D,'02效果表'!E:E), 0) +
U741*IF(_xlfn.XLOOKUP(T741,'02效果表'!D:D,'02效果表'!E:E)&lt;0, _xlfn.XLOOKUP(T741,'02效果表'!D:D,'02效果表'!E:E), 0) +
W741*IF(_xlfn.XLOOKUP(V741,'02效果表'!D:D,'02效果表'!E:E)&lt;0, _xlfn.XLOOKUP(V741,'02效果表'!D:D,'02效果表'!E:E), 0) +
Y741*IF(_xlfn.XLOOKUP(X741,'02效果表'!D:D,'02效果表'!E:E)&lt;0, _xlfn.XLOOKUP(X741,'02效果表'!D:D,'02效果表'!E:E), 0) +
AA741*IF(_xlfn.XLOOKUP(Z741,'02效果表'!D:D,'02效果表'!E:E)&lt;0, _xlfn.XLOOKUP(Z741,'02效果表'!D:D,'02效果表'!E:E), 0) +
AC741*IF(_xlfn.XLOOKUP(AB741,'02效果表'!D:D,'02效果表'!E:E)&lt;0, _xlfn.XLOOKUP(AB741,'02效果表'!D:D,'02效果表'!E:E), 0) +
AE741*IF(_xlfn.XLOOKUP(AD741,'02效果表'!D:D,'02效果表'!E:E)&lt;0, _xlfn.XLOOKUP(AD741,'02效果表'!D:D,'02效果表'!E:E), 0)), 1)</f>
        <v>0</v>
      </c>
      <c r="G741" s="7">
        <f>ROUND(1/6*(I741*MAX(_xlfn.XLOOKUP(H741,'02效果表'!D:D,'02效果表'!E:E),0)+K741*MAX(_xlfn.XLOOKUP(J741,'02效果表'!D:D,'02效果表'!E:E),0)+M741*MAX(_xlfn.XLOOKUP(L741,'02效果表'!D:D,'02效果表'!E:E),0)+O741*MAX(_xlfn.XLOOKUP(N741,'02效果表'!D:D,'02效果表'!E:E),0)+Q741*MAX(_xlfn.XLOOKUP(P741,'02效果表'!D:D,'02效果表'!E:E),0)+S741*MAX(_xlfn.XLOOKUP(R741,'02效果表'!D:D,'02效果表'!E:E),0)+U741*MAX(_xlfn.XLOOKUP(T741,'02效果表'!D:D,'02效果表'!E:E),0)+W741*MAX(_xlfn.XLOOKUP(V741,'02效果表'!D:D,'02效果表'!E:E),0)+Y741*MAX(_xlfn.XLOOKUP(X741,'02效果表'!D:D,'02效果表'!E:E),0)+AA741*MAX(_xlfn.XLOOKUP(Z741,'02效果表'!D:D,'02效果表'!E:E),0)+AC741*MAX(_xlfn.XLOOKUP(AB741,'02效果表'!D:D,'02效果表'!E:E),0)+AE741*MAX(_xlfn.XLOOKUP(AD741,'02效果表'!D:D,'02效果表'!E:E),0)),1)</f>
        <v>0</v>
      </c>
      <c r="H741" s="6"/>
      <c r="I741" s="6"/>
      <c r="J741" s="6"/>
      <c r="K741" s="6"/>
      <c r="L741" s="6"/>
      <c r="M741" s="6"/>
      <c r="N741" s="6"/>
      <c r="O741" s="6"/>
      <c r="P741" s="6"/>
      <c r="Q741" s="6"/>
      <c r="R741" s="6"/>
      <c r="S741" s="6"/>
      <c r="T741" s="6"/>
      <c r="U741" s="6"/>
      <c r="V741" s="6"/>
      <c r="W741" s="6"/>
      <c r="X741" s="6"/>
      <c r="Y741" s="6"/>
      <c r="Z741" s="6"/>
      <c r="AA741" s="6"/>
      <c r="AB741" s="6"/>
      <c r="AC741" s="6"/>
      <c r="AD741" s="6"/>
      <c r="AE741" s="6"/>
    </row>
    <row r="742" spans="1:31" x14ac:dyDescent="0.35">
      <c r="A742" s="6">
        <v>742</v>
      </c>
      <c r="B742" s="6" t="s">
        <v>8</v>
      </c>
      <c r="C742" s="10" t="s">
        <v>17</v>
      </c>
      <c r="D742" s="9"/>
      <c r="E742" s="7">
        <f t="shared" si="18"/>
        <v>0</v>
      </c>
      <c r="F742" s="7">
        <f>-1*ROUND(1/6*(I742*IF(_xlfn.XLOOKUP(H742,'02效果表'!D:D,'02效果表'!E:E)&lt;0, _xlfn.XLOOKUP(H742,'02效果表'!D:D,'02效果表'!E:E), 0) +
K742*IF(_xlfn.XLOOKUP(J742,'02效果表'!D:D,'02效果表'!E:E)&lt;0, _xlfn.XLOOKUP(J742,'02效果表'!D:D,'02效果表'!E:E), 0) +
M742*IF(_xlfn.XLOOKUP(L742,'02效果表'!D:D,'02效果表'!E:E)&lt;0, _xlfn.XLOOKUP(L742,'02效果表'!D:D,'02效果表'!E:E), 0) +
O742*IF(_xlfn.XLOOKUP(N742,'02效果表'!D:D,'02效果表'!E:E)&lt;0, _xlfn.XLOOKUP(N742,'02效果表'!D:D,'02效果表'!E:E), 0) +
Q742*IF(_xlfn.XLOOKUP(P742,'02效果表'!D:D,'02效果表'!E:E)&lt;0, _xlfn.XLOOKUP(P742,'02效果表'!D:D,'02效果表'!E:E), 0) +
S742*IF(_xlfn.XLOOKUP(R742,'02效果表'!D:D,'02效果表'!E:E)&lt;0, _xlfn.XLOOKUP(R742,'02效果表'!D:D,'02效果表'!E:E), 0) +
U742*IF(_xlfn.XLOOKUP(T742,'02效果表'!D:D,'02效果表'!E:E)&lt;0, _xlfn.XLOOKUP(T742,'02效果表'!D:D,'02效果表'!E:E), 0) +
W742*IF(_xlfn.XLOOKUP(V742,'02效果表'!D:D,'02效果表'!E:E)&lt;0, _xlfn.XLOOKUP(V742,'02效果表'!D:D,'02效果表'!E:E), 0) +
Y742*IF(_xlfn.XLOOKUP(X742,'02效果表'!D:D,'02效果表'!E:E)&lt;0, _xlfn.XLOOKUP(X742,'02效果表'!D:D,'02效果表'!E:E), 0) +
AA742*IF(_xlfn.XLOOKUP(Z742,'02效果表'!D:D,'02效果表'!E:E)&lt;0, _xlfn.XLOOKUP(Z742,'02效果表'!D:D,'02效果表'!E:E), 0) +
AC742*IF(_xlfn.XLOOKUP(AB742,'02效果表'!D:D,'02效果表'!E:E)&lt;0, _xlfn.XLOOKUP(AB742,'02效果表'!D:D,'02效果表'!E:E), 0) +
AE742*IF(_xlfn.XLOOKUP(AD742,'02效果表'!D:D,'02效果表'!E:E)&lt;0, _xlfn.XLOOKUP(AD742,'02效果表'!D:D,'02效果表'!E:E), 0)), 1)</f>
        <v>0</v>
      </c>
      <c r="G742" s="7">
        <f>ROUND(1/6*(I742*MAX(_xlfn.XLOOKUP(H742,'02效果表'!D:D,'02效果表'!E:E),0)+K742*MAX(_xlfn.XLOOKUP(J742,'02效果表'!D:D,'02效果表'!E:E),0)+M742*MAX(_xlfn.XLOOKUP(L742,'02效果表'!D:D,'02效果表'!E:E),0)+O742*MAX(_xlfn.XLOOKUP(N742,'02效果表'!D:D,'02效果表'!E:E),0)+Q742*MAX(_xlfn.XLOOKUP(P742,'02效果表'!D:D,'02效果表'!E:E),0)+S742*MAX(_xlfn.XLOOKUP(R742,'02效果表'!D:D,'02效果表'!E:E),0)+U742*MAX(_xlfn.XLOOKUP(T742,'02效果表'!D:D,'02效果表'!E:E),0)+W742*MAX(_xlfn.XLOOKUP(V742,'02效果表'!D:D,'02效果表'!E:E),0)+Y742*MAX(_xlfn.XLOOKUP(X742,'02效果表'!D:D,'02效果表'!E:E),0)+AA742*MAX(_xlfn.XLOOKUP(Z742,'02效果表'!D:D,'02效果表'!E:E),0)+AC742*MAX(_xlfn.XLOOKUP(AB742,'02效果表'!D:D,'02效果表'!E:E),0)+AE742*MAX(_xlfn.XLOOKUP(AD742,'02效果表'!D:D,'02效果表'!E:E),0)),1)</f>
        <v>0</v>
      </c>
      <c r="H742" s="6"/>
      <c r="I742" s="6"/>
      <c r="J742" s="6"/>
      <c r="K742" s="6"/>
      <c r="L742" s="6"/>
      <c r="M742" s="6"/>
      <c r="N742" s="6"/>
      <c r="O742" s="6"/>
      <c r="P742" s="6"/>
      <c r="Q742" s="6"/>
      <c r="R742" s="6"/>
      <c r="S742" s="6"/>
      <c r="T742" s="6"/>
      <c r="U742" s="6"/>
      <c r="V742" s="6"/>
      <c r="W742" s="6"/>
      <c r="X742" s="6"/>
      <c r="Y742" s="6"/>
      <c r="Z742" s="6"/>
      <c r="AA742" s="6"/>
      <c r="AB742" s="6"/>
      <c r="AC742" s="6"/>
      <c r="AD742" s="6"/>
      <c r="AE742" s="6"/>
    </row>
    <row r="743" spans="1:31" x14ac:dyDescent="0.35">
      <c r="A743" s="6">
        <v>743</v>
      </c>
      <c r="B743" s="6" t="s">
        <v>8</v>
      </c>
      <c r="C743" s="10" t="s">
        <v>17</v>
      </c>
      <c r="D743" s="9"/>
      <c r="E743" s="7">
        <f t="shared" si="18"/>
        <v>0</v>
      </c>
      <c r="F743" s="7">
        <f>-1*ROUND(1/6*(I743*IF(_xlfn.XLOOKUP(H743,'02效果表'!D:D,'02效果表'!E:E)&lt;0, _xlfn.XLOOKUP(H743,'02效果表'!D:D,'02效果表'!E:E), 0) +
K743*IF(_xlfn.XLOOKUP(J743,'02效果表'!D:D,'02效果表'!E:E)&lt;0, _xlfn.XLOOKUP(J743,'02效果表'!D:D,'02效果表'!E:E), 0) +
M743*IF(_xlfn.XLOOKUP(L743,'02效果表'!D:D,'02效果表'!E:E)&lt;0, _xlfn.XLOOKUP(L743,'02效果表'!D:D,'02效果表'!E:E), 0) +
O743*IF(_xlfn.XLOOKUP(N743,'02效果表'!D:D,'02效果表'!E:E)&lt;0, _xlfn.XLOOKUP(N743,'02效果表'!D:D,'02效果表'!E:E), 0) +
Q743*IF(_xlfn.XLOOKUP(P743,'02效果表'!D:D,'02效果表'!E:E)&lt;0, _xlfn.XLOOKUP(P743,'02效果表'!D:D,'02效果表'!E:E), 0) +
S743*IF(_xlfn.XLOOKUP(R743,'02效果表'!D:D,'02效果表'!E:E)&lt;0, _xlfn.XLOOKUP(R743,'02效果表'!D:D,'02效果表'!E:E), 0) +
U743*IF(_xlfn.XLOOKUP(T743,'02效果表'!D:D,'02效果表'!E:E)&lt;0, _xlfn.XLOOKUP(T743,'02效果表'!D:D,'02效果表'!E:E), 0) +
W743*IF(_xlfn.XLOOKUP(V743,'02效果表'!D:D,'02效果表'!E:E)&lt;0, _xlfn.XLOOKUP(V743,'02效果表'!D:D,'02效果表'!E:E), 0) +
Y743*IF(_xlfn.XLOOKUP(X743,'02效果表'!D:D,'02效果表'!E:E)&lt;0, _xlfn.XLOOKUP(X743,'02效果表'!D:D,'02效果表'!E:E), 0) +
AA743*IF(_xlfn.XLOOKUP(Z743,'02效果表'!D:D,'02效果表'!E:E)&lt;0, _xlfn.XLOOKUP(Z743,'02效果表'!D:D,'02效果表'!E:E), 0) +
AC743*IF(_xlfn.XLOOKUP(AB743,'02效果表'!D:D,'02效果表'!E:E)&lt;0, _xlfn.XLOOKUP(AB743,'02效果表'!D:D,'02效果表'!E:E), 0) +
AE743*IF(_xlfn.XLOOKUP(AD743,'02效果表'!D:D,'02效果表'!E:E)&lt;0, _xlfn.XLOOKUP(AD743,'02效果表'!D:D,'02效果表'!E:E), 0)), 1)</f>
        <v>0</v>
      </c>
      <c r="G743" s="7">
        <f>ROUND(1/6*(I743*MAX(_xlfn.XLOOKUP(H743,'02效果表'!D:D,'02效果表'!E:E),0)+K743*MAX(_xlfn.XLOOKUP(J743,'02效果表'!D:D,'02效果表'!E:E),0)+M743*MAX(_xlfn.XLOOKUP(L743,'02效果表'!D:D,'02效果表'!E:E),0)+O743*MAX(_xlfn.XLOOKUP(N743,'02效果表'!D:D,'02效果表'!E:E),0)+Q743*MAX(_xlfn.XLOOKUP(P743,'02效果表'!D:D,'02效果表'!E:E),0)+S743*MAX(_xlfn.XLOOKUP(R743,'02效果表'!D:D,'02效果表'!E:E),0)+U743*MAX(_xlfn.XLOOKUP(T743,'02效果表'!D:D,'02效果表'!E:E),0)+W743*MAX(_xlfn.XLOOKUP(V743,'02效果表'!D:D,'02效果表'!E:E),0)+Y743*MAX(_xlfn.XLOOKUP(X743,'02效果表'!D:D,'02效果表'!E:E),0)+AA743*MAX(_xlfn.XLOOKUP(Z743,'02效果表'!D:D,'02效果表'!E:E),0)+AC743*MAX(_xlfn.XLOOKUP(AB743,'02效果表'!D:D,'02效果表'!E:E),0)+AE743*MAX(_xlfn.XLOOKUP(AD743,'02效果表'!D:D,'02效果表'!E:E),0)),1)</f>
        <v>0</v>
      </c>
      <c r="H743" s="6"/>
      <c r="I743" s="6"/>
      <c r="J743" s="6"/>
      <c r="K743" s="6"/>
      <c r="L743" s="6"/>
      <c r="M743" s="6"/>
      <c r="N743" s="6"/>
      <c r="O743" s="6"/>
      <c r="P743" s="6"/>
      <c r="Q743" s="6"/>
      <c r="R743" s="6"/>
      <c r="S743" s="6"/>
      <c r="T743" s="6"/>
      <c r="U743" s="6"/>
      <c r="V743" s="6"/>
      <c r="W743" s="6"/>
      <c r="X743" s="6"/>
      <c r="Y743" s="6"/>
      <c r="Z743" s="6"/>
      <c r="AA743" s="6"/>
      <c r="AB743" s="6"/>
      <c r="AC743" s="6"/>
      <c r="AD743" s="6"/>
      <c r="AE743" s="6"/>
    </row>
    <row r="744" spans="1:31" x14ac:dyDescent="0.35">
      <c r="A744" s="6">
        <v>744</v>
      </c>
      <c r="B744" s="6" t="s">
        <v>8</v>
      </c>
      <c r="C744" s="10" t="s">
        <v>17</v>
      </c>
      <c r="D744" s="9"/>
      <c r="E744" s="7">
        <f t="shared" si="18"/>
        <v>0</v>
      </c>
      <c r="F744" s="7">
        <f>-1*ROUND(1/6*(I744*IF(_xlfn.XLOOKUP(H744,'02效果表'!D:D,'02效果表'!E:E)&lt;0, _xlfn.XLOOKUP(H744,'02效果表'!D:D,'02效果表'!E:E), 0) +
K744*IF(_xlfn.XLOOKUP(J744,'02效果表'!D:D,'02效果表'!E:E)&lt;0, _xlfn.XLOOKUP(J744,'02效果表'!D:D,'02效果表'!E:E), 0) +
M744*IF(_xlfn.XLOOKUP(L744,'02效果表'!D:D,'02效果表'!E:E)&lt;0, _xlfn.XLOOKUP(L744,'02效果表'!D:D,'02效果表'!E:E), 0) +
O744*IF(_xlfn.XLOOKUP(N744,'02效果表'!D:D,'02效果表'!E:E)&lt;0, _xlfn.XLOOKUP(N744,'02效果表'!D:D,'02效果表'!E:E), 0) +
Q744*IF(_xlfn.XLOOKUP(P744,'02效果表'!D:D,'02效果表'!E:E)&lt;0, _xlfn.XLOOKUP(P744,'02效果表'!D:D,'02效果表'!E:E), 0) +
S744*IF(_xlfn.XLOOKUP(R744,'02效果表'!D:D,'02效果表'!E:E)&lt;0, _xlfn.XLOOKUP(R744,'02效果表'!D:D,'02效果表'!E:E), 0) +
U744*IF(_xlfn.XLOOKUP(T744,'02效果表'!D:D,'02效果表'!E:E)&lt;0, _xlfn.XLOOKUP(T744,'02效果表'!D:D,'02效果表'!E:E), 0) +
W744*IF(_xlfn.XLOOKUP(V744,'02效果表'!D:D,'02效果表'!E:E)&lt;0, _xlfn.XLOOKUP(V744,'02效果表'!D:D,'02效果表'!E:E), 0) +
Y744*IF(_xlfn.XLOOKUP(X744,'02效果表'!D:D,'02效果表'!E:E)&lt;0, _xlfn.XLOOKUP(X744,'02效果表'!D:D,'02效果表'!E:E), 0) +
AA744*IF(_xlfn.XLOOKUP(Z744,'02效果表'!D:D,'02效果表'!E:E)&lt;0, _xlfn.XLOOKUP(Z744,'02效果表'!D:D,'02效果表'!E:E), 0) +
AC744*IF(_xlfn.XLOOKUP(AB744,'02效果表'!D:D,'02效果表'!E:E)&lt;0, _xlfn.XLOOKUP(AB744,'02效果表'!D:D,'02效果表'!E:E), 0) +
AE744*IF(_xlfn.XLOOKUP(AD744,'02效果表'!D:D,'02效果表'!E:E)&lt;0, _xlfn.XLOOKUP(AD744,'02效果表'!D:D,'02效果表'!E:E), 0)), 1)</f>
        <v>0</v>
      </c>
      <c r="G744" s="7">
        <f>ROUND(1/6*(I744*MAX(_xlfn.XLOOKUP(H744,'02效果表'!D:D,'02效果表'!E:E),0)+K744*MAX(_xlfn.XLOOKUP(J744,'02效果表'!D:D,'02效果表'!E:E),0)+M744*MAX(_xlfn.XLOOKUP(L744,'02效果表'!D:D,'02效果表'!E:E),0)+O744*MAX(_xlfn.XLOOKUP(N744,'02效果表'!D:D,'02效果表'!E:E),0)+Q744*MAX(_xlfn.XLOOKUP(P744,'02效果表'!D:D,'02效果表'!E:E),0)+S744*MAX(_xlfn.XLOOKUP(R744,'02效果表'!D:D,'02效果表'!E:E),0)+U744*MAX(_xlfn.XLOOKUP(T744,'02效果表'!D:D,'02效果表'!E:E),0)+W744*MAX(_xlfn.XLOOKUP(V744,'02效果表'!D:D,'02效果表'!E:E),0)+Y744*MAX(_xlfn.XLOOKUP(X744,'02效果表'!D:D,'02效果表'!E:E),0)+AA744*MAX(_xlfn.XLOOKUP(Z744,'02效果表'!D:D,'02效果表'!E:E),0)+AC744*MAX(_xlfn.XLOOKUP(AB744,'02效果表'!D:D,'02效果表'!E:E),0)+AE744*MAX(_xlfn.XLOOKUP(AD744,'02效果表'!D:D,'02效果表'!E:E),0)),1)</f>
        <v>0</v>
      </c>
      <c r="H744" s="6"/>
      <c r="I744" s="6"/>
      <c r="J744" s="6"/>
      <c r="K744" s="6"/>
      <c r="L744" s="6"/>
      <c r="M744" s="6"/>
      <c r="N744" s="6"/>
      <c r="O744" s="6"/>
      <c r="P744" s="6"/>
      <c r="Q744" s="6"/>
      <c r="R744" s="6"/>
      <c r="S744" s="6"/>
      <c r="T744" s="6"/>
      <c r="U744" s="6"/>
      <c r="V744" s="6"/>
      <c r="W744" s="6"/>
      <c r="X744" s="6"/>
      <c r="Y744" s="6"/>
      <c r="Z744" s="6"/>
      <c r="AA744" s="6"/>
      <c r="AB744" s="6"/>
      <c r="AC744" s="6"/>
      <c r="AD744" s="6"/>
      <c r="AE744" s="6"/>
    </row>
    <row r="745" spans="1:31" x14ac:dyDescent="0.25">
      <c r="A745" s="6">
        <v>745</v>
      </c>
      <c r="B745" s="6" t="s">
        <v>9</v>
      </c>
      <c r="C745" s="6" t="s">
        <v>19</v>
      </c>
      <c r="D745" s="9" t="s">
        <v>1866</v>
      </c>
      <c r="E745" s="7">
        <f t="shared" si="18"/>
        <v>-1</v>
      </c>
      <c r="F745" s="7">
        <f>-1*ROUND(1/6*(I745*IF(_xlfn.XLOOKUP(H745,'02效果表'!D:D,'02效果表'!E:E)&lt;0, _xlfn.XLOOKUP(H745,'02效果表'!D:D,'02效果表'!E:E), 0) +
K745*IF(_xlfn.XLOOKUP(J745,'02效果表'!D:D,'02效果表'!E:E)&lt;0, _xlfn.XLOOKUP(J745,'02效果表'!D:D,'02效果表'!E:E), 0) +
M745*IF(_xlfn.XLOOKUP(L745,'02效果表'!D:D,'02效果表'!E:E)&lt;0, _xlfn.XLOOKUP(L745,'02效果表'!D:D,'02效果表'!E:E), 0) +
O745*IF(_xlfn.XLOOKUP(N745,'02效果表'!D:D,'02效果表'!E:E)&lt;0, _xlfn.XLOOKUP(N745,'02效果表'!D:D,'02效果表'!E:E), 0) +
Q745*IF(_xlfn.XLOOKUP(P745,'02效果表'!D:D,'02效果表'!E:E)&lt;0, _xlfn.XLOOKUP(P745,'02效果表'!D:D,'02效果表'!E:E), 0) +
S745*IF(_xlfn.XLOOKUP(R745,'02效果表'!D:D,'02效果表'!E:E)&lt;0, _xlfn.XLOOKUP(R745,'02效果表'!D:D,'02效果表'!E:E), 0) +
U745*IF(_xlfn.XLOOKUP(T745,'02效果表'!D:D,'02效果表'!E:E)&lt;0, _xlfn.XLOOKUP(T745,'02效果表'!D:D,'02效果表'!E:E), 0) +
W745*IF(_xlfn.XLOOKUP(V745,'02效果表'!D:D,'02效果表'!E:E)&lt;0, _xlfn.XLOOKUP(V745,'02效果表'!D:D,'02效果表'!E:E), 0) +
Y745*IF(_xlfn.XLOOKUP(X745,'02效果表'!D:D,'02效果表'!E:E)&lt;0, _xlfn.XLOOKUP(X745,'02效果表'!D:D,'02效果表'!E:E), 0) +
AA745*IF(_xlfn.XLOOKUP(Z745,'02效果表'!D:D,'02效果表'!E:E)&lt;0, _xlfn.XLOOKUP(Z745,'02效果表'!D:D,'02效果表'!E:E), 0) +
AC745*IF(_xlfn.XLOOKUP(AB745,'02效果表'!D:D,'02效果表'!E:E)&lt;0, _xlfn.XLOOKUP(AB745,'02效果表'!D:D,'02效果表'!E:E), 0) +
AE745*IF(_xlfn.XLOOKUP(AD745,'02效果表'!D:D,'02效果表'!E:E)&lt;0, _xlfn.XLOOKUP(AD745,'02效果表'!D:D,'02效果表'!E:E), 0)), 1)</f>
        <v>1.7</v>
      </c>
      <c r="G745" s="7">
        <f>ROUND(1/6*(I745*MAX(_xlfn.XLOOKUP(H745,'02效果表'!D:D,'02效果表'!E:E),0)+K745*MAX(_xlfn.XLOOKUP(J745,'02效果表'!D:D,'02效果表'!E:E),0)+M745*MAX(_xlfn.XLOOKUP(L745,'02效果表'!D:D,'02效果表'!E:E),0)+O745*MAX(_xlfn.XLOOKUP(N745,'02效果表'!D:D,'02效果表'!E:E),0)+Q745*MAX(_xlfn.XLOOKUP(P745,'02效果表'!D:D,'02效果表'!E:E),0)+S745*MAX(_xlfn.XLOOKUP(R745,'02效果表'!D:D,'02效果表'!E:E),0)+U745*MAX(_xlfn.XLOOKUP(T745,'02效果表'!D:D,'02效果表'!E:E),0)+W745*MAX(_xlfn.XLOOKUP(V745,'02效果表'!D:D,'02效果表'!E:E),0)+Y745*MAX(_xlfn.XLOOKUP(X745,'02效果表'!D:D,'02效果表'!E:E),0)+AA745*MAX(_xlfn.XLOOKUP(Z745,'02效果表'!D:D,'02效果表'!E:E),0)+AC745*MAX(_xlfn.XLOOKUP(AB745,'02效果表'!D:D,'02效果表'!E:E),0)+AE745*MAX(_xlfn.XLOOKUP(AD745,'02效果表'!D:D,'02效果表'!E:E),0)),1)</f>
        <v>0.3</v>
      </c>
      <c r="H745" s="6" t="s">
        <v>1285</v>
      </c>
      <c r="I745" s="6">
        <v>1</v>
      </c>
      <c r="J745" s="6"/>
      <c r="K745" s="6"/>
      <c r="L745" s="6" t="s">
        <v>1221</v>
      </c>
      <c r="M745" s="6">
        <v>1</v>
      </c>
      <c r="N745" s="6"/>
      <c r="O745" s="6"/>
      <c r="P745" s="6" t="s">
        <v>1238</v>
      </c>
      <c r="Q745" s="6">
        <v>1</v>
      </c>
      <c r="R745" s="6"/>
      <c r="S745" s="6"/>
      <c r="T745" s="6" t="s">
        <v>1238</v>
      </c>
      <c r="U745" s="6">
        <v>2</v>
      </c>
      <c r="V745" s="6"/>
      <c r="W745" s="6"/>
      <c r="X745" s="6" t="s">
        <v>1238</v>
      </c>
      <c r="Y745" s="6">
        <v>3</v>
      </c>
      <c r="Z745" s="6"/>
      <c r="AA745" s="6"/>
      <c r="AB745" s="6" t="s">
        <v>1238</v>
      </c>
      <c r="AC745" s="6">
        <v>4</v>
      </c>
      <c r="AD745" s="6"/>
      <c r="AE745" s="6"/>
    </row>
    <row r="746" spans="1:31" x14ac:dyDescent="0.25">
      <c r="A746" s="6">
        <v>746</v>
      </c>
      <c r="B746" s="6" t="s">
        <v>9</v>
      </c>
      <c r="C746" s="6" t="s">
        <v>19</v>
      </c>
      <c r="D746" s="9" t="s">
        <v>1867</v>
      </c>
      <c r="E746" s="7">
        <f t="shared" si="18"/>
        <v>-1</v>
      </c>
      <c r="F746" s="7">
        <f>-1*ROUND(1/6*(I746*IF(_xlfn.XLOOKUP(H746,'02效果表'!D:D,'02效果表'!E:E)&lt;0, _xlfn.XLOOKUP(H746,'02效果表'!D:D,'02效果表'!E:E), 0) +
K746*IF(_xlfn.XLOOKUP(J746,'02效果表'!D:D,'02效果表'!E:E)&lt;0, _xlfn.XLOOKUP(J746,'02效果表'!D:D,'02效果表'!E:E), 0) +
M746*IF(_xlfn.XLOOKUP(L746,'02效果表'!D:D,'02效果表'!E:E)&lt;0, _xlfn.XLOOKUP(L746,'02效果表'!D:D,'02效果表'!E:E), 0) +
O746*IF(_xlfn.XLOOKUP(N746,'02效果表'!D:D,'02效果表'!E:E)&lt;0, _xlfn.XLOOKUP(N746,'02效果表'!D:D,'02效果表'!E:E), 0) +
Q746*IF(_xlfn.XLOOKUP(P746,'02效果表'!D:D,'02效果表'!E:E)&lt;0, _xlfn.XLOOKUP(P746,'02效果表'!D:D,'02效果表'!E:E), 0) +
S746*IF(_xlfn.XLOOKUP(R746,'02效果表'!D:D,'02效果表'!E:E)&lt;0, _xlfn.XLOOKUP(R746,'02效果表'!D:D,'02效果表'!E:E), 0) +
U746*IF(_xlfn.XLOOKUP(T746,'02效果表'!D:D,'02效果表'!E:E)&lt;0, _xlfn.XLOOKUP(T746,'02效果表'!D:D,'02效果表'!E:E), 0) +
W746*IF(_xlfn.XLOOKUP(V746,'02效果表'!D:D,'02效果表'!E:E)&lt;0, _xlfn.XLOOKUP(V746,'02效果表'!D:D,'02效果表'!E:E), 0) +
Y746*IF(_xlfn.XLOOKUP(X746,'02效果表'!D:D,'02效果表'!E:E)&lt;0, _xlfn.XLOOKUP(X746,'02效果表'!D:D,'02效果表'!E:E), 0) +
AA746*IF(_xlfn.XLOOKUP(Z746,'02效果表'!D:D,'02效果表'!E:E)&lt;0, _xlfn.XLOOKUP(Z746,'02效果表'!D:D,'02效果表'!E:E), 0) +
AC746*IF(_xlfn.XLOOKUP(AB746,'02效果表'!D:D,'02效果表'!E:E)&lt;0, _xlfn.XLOOKUP(AB746,'02效果表'!D:D,'02效果表'!E:E), 0) +
AE746*IF(_xlfn.XLOOKUP(AD746,'02效果表'!D:D,'02效果表'!E:E)&lt;0, _xlfn.XLOOKUP(AD746,'02效果表'!D:D,'02效果表'!E:E), 0)), 1)</f>
        <v>1.5</v>
      </c>
      <c r="G746" s="7">
        <f>ROUND(1/6*(I746*MAX(_xlfn.XLOOKUP(H746,'02效果表'!D:D,'02效果表'!E:E),0)+K746*MAX(_xlfn.XLOOKUP(J746,'02效果表'!D:D,'02效果表'!E:E),0)+M746*MAX(_xlfn.XLOOKUP(L746,'02效果表'!D:D,'02效果表'!E:E),0)+O746*MAX(_xlfn.XLOOKUP(N746,'02效果表'!D:D,'02效果表'!E:E),0)+Q746*MAX(_xlfn.XLOOKUP(P746,'02效果表'!D:D,'02效果表'!E:E),0)+S746*MAX(_xlfn.XLOOKUP(R746,'02效果表'!D:D,'02效果表'!E:E),0)+U746*MAX(_xlfn.XLOOKUP(T746,'02效果表'!D:D,'02效果表'!E:E),0)+W746*MAX(_xlfn.XLOOKUP(V746,'02效果表'!D:D,'02效果表'!E:E),0)+Y746*MAX(_xlfn.XLOOKUP(X746,'02效果表'!D:D,'02效果表'!E:E),0)+AA746*MAX(_xlfn.XLOOKUP(Z746,'02效果表'!D:D,'02效果表'!E:E),0)+AC746*MAX(_xlfn.XLOOKUP(AB746,'02效果表'!D:D,'02效果表'!E:E),0)+AE746*MAX(_xlfn.XLOOKUP(AD746,'02效果表'!D:D,'02效果表'!E:E),0)),1)</f>
        <v>0.2</v>
      </c>
      <c r="H746" s="6" t="s">
        <v>1286</v>
      </c>
      <c r="I746" s="6">
        <v>1</v>
      </c>
      <c r="J746" s="6"/>
      <c r="K746" s="6"/>
      <c r="L746" s="6" t="s">
        <v>1291</v>
      </c>
      <c r="M746" s="6">
        <v>1</v>
      </c>
      <c r="N746" s="6"/>
      <c r="O746" s="6"/>
      <c r="P746" s="6" t="s">
        <v>1249</v>
      </c>
      <c r="Q746" s="6">
        <v>1</v>
      </c>
      <c r="R746" s="6"/>
      <c r="S746" s="6"/>
      <c r="T746" s="6" t="s">
        <v>1292</v>
      </c>
      <c r="U746" s="6">
        <v>3</v>
      </c>
      <c r="V746" s="6"/>
      <c r="W746" s="6"/>
      <c r="X746" s="6" t="s">
        <v>1252</v>
      </c>
      <c r="Y746" s="6">
        <v>2</v>
      </c>
      <c r="Z746" s="6"/>
      <c r="AA746" s="6"/>
      <c r="AB746" s="6" t="s">
        <v>1193</v>
      </c>
      <c r="AC746" s="6">
        <v>2</v>
      </c>
      <c r="AD746" s="6"/>
      <c r="AE746" s="6"/>
    </row>
    <row r="747" spans="1:31" x14ac:dyDescent="0.25">
      <c r="A747" s="6">
        <v>747</v>
      </c>
      <c r="B747" s="6" t="s">
        <v>9</v>
      </c>
      <c r="C747" s="6" t="s">
        <v>19</v>
      </c>
      <c r="D747" s="9" t="s">
        <v>1294</v>
      </c>
      <c r="E747" s="7">
        <f t="shared" si="18"/>
        <v>-5</v>
      </c>
      <c r="F747" s="7">
        <f>-1*ROUND(1/6*(I747*IF(_xlfn.XLOOKUP(H747,'02效果表'!D:D,'02效果表'!E:E)&lt;0, _xlfn.XLOOKUP(H747,'02效果表'!D:D,'02效果表'!E:E), 0) +
K747*IF(_xlfn.XLOOKUP(J747,'02效果表'!D:D,'02效果表'!E:E)&lt;0, _xlfn.XLOOKUP(J747,'02效果表'!D:D,'02效果表'!E:E), 0) +
M747*IF(_xlfn.XLOOKUP(L747,'02效果表'!D:D,'02效果表'!E:E)&lt;0, _xlfn.XLOOKUP(L747,'02效果表'!D:D,'02效果表'!E:E), 0) +
O747*IF(_xlfn.XLOOKUP(N747,'02效果表'!D:D,'02效果表'!E:E)&lt;0, _xlfn.XLOOKUP(N747,'02效果表'!D:D,'02效果表'!E:E), 0) +
Q747*IF(_xlfn.XLOOKUP(P747,'02效果表'!D:D,'02效果表'!E:E)&lt;0, _xlfn.XLOOKUP(P747,'02效果表'!D:D,'02效果表'!E:E), 0) +
S747*IF(_xlfn.XLOOKUP(R747,'02效果表'!D:D,'02效果表'!E:E)&lt;0, _xlfn.XLOOKUP(R747,'02效果表'!D:D,'02效果表'!E:E), 0) +
U747*IF(_xlfn.XLOOKUP(T747,'02效果表'!D:D,'02效果表'!E:E)&lt;0, _xlfn.XLOOKUP(T747,'02效果表'!D:D,'02效果表'!E:E), 0) +
W747*IF(_xlfn.XLOOKUP(V747,'02效果表'!D:D,'02效果表'!E:E)&lt;0, _xlfn.XLOOKUP(V747,'02效果表'!D:D,'02效果表'!E:E), 0) +
Y747*IF(_xlfn.XLOOKUP(X747,'02效果表'!D:D,'02效果表'!E:E)&lt;0, _xlfn.XLOOKUP(X747,'02效果表'!D:D,'02效果表'!E:E), 0) +
AA747*IF(_xlfn.XLOOKUP(Z747,'02效果表'!D:D,'02效果表'!E:E)&lt;0, _xlfn.XLOOKUP(Z747,'02效果表'!D:D,'02效果表'!E:E), 0) +
AC747*IF(_xlfn.XLOOKUP(AB747,'02效果表'!D:D,'02效果表'!E:E)&lt;0, _xlfn.XLOOKUP(AB747,'02效果表'!D:D,'02效果表'!E:E), 0) +
AE747*IF(_xlfn.XLOOKUP(AD747,'02效果表'!D:D,'02效果表'!E:E)&lt;0, _xlfn.XLOOKUP(AD747,'02效果表'!D:D,'02效果表'!E:E), 0)), 1)</f>
        <v>5.5</v>
      </c>
      <c r="G747" s="7">
        <f>ROUND(1/6*(I747*MAX(_xlfn.XLOOKUP(H747,'02效果表'!D:D,'02效果表'!E:E),0)+K747*MAX(_xlfn.XLOOKUP(J747,'02效果表'!D:D,'02效果表'!E:E),0)+M747*MAX(_xlfn.XLOOKUP(L747,'02效果表'!D:D,'02效果表'!E:E),0)+O747*MAX(_xlfn.XLOOKUP(N747,'02效果表'!D:D,'02效果表'!E:E),0)+Q747*MAX(_xlfn.XLOOKUP(P747,'02效果表'!D:D,'02效果表'!E:E),0)+S747*MAX(_xlfn.XLOOKUP(R747,'02效果表'!D:D,'02效果表'!E:E),0)+U747*MAX(_xlfn.XLOOKUP(T747,'02效果表'!D:D,'02效果表'!E:E),0)+W747*MAX(_xlfn.XLOOKUP(V747,'02效果表'!D:D,'02效果表'!E:E),0)+Y747*MAX(_xlfn.XLOOKUP(X747,'02效果表'!D:D,'02效果表'!E:E),0)+AA747*MAX(_xlfn.XLOOKUP(Z747,'02效果表'!D:D,'02效果表'!E:E),0)+AC747*MAX(_xlfn.XLOOKUP(AB747,'02效果表'!D:D,'02效果表'!E:E),0)+AE747*MAX(_xlfn.XLOOKUP(AD747,'02效果表'!D:D,'02效果表'!E:E),0)),1)</f>
        <v>0.3</v>
      </c>
      <c r="H747" s="6" t="s">
        <v>1287</v>
      </c>
      <c r="I747" s="6">
        <v>1</v>
      </c>
      <c r="J747" s="6"/>
      <c r="K747" s="6"/>
      <c r="L747" s="6" t="s">
        <v>1293</v>
      </c>
      <c r="M747" s="6">
        <v>4</v>
      </c>
      <c r="N747" s="6"/>
      <c r="O747" s="6"/>
      <c r="P747" s="6" t="s">
        <v>1293</v>
      </c>
      <c r="Q747" s="6">
        <v>3</v>
      </c>
      <c r="R747" s="6"/>
      <c r="S747" s="6"/>
      <c r="T747" s="6" t="s">
        <v>1294</v>
      </c>
      <c r="U747" s="6">
        <v>3</v>
      </c>
      <c r="V747" s="6"/>
      <c r="W747" s="6"/>
      <c r="X747" s="6" t="s">
        <v>1294</v>
      </c>
      <c r="Y747" s="6">
        <v>4</v>
      </c>
      <c r="Z747" s="6"/>
      <c r="AA747" s="6"/>
      <c r="AB747" s="6" t="s">
        <v>1294</v>
      </c>
      <c r="AC747" s="6">
        <v>5</v>
      </c>
      <c r="AD747" s="6"/>
      <c r="AE747" s="6"/>
    </row>
    <row r="748" spans="1:31" x14ac:dyDescent="0.25">
      <c r="A748" s="6">
        <v>748</v>
      </c>
      <c r="B748" s="6" t="s">
        <v>9</v>
      </c>
      <c r="C748" s="6" t="s">
        <v>19</v>
      </c>
      <c r="D748" s="9" t="s">
        <v>1868</v>
      </c>
      <c r="E748" s="7">
        <f t="shared" si="18"/>
        <v>-2</v>
      </c>
      <c r="F748" s="7">
        <f>-1*ROUND(1/6*(I748*IF(_xlfn.XLOOKUP(H748,'02效果表'!D:D,'02效果表'!E:E)&lt;0, _xlfn.XLOOKUP(H748,'02效果表'!D:D,'02效果表'!E:E), 0) +
K748*IF(_xlfn.XLOOKUP(J748,'02效果表'!D:D,'02效果表'!E:E)&lt;0, _xlfn.XLOOKUP(J748,'02效果表'!D:D,'02效果表'!E:E), 0) +
M748*IF(_xlfn.XLOOKUP(L748,'02效果表'!D:D,'02效果表'!E:E)&lt;0, _xlfn.XLOOKUP(L748,'02效果表'!D:D,'02效果表'!E:E), 0) +
O748*IF(_xlfn.XLOOKUP(N748,'02效果表'!D:D,'02效果表'!E:E)&lt;0, _xlfn.XLOOKUP(N748,'02效果表'!D:D,'02效果表'!E:E), 0) +
Q748*IF(_xlfn.XLOOKUP(P748,'02效果表'!D:D,'02效果表'!E:E)&lt;0, _xlfn.XLOOKUP(P748,'02效果表'!D:D,'02效果表'!E:E), 0) +
S748*IF(_xlfn.XLOOKUP(R748,'02效果表'!D:D,'02效果表'!E:E)&lt;0, _xlfn.XLOOKUP(R748,'02效果表'!D:D,'02效果表'!E:E), 0) +
U748*IF(_xlfn.XLOOKUP(T748,'02效果表'!D:D,'02效果表'!E:E)&lt;0, _xlfn.XLOOKUP(T748,'02效果表'!D:D,'02效果表'!E:E), 0) +
W748*IF(_xlfn.XLOOKUP(V748,'02效果表'!D:D,'02效果表'!E:E)&lt;0, _xlfn.XLOOKUP(V748,'02效果表'!D:D,'02效果表'!E:E), 0) +
Y748*IF(_xlfn.XLOOKUP(X748,'02效果表'!D:D,'02效果表'!E:E)&lt;0, _xlfn.XLOOKUP(X748,'02效果表'!D:D,'02效果表'!E:E), 0) +
AA748*IF(_xlfn.XLOOKUP(Z748,'02效果表'!D:D,'02效果表'!E:E)&lt;0, _xlfn.XLOOKUP(Z748,'02效果表'!D:D,'02效果表'!E:E), 0) +
AC748*IF(_xlfn.XLOOKUP(AB748,'02效果表'!D:D,'02效果表'!E:E)&lt;0, _xlfn.XLOOKUP(AB748,'02效果表'!D:D,'02效果表'!E:E), 0) +
AE748*IF(_xlfn.XLOOKUP(AD748,'02效果表'!D:D,'02效果表'!E:E)&lt;0, _xlfn.XLOOKUP(AD748,'02效果表'!D:D,'02效果表'!E:E), 0)), 1)</f>
        <v>2.1</v>
      </c>
      <c r="G748" s="7">
        <f>ROUND(1/6*(I748*MAX(_xlfn.XLOOKUP(H748,'02效果表'!D:D,'02效果表'!E:E),0)+K748*MAX(_xlfn.XLOOKUP(J748,'02效果表'!D:D,'02效果表'!E:E),0)+M748*MAX(_xlfn.XLOOKUP(L748,'02效果表'!D:D,'02效果表'!E:E),0)+O748*MAX(_xlfn.XLOOKUP(N748,'02效果表'!D:D,'02效果表'!E:E),0)+Q748*MAX(_xlfn.XLOOKUP(P748,'02效果表'!D:D,'02效果表'!E:E),0)+S748*MAX(_xlfn.XLOOKUP(R748,'02效果表'!D:D,'02效果表'!E:E),0)+U748*MAX(_xlfn.XLOOKUP(T748,'02效果表'!D:D,'02效果表'!E:E),0)+W748*MAX(_xlfn.XLOOKUP(V748,'02效果表'!D:D,'02效果表'!E:E),0)+Y748*MAX(_xlfn.XLOOKUP(X748,'02效果表'!D:D,'02效果表'!E:E),0)+AA748*MAX(_xlfn.XLOOKUP(Z748,'02效果表'!D:D,'02效果表'!E:E),0)+AC748*MAX(_xlfn.XLOOKUP(AB748,'02效果表'!D:D,'02效果表'!E:E),0)+AE748*MAX(_xlfn.XLOOKUP(AD748,'02效果表'!D:D,'02效果表'!E:E),0)),1)</f>
        <v>0.5</v>
      </c>
      <c r="H748" s="6" t="s">
        <v>1288</v>
      </c>
      <c r="I748" s="6">
        <v>1</v>
      </c>
      <c r="J748" s="6"/>
      <c r="K748" s="6"/>
      <c r="L748" s="6" t="s">
        <v>1221</v>
      </c>
      <c r="M748" s="6">
        <v>1</v>
      </c>
      <c r="N748" s="6"/>
      <c r="O748" s="6"/>
      <c r="P748" s="6" t="s">
        <v>1295</v>
      </c>
      <c r="Q748" s="6">
        <v>1</v>
      </c>
      <c r="R748" s="6"/>
      <c r="S748" s="6"/>
      <c r="T748" s="6" t="s">
        <v>1295</v>
      </c>
      <c r="U748" s="6">
        <v>1</v>
      </c>
      <c r="V748" s="6"/>
      <c r="W748" s="6"/>
      <c r="X748" s="6" t="s">
        <v>1295</v>
      </c>
      <c r="Y748" s="6">
        <v>2</v>
      </c>
      <c r="Z748" s="6"/>
      <c r="AA748" s="6"/>
      <c r="AB748" s="6" t="s">
        <v>1295</v>
      </c>
      <c r="AC748" s="6">
        <v>3</v>
      </c>
      <c r="AD748" s="6"/>
      <c r="AE748" s="6"/>
    </row>
    <row r="749" spans="1:31" x14ac:dyDescent="0.25">
      <c r="A749" s="6">
        <v>749</v>
      </c>
      <c r="B749" s="6" t="s">
        <v>9</v>
      </c>
      <c r="C749" s="6" t="s">
        <v>19</v>
      </c>
      <c r="D749" s="9" t="s">
        <v>1869</v>
      </c>
      <c r="E749" s="7">
        <f t="shared" si="18"/>
        <v>-1</v>
      </c>
      <c r="F749" s="7">
        <f>-1*ROUND(1/6*(I749*IF(_xlfn.XLOOKUP(H749,'02效果表'!D:D,'02效果表'!E:E)&lt;0, _xlfn.XLOOKUP(H749,'02效果表'!D:D,'02效果表'!E:E), 0) +
K749*IF(_xlfn.XLOOKUP(J749,'02效果表'!D:D,'02效果表'!E:E)&lt;0, _xlfn.XLOOKUP(J749,'02效果表'!D:D,'02效果表'!E:E), 0) +
M749*IF(_xlfn.XLOOKUP(L749,'02效果表'!D:D,'02效果表'!E:E)&lt;0, _xlfn.XLOOKUP(L749,'02效果表'!D:D,'02效果表'!E:E), 0) +
O749*IF(_xlfn.XLOOKUP(N749,'02效果表'!D:D,'02效果表'!E:E)&lt;0, _xlfn.XLOOKUP(N749,'02效果表'!D:D,'02效果表'!E:E), 0) +
Q749*IF(_xlfn.XLOOKUP(P749,'02效果表'!D:D,'02效果表'!E:E)&lt;0, _xlfn.XLOOKUP(P749,'02效果表'!D:D,'02效果表'!E:E), 0) +
S749*IF(_xlfn.XLOOKUP(R749,'02效果表'!D:D,'02效果表'!E:E)&lt;0, _xlfn.XLOOKUP(R749,'02效果表'!D:D,'02效果表'!E:E), 0) +
U749*IF(_xlfn.XLOOKUP(T749,'02效果表'!D:D,'02效果表'!E:E)&lt;0, _xlfn.XLOOKUP(T749,'02效果表'!D:D,'02效果表'!E:E), 0) +
W749*IF(_xlfn.XLOOKUP(V749,'02效果表'!D:D,'02效果表'!E:E)&lt;0, _xlfn.XLOOKUP(V749,'02效果表'!D:D,'02效果表'!E:E), 0) +
Y749*IF(_xlfn.XLOOKUP(X749,'02效果表'!D:D,'02效果表'!E:E)&lt;0, _xlfn.XLOOKUP(X749,'02效果表'!D:D,'02效果表'!E:E), 0) +
AA749*IF(_xlfn.XLOOKUP(Z749,'02效果表'!D:D,'02效果表'!E:E)&lt;0, _xlfn.XLOOKUP(Z749,'02效果表'!D:D,'02效果表'!E:E), 0) +
AC749*IF(_xlfn.XLOOKUP(AB749,'02效果表'!D:D,'02效果表'!E:E)&lt;0, _xlfn.XLOOKUP(AB749,'02效果表'!D:D,'02效果表'!E:E), 0) +
AE749*IF(_xlfn.XLOOKUP(AD749,'02效果表'!D:D,'02效果表'!E:E)&lt;0, _xlfn.XLOOKUP(AD749,'02效果表'!D:D,'02效果表'!E:E), 0)), 1)</f>
        <v>1</v>
      </c>
      <c r="G749" s="7">
        <f>ROUND(1/6*(I749*MAX(_xlfn.XLOOKUP(H749,'02效果表'!D:D,'02效果表'!E:E),0)+K749*MAX(_xlfn.XLOOKUP(J749,'02效果表'!D:D,'02效果表'!E:E),0)+M749*MAX(_xlfn.XLOOKUP(L749,'02效果表'!D:D,'02效果表'!E:E),0)+O749*MAX(_xlfn.XLOOKUP(N749,'02效果表'!D:D,'02效果表'!E:E),0)+Q749*MAX(_xlfn.XLOOKUP(P749,'02效果表'!D:D,'02效果表'!E:E),0)+S749*MAX(_xlfn.XLOOKUP(R749,'02效果表'!D:D,'02效果表'!E:E),0)+U749*MAX(_xlfn.XLOOKUP(T749,'02效果表'!D:D,'02效果表'!E:E),0)+W749*MAX(_xlfn.XLOOKUP(V749,'02效果表'!D:D,'02效果表'!E:E),0)+Y749*MAX(_xlfn.XLOOKUP(X749,'02效果表'!D:D,'02效果表'!E:E),0)+AA749*MAX(_xlfn.XLOOKUP(Z749,'02效果表'!D:D,'02效果表'!E:E),0)+AC749*MAX(_xlfn.XLOOKUP(AB749,'02效果表'!D:D,'02效果表'!E:E),0)+AE749*MAX(_xlfn.XLOOKUP(AD749,'02效果表'!D:D,'02效果表'!E:E),0)),1)</f>
        <v>0.2</v>
      </c>
      <c r="H749" s="6" t="s">
        <v>1289</v>
      </c>
      <c r="I749" s="6">
        <v>1</v>
      </c>
      <c r="J749" s="6"/>
      <c r="K749" s="6"/>
      <c r="L749" s="6" t="s">
        <v>1221</v>
      </c>
      <c r="M749" s="6">
        <v>1</v>
      </c>
      <c r="N749" s="6"/>
      <c r="O749" s="6"/>
      <c r="P749" s="6" t="s">
        <v>1296</v>
      </c>
      <c r="Q749" s="6">
        <v>1</v>
      </c>
      <c r="R749" s="6"/>
      <c r="S749" s="6"/>
      <c r="T749" s="6" t="s">
        <v>1296</v>
      </c>
      <c r="U749" s="6">
        <v>1</v>
      </c>
      <c r="V749" s="6"/>
      <c r="W749" s="6"/>
      <c r="X749" s="6" t="s">
        <v>1296</v>
      </c>
      <c r="Y749" s="6">
        <v>1</v>
      </c>
      <c r="Z749" s="6"/>
      <c r="AA749" s="6"/>
      <c r="AB749" s="6" t="s">
        <v>1296</v>
      </c>
      <c r="AC749" s="6">
        <v>1</v>
      </c>
      <c r="AD749" s="6"/>
      <c r="AE749" s="6"/>
    </row>
    <row r="750" spans="1:31" x14ac:dyDescent="0.25">
      <c r="A750" s="6">
        <v>750</v>
      </c>
      <c r="B750" s="6" t="s">
        <v>9</v>
      </c>
      <c r="C750" s="6" t="s">
        <v>19</v>
      </c>
      <c r="D750" s="9" t="s">
        <v>1297</v>
      </c>
      <c r="E750" s="7">
        <f t="shared" si="18"/>
        <v>-4</v>
      </c>
      <c r="F750" s="7">
        <f>-1*ROUND(1/6*(I750*IF(_xlfn.XLOOKUP(H750,'02效果表'!D:D,'02效果表'!E:E)&lt;0, _xlfn.XLOOKUP(H750,'02效果表'!D:D,'02效果表'!E:E), 0) +
K750*IF(_xlfn.XLOOKUP(J750,'02效果表'!D:D,'02效果表'!E:E)&lt;0, _xlfn.XLOOKUP(J750,'02效果表'!D:D,'02效果表'!E:E), 0) +
M750*IF(_xlfn.XLOOKUP(L750,'02效果表'!D:D,'02效果表'!E:E)&lt;0, _xlfn.XLOOKUP(L750,'02效果表'!D:D,'02效果表'!E:E), 0) +
O750*IF(_xlfn.XLOOKUP(N750,'02效果表'!D:D,'02效果表'!E:E)&lt;0, _xlfn.XLOOKUP(N750,'02效果表'!D:D,'02效果表'!E:E), 0) +
Q750*IF(_xlfn.XLOOKUP(P750,'02效果表'!D:D,'02效果表'!E:E)&lt;0, _xlfn.XLOOKUP(P750,'02效果表'!D:D,'02效果表'!E:E), 0) +
S750*IF(_xlfn.XLOOKUP(R750,'02效果表'!D:D,'02效果表'!E:E)&lt;0, _xlfn.XLOOKUP(R750,'02效果表'!D:D,'02效果表'!E:E), 0) +
U750*IF(_xlfn.XLOOKUP(T750,'02效果表'!D:D,'02效果表'!E:E)&lt;0, _xlfn.XLOOKUP(T750,'02效果表'!D:D,'02效果表'!E:E), 0) +
W750*IF(_xlfn.XLOOKUP(V750,'02效果表'!D:D,'02效果表'!E:E)&lt;0, _xlfn.XLOOKUP(V750,'02效果表'!D:D,'02效果表'!E:E), 0) +
Y750*IF(_xlfn.XLOOKUP(X750,'02效果表'!D:D,'02效果表'!E:E)&lt;0, _xlfn.XLOOKUP(X750,'02效果表'!D:D,'02效果表'!E:E), 0) +
AA750*IF(_xlfn.XLOOKUP(Z750,'02效果表'!D:D,'02效果表'!E:E)&lt;0, _xlfn.XLOOKUP(Z750,'02效果表'!D:D,'02效果表'!E:E), 0) +
AC750*IF(_xlfn.XLOOKUP(AB750,'02效果表'!D:D,'02效果表'!E:E)&lt;0, _xlfn.XLOOKUP(AB750,'02效果表'!D:D,'02效果表'!E:E), 0) +
AE750*IF(_xlfn.XLOOKUP(AD750,'02效果表'!D:D,'02效果表'!E:E)&lt;0, _xlfn.XLOOKUP(AD750,'02效果表'!D:D,'02效果表'!E:E), 0)), 1)</f>
        <v>4.2</v>
      </c>
      <c r="G750" s="7">
        <f>ROUND(1/6*(I750*MAX(_xlfn.XLOOKUP(H750,'02效果表'!D:D,'02效果表'!E:E),0)+K750*MAX(_xlfn.XLOOKUP(J750,'02效果表'!D:D,'02效果表'!E:E),0)+M750*MAX(_xlfn.XLOOKUP(L750,'02效果表'!D:D,'02效果表'!E:E),0)+O750*MAX(_xlfn.XLOOKUP(N750,'02效果表'!D:D,'02效果表'!E:E),0)+Q750*MAX(_xlfn.XLOOKUP(P750,'02效果表'!D:D,'02效果表'!E:E),0)+S750*MAX(_xlfn.XLOOKUP(R750,'02效果表'!D:D,'02效果表'!E:E),0)+U750*MAX(_xlfn.XLOOKUP(T750,'02效果表'!D:D,'02效果表'!E:E),0)+W750*MAX(_xlfn.XLOOKUP(V750,'02效果表'!D:D,'02效果表'!E:E),0)+Y750*MAX(_xlfn.XLOOKUP(X750,'02效果表'!D:D,'02效果表'!E:E),0)+AA750*MAX(_xlfn.XLOOKUP(Z750,'02效果表'!D:D,'02效果表'!E:E),0)+AC750*MAX(_xlfn.XLOOKUP(AB750,'02效果表'!D:D,'02效果表'!E:E),0)+AE750*MAX(_xlfn.XLOOKUP(AD750,'02效果表'!D:D,'02效果表'!E:E),0)),1)</f>
        <v>0.4</v>
      </c>
      <c r="H750" s="6" t="s">
        <v>1290</v>
      </c>
      <c r="I750" s="6">
        <v>1</v>
      </c>
      <c r="J750" s="6"/>
      <c r="K750" s="6"/>
      <c r="L750" s="6" t="s">
        <v>1221</v>
      </c>
      <c r="M750" s="6">
        <v>1</v>
      </c>
      <c r="N750" s="6"/>
      <c r="O750" s="6"/>
      <c r="P750" s="6" t="s">
        <v>1297</v>
      </c>
      <c r="Q750" s="6">
        <v>1</v>
      </c>
      <c r="R750" s="6"/>
      <c r="S750" s="6"/>
      <c r="T750" s="6" t="s">
        <v>1297</v>
      </c>
      <c r="U750" s="6">
        <v>1</v>
      </c>
      <c r="V750" s="6"/>
      <c r="W750" s="6"/>
      <c r="X750" s="6" t="s">
        <v>1297</v>
      </c>
      <c r="Y750" s="6">
        <v>1</v>
      </c>
      <c r="Z750" s="6"/>
      <c r="AA750" s="6"/>
      <c r="AB750" s="6" t="s">
        <v>1297</v>
      </c>
      <c r="AC750" s="6">
        <v>2</v>
      </c>
      <c r="AD750" s="6"/>
      <c r="AE750" s="6"/>
    </row>
    <row r="751" spans="1:31" x14ac:dyDescent="0.25">
      <c r="A751" s="6">
        <v>751</v>
      </c>
      <c r="B751" s="6" t="s">
        <v>9</v>
      </c>
      <c r="C751" s="6" t="s">
        <v>19</v>
      </c>
      <c r="D751" s="9" t="s">
        <v>1298</v>
      </c>
      <c r="E751" s="7">
        <f t="shared" si="18"/>
        <v>-1</v>
      </c>
      <c r="F751" s="7">
        <f>-1*ROUND(1/6*(I751*IF(_xlfn.XLOOKUP(H751,'02效果表'!D:D,'02效果表'!E:E)&lt;0, _xlfn.XLOOKUP(H751,'02效果表'!D:D,'02效果表'!E:E), 0) +
K751*IF(_xlfn.XLOOKUP(J751,'02效果表'!D:D,'02效果表'!E:E)&lt;0, _xlfn.XLOOKUP(J751,'02效果表'!D:D,'02效果表'!E:E), 0) +
M751*IF(_xlfn.XLOOKUP(L751,'02效果表'!D:D,'02效果表'!E:E)&lt;0, _xlfn.XLOOKUP(L751,'02效果表'!D:D,'02效果表'!E:E), 0) +
O751*IF(_xlfn.XLOOKUP(N751,'02效果表'!D:D,'02效果表'!E:E)&lt;0, _xlfn.XLOOKUP(N751,'02效果表'!D:D,'02效果表'!E:E), 0) +
Q751*IF(_xlfn.XLOOKUP(P751,'02效果表'!D:D,'02效果表'!E:E)&lt;0, _xlfn.XLOOKUP(P751,'02效果表'!D:D,'02效果表'!E:E), 0) +
S751*IF(_xlfn.XLOOKUP(R751,'02效果表'!D:D,'02效果表'!E:E)&lt;0, _xlfn.XLOOKUP(R751,'02效果表'!D:D,'02效果表'!E:E), 0) +
U751*IF(_xlfn.XLOOKUP(T751,'02效果表'!D:D,'02效果表'!E:E)&lt;0, _xlfn.XLOOKUP(T751,'02效果表'!D:D,'02效果表'!E:E), 0) +
W751*IF(_xlfn.XLOOKUP(V751,'02效果表'!D:D,'02效果表'!E:E)&lt;0, _xlfn.XLOOKUP(V751,'02效果表'!D:D,'02效果表'!E:E), 0) +
Y751*IF(_xlfn.XLOOKUP(X751,'02效果表'!D:D,'02效果表'!E:E)&lt;0, _xlfn.XLOOKUP(X751,'02效果表'!D:D,'02效果表'!E:E), 0) +
AA751*IF(_xlfn.XLOOKUP(Z751,'02效果表'!D:D,'02效果表'!E:E)&lt;0, _xlfn.XLOOKUP(Z751,'02效果表'!D:D,'02效果表'!E:E), 0) +
AC751*IF(_xlfn.XLOOKUP(AB751,'02效果表'!D:D,'02效果表'!E:E)&lt;0, _xlfn.XLOOKUP(AB751,'02效果表'!D:D,'02效果表'!E:E), 0) +
AE751*IF(_xlfn.XLOOKUP(AD751,'02效果表'!D:D,'02效果表'!E:E)&lt;0, _xlfn.XLOOKUP(AD751,'02效果表'!D:D,'02效果表'!E:E), 0)), 1)</f>
        <v>1.7</v>
      </c>
      <c r="G751" s="7">
        <f>ROUND(1/6*(I751*MAX(_xlfn.XLOOKUP(H751,'02效果表'!D:D,'02效果表'!E:E),0)+K751*MAX(_xlfn.XLOOKUP(J751,'02效果表'!D:D,'02效果表'!E:E),0)+M751*MAX(_xlfn.XLOOKUP(L751,'02效果表'!D:D,'02效果表'!E:E),0)+O751*MAX(_xlfn.XLOOKUP(N751,'02效果表'!D:D,'02效果表'!E:E),0)+Q751*MAX(_xlfn.XLOOKUP(P751,'02效果表'!D:D,'02效果表'!E:E),0)+S751*MAX(_xlfn.XLOOKUP(R751,'02效果表'!D:D,'02效果表'!E:E),0)+U751*MAX(_xlfn.XLOOKUP(T751,'02效果表'!D:D,'02效果表'!E:E),0)+W751*MAX(_xlfn.XLOOKUP(V751,'02效果表'!D:D,'02效果表'!E:E),0)+Y751*MAX(_xlfn.XLOOKUP(X751,'02效果表'!D:D,'02效果表'!E:E),0)+AA751*MAX(_xlfn.XLOOKUP(Z751,'02效果表'!D:D,'02效果表'!E:E),0)+AC751*MAX(_xlfn.XLOOKUP(AB751,'02效果表'!D:D,'02效果表'!E:E),0)+AE751*MAX(_xlfn.XLOOKUP(AD751,'02效果表'!D:D,'02效果表'!E:E),0)),1)</f>
        <v>0.5</v>
      </c>
      <c r="H751" s="6" t="s">
        <v>1221</v>
      </c>
      <c r="I751" s="6">
        <v>3</v>
      </c>
      <c r="J751" s="6"/>
      <c r="K751" s="6"/>
      <c r="L751" s="6" t="s">
        <v>1298</v>
      </c>
      <c r="M751" s="6">
        <v>1</v>
      </c>
      <c r="N751" s="6"/>
      <c r="O751" s="6"/>
      <c r="P751" s="6" t="s">
        <v>1299</v>
      </c>
      <c r="Q751" s="6">
        <v>2</v>
      </c>
      <c r="R751" s="6"/>
      <c r="S751" s="6"/>
      <c r="T751" s="6" t="s">
        <v>1299</v>
      </c>
      <c r="U751" s="6">
        <v>2</v>
      </c>
      <c r="V751" s="6"/>
      <c r="W751" s="6"/>
      <c r="X751" s="6" t="s">
        <v>1299</v>
      </c>
      <c r="Y751" s="6">
        <v>3</v>
      </c>
      <c r="Z751" s="6"/>
      <c r="AA751" s="6"/>
      <c r="AB751" s="6" t="s">
        <v>1300</v>
      </c>
      <c r="AC751" s="6">
        <v>2</v>
      </c>
      <c r="AD751" s="6"/>
      <c r="AE751"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58114-C713-4C46-8E0C-9818D9AA0C74}">
  <sheetPr codeName="Sheet6"/>
  <dimension ref="A1:G386"/>
  <sheetViews>
    <sheetView workbookViewId="0">
      <selection activeCell="F364" sqref="F364"/>
    </sheetView>
  </sheetViews>
  <sheetFormatPr defaultRowHeight="15.6" x14ac:dyDescent="0.25"/>
  <cols>
    <col min="1" max="1" width="10.77734375" style="5" customWidth="1"/>
    <col min="2" max="2" width="10.77734375" style="1" customWidth="1"/>
    <col min="3" max="3" width="10.77734375" style="5" customWidth="1"/>
    <col min="4" max="4" width="24.88671875" style="2" bestFit="1" customWidth="1"/>
    <col min="5" max="5" width="13.88671875" style="1" bestFit="1" customWidth="1"/>
    <col min="6" max="6" width="181.44140625" style="2" bestFit="1" customWidth="1"/>
    <col min="8" max="16384" width="8.88671875" style="5"/>
  </cols>
  <sheetData>
    <row r="1" spans="1:7" x14ac:dyDescent="0.25">
      <c r="A1" s="6" t="s">
        <v>125</v>
      </c>
      <c r="B1" s="6" t="s">
        <v>453</v>
      </c>
      <c r="C1" s="6" t="s">
        <v>448</v>
      </c>
      <c r="D1" s="9" t="s">
        <v>245</v>
      </c>
      <c r="E1" s="7" t="s">
        <v>128</v>
      </c>
      <c r="F1" s="6" t="s">
        <v>246</v>
      </c>
    </row>
    <row r="2" spans="1:7" x14ac:dyDescent="0.25">
      <c r="A2" s="6">
        <v>1</v>
      </c>
      <c r="B2" s="6" t="s">
        <v>444</v>
      </c>
      <c r="C2" s="6" t="s">
        <v>452</v>
      </c>
      <c r="D2" s="14" t="s">
        <v>416</v>
      </c>
      <c r="E2" s="7">
        <v>1</v>
      </c>
      <c r="F2" s="11" t="s">
        <v>912</v>
      </c>
    </row>
    <row r="3" spans="1:7" x14ac:dyDescent="0.25">
      <c r="A3" s="6">
        <v>2</v>
      </c>
      <c r="B3" s="6" t="s">
        <v>444</v>
      </c>
      <c r="C3" s="6" t="s">
        <v>452</v>
      </c>
      <c r="D3" s="14" t="s">
        <v>442</v>
      </c>
      <c r="E3" s="7">
        <v>0.5</v>
      </c>
      <c r="F3" s="11" t="s">
        <v>914</v>
      </c>
      <c r="G3" s="5"/>
    </row>
    <row r="4" spans="1:7" x14ac:dyDescent="0.25">
      <c r="A4" s="6">
        <v>3</v>
      </c>
      <c r="B4" s="6" t="s">
        <v>117</v>
      </c>
      <c r="C4" s="6" t="s">
        <v>452</v>
      </c>
      <c r="D4" s="14" t="s">
        <v>418</v>
      </c>
      <c r="E4" s="7">
        <v>1</v>
      </c>
      <c r="F4" s="11" t="s">
        <v>904</v>
      </c>
      <c r="G4" s="5"/>
    </row>
    <row r="5" spans="1:7" x14ac:dyDescent="0.25">
      <c r="A5" s="6">
        <v>4</v>
      </c>
      <c r="B5" s="6" t="s">
        <v>444</v>
      </c>
      <c r="C5" s="6" t="s">
        <v>452</v>
      </c>
      <c r="D5" s="14" t="s">
        <v>417</v>
      </c>
      <c r="E5" s="7">
        <v>1</v>
      </c>
      <c r="F5" s="11" t="s">
        <v>1198</v>
      </c>
      <c r="G5" s="5"/>
    </row>
    <row r="6" spans="1:7" x14ac:dyDescent="0.25">
      <c r="A6" s="6">
        <v>5</v>
      </c>
      <c r="B6" s="6" t="s">
        <v>444</v>
      </c>
      <c r="C6" s="6" t="s">
        <v>452</v>
      </c>
      <c r="D6" s="14" t="s">
        <v>527</v>
      </c>
      <c r="E6" s="7">
        <v>1</v>
      </c>
      <c r="F6" s="11" t="s">
        <v>905</v>
      </c>
      <c r="G6" s="5"/>
    </row>
    <row r="7" spans="1:7" x14ac:dyDescent="0.25">
      <c r="A7" s="6">
        <v>6</v>
      </c>
      <c r="B7" s="6" t="s">
        <v>444</v>
      </c>
      <c r="C7" s="6" t="s">
        <v>452</v>
      </c>
      <c r="D7" s="14" t="s">
        <v>300</v>
      </c>
      <c r="E7" s="7">
        <v>1</v>
      </c>
      <c r="F7" s="11" t="s">
        <v>915</v>
      </c>
      <c r="G7" s="5"/>
    </row>
    <row r="8" spans="1:7" x14ac:dyDescent="0.25">
      <c r="A8" s="6">
        <v>7</v>
      </c>
      <c r="B8" s="6" t="s">
        <v>444</v>
      </c>
      <c r="C8" s="6" t="s">
        <v>452</v>
      </c>
      <c r="D8" s="14" t="s">
        <v>419</v>
      </c>
      <c r="E8" s="7">
        <v>3.5</v>
      </c>
      <c r="F8" s="11" t="s">
        <v>906</v>
      </c>
      <c r="G8" s="5"/>
    </row>
    <row r="9" spans="1:7" x14ac:dyDescent="0.25">
      <c r="A9" s="6">
        <v>8</v>
      </c>
      <c r="B9" s="6" t="s">
        <v>444</v>
      </c>
      <c r="C9" s="6" t="s">
        <v>452</v>
      </c>
      <c r="D9" s="14" t="s">
        <v>420</v>
      </c>
      <c r="E9" s="7">
        <v>1.5</v>
      </c>
      <c r="F9" s="11" t="s">
        <v>907</v>
      </c>
      <c r="G9" s="5"/>
    </row>
    <row r="10" spans="1:7" x14ac:dyDescent="0.25">
      <c r="A10" s="6">
        <v>9</v>
      </c>
      <c r="B10" s="6" t="s">
        <v>444</v>
      </c>
      <c r="C10" s="6" t="s">
        <v>452</v>
      </c>
      <c r="D10" s="14" t="s">
        <v>421</v>
      </c>
      <c r="E10" s="7">
        <v>2</v>
      </c>
      <c r="F10" s="11" t="s">
        <v>908</v>
      </c>
      <c r="G10" s="5"/>
    </row>
    <row r="11" spans="1:7" x14ac:dyDescent="0.25">
      <c r="A11" s="6">
        <v>10</v>
      </c>
      <c r="B11" s="6" t="s">
        <v>444</v>
      </c>
      <c r="C11" s="6" t="s">
        <v>452</v>
      </c>
      <c r="D11" s="14" t="s">
        <v>732</v>
      </c>
      <c r="E11" s="7">
        <v>0.5</v>
      </c>
      <c r="F11" s="11" t="s">
        <v>916</v>
      </c>
      <c r="G11" s="5"/>
    </row>
    <row r="12" spans="1:7" x14ac:dyDescent="0.25">
      <c r="A12" s="6">
        <v>11</v>
      </c>
      <c r="B12" s="6" t="s">
        <v>444</v>
      </c>
      <c r="C12" s="6" t="s">
        <v>452</v>
      </c>
      <c r="D12" s="14" t="s">
        <v>422</v>
      </c>
      <c r="E12" s="7">
        <v>0.8</v>
      </c>
      <c r="F12" s="11" t="s">
        <v>917</v>
      </c>
      <c r="G12" s="5"/>
    </row>
    <row r="13" spans="1:7" x14ac:dyDescent="0.25">
      <c r="A13" s="6">
        <v>12</v>
      </c>
      <c r="B13" s="6" t="s">
        <v>444</v>
      </c>
      <c r="C13" s="6" t="s">
        <v>452</v>
      </c>
      <c r="D13" s="14" t="s">
        <v>423</v>
      </c>
      <c r="E13" s="7">
        <v>0.8</v>
      </c>
      <c r="F13" s="11" t="s">
        <v>909</v>
      </c>
      <c r="G13" s="5"/>
    </row>
    <row r="14" spans="1:7" x14ac:dyDescent="0.25">
      <c r="A14" s="6">
        <v>13</v>
      </c>
      <c r="B14" s="6" t="s">
        <v>444</v>
      </c>
      <c r="C14" s="6" t="s">
        <v>452</v>
      </c>
      <c r="D14" s="14" t="s">
        <v>424</v>
      </c>
      <c r="E14" s="7">
        <v>0.8</v>
      </c>
      <c r="F14" s="11" t="s">
        <v>918</v>
      </c>
      <c r="G14" s="5"/>
    </row>
    <row r="15" spans="1:7" x14ac:dyDescent="0.25">
      <c r="A15" s="6">
        <v>14</v>
      </c>
      <c r="B15" s="6" t="s">
        <v>444</v>
      </c>
      <c r="C15" s="6" t="s">
        <v>452</v>
      </c>
      <c r="D15" s="14" t="s">
        <v>425</v>
      </c>
      <c r="E15" s="7">
        <v>2.8</v>
      </c>
      <c r="F15" s="11" t="s">
        <v>910</v>
      </c>
      <c r="G15" s="5"/>
    </row>
    <row r="16" spans="1:7" x14ac:dyDescent="0.25">
      <c r="A16" s="6">
        <v>15</v>
      </c>
      <c r="B16" s="6" t="s">
        <v>444</v>
      </c>
      <c r="C16" s="6" t="s">
        <v>452</v>
      </c>
      <c r="D16" s="14" t="s">
        <v>426</v>
      </c>
      <c r="E16" s="7">
        <v>1.6</v>
      </c>
      <c r="F16" s="11" t="s">
        <v>911</v>
      </c>
      <c r="G16" s="5"/>
    </row>
    <row r="17" spans="1:7" x14ac:dyDescent="0.25">
      <c r="A17" s="6">
        <v>16</v>
      </c>
      <c r="B17" s="6" t="s">
        <v>444</v>
      </c>
      <c r="C17" s="6" t="s">
        <v>452</v>
      </c>
      <c r="D17" s="14" t="s">
        <v>427</v>
      </c>
      <c r="E17" s="7">
        <v>-1</v>
      </c>
      <c r="F17" s="11" t="s">
        <v>913</v>
      </c>
      <c r="G17" s="5"/>
    </row>
    <row r="18" spans="1:7" x14ac:dyDescent="0.25">
      <c r="A18" s="6">
        <v>17</v>
      </c>
      <c r="B18" s="6" t="s">
        <v>444</v>
      </c>
      <c r="C18" s="6" t="s">
        <v>452</v>
      </c>
      <c r="D18" s="14" t="s">
        <v>404</v>
      </c>
      <c r="E18" s="7">
        <v>-0.5</v>
      </c>
      <c r="F18" s="11" t="s">
        <v>919</v>
      </c>
      <c r="G18" s="5"/>
    </row>
    <row r="19" spans="1:7" x14ac:dyDescent="0.25">
      <c r="A19" s="6">
        <v>18</v>
      </c>
      <c r="B19" s="6" t="s">
        <v>444</v>
      </c>
      <c r="C19" s="6" t="s">
        <v>452</v>
      </c>
      <c r="D19" s="14" t="s">
        <v>1193</v>
      </c>
      <c r="E19" s="7">
        <v>-1</v>
      </c>
      <c r="F19" s="11" t="s">
        <v>920</v>
      </c>
      <c r="G19" s="5"/>
    </row>
    <row r="20" spans="1:7" x14ac:dyDescent="0.25">
      <c r="A20" s="6">
        <v>19</v>
      </c>
      <c r="B20" s="6" t="s">
        <v>117</v>
      </c>
      <c r="C20" s="6" t="s">
        <v>452</v>
      </c>
      <c r="D20" s="14" t="s">
        <v>1194</v>
      </c>
      <c r="E20" s="7">
        <v>-1</v>
      </c>
      <c r="F20" s="11" t="s">
        <v>1195</v>
      </c>
      <c r="G20" s="5"/>
    </row>
    <row r="21" spans="1:7" x14ac:dyDescent="0.25">
      <c r="A21" s="6">
        <v>20</v>
      </c>
      <c r="B21" s="6" t="s">
        <v>444</v>
      </c>
      <c r="C21" s="6" t="s">
        <v>452</v>
      </c>
      <c r="D21" s="14" t="s">
        <v>526</v>
      </c>
      <c r="E21" s="7">
        <v>-1</v>
      </c>
      <c r="F21" s="11" t="s">
        <v>921</v>
      </c>
      <c r="G21" s="5"/>
    </row>
    <row r="22" spans="1:7" x14ac:dyDescent="0.25">
      <c r="A22" s="6">
        <v>21</v>
      </c>
      <c r="B22" s="6" t="s">
        <v>444</v>
      </c>
      <c r="C22" s="6" t="s">
        <v>452</v>
      </c>
      <c r="D22" s="14" t="s">
        <v>428</v>
      </c>
      <c r="E22" s="7">
        <v>-1</v>
      </c>
      <c r="F22" s="11" t="s">
        <v>922</v>
      </c>
      <c r="G22" s="5"/>
    </row>
    <row r="23" spans="1:7" x14ac:dyDescent="0.25">
      <c r="A23" s="6">
        <v>22</v>
      </c>
      <c r="B23" s="6" t="s">
        <v>444</v>
      </c>
      <c r="C23" s="6" t="s">
        <v>452</v>
      </c>
      <c r="D23" s="14" t="s">
        <v>384</v>
      </c>
      <c r="E23" s="7">
        <v>-3.5</v>
      </c>
      <c r="F23" s="11" t="s">
        <v>923</v>
      </c>
      <c r="G23" s="5"/>
    </row>
    <row r="24" spans="1:7" x14ac:dyDescent="0.25">
      <c r="A24" s="6">
        <v>23</v>
      </c>
      <c r="B24" s="6" t="s">
        <v>444</v>
      </c>
      <c r="C24" s="6" t="s">
        <v>452</v>
      </c>
      <c r="D24" s="14" t="s">
        <v>429</v>
      </c>
      <c r="E24" s="7">
        <v>-1.5</v>
      </c>
      <c r="F24" s="11" t="s">
        <v>924</v>
      </c>
      <c r="G24" s="5"/>
    </row>
    <row r="25" spans="1:7" x14ac:dyDescent="0.25">
      <c r="A25" s="6">
        <v>24</v>
      </c>
      <c r="B25" s="6" t="s">
        <v>444</v>
      </c>
      <c r="C25" s="6" t="s">
        <v>452</v>
      </c>
      <c r="D25" s="14" t="s">
        <v>430</v>
      </c>
      <c r="E25" s="7">
        <v>-2</v>
      </c>
      <c r="F25" s="11" t="s">
        <v>925</v>
      </c>
      <c r="G25" s="5"/>
    </row>
    <row r="26" spans="1:7" x14ac:dyDescent="0.25">
      <c r="A26" s="6">
        <v>25</v>
      </c>
      <c r="B26" s="6" t="s">
        <v>444</v>
      </c>
      <c r="C26" s="6" t="s">
        <v>452</v>
      </c>
      <c r="D26" s="14" t="s">
        <v>731</v>
      </c>
      <c r="E26" s="7">
        <v>-0.5</v>
      </c>
      <c r="F26" s="11" t="s">
        <v>733</v>
      </c>
      <c r="G26" s="5"/>
    </row>
    <row r="27" spans="1:7" x14ac:dyDescent="0.25">
      <c r="A27" s="6">
        <v>26</v>
      </c>
      <c r="B27" s="6" t="s">
        <v>444</v>
      </c>
      <c r="C27" s="6" t="s">
        <v>452</v>
      </c>
      <c r="D27" s="14" t="s">
        <v>431</v>
      </c>
      <c r="E27" s="7">
        <v>-1.2</v>
      </c>
      <c r="F27" s="11" t="s">
        <v>926</v>
      </c>
      <c r="G27" s="5"/>
    </row>
    <row r="28" spans="1:7" x14ac:dyDescent="0.25">
      <c r="A28" s="6">
        <v>27</v>
      </c>
      <c r="B28" s="6" t="s">
        <v>444</v>
      </c>
      <c r="C28" s="6" t="s">
        <v>452</v>
      </c>
      <c r="D28" s="14" t="s">
        <v>432</v>
      </c>
      <c r="E28" s="7">
        <v>-1.2</v>
      </c>
      <c r="F28" s="11" t="s">
        <v>927</v>
      </c>
      <c r="G28" s="5"/>
    </row>
    <row r="29" spans="1:7" x14ac:dyDescent="0.25">
      <c r="A29" s="6">
        <v>28</v>
      </c>
      <c r="B29" s="6" t="s">
        <v>444</v>
      </c>
      <c r="C29" s="6" t="s">
        <v>452</v>
      </c>
      <c r="D29" s="14" t="s">
        <v>433</v>
      </c>
      <c r="E29" s="7">
        <v>-1.2</v>
      </c>
      <c r="F29" s="11" t="s">
        <v>928</v>
      </c>
      <c r="G29" s="5"/>
    </row>
    <row r="30" spans="1:7" x14ac:dyDescent="0.25">
      <c r="A30" s="6">
        <v>29</v>
      </c>
      <c r="B30" s="6" t="s">
        <v>444</v>
      </c>
      <c r="C30" s="6" t="s">
        <v>452</v>
      </c>
      <c r="D30" s="14" t="s">
        <v>434</v>
      </c>
      <c r="E30" s="7">
        <v>-3.7</v>
      </c>
      <c r="F30" s="11" t="s">
        <v>929</v>
      </c>
      <c r="G30" s="5"/>
    </row>
    <row r="31" spans="1:7" x14ac:dyDescent="0.25">
      <c r="A31" s="6">
        <v>30</v>
      </c>
      <c r="B31" s="6" t="s">
        <v>444</v>
      </c>
      <c r="C31" s="6" t="s">
        <v>452</v>
      </c>
      <c r="D31" s="14" t="s">
        <v>435</v>
      </c>
      <c r="E31" s="7">
        <v>-1.7</v>
      </c>
      <c r="F31" s="11" t="s">
        <v>930</v>
      </c>
      <c r="G31" s="5"/>
    </row>
    <row r="32" spans="1:7" x14ac:dyDescent="0.25">
      <c r="A32" s="6">
        <v>31</v>
      </c>
      <c r="B32" s="6" t="s">
        <v>444</v>
      </c>
      <c r="C32" s="6" t="s">
        <v>445</v>
      </c>
      <c r="D32" s="14" t="s">
        <v>436</v>
      </c>
      <c r="E32" s="7">
        <v>0.5</v>
      </c>
      <c r="F32" s="11" t="s">
        <v>995</v>
      </c>
      <c r="G32" s="5"/>
    </row>
    <row r="33" spans="1:7" x14ac:dyDescent="0.25">
      <c r="A33" s="6">
        <v>32</v>
      </c>
      <c r="B33" s="6" t="s">
        <v>444</v>
      </c>
      <c r="C33" s="6" t="s">
        <v>445</v>
      </c>
      <c r="D33" s="14" t="s">
        <v>443</v>
      </c>
      <c r="E33" s="7">
        <v>0.25</v>
      </c>
      <c r="F33" s="11" t="s">
        <v>931</v>
      </c>
      <c r="G33" s="5"/>
    </row>
    <row r="34" spans="1:7" x14ac:dyDescent="0.25">
      <c r="A34" s="6">
        <v>33</v>
      </c>
      <c r="B34" s="6" t="s">
        <v>444</v>
      </c>
      <c r="C34" s="6" t="s">
        <v>445</v>
      </c>
      <c r="D34" s="14" t="s">
        <v>437</v>
      </c>
      <c r="E34" s="7">
        <v>0.5</v>
      </c>
      <c r="F34" s="11" t="s">
        <v>932</v>
      </c>
      <c r="G34" s="5"/>
    </row>
    <row r="35" spans="1:7" x14ac:dyDescent="0.25">
      <c r="A35" s="6">
        <v>34</v>
      </c>
      <c r="B35" s="6" t="s">
        <v>444</v>
      </c>
      <c r="C35" s="6" t="s">
        <v>445</v>
      </c>
      <c r="D35" s="14" t="s">
        <v>438</v>
      </c>
      <c r="E35" s="7">
        <v>0.25</v>
      </c>
      <c r="F35" s="11" t="s">
        <v>933</v>
      </c>
      <c r="G35" s="5"/>
    </row>
    <row r="36" spans="1:7" x14ac:dyDescent="0.25">
      <c r="A36" s="6">
        <v>35</v>
      </c>
      <c r="B36" s="6" t="s">
        <v>444</v>
      </c>
      <c r="C36" s="6" t="s">
        <v>445</v>
      </c>
      <c r="D36" s="14" t="s">
        <v>439</v>
      </c>
      <c r="E36" s="7">
        <v>1.25</v>
      </c>
      <c r="F36" s="11" t="s">
        <v>934</v>
      </c>
      <c r="G36" s="5"/>
    </row>
    <row r="37" spans="1:7" x14ac:dyDescent="0.25">
      <c r="A37" s="6">
        <v>36</v>
      </c>
      <c r="B37" s="6" t="s">
        <v>444</v>
      </c>
      <c r="C37" s="6" t="s">
        <v>445</v>
      </c>
      <c r="D37" s="14" t="s">
        <v>304</v>
      </c>
      <c r="E37" s="7">
        <v>0.5</v>
      </c>
      <c r="F37" s="11" t="s">
        <v>126</v>
      </c>
      <c r="G37" s="5"/>
    </row>
    <row r="38" spans="1:7" x14ac:dyDescent="0.25">
      <c r="A38" s="6">
        <v>37</v>
      </c>
      <c r="B38" s="6" t="s">
        <v>444</v>
      </c>
      <c r="C38" s="6" t="s">
        <v>445</v>
      </c>
      <c r="D38" s="14" t="s">
        <v>305</v>
      </c>
      <c r="E38" s="7">
        <v>10</v>
      </c>
      <c r="F38" s="11" t="s">
        <v>936</v>
      </c>
      <c r="G38" s="5"/>
    </row>
    <row r="39" spans="1:7" x14ac:dyDescent="0.25">
      <c r="A39" s="6">
        <v>38</v>
      </c>
      <c r="B39" s="6" t="s">
        <v>117</v>
      </c>
      <c r="C39" s="6" t="s">
        <v>445</v>
      </c>
      <c r="D39" s="14" t="s">
        <v>1223</v>
      </c>
      <c r="E39" s="7">
        <v>4</v>
      </c>
      <c r="F39" s="11" t="s">
        <v>1303</v>
      </c>
      <c r="G39" s="5"/>
    </row>
    <row r="40" spans="1:7" x14ac:dyDescent="0.25">
      <c r="A40" s="6">
        <v>39</v>
      </c>
      <c r="B40" s="6" t="s">
        <v>444</v>
      </c>
      <c r="C40" s="6" t="s">
        <v>445</v>
      </c>
      <c r="D40" s="14" t="s">
        <v>451</v>
      </c>
      <c r="E40" s="7">
        <v>24</v>
      </c>
      <c r="F40" s="11" t="s">
        <v>935</v>
      </c>
      <c r="G40" s="5"/>
    </row>
    <row r="41" spans="1:7" x14ac:dyDescent="0.25">
      <c r="A41" s="6">
        <v>40</v>
      </c>
      <c r="B41" s="6" t="s">
        <v>444</v>
      </c>
      <c r="C41" s="6" t="s">
        <v>445</v>
      </c>
      <c r="D41" s="14" t="s">
        <v>449</v>
      </c>
      <c r="E41" s="7">
        <v>7</v>
      </c>
      <c r="F41" s="11" t="s">
        <v>937</v>
      </c>
      <c r="G41" s="5"/>
    </row>
    <row r="42" spans="1:7" x14ac:dyDescent="0.25">
      <c r="A42" s="6">
        <v>41</v>
      </c>
      <c r="B42" s="6" t="s">
        <v>444</v>
      </c>
      <c r="C42" s="6" t="s">
        <v>445</v>
      </c>
      <c r="D42" s="14" t="s">
        <v>450</v>
      </c>
      <c r="E42" s="7">
        <v>10</v>
      </c>
      <c r="F42" s="11" t="s">
        <v>938</v>
      </c>
      <c r="G42" s="5"/>
    </row>
    <row r="43" spans="1:7" x14ac:dyDescent="0.25">
      <c r="A43" s="6">
        <v>42</v>
      </c>
      <c r="B43" s="6" t="s">
        <v>444</v>
      </c>
      <c r="C43" s="6" t="s">
        <v>445</v>
      </c>
      <c r="D43" s="14" t="s">
        <v>893</v>
      </c>
      <c r="E43" s="7">
        <v>0.18</v>
      </c>
      <c r="F43" s="11" t="s">
        <v>996</v>
      </c>
      <c r="G43" s="5"/>
    </row>
    <row r="44" spans="1:7" s="19" customFormat="1" x14ac:dyDescent="0.25">
      <c r="A44" s="6">
        <v>43</v>
      </c>
      <c r="B44" s="8" t="s">
        <v>117</v>
      </c>
      <c r="C44" s="8" t="s">
        <v>445</v>
      </c>
      <c r="D44" s="17" t="s">
        <v>1279</v>
      </c>
      <c r="E44" s="12">
        <v>0.56999999999999995</v>
      </c>
      <c r="F44" s="18" t="s">
        <v>939</v>
      </c>
    </row>
    <row r="45" spans="1:7" s="19" customFormat="1" x14ac:dyDescent="0.25">
      <c r="A45" s="6">
        <v>44</v>
      </c>
      <c r="B45" s="8" t="s">
        <v>117</v>
      </c>
      <c r="C45" s="8" t="s">
        <v>445</v>
      </c>
      <c r="D45" s="17" t="s">
        <v>1280</v>
      </c>
      <c r="E45" s="12">
        <v>0.5</v>
      </c>
      <c r="F45" s="18" t="s">
        <v>939</v>
      </c>
    </row>
    <row r="46" spans="1:7" s="19" customFormat="1" x14ac:dyDescent="0.25">
      <c r="A46" s="6">
        <v>45</v>
      </c>
      <c r="B46" s="8" t="s">
        <v>117</v>
      </c>
      <c r="C46" s="8" t="s">
        <v>445</v>
      </c>
      <c r="D46" s="17" t="s">
        <v>1281</v>
      </c>
      <c r="E46" s="12">
        <v>1.83</v>
      </c>
      <c r="F46" s="18" t="s">
        <v>939</v>
      </c>
    </row>
    <row r="47" spans="1:7" s="19" customFormat="1" x14ac:dyDescent="0.25">
      <c r="A47" s="6">
        <v>46</v>
      </c>
      <c r="B47" s="8" t="s">
        <v>117</v>
      </c>
      <c r="C47" s="8" t="s">
        <v>445</v>
      </c>
      <c r="D47" s="17" t="s">
        <v>1282</v>
      </c>
      <c r="E47" s="12">
        <v>1.77</v>
      </c>
      <c r="F47" s="18" t="s">
        <v>939</v>
      </c>
    </row>
    <row r="48" spans="1:7" s="19" customFormat="1" x14ac:dyDescent="0.25">
      <c r="A48" s="6">
        <v>47</v>
      </c>
      <c r="B48" s="8" t="s">
        <v>117</v>
      </c>
      <c r="C48" s="8" t="s">
        <v>445</v>
      </c>
      <c r="D48" s="17" t="s">
        <v>1283</v>
      </c>
      <c r="E48" s="12">
        <v>0.33</v>
      </c>
      <c r="F48" s="18" t="s">
        <v>939</v>
      </c>
    </row>
    <row r="49" spans="1:7" s="19" customFormat="1" x14ac:dyDescent="0.25">
      <c r="A49" s="6">
        <v>48</v>
      </c>
      <c r="B49" s="8" t="s">
        <v>117</v>
      </c>
      <c r="C49" s="8" t="s">
        <v>445</v>
      </c>
      <c r="D49" s="17" t="s">
        <v>1284</v>
      </c>
      <c r="E49" s="12">
        <v>1.4</v>
      </c>
      <c r="F49" s="18" t="s">
        <v>939</v>
      </c>
    </row>
    <row r="50" spans="1:7" x14ac:dyDescent="0.25">
      <c r="A50" s="6">
        <v>49</v>
      </c>
      <c r="B50" s="6" t="s">
        <v>444</v>
      </c>
      <c r="C50" s="6" t="s">
        <v>445</v>
      </c>
      <c r="D50" s="14" t="s">
        <v>464</v>
      </c>
      <c r="E50" s="7">
        <v>3</v>
      </c>
      <c r="F50" s="11" t="s">
        <v>942</v>
      </c>
      <c r="G50" s="5"/>
    </row>
    <row r="51" spans="1:7" x14ac:dyDescent="0.25">
      <c r="A51" s="6">
        <v>50</v>
      </c>
      <c r="B51" s="6" t="s">
        <v>444</v>
      </c>
      <c r="C51" s="6" t="s">
        <v>445</v>
      </c>
      <c r="D51" s="14" t="s">
        <v>307</v>
      </c>
      <c r="E51" s="7">
        <v>2</v>
      </c>
      <c r="F51" s="11" t="s">
        <v>997</v>
      </c>
      <c r="G51" s="5"/>
    </row>
    <row r="52" spans="1:7" x14ac:dyDescent="0.25">
      <c r="A52" s="6">
        <v>51</v>
      </c>
      <c r="B52" s="6" t="s">
        <v>444</v>
      </c>
      <c r="C52" s="6" t="s">
        <v>445</v>
      </c>
      <c r="D52" s="14" t="s">
        <v>310</v>
      </c>
      <c r="E52" s="7">
        <v>5</v>
      </c>
      <c r="F52" s="11" t="s">
        <v>583</v>
      </c>
      <c r="G52" s="5"/>
    </row>
    <row r="53" spans="1:7" x14ac:dyDescent="0.25">
      <c r="A53" s="6">
        <v>52</v>
      </c>
      <c r="B53" s="6" t="s">
        <v>444</v>
      </c>
      <c r="C53" s="6" t="s">
        <v>445</v>
      </c>
      <c r="D53" s="14" t="s">
        <v>312</v>
      </c>
      <c r="E53" s="7">
        <v>9</v>
      </c>
      <c r="F53" s="11" t="s">
        <v>998</v>
      </c>
      <c r="G53" s="5"/>
    </row>
    <row r="54" spans="1:7" x14ac:dyDescent="0.25">
      <c r="A54" s="6">
        <v>53</v>
      </c>
      <c r="B54" s="6" t="s">
        <v>444</v>
      </c>
      <c r="C54" s="6" t="s">
        <v>445</v>
      </c>
      <c r="D54" s="14" t="s">
        <v>306</v>
      </c>
      <c r="E54" s="7">
        <v>5.5</v>
      </c>
      <c r="F54" s="11" t="s">
        <v>999</v>
      </c>
      <c r="G54" s="5"/>
    </row>
    <row r="55" spans="1:7" x14ac:dyDescent="0.25">
      <c r="A55" s="6">
        <v>54</v>
      </c>
      <c r="B55" s="6" t="s">
        <v>444</v>
      </c>
      <c r="C55" s="6" t="s">
        <v>445</v>
      </c>
      <c r="D55" s="14" t="s">
        <v>308</v>
      </c>
      <c r="E55" s="7">
        <v>4.5</v>
      </c>
      <c r="F55" s="11" t="s">
        <v>941</v>
      </c>
      <c r="G55" s="5"/>
    </row>
    <row r="56" spans="1:7" x14ac:dyDescent="0.25">
      <c r="A56" s="6">
        <v>55</v>
      </c>
      <c r="B56" s="6" t="s">
        <v>444</v>
      </c>
      <c r="C56" s="6" t="s">
        <v>445</v>
      </c>
      <c r="D56" s="14" t="s">
        <v>311</v>
      </c>
      <c r="E56" s="7">
        <v>15</v>
      </c>
      <c r="F56" s="11" t="s">
        <v>1000</v>
      </c>
      <c r="G56" s="5"/>
    </row>
    <row r="57" spans="1:7" x14ac:dyDescent="0.25">
      <c r="A57" s="6">
        <v>56</v>
      </c>
      <c r="B57" s="6" t="s">
        <v>444</v>
      </c>
      <c r="C57" s="6" t="s">
        <v>445</v>
      </c>
      <c r="D57" s="14" t="s">
        <v>533</v>
      </c>
      <c r="E57" s="7">
        <v>20</v>
      </c>
      <c r="F57" s="11" t="s">
        <v>940</v>
      </c>
      <c r="G57" s="5"/>
    </row>
    <row r="58" spans="1:7" x14ac:dyDescent="0.25">
      <c r="A58" s="6">
        <v>57</v>
      </c>
      <c r="B58" s="6" t="s">
        <v>444</v>
      </c>
      <c r="C58" s="6" t="s">
        <v>445</v>
      </c>
      <c r="D58" s="14" t="s">
        <v>309</v>
      </c>
      <c r="E58" s="7">
        <v>4</v>
      </c>
      <c r="F58" s="11" t="s">
        <v>1001</v>
      </c>
      <c r="G58" s="5"/>
    </row>
    <row r="59" spans="1:7" x14ac:dyDescent="0.25">
      <c r="A59" s="6">
        <v>58</v>
      </c>
      <c r="B59" s="6" t="s">
        <v>444</v>
      </c>
      <c r="C59" s="6" t="s">
        <v>445</v>
      </c>
      <c r="D59" s="14" t="s">
        <v>796</v>
      </c>
      <c r="E59" s="7">
        <v>0.5</v>
      </c>
      <c r="F59" s="11" t="s">
        <v>944</v>
      </c>
      <c r="G59" s="5"/>
    </row>
    <row r="60" spans="1:7" x14ac:dyDescent="0.25">
      <c r="A60" s="6">
        <v>59</v>
      </c>
      <c r="B60" s="6" t="s">
        <v>444</v>
      </c>
      <c r="C60" s="6" t="s">
        <v>445</v>
      </c>
      <c r="D60" s="14" t="s">
        <v>299</v>
      </c>
      <c r="E60" s="7">
        <v>5</v>
      </c>
      <c r="F60" s="11" t="s">
        <v>976</v>
      </c>
      <c r="G60" s="5"/>
    </row>
    <row r="61" spans="1:7" x14ac:dyDescent="0.25">
      <c r="A61" s="6">
        <v>60</v>
      </c>
      <c r="B61" s="6" t="s">
        <v>444</v>
      </c>
      <c r="C61" s="6" t="s">
        <v>445</v>
      </c>
      <c r="D61" s="14" t="s">
        <v>370</v>
      </c>
      <c r="E61" s="7">
        <v>10</v>
      </c>
      <c r="F61" s="11" t="s">
        <v>1002</v>
      </c>
      <c r="G61" s="5"/>
    </row>
    <row r="62" spans="1:7" x14ac:dyDescent="0.25">
      <c r="A62" s="6">
        <v>61</v>
      </c>
      <c r="B62" s="6" t="s">
        <v>444</v>
      </c>
      <c r="C62" s="6" t="s">
        <v>445</v>
      </c>
      <c r="D62" s="14" t="s">
        <v>301</v>
      </c>
      <c r="E62" s="7">
        <v>1.5</v>
      </c>
      <c r="F62" s="11" t="s">
        <v>977</v>
      </c>
      <c r="G62" s="5"/>
    </row>
    <row r="63" spans="1:7" x14ac:dyDescent="0.25">
      <c r="A63" s="6">
        <v>62</v>
      </c>
      <c r="B63" s="6" t="s">
        <v>444</v>
      </c>
      <c r="C63" s="6" t="s">
        <v>445</v>
      </c>
      <c r="D63" s="14" t="s">
        <v>408</v>
      </c>
      <c r="E63" s="7">
        <v>5</v>
      </c>
      <c r="F63" s="11" t="s">
        <v>519</v>
      </c>
      <c r="G63" s="5"/>
    </row>
    <row r="64" spans="1:7" x14ac:dyDescent="0.25">
      <c r="A64" s="6">
        <v>63</v>
      </c>
      <c r="B64" s="6" t="s">
        <v>444</v>
      </c>
      <c r="C64" s="6" t="s">
        <v>445</v>
      </c>
      <c r="D64" s="14" t="s">
        <v>303</v>
      </c>
      <c r="E64" s="7">
        <v>10</v>
      </c>
      <c r="F64" s="11" t="s">
        <v>1003</v>
      </c>
      <c r="G64" s="5"/>
    </row>
    <row r="65" spans="1:7" x14ac:dyDescent="0.25">
      <c r="A65" s="6">
        <v>64</v>
      </c>
      <c r="B65" s="6" t="s">
        <v>444</v>
      </c>
      <c r="C65" s="6" t="s">
        <v>445</v>
      </c>
      <c r="D65" s="14" t="s">
        <v>880</v>
      </c>
      <c r="E65" s="7">
        <v>15</v>
      </c>
      <c r="F65" s="11" t="s">
        <v>978</v>
      </c>
      <c r="G65" s="5"/>
    </row>
    <row r="66" spans="1:7" x14ac:dyDescent="0.25">
      <c r="A66" s="6">
        <v>65</v>
      </c>
      <c r="B66" s="6" t="s">
        <v>444</v>
      </c>
      <c r="C66" s="6" t="s">
        <v>445</v>
      </c>
      <c r="D66" s="14" t="s">
        <v>894</v>
      </c>
      <c r="E66" s="7">
        <v>10</v>
      </c>
      <c r="F66" s="11" t="s">
        <v>1004</v>
      </c>
      <c r="G66" s="5"/>
    </row>
    <row r="67" spans="1:7" x14ac:dyDescent="0.25">
      <c r="A67" s="6">
        <v>66</v>
      </c>
      <c r="B67" s="6" t="s">
        <v>444</v>
      </c>
      <c r="C67" s="6" t="s">
        <v>445</v>
      </c>
      <c r="D67" s="14" t="s">
        <v>896</v>
      </c>
      <c r="E67" s="7">
        <v>5</v>
      </c>
      <c r="F67" s="11" t="s">
        <v>1005</v>
      </c>
      <c r="G67" s="5"/>
    </row>
    <row r="68" spans="1:7" x14ac:dyDescent="0.25">
      <c r="A68" s="6">
        <v>67</v>
      </c>
      <c r="B68" s="6" t="s">
        <v>444</v>
      </c>
      <c r="C68" s="6" t="s">
        <v>445</v>
      </c>
      <c r="D68" s="14" t="s">
        <v>892</v>
      </c>
      <c r="E68" s="7">
        <v>5</v>
      </c>
      <c r="F68" s="11" t="s">
        <v>1006</v>
      </c>
      <c r="G68" s="5"/>
    </row>
    <row r="69" spans="1:7" x14ac:dyDescent="0.25">
      <c r="A69" s="6">
        <v>68</v>
      </c>
      <c r="B69" s="6" t="s">
        <v>444</v>
      </c>
      <c r="C69" s="6" t="s">
        <v>445</v>
      </c>
      <c r="D69" s="14" t="s">
        <v>334</v>
      </c>
      <c r="E69" s="7">
        <v>2</v>
      </c>
      <c r="F69" s="11" t="s">
        <v>335</v>
      </c>
      <c r="G69" s="5"/>
    </row>
    <row r="70" spans="1:7" x14ac:dyDescent="0.25">
      <c r="A70" s="6">
        <v>69</v>
      </c>
      <c r="B70" s="6" t="s">
        <v>444</v>
      </c>
      <c r="C70" s="6" t="s">
        <v>445</v>
      </c>
      <c r="D70" s="14" t="s">
        <v>440</v>
      </c>
      <c r="E70" s="7">
        <v>7</v>
      </c>
      <c r="F70" s="11" t="s">
        <v>1257</v>
      </c>
      <c r="G70" s="5"/>
    </row>
    <row r="71" spans="1:7" x14ac:dyDescent="0.25">
      <c r="A71" s="6">
        <v>70</v>
      </c>
      <c r="B71" s="6" t="s">
        <v>444</v>
      </c>
      <c r="C71" s="6" t="s">
        <v>445</v>
      </c>
      <c r="D71" s="14" t="s">
        <v>337</v>
      </c>
      <c r="E71" s="7">
        <v>7</v>
      </c>
      <c r="F71" s="11" t="s">
        <v>1258</v>
      </c>
      <c r="G71" s="5"/>
    </row>
    <row r="72" spans="1:7" x14ac:dyDescent="0.25">
      <c r="A72" s="6">
        <v>71</v>
      </c>
      <c r="B72" s="6" t="s">
        <v>444</v>
      </c>
      <c r="C72" s="6" t="s">
        <v>445</v>
      </c>
      <c r="D72" s="14" t="s">
        <v>441</v>
      </c>
      <c r="E72" s="7">
        <v>7</v>
      </c>
      <c r="F72" s="11" t="s">
        <v>1259</v>
      </c>
      <c r="G72" s="5"/>
    </row>
    <row r="73" spans="1:7" x14ac:dyDescent="0.25">
      <c r="A73" s="6">
        <v>72</v>
      </c>
      <c r="B73" s="6" t="s">
        <v>444</v>
      </c>
      <c r="C73" s="6" t="s">
        <v>445</v>
      </c>
      <c r="D73" s="14" t="s">
        <v>549</v>
      </c>
      <c r="E73" s="7">
        <v>0.7</v>
      </c>
      <c r="F73" s="11" t="s">
        <v>1007</v>
      </c>
      <c r="G73" s="5"/>
    </row>
    <row r="74" spans="1:7" x14ac:dyDescent="0.25">
      <c r="A74" s="6">
        <v>73</v>
      </c>
      <c r="B74" s="6" t="s">
        <v>444</v>
      </c>
      <c r="C74" s="6" t="s">
        <v>445</v>
      </c>
      <c r="D74" s="14" t="s">
        <v>800</v>
      </c>
      <c r="E74" s="7">
        <v>0</v>
      </c>
      <c r="F74" s="11" t="s">
        <v>1008</v>
      </c>
      <c r="G74" s="5"/>
    </row>
    <row r="75" spans="1:7" x14ac:dyDescent="0.25">
      <c r="A75" s="6">
        <v>74</v>
      </c>
      <c r="B75" s="6" t="s">
        <v>463</v>
      </c>
      <c r="C75" s="6" t="s">
        <v>445</v>
      </c>
      <c r="D75" s="14" t="s">
        <v>388</v>
      </c>
      <c r="E75" s="7">
        <v>3</v>
      </c>
      <c r="F75" s="11" t="s">
        <v>1068</v>
      </c>
      <c r="G75" s="5"/>
    </row>
    <row r="76" spans="1:7" x14ac:dyDescent="0.25">
      <c r="A76" s="6">
        <v>75</v>
      </c>
      <c r="B76" s="6" t="s">
        <v>115</v>
      </c>
      <c r="C76" s="6" t="s">
        <v>445</v>
      </c>
      <c r="D76" s="14" t="s">
        <v>1319</v>
      </c>
      <c r="E76" s="7">
        <v>2</v>
      </c>
      <c r="F76" s="11" t="s">
        <v>1840</v>
      </c>
      <c r="G76" s="5"/>
    </row>
    <row r="77" spans="1:7" x14ac:dyDescent="0.25">
      <c r="A77" s="6">
        <v>76</v>
      </c>
      <c r="B77" s="6" t="s">
        <v>115</v>
      </c>
      <c r="C77" s="6" t="s">
        <v>445</v>
      </c>
      <c r="D77" s="14" t="s">
        <v>1333</v>
      </c>
      <c r="E77" s="7">
        <v>4</v>
      </c>
      <c r="F77" s="11" t="s">
        <v>1848</v>
      </c>
      <c r="G77" s="5"/>
    </row>
    <row r="78" spans="1:7" x14ac:dyDescent="0.25">
      <c r="A78" s="6">
        <v>77</v>
      </c>
      <c r="B78" s="6" t="s">
        <v>115</v>
      </c>
      <c r="C78" s="6" t="s">
        <v>445</v>
      </c>
      <c r="D78" s="14" t="s">
        <v>1842</v>
      </c>
      <c r="E78" s="7">
        <v>4</v>
      </c>
      <c r="F78" s="11" t="s">
        <v>1843</v>
      </c>
      <c r="G78" s="5"/>
    </row>
    <row r="79" spans="1:7" x14ac:dyDescent="0.25">
      <c r="A79" s="6">
        <v>78</v>
      </c>
      <c r="B79" s="6" t="s">
        <v>115</v>
      </c>
      <c r="C79" s="6" t="s">
        <v>445</v>
      </c>
      <c r="D79" s="14" t="s">
        <v>1850</v>
      </c>
      <c r="E79" s="7">
        <v>2.7</v>
      </c>
      <c r="F79" s="11" t="s">
        <v>1851</v>
      </c>
      <c r="G79" s="5"/>
    </row>
    <row r="80" spans="1:7" x14ac:dyDescent="0.25">
      <c r="A80" s="6">
        <v>79</v>
      </c>
      <c r="B80" s="6" t="s">
        <v>115</v>
      </c>
      <c r="C80" s="6" t="s">
        <v>445</v>
      </c>
      <c r="D80" s="14" t="s">
        <v>1321</v>
      </c>
      <c r="E80" s="7">
        <v>3.5</v>
      </c>
      <c r="F80" s="11" t="s">
        <v>1841</v>
      </c>
      <c r="G80" s="5"/>
    </row>
    <row r="81" spans="1:7" x14ac:dyDescent="0.25">
      <c r="A81" s="6">
        <v>80</v>
      </c>
      <c r="B81" s="6" t="s">
        <v>463</v>
      </c>
      <c r="C81" s="6" t="s">
        <v>445</v>
      </c>
      <c r="D81" s="14" t="s">
        <v>338</v>
      </c>
      <c r="E81" s="7">
        <v>0.5</v>
      </c>
      <c r="F81" s="11" t="s">
        <v>943</v>
      </c>
      <c r="G81" s="5"/>
    </row>
    <row r="82" spans="1:7" x14ac:dyDescent="0.25">
      <c r="A82" s="6">
        <v>81</v>
      </c>
      <c r="B82" s="6" t="s">
        <v>463</v>
      </c>
      <c r="C82" s="6" t="s">
        <v>445</v>
      </c>
      <c r="D82" s="14" t="s">
        <v>339</v>
      </c>
      <c r="E82" s="7">
        <v>10</v>
      </c>
      <c r="F82" s="11" t="s">
        <v>1009</v>
      </c>
      <c r="G82" s="5"/>
    </row>
    <row r="83" spans="1:7" x14ac:dyDescent="0.25">
      <c r="A83" s="6">
        <v>82</v>
      </c>
      <c r="B83" s="6" t="s">
        <v>463</v>
      </c>
      <c r="C83" s="6" t="s">
        <v>445</v>
      </c>
      <c r="D83" s="14" t="s">
        <v>582</v>
      </c>
      <c r="E83" s="7">
        <v>5</v>
      </c>
      <c r="F83" s="11" t="s">
        <v>955</v>
      </c>
      <c r="G83" s="5"/>
    </row>
    <row r="84" spans="1:7" x14ac:dyDescent="0.25">
      <c r="A84" s="6">
        <v>83</v>
      </c>
      <c r="B84" s="6" t="s">
        <v>463</v>
      </c>
      <c r="C84" s="6" t="s">
        <v>445</v>
      </c>
      <c r="D84" s="14" t="s">
        <v>1099</v>
      </c>
      <c r="E84" s="7">
        <v>5</v>
      </c>
      <c r="F84" s="11" t="s">
        <v>956</v>
      </c>
      <c r="G84" s="5"/>
    </row>
    <row r="85" spans="1:7" x14ac:dyDescent="0.25">
      <c r="A85" s="6">
        <v>84</v>
      </c>
      <c r="B85" s="6" t="s">
        <v>463</v>
      </c>
      <c r="C85" s="6" t="s">
        <v>445</v>
      </c>
      <c r="D85" s="14" t="s">
        <v>302</v>
      </c>
      <c r="E85" s="7">
        <v>7.5</v>
      </c>
      <c r="F85" s="11" t="s">
        <v>1010</v>
      </c>
      <c r="G85" s="5"/>
    </row>
    <row r="86" spans="1:7" x14ac:dyDescent="0.25">
      <c r="A86" s="6">
        <v>85</v>
      </c>
      <c r="B86" s="6" t="s">
        <v>463</v>
      </c>
      <c r="C86" s="6" t="s">
        <v>445</v>
      </c>
      <c r="D86" s="14" t="s">
        <v>373</v>
      </c>
      <c r="E86" s="7">
        <v>0.4</v>
      </c>
      <c r="F86" s="11" t="s">
        <v>1011</v>
      </c>
      <c r="G86" s="5"/>
    </row>
    <row r="87" spans="1:7" x14ac:dyDescent="0.25">
      <c r="A87" s="6">
        <v>86</v>
      </c>
      <c r="B87" s="6" t="s">
        <v>463</v>
      </c>
      <c r="C87" s="6" t="s">
        <v>445</v>
      </c>
      <c r="D87" s="14" t="s">
        <v>316</v>
      </c>
      <c r="E87" s="7">
        <v>14</v>
      </c>
      <c r="F87" s="11" t="s">
        <v>1012</v>
      </c>
      <c r="G87" s="5"/>
    </row>
    <row r="88" spans="1:7" x14ac:dyDescent="0.25">
      <c r="A88" s="6">
        <v>87</v>
      </c>
      <c r="B88" s="6" t="s">
        <v>115</v>
      </c>
      <c r="C88" s="6" t="s">
        <v>445</v>
      </c>
      <c r="D88" s="14" t="s">
        <v>1845</v>
      </c>
      <c r="E88" s="7">
        <v>4</v>
      </c>
      <c r="F88" s="11" t="s">
        <v>1846</v>
      </c>
      <c r="G88" s="5"/>
    </row>
    <row r="89" spans="1:7" x14ac:dyDescent="0.25">
      <c r="A89" s="6">
        <v>88</v>
      </c>
      <c r="B89" s="6" t="s">
        <v>463</v>
      </c>
      <c r="C89" s="6" t="s">
        <v>445</v>
      </c>
      <c r="D89" s="14" t="s">
        <v>358</v>
      </c>
      <c r="E89" s="7">
        <v>6</v>
      </c>
      <c r="F89" s="11" t="s">
        <v>957</v>
      </c>
      <c r="G89" s="5"/>
    </row>
    <row r="90" spans="1:7" x14ac:dyDescent="0.25">
      <c r="A90" s="6">
        <v>89</v>
      </c>
      <c r="B90" s="6" t="s">
        <v>463</v>
      </c>
      <c r="C90" s="6" t="s">
        <v>445</v>
      </c>
      <c r="D90" s="14" t="s">
        <v>359</v>
      </c>
      <c r="E90" s="7">
        <v>10.5</v>
      </c>
      <c r="F90" s="11" t="s">
        <v>1013</v>
      </c>
      <c r="G90" s="5"/>
    </row>
    <row r="91" spans="1:7" x14ac:dyDescent="0.25">
      <c r="A91" s="6">
        <v>90</v>
      </c>
      <c r="B91" s="6" t="s">
        <v>463</v>
      </c>
      <c r="C91" s="6" t="s">
        <v>445</v>
      </c>
      <c r="D91" s="14" t="s">
        <v>344</v>
      </c>
      <c r="E91" s="7">
        <v>12</v>
      </c>
      <c r="F91" s="11" t="s">
        <v>958</v>
      </c>
      <c r="G91" s="5"/>
    </row>
    <row r="92" spans="1:7" x14ac:dyDescent="0.25">
      <c r="A92" s="6">
        <v>91</v>
      </c>
      <c r="B92" s="6" t="s">
        <v>463</v>
      </c>
      <c r="C92" s="6" t="s">
        <v>445</v>
      </c>
      <c r="D92" s="14" t="s">
        <v>372</v>
      </c>
      <c r="E92" s="7">
        <v>0.5</v>
      </c>
      <c r="F92" s="11" t="s">
        <v>1074</v>
      </c>
      <c r="G92" s="5"/>
    </row>
    <row r="93" spans="1:7" x14ac:dyDescent="0.25">
      <c r="A93" s="6">
        <v>92</v>
      </c>
      <c r="B93" s="6" t="s">
        <v>463</v>
      </c>
      <c r="C93" s="6" t="s">
        <v>445</v>
      </c>
      <c r="D93" s="14" t="s">
        <v>375</v>
      </c>
      <c r="E93" s="7">
        <v>0.4</v>
      </c>
      <c r="F93" s="11" t="s">
        <v>1075</v>
      </c>
      <c r="G93" s="5"/>
    </row>
    <row r="94" spans="1:7" x14ac:dyDescent="0.25">
      <c r="A94" s="6">
        <v>93</v>
      </c>
      <c r="B94" s="6" t="s">
        <v>463</v>
      </c>
      <c r="C94" s="6" t="s">
        <v>445</v>
      </c>
      <c r="D94" s="14" t="s">
        <v>321</v>
      </c>
      <c r="E94" s="7">
        <v>0.7</v>
      </c>
      <c r="F94" s="11" t="s">
        <v>1076</v>
      </c>
      <c r="G94" s="5"/>
    </row>
    <row r="95" spans="1:7" x14ac:dyDescent="0.25">
      <c r="A95" s="6">
        <v>94</v>
      </c>
      <c r="B95" s="6" t="s">
        <v>463</v>
      </c>
      <c r="C95" s="6" t="s">
        <v>445</v>
      </c>
      <c r="D95" s="14" t="s">
        <v>374</v>
      </c>
      <c r="E95" s="7">
        <v>5</v>
      </c>
      <c r="F95" s="11" t="s">
        <v>1077</v>
      </c>
      <c r="G95" s="5"/>
    </row>
    <row r="96" spans="1:7" x14ac:dyDescent="0.25">
      <c r="A96" s="6">
        <v>95</v>
      </c>
      <c r="B96" s="6" t="s">
        <v>463</v>
      </c>
      <c r="C96" s="6" t="s">
        <v>445</v>
      </c>
      <c r="D96" s="14" t="s">
        <v>581</v>
      </c>
      <c r="E96" s="7">
        <v>10</v>
      </c>
      <c r="F96" s="11" t="s">
        <v>1014</v>
      </c>
      <c r="G96" s="5"/>
    </row>
    <row r="97" spans="1:7" x14ac:dyDescent="0.25">
      <c r="A97" s="6">
        <v>96</v>
      </c>
      <c r="B97" s="6" t="s">
        <v>286</v>
      </c>
      <c r="C97" s="6" t="s">
        <v>445</v>
      </c>
      <c r="D97" s="14" t="s">
        <v>467</v>
      </c>
      <c r="E97" s="7">
        <v>0.5</v>
      </c>
      <c r="F97" s="11" t="s">
        <v>959</v>
      </c>
      <c r="G97" s="5"/>
    </row>
    <row r="98" spans="1:7" x14ac:dyDescent="0.25">
      <c r="A98" s="6">
        <v>97</v>
      </c>
      <c r="B98" s="6" t="s">
        <v>286</v>
      </c>
      <c r="C98" s="6" t="s">
        <v>445</v>
      </c>
      <c r="D98" s="14" t="s">
        <v>478</v>
      </c>
      <c r="E98" s="7">
        <v>5</v>
      </c>
      <c r="F98" s="11" t="s">
        <v>960</v>
      </c>
      <c r="G98" s="5"/>
    </row>
    <row r="99" spans="1:7" x14ac:dyDescent="0.25">
      <c r="A99" s="6">
        <v>98</v>
      </c>
      <c r="B99" s="6" t="s">
        <v>286</v>
      </c>
      <c r="C99" s="6" t="s">
        <v>445</v>
      </c>
      <c r="D99" s="14" t="s">
        <v>469</v>
      </c>
      <c r="E99" s="7">
        <v>5</v>
      </c>
      <c r="F99" s="11" t="s">
        <v>961</v>
      </c>
      <c r="G99" s="5"/>
    </row>
    <row r="100" spans="1:7" x14ac:dyDescent="0.25">
      <c r="A100" s="6">
        <v>99</v>
      </c>
      <c r="B100" s="6" t="s">
        <v>286</v>
      </c>
      <c r="C100" s="6" t="s">
        <v>445</v>
      </c>
      <c r="D100" s="14" t="s">
        <v>495</v>
      </c>
      <c r="E100" s="7">
        <v>1.5</v>
      </c>
      <c r="F100" s="11" t="s">
        <v>962</v>
      </c>
      <c r="G100" s="5"/>
    </row>
    <row r="101" spans="1:7" x14ac:dyDescent="0.25">
      <c r="A101" s="6">
        <v>100</v>
      </c>
      <c r="B101" s="6" t="s">
        <v>286</v>
      </c>
      <c r="C101" s="6" t="s">
        <v>445</v>
      </c>
      <c r="D101" s="14" t="s">
        <v>501</v>
      </c>
      <c r="E101" s="7">
        <v>15</v>
      </c>
      <c r="F101" s="11" t="s">
        <v>963</v>
      </c>
      <c r="G101" s="5"/>
    </row>
    <row r="102" spans="1:7" x14ac:dyDescent="0.25">
      <c r="A102" s="6">
        <v>101</v>
      </c>
      <c r="B102" s="6" t="s">
        <v>286</v>
      </c>
      <c r="C102" s="6" t="s">
        <v>445</v>
      </c>
      <c r="D102" s="14" t="s">
        <v>472</v>
      </c>
      <c r="E102" s="7">
        <v>2</v>
      </c>
      <c r="F102" s="11" t="s">
        <v>964</v>
      </c>
      <c r="G102" s="5"/>
    </row>
    <row r="103" spans="1:7" x14ac:dyDescent="0.25">
      <c r="A103" s="6">
        <v>102</v>
      </c>
      <c r="B103" s="6" t="s">
        <v>286</v>
      </c>
      <c r="C103" s="6" t="s">
        <v>445</v>
      </c>
      <c r="D103" s="14" t="s">
        <v>468</v>
      </c>
      <c r="E103" s="7">
        <v>0.5</v>
      </c>
      <c r="F103" s="11" t="s">
        <v>965</v>
      </c>
      <c r="G103" s="5"/>
    </row>
    <row r="104" spans="1:7" x14ac:dyDescent="0.25">
      <c r="A104" s="6">
        <v>103</v>
      </c>
      <c r="B104" s="6" t="s">
        <v>286</v>
      </c>
      <c r="C104" s="6" t="s">
        <v>445</v>
      </c>
      <c r="D104" s="14" t="s">
        <v>465</v>
      </c>
      <c r="E104" s="7">
        <v>3</v>
      </c>
      <c r="F104" s="11" t="s">
        <v>1306</v>
      </c>
      <c r="G104" s="5"/>
    </row>
    <row r="105" spans="1:7" x14ac:dyDescent="0.25">
      <c r="A105" s="6">
        <v>104</v>
      </c>
      <c r="B105" s="6" t="s">
        <v>286</v>
      </c>
      <c r="C105" s="6" t="s">
        <v>445</v>
      </c>
      <c r="D105" s="14" t="s">
        <v>466</v>
      </c>
      <c r="E105" s="7">
        <v>1</v>
      </c>
      <c r="F105" s="11" t="s">
        <v>1304</v>
      </c>
      <c r="G105" s="5"/>
    </row>
    <row r="106" spans="1:7" x14ac:dyDescent="0.25">
      <c r="A106" s="6">
        <v>105</v>
      </c>
      <c r="B106" s="6" t="s">
        <v>286</v>
      </c>
      <c r="C106" s="6" t="s">
        <v>445</v>
      </c>
      <c r="D106" s="14" t="s">
        <v>475</v>
      </c>
      <c r="E106" s="7">
        <v>4</v>
      </c>
      <c r="F106" s="11" t="s">
        <v>1015</v>
      </c>
      <c r="G106" s="5"/>
    </row>
    <row r="107" spans="1:7" x14ac:dyDescent="0.25">
      <c r="A107" s="6">
        <v>106</v>
      </c>
      <c r="B107" s="6" t="s">
        <v>286</v>
      </c>
      <c r="C107" s="6" t="s">
        <v>445</v>
      </c>
      <c r="D107" s="14" t="s">
        <v>477</v>
      </c>
      <c r="E107" s="7">
        <v>3</v>
      </c>
      <c r="F107" s="11" t="s">
        <v>1016</v>
      </c>
      <c r="G107" s="5"/>
    </row>
    <row r="108" spans="1:7" x14ac:dyDescent="0.25">
      <c r="A108" s="6">
        <v>107</v>
      </c>
      <c r="B108" s="6" t="s">
        <v>286</v>
      </c>
      <c r="C108" s="6" t="s">
        <v>445</v>
      </c>
      <c r="D108" s="14" t="s">
        <v>479</v>
      </c>
      <c r="E108" s="7">
        <v>15</v>
      </c>
      <c r="F108" s="11" t="s">
        <v>1017</v>
      </c>
      <c r="G108" s="5"/>
    </row>
    <row r="109" spans="1:7" x14ac:dyDescent="0.25">
      <c r="A109" s="6">
        <v>108</v>
      </c>
      <c r="B109" s="6" t="s">
        <v>286</v>
      </c>
      <c r="C109" s="6" t="s">
        <v>445</v>
      </c>
      <c r="D109" s="14" t="s">
        <v>480</v>
      </c>
      <c r="E109" s="7">
        <v>12</v>
      </c>
      <c r="F109" s="11" t="s">
        <v>1305</v>
      </c>
      <c r="G109" s="5"/>
    </row>
    <row r="110" spans="1:7" x14ac:dyDescent="0.25">
      <c r="A110" s="6">
        <v>109</v>
      </c>
      <c r="B110" s="6" t="s">
        <v>286</v>
      </c>
      <c r="C110" s="6" t="s">
        <v>445</v>
      </c>
      <c r="D110" s="14" t="s">
        <v>481</v>
      </c>
      <c r="E110" s="7">
        <v>4</v>
      </c>
      <c r="F110" s="11" t="s">
        <v>1307</v>
      </c>
      <c r="G110" s="5"/>
    </row>
    <row r="111" spans="1:7" x14ac:dyDescent="0.25">
      <c r="A111" s="6">
        <v>110</v>
      </c>
      <c r="B111" s="6" t="s">
        <v>286</v>
      </c>
      <c r="C111" s="6" t="s">
        <v>445</v>
      </c>
      <c r="D111" s="14" t="s">
        <v>482</v>
      </c>
      <c r="E111" s="7">
        <v>0.7</v>
      </c>
      <c r="F111" s="11" t="s">
        <v>1018</v>
      </c>
      <c r="G111" s="5"/>
    </row>
    <row r="112" spans="1:7" x14ac:dyDescent="0.25">
      <c r="A112" s="6">
        <v>111</v>
      </c>
      <c r="B112" s="6" t="s">
        <v>286</v>
      </c>
      <c r="C112" s="6" t="s">
        <v>445</v>
      </c>
      <c r="D112" s="14" t="s">
        <v>488</v>
      </c>
      <c r="E112" s="7">
        <v>0.7</v>
      </c>
      <c r="F112" s="11" t="s">
        <v>1019</v>
      </c>
      <c r="G112" s="5"/>
    </row>
    <row r="113" spans="1:7" x14ac:dyDescent="0.25">
      <c r="A113" s="6">
        <v>112</v>
      </c>
      <c r="B113" s="6" t="s">
        <v>286</v>
      </c>
      <c r="C113" s="6" t="s">
        <v>445</v>
      </c>
      <c r="D113" s="14" t="s">
        <v>496</v>
      </c>
      <c r="E113" s="7">
        <v>7.5</v>
      </c>
      <c r="F113" s="11" t="s">
        <v>1020</v>
      </c>
      <c r="G113" s="5"/>
    </row>
    <row r="114" spans="1:7" x14ac:dyDescent="0.25">
      <c r="A114" s="6">
        <v>113</v>
      </c>
      <c r="B114" s="6" t="s">
        <v>286</v>
      </c>
      <c r="C114" s="6" t="s">
        <v>445</v>
      </c>
      <c r="D114" s="14" t="s">
        <v>502</v>
      </c>
      <c r="E114" s="7">
        <v>5</v>
      </c>
      <c r="F114" s="11" t="s">
        <v>1021</v>
      </c>
      <c r="G114" s="5"/>
    </row>
    <row r="115" spans="1:7" x14ac:dyDescent="0.25">
      <c r="A115" s="6">
        <v>114</v>
      </c>
      <c r="B115" s="6" t="s">
        <v>286</v>
      </c>
      <c r="C115" s="6" t="s">
        <v>445</v>
      </c>
      <c r="D115" s="14" t="s">
        <v>503</v>
      </c>
      <c r="E115" s="7">
        <v>2</v>
      </c>
      <c r="F115" s="11" t="s">
        <v>1022</v>
      </c>
      <c r="G115" s="5"/>
    </row>
    <row r="116" spans="1:7" x14ac:dyDescent="0.25">
      <c r="A116" s="6">
        <v>115</v>
      </c>
      <c r="B116" s="6" t="s">
        <v>286</v>
      </c>
      <c r="C116" s="6" t="s">
        <v>445</v>
      </c>
      <c r="D116" s="14" t="s">
        <v>509</v>
      </c>
      <c r="E116" s="7">
        <v>4.5</v>
      </c>
      <c r="F116" s="11" t="s">
        <v>1023</v>
      </c>
      <c r="G116" s="5"/>
    </row>
    <row r="117" spans="1:7" x14ac:dyDescent="0.25">
      <c r="A117" s="6">
        <v>116</v>
      </c>
      <c r="B117" s="6" t="s">
        <v>286</v>
      </c>
      <c r="C117" s="6" t="s">
        <v>445</v>
      </c>
      <c r="D117" s="14" t="s">
        <v>518</v>
      </c>
      <c r="E117" s="7">
        <v>4.5</v>
      </c>
      <c r="F117" s="11" t="s">
        <v>966</v>
      </c>
      <c r="G117" s="5"/>
    </row>
    <row r="118" spans="1:7" x14ac:dyDescent="0.25">
      <c r="A118" s="6">
        <v>117</v>
      </c>
      <c r="B118" s="6" t="s">
        <v>286</v>
      </c>
      <c r="C118" s="6" t="s">
        <v>445</v>
      </c>
      <c r="D118" s="14" t="s">
        <v>516</v>
      </c>
      <c r="E118" s="7">
        <v>4</v>
      </c>
      <c r="F118" s="11" t="s">
        <v>1024</v>
      </c>
      <c r="G118" s="5"/>
    </row>
    <row r="119" spans="1:7" x14ac:dyDescent="0.25">
      <c r="A119" s="6">
        <v>118</v>
      </c>
      <c r="B119" s="6" t="s">
        <v>286</v>
      </c>
      <c r="C119" s="6" t="s">
        <v>445</v>
      </c>
      <c r="D119" s="14" t="s">
        <v>517</v>
      </c>
      <c r="E119" s="7">
        <v>4</v>
      </c>
      <c r="F119" s="11" t="s">
        <v>967</v>
      </c>
      <c r="G119" s="5"/>
    </row>
    <row r="120" spans="1:7" x14ac:dyDescent="0.25">
      <c r="A120" s="6">
        <v>119</v>
      </c>
      <c r="B120" s="6" t="s">
        <v>286</v>
      </c>
      <c r="C120" s="6" t="s">
        <v>445</v>
      </c>
      <c r="D120" s="14" t="s">
        <v>510</v>
      </c>
      <c r="E120" s="7">
        <v>6</v>
      </c>
      <c r="F120" s="11" t="s">
        <v>1025</v>
      </c>
      <c r="G120" s="5"/>
    </row>
    <row r="121" spans="1:7" x14ac:dyDescent="0.25">
      <c r="A121" s="6">
        <v>120</v>
      </c>
      <c r="B121" s="6" t="s">
        <v>530</v>
      </c>
      <c r="C121" s="6" t="s">
        <v>445</v>
      </c>
      <c r="D121" s="14" t="s">
        <v>552</v>
      </c>
      <c r="E121" s="7">
        <v>2</v>
      </c>
      <c r="F121" s="11" t="s">
        <v>968</v>
      </c>
      <c r="G121" s="5"/>
    </row>
    <row r="122" spans="1:7" x14ac:dyDescent="0.25">
      <c r="A122" s="6">
        <v>121</v>
      </c>
      <c r="B122" s="6" t="s">
        <v>530</v>
      </c>
      <c r="C122" s="6" t="s">
        <v>445</v>
      </c>
      <c r="D122" s="14" t="s">
        <v>544</v>
      </c>
      <c r="E122" s="7">
        <v>10</v>
      </c>
      <c r="F122" s="11" t="s">
        <v>1026</v>
      </c>
      <c r="G122" s="5"/>
    </row>
    <row r="123" spans="1:7" x14ac:dyDescent="0.25">
      <c r="A123" s="6">
        <v>122</v>
      </c>
      <c r="B123" s="6" t="s">
        <v>530</v>
      </c>
      <c r="C123" s="6" t="s">
        <v>445</v>
      </c>
      <c r="D123" s="14" t="s">
        <v>547</v>
      </c>
      <c r="E123" s="7">
        <v>3</v>
      </c>
      <c r="F123" s="11" t="s">
        <v>1027</v>
      </c>
      <c r="G123" s="5"/>
    </row>
    <row r="124" spans="1:7" x14ac:dyDescent="0.25">
      <c r="A124" s="6">
        <v>123</v>
      </c>
      <c r="B124" s="6" t="s">
        <v>530</v>
      </c>
      <c r="C124" s="6" t="s">
        <v>445</v>
      </c>
      <c r="D124" s="14" t="s">
        <v>540</v>
      </c>
      <c r="E124" s="7">
        <v>3</v>
      </c>
      <c r="F124" s="11" t="s">
        <v>1028</v>
      </c>
      <c r="G124" s="5"/>
    </row>
    <row r="125" spans="1:7" x14ac:dyDescent="0.25">
      <c r="A125" s="6">
        <v>124</v>
      </c>
      <c r="B125" s="6" t="s">
        <v>530</v>
      </c>
      <c r="C125" s="6" t="s">
        <v>445</v>
      </c>
      <c r="D125" s="14" t="s">
        <v>554</v>
      </c>
      <c r="E125" s="7">
        <v>3</v>
      </c>
      <c r="F125" s="11" t="s">
        <v>969</v>
      </c>
      <c r="G125" s="5"/>
    </row>
    <row r="126" spans="1:7" x14ac:dyDescent="0.25">
      <c r="A126" s="6">
        <v>125</v>
      </c>
      <c r="B126" s="6" t="s">
        <v>530</v>
      </c>
      <c r="C126" s="6" t="s">
        <v>445</v>
      </c>
      <c r="D126" s="14" t="s">
        <v>336</v>
      </c>
      <c r="E126" s="7">
        <v>3</v>
      </c>
      <c r="F126" s="11" t="s">
        <v>970</v>
      </c>
      <c r="G126" s="5"/>
    </row>
    <row r="127" spans="1:7" x14ac:dyDescent="0.25">
      <c r="A127" s="6">
        <v>126</v>
      </c>
      <c r="B127" s="6" t="s">
        <v>530</v>
      </c>
      <c r="C127" s="6" t="s">
        <v>445</v>
      </c>
      <c r="D127" s="14" t="s">
        <v>537</v>
      </c>
      <c r="E127" s="7">
        <v>3</v>
      </c>
      <c r="F127" s="11" t="s">
        <v>971</v>
      </c>
      <c r="G127" s="5"/>
    </row>
    <row r="128" spans="1:7" x14ac:dyDescent="0.25">
      <c r="A128" s="6">
        <v>127</v>
      </c>
      <c r="B128" s="6" t="s">
        <v>530</v>
      </c>
      <c r="C128" s="6" t="s">
        <v>445</v>
      </c>
      <c r="D128" s="14" t="s">
        <v>538</v>
      </c>
      <c r="E128" s="7">
        <v>3</v>
      </c>
      <c r="F128" s="11" t="s">
        <v>972</v>
      </c>
      <c r="G128" s="5"/>
    </row>
    <row r="129" spans="1:7" x14ac:dyDescent="0.25">
      <c r="A129" s="6">
        <v>128</v>
      </c>
      <c r="B129" s="6" t="s">
        <v>530</v>
      </c>
      <c r="C129" s="6" t="s">
        <v>445</v>
      </c>
      <c r="D129" s="14" t="s">
        <v>405</v>
      </c>
      <c r="E129" s="7">
        <v>1</v>
      </c>
      <c r="F129" s="11" t="s">
        <v>1308</v>
      </c>
      <c r="G129" s="5"/>
    </row>
    <row r="130" spans="1:7" x14ac:dyDescent="0.25">
      <c r="A130" s="6">
        <v>129</v>
      </c>
      <c r="B130" s="6" t="s">
        <v>530</v>
      </c>
      <c r="C130" s="6" t="s">
        <v>445</v>
      </c>
      <c r="D130" s="14" t="s">
        <v>539</v>
      </c>
      <c r="E130" s="7">
        <v>1</v>
      </c>
      <c r="F130" s="11" t="s">
        <v>973</v>
      </c>
      <c r="G130" s="5"/>
    </row>
    <row r="131" spans="1:7" x14ac:dyDescent="0.25">
      <c r="A131" s="6">
        <v>130</v>
      </c>
      <c r="B131" s="6" t="s">
        <v>530</v>
      </c>
      <c r="C131" s="6" t="s">
        <v>445</v>
      </c>
      <c r="D131" s="14" t="s">
        <v>556</v>
      </c>
      <c r="E131" s="7">
        <v>4</v>
      </c>
      <c r="F131" s="11" t="s">
        <v>974</v>
      </c>
      <c r="G131" s="5"/>
    </row>
    <row r="132" spans="1:7" x14ac:dyDescent="0.25">
      <c r="A132" s="6">
        <v>131</v>
      </c>
      <c r="B132" s="6" t="s">
        <v>530</v>
      </c>
      <c r="C132" s="6" t="s">
        <v>445</v>
      </c>
      <c r="D132" s="14" t="s">
        <v>531</v>
      </c>
      <c r="E132" s="7">
        <v>6</v>
      </c>
      <c r="F132" s="11" t="s">
        <v>1029</v>
      </c>
      <c r="G132" s="5"/>
    </row>
    <row r="133" spans="1:7" x14ac:dyDescent="0.25">
      <c r="A133" s="6">
        <v>132</v>
      </c>
      <c r="B133" s="6" t="s">
        <v>530</v>
      </c>
      <c r="C133" s="6" t="s">
        <v>445</v>
      </c>
      <c r="D133" s="14" t="s">
        <v>532</v>
      </c>
      <c r="E133" s="7">
        <v>3</v>
      </c>
      <c r="F133" s="11" t="s">
        <v>1113</v>
      </c>
      <c r="G133" s="5"/>
    </row>
    <row r="134" spans="1:7" x14ac:dyDescent="0.25">
      <c r="A134" s="6">
        <v>133</v>
      </c>
      <c r="B134" s="6" t="s">
        <v>530</v>
      </c>
      <c r="C134" s="6" t="s">
        <v>445</v>
      </c>
      <c r="D134" s="14" t="s">
        <v>534</v>
      </c>
      <c r="E134" s="7">
        <v>3</v>
      </c>
      <c r="F134" s="11" t="s">
        <v>1114</v>
      </c>
      <c r="G134" s="5"/>
    </row>
    <row r="135" spans="1:7" x14ac:dyDescent="0.25">
      <c r="A135" s="6">
        <v>134</v>
      </c>
      <c r="B135" s="6" t="s">
        <v>530</v>
      </c>
      <c r="C135" s="6" t="s">
        <v>445</v>
      </c>
      <c r="D135" s="14" t="s">
        <v>536</v>
      </c>
      <c r="E135" s="7">
        <v>3</v>
      </c>
      <c r="F135" s="11" t="s">
        <v>1030</v>
      </c>
      <c r="G135" s="5"/>
    </row>
    <row r="136" spans="1:7" x14ac:dyDescent="0.25">
      <c r="A136" s="6">
        <v>135</v>
      </c>
      <c r="B136" s="6" t="s">
        <v>530</v>
      </c>
      <c r="C136" s="6" t="s">
        <v>445</v>
      </c>
      <c r="D136" s="14" t="s">
        <v>535</v>
      </c>
      <c r="E136" s="7">
        <v>3</v>
      </c>
      <c r="F136" s="11" t="s">
        <v>1031</v>
      </c>
      <c r="G136" s="5"/>
    </row>
    <row r="137" spans="1:7" x14ac:dyDescent="0.25">
      <c r="A137" s="6">
        <v>136</v>
      </c>
      <c r="B137" s="6" t="s">
        <v>530</v>
      </c>
      <c r="C137" s="6" t="s">
        <v>445</v>
      </c>
      <c r="D137" s="14" t="s">
        <v>1149</v>
      </c>
      <c r="E137" s="7">
        <v>3</v>
      </c>
      <c r="F137" s="11" t="s">
        <v>1150</v>
      </c>
      <c r="G137" s="5"/>
    </row>
    <row r="138" spans="1:7" x14ac:dyDescent="0.25">
      <c r="A138" s="6">
        <v>137</v>
      </c>
      <c r="B138" s="6" t="s">
        <v>530</v>
      </c>
      <c r="C138" s="6" t="s">
        <v>445</v>
      </c>
      <c r="D138" s="14" t="s">
        <v>1151</v>
      </c>
      <c r="E138" s="7">
        <v>5</v>
      </c>
      <c r="F138" s="11" t="s">
        <v>1152</v>
      </c>
      <c r="G138" s="5"/>
    </row>
    <row r="139" spans="1:7" x14ac:dyDescent="0.25">
      <c r="A139" s="6">
        <v>138</v>
      </c>
      <c r="B139" s="6" t="s">
        <v>530</v>
      </c>
      <c r="C139" s="6" t="s">
        <v>445</v>
      </c>
      <c r="D139" s="14" t="s">
        <v>1148</v>
      </c>
      <c r="E139" s="7">
        <v>3</v>
      </c>
      <c r="F139" s="11" t="s">
        <v>1153</v>
      </c>
      <c r="G139" s="5"/>
    </row>
    <row r="140" spans="1:7" x14ac:dyDescent="0.25">
      <c r="A140" s="6">
        <v>139</v>
      </c>
      <c r="B140" s="6" t="s">
        <v>530</v>
      </c>
      <c r="C140" s="6" t="s">
        <v>445</v>
      </c>
      <c r="D140" s="14" t="s">
        <v>1154</v>
      </c>
      <c r="E140" s="7">
        <v>3</v>
      </c>
      <c r="F140" s="11" t="s">
        <v>1155</v>
      </c>
      <c r="G140" s="5"/>
    </row>
    <row r="141" spans="1:7" x14ac:dyDescent="0.25">
      <c r="A141" s="6">
        <v>140</v>
      </c>
      <c r="B141" s="6" t="s">
        <v>530</v>
      </c>
      <c r="C141" s="6" t="s">
        <v>445</v>
      </c>
      <c r="D141" s="14" t="s">
        <v>541</v>
      </c>
      <c r="E141" s="7">
        <v>2</v>
      </c>
      <c r="F141" s="11" t="s">
        <v>975</v>
      </c>
      <c r="G141" s="5"/>
    </row>
    <row r="142" spans="1:7" x14ac:dyDescent="0.25">
      <c r="A142" s="6">
        <v>141</v>
      </c>
      <c r="B142" s="6" t="s">
        <v>530</v>
      </c>
      <c r="C142" s="6" t="s">
        <v>445</v>
      </c>
      <c r="D142" s="14" t="s">
        <v>545</v>
      </c>
      <c r="E142" s="7">
        <v>1</v>
      </c>
      <c r="F142" s="11" t="s">
        <v>1115</v>
      </c>
      <c r="G142" s="5"/>
    </row>
    <row r="143" spans="1:7" x14ac:dyDescent="0.25">
      <c r="A143" s="6">
        <v>142</v>
      </c>
      <c r="B143" s="6" t="s">
        <v>530</v>
      </c>
      <c r="C143" s="6" t="s">
        <v>445</v>
      </c>
      <c r="D143" s="14" t="s">
        <v>546</v>
      </c>
      <c r="E143" s="7">
        <v>2</v>
      </c>
      <c r="F143" s="11" t="s">
        <v>946</v>
      </c>
      <c r="G143" s="5"/>
    </row>
    <row r="144" spans="1:7" x14ac:dyDescent="0.25">
      <c r="A144" s="6">
        <v>143</v>
      </c>
      <c r="B144" s="6" t="s">
        <v>530</v>
      </c>
      <c r="C144" s="6" t="s">
        <v>445</v>
      </c>
      <c r="D144" s="14" t="s">
        <v>565</v>
      </c>
      <c r="E144" s="7">
        <v>8</v>
      </c>
      <c r="F144" s="11" t="s">
        <v>947</v>
      </c>
      <c r="G144" s="5"/>
    </row>
    <row r="145" spans="1:7" x14ac:dyDescent="0.25">
      <c r="A145" s="6">
        <v>144</v>
      </c>
      <c r="B145" s="6" t="s">
        <v>530</v>
      </c>
      <c r="C145" s="6" t="s">
        <v>445</v>
      </c>
      <c r="D145" s="14" t="s">
        <v>548</v>
      </c>
      <c r="E145" s="7">
        <v>12</v>
      </c>
      <c r="F145" s="11" t="s">
        <v>948</v>
      </c>
      <c r="G145" s="5"/>
    </row>
    <row r="146" spans="1:7" x14ac:dyDescent="0.25">
      <c r="A146" s="6">
        <v>145</v>
      </c>
      <c r="B146" s="6" t="s">
        <v>530</v>
      </c>
      <c r="C146" s="6" t="s">
        <v>445</v>
      </c>
      <c r="D146" s="14" t="s">
        <v>550</v>
      </c>
      <c r="E146" s="7">
        <v>4</v>
      </c>
      <c r="F146" s="11" t="s">
        <v>1032</v>
      </c>
      <c r="G146" s="5"/>
    </row>
    <row r="147" spans="1:7" x14ac:dyDescent="0.25">
      <c r="A147" s="6">
        <v>146</v>
      </c>
      <c r="B147" s="6" t="s">
        <v>530</v>
      </c>
      <c r="C147" s="6" t="s">
        <v>445</v>
      </c>
      <c r="D147" s="14" t="s">
        <v>551</v>
      </c>
      <c r="E147" s="7">
        <v>4</v>
      </c>
      <c r="F147" s="11" t="s">
        <v>949</v>
      </c>
      <c r="G147" s="5"/>
    </row>
    <row r="148" spans="1:7" x14ac:dyDescent="0.25">
      <c r="A148" s="6">
        <v>147</v>
      </c>
      <c r="B148" s="6" t="s">
        <v>530</v>
      </c>
      <c r="C148" s="6" t="s">
        <v>445</v>
      </c>
      <c r="D148" s="14" t="s">
        <v>553</v>
      </c>
      <c r="E148" s="7">
        <v>3</v>
      </c>
      <c r="F148" s="11" t="s">
        <v>950</v>
      </c>
      <c r="G148" s="5"/>
    </row>
    <row r="149" spans="1:7" x14ac:dyDescent="0.25">
      <c r="A149" s="6">
        <v>148</v>
      </c>
      <c r="B149" s="6" t="s">
        <v>530</v>
      </c>
      <c r="C149" s="6" t="s">
        <v>445</v>
      </c>
      <c r="D149" s="14" t="s">
        <v>555</v>
      </c>
      <c r="E149" s="7">
        <v>5</v>
      </c>
      <c r="F149" s="11" t="s">
        <v>951</v>
      </c>
      <c r="G149" s="5"/>
    </row>
    <row r="150" spans="1:7" x14ac:dyDescent="0.25">
      <c r="A150" s="6">
        <v>149</v>
      </c>
      <c r="B150" s="6" t="s">
        <v>530</v>
      </c>
      <c r="C150" s="6" t="s">
        <v>445</v>
      </c>
      <c r="D150" s="14" t="s">
        <v>562</v>
      </c>
      <c r="E150" s="7">
        <v>6</v>
      </c>
      <c r="F150" s="11" t="s">
        <v>952</v>
      </c>
      <c r="G150" s="5"/>
    </row>
    <row r="151" spans="1:7" x14ac:dyDescent="0.25">
      <c r="A151" s="6">
        <v>150</v>
      </c>
      <c r="B151" s="6" t="s">
        <v>530</v>
      </c>
      <c r="C151" s="6" t="s">
        <v>445</v>
      </c>
      <c r="D151" s="14" t="s">
        <v>566</v>
      </c>
      <c r="E151" s="7">
        <v>4</v>
      </c>
      <c r="F151" s="11" t="s">
        <v>1033</v>
      </c>
      <c r="G151" s="5"/>
    </row>
    <row r="152" spans="1:7" x14ac:dyDescent="0.25">
      <c r="A152" s="6">
        <v>151</v>
      </c>
      <c r="B152" s="6" t="s">
        <v>530</v>
      </c>
      <c r="C152" s="6" t="s">
        <v>445</v>
      </c>
      <c r="D152" s="14" t="s">
        <v>567</v>
      </c>
      <c r="E152" s="7">
        <v>9</v>
      </c>
      <c r="F152" s="11" t="s">
        <v>953</v>
      </c>
      <c r="G152" s="5"/>
    </row>
    <row r="153" spans="1:7" x14ac:dyDescent="0.25">
      <c r="A153" s="6">
        <v>152</v>
      </c>
      <c r="B153" s="6" t="s">
        <v>530</v>
      </c>
      <c r="C153" s="6" t="s">
        <v>445</v>
      </c>
      <c r="D153" s="14" t="s">
        <v>577</v>
      </c>
      <c r="E153" s="7">
        <v>3</v>
      </c>
      <c r="F153" s="11" t="s">
        <v>578</v>
      </c>
      <c r="G153" s="5"/>
    </row>
    <row r="154" spans="1:7" x14ac:dyDescent="0.25">
      <c r="A154" s="6">
        <v>153</v>
      </c>
      <c r="B154" s="6" t="s">
        <v>530</v>
      </c>
      <c r="C154" s="6" t="s">
        <v>445</v>
      </c>
      <c r="D154" s="14" t="s">
        <v>568</v>
      </c>
      <c r="E154" s="7">
        <v>4.5</v>
      </c>
      <c r="F154" s="11" t="s">
        <v>954</v>
      </c>
      <c r="G154" s="5"/>
    </row>
    <row r="155" spans="1:7" x14ac:dyDescent="0.25">
      <c r="A155" s="6">
        <v>154</v>
      </c>
      <c r="B155" s="6" t="s">
        <v>642</v>
      </c>
      <c r="C155" s="6" t="s">
        <v>445</v>
      </c>
      <c r="D155" s="14" t="s">
        <v>659</v>
      </c>
      <c r="E155" s="7">
        <v>2.6</v>
      </c>
      <c r="F155" s="11" t="s">
        <v>1034</v>
      </c>
      <c r="G155" s="5"/>
    </row>
    <row r="156" spans="1:7" x14ac:dyDescent="0.25">
      <c r="A156" s="6">
        <v>155</v>
      </c>
      <c r="B156" s="6" t="s">
        <v>642</v>
      </c>
      <c r="C156" s="6" t="s">
        <v>445</v>
      </c>
      <c r="D156" s="14" t="s">
        <v>660</v>
      </c>
      <c r="E156" s="7">
        <v>1.6</v>
      </c>
      <c r="F156" s="11" t="s">
        <v>1100</v>
      </c>
      <c r="G156" s="5"/>
    </row>
    <row r="157" spans="1:7" x14ac:dyDescent="0.25">
      <c r="A157" s="6">
        <v>156</v>
      </c>
      <c r="B157" s="6" t="s">
        <v>642</v>
      </c>
      <c r="C157" s="6" t="s">
        <v>445</v>
      </c>
      <c r="D157" s="14" t="s">
        <v>667</v>
      </c>
      <c r="E157" s="7">
        <v>1.6</v>
      </c>
      <c r="F157" s="11" t="s">
        <v>668</v>
      </c>
      <c r="G157" s="5"/>
    </row>
    <row r="158" spans="1:7" x14ac:dyDescent="0.25">
      <c r="A158" s="6">
        <v>157</v>
      </c>
      <c r="B158" s="6" t="s">
        <v>642</v>
      </c>
      <c r="C158" s="6" t="s">
        <v>445</v>
      </c>
      <c r="D158" s="14" t="s">
        <v>574</v>
      </c>
      <c r="E158" s="7">
        <v>3</v>
      </c>
      <c r="F158" s="11" t="s">
        <v>1035</v>
      </c>
      <c r="G158" s="5"/>
    </row>
    <row r="159" spans="1:7" x14ac:dyDescent="0.25">
      <c r="A159" s="6">
        <v>158</v>
      </c>
      <c r="B159" s="6" t="s">
        <v>642</v>
      </c>
      <c r="C159" s="6" t="s">
        <v>445</v>
      </c>
      <c r="D159" s="14" t="s">
        <v>646</v>
      </c>
      <c r="E159" s="7">
        <v>0.12</v>
      </c>
      <c r="F159" s="11" t="s">
        <v>1036</v>
      </c>
      <c r="G159" s="5"/>
    </row>
    <row r="160" spans="1:7" x14ac:dyDescent="0.25">
      <c r="A160" s="6">
        <v>159</v>
      </c>
      <c r="B160" s="6" t="s">
        <v>642</v>
      </c>
      <c r="C160" s="6" t="s">
        <v>445</v>
      </c>
      <c r="D160" s="14" t="s">
        <v>647</v>
      </c>
      <c r="E160" s="7">
        <v>0.06</v>
      </c>
      <c r="F160" s="11" t="s">
        <v>650</v>
      </c>
      <c r="G160" s="5"/>
    </row>
    <row r="161" spans="1:7" x14ac:dyDescent="0.25">
      <c r="A161" s="6">
        <v>160</v>
      </c>
      <c r="B161" s="6" t="s">
        <v>642</v>
      </c>
      <c r="C161" s="6" t="s">
        <v>445</v>
      </c>
      <c r="D161" s="14" t="s">
        <v>570</v>
      </c>
      <c r="E161" s="7">
        <v>1.6</v>
      </c>
      <c r="F161" s="11" t="s">
        <v>651</v>
      </c>
      <c r="G161" s="5"/>
    </row>
    <row r="162" spans="1:7" x14ac:dyDescent="0.25">
      <c r="A162" s="6">
        <v>161</v>
      </c>
      <c r="B162" s="6" t="s">
        <v>642</v>
      </c>
      <c r="C162" s="6" t="s">
        <v>445</v>
      </c>
      <c r="D162" s="14" t="s">
        <v>572</v>
      </c>
      <c r="E162" s="7">
        <v>0.8</v>
      </c>
      <c r="F162" s="11" t="s">
        <v>652</v>
      </c>
      <c r="G162" s="5"/>
    </row>
    <row r="163" spans="1:7" x14ac:dyDescent="0.25">
      <c r="A163" s="6">
        <v>162</v>
      </c>
      <c r="B163" s="6" t="s">
        <v>642</v>
      </c>
      <c r="C163" s="6" t="s">
        <v>445</v>
      </c>
      <c r="D163" s="14" t="s">
        <v>727</v>
      </c>
      <c r="E163" s="7">
        <v>17</v>
      </c>
      <c r="F163" s="11" t="s">
        <v>1037</v>
      </c>
      <c r="G163" s="5"/>
    </row>
    <row r="164" spans="1:7" x14ac:dyDescent="0.25">
      <c r="A164" s="6">
        <v>163</v>
      </c>
      <c r="B164" s="6" t="s">
        <v>642</v>
      </c>
      <c r="C164" s="6" t="s">
        <v>445</v>
      </c>
      <c r="D164" s="14" t="s">
        <v>664</v>
      </c>
      <c r="E164" s="7">
        <v>5</v>
      </c>
      <c r="F164" s="11" t="s">
        <v>666</v>
      </c>
      <c r="G164" s="5"/>
    </row>
    <row r="165" spans="1:7" x14ac:dyDescent="0.25">
      <c r="A165" s="6">
        <v>164</v>
      </c>
      <c r="B165" s="6" t="s">
        <v>642</v>
      </c>
      <c r="C165" s="6" t="s">
        <v>445</v>
      </c>
      <c r="D165" s="14" t="s">
        <v>746</v>
      </c>
      <c r="E165" s="7">
        <v>6.8000000000000005E-2</v>
      </c>
      <c r="F165" s="11" t="s">
        <v>1038</v>
      </c>
      <c r="G165" s="5"/>
    </row>
    <row r="166" spans="1:7" x14ac:dyDescent="0.25">
      <c r="A166" s="6">
        <v>165</v>
      </c>
      <c r="B166" s="6" t="s">
        <v>642</v>
      </c>
      <c r="C166" s="6" t="s">
        <v>445</v>
      </c>
      <c r="D166" s="14" t="s">
        <v>678</v>
      </c>
      <c r="E166" s="7">
        <v>4.1100000000000003</v>
      </c>
      <c r="F166" s="11" t="s">
        <v>679</v>
      </c>
      <c r="G166" s="5"/>
    </row>
    <row r="167" spans="1:7" x14ac:dyDescent="0.25">
      <c r="A167" s="6">
        <v>166</v>
      </c>
      <c r="B167" s="6" t="s">
        <v>642</v>
      </c>
      <c r="C167" s="6" t="s">
        <v>445</v>
      </c>
      <c r="D167" s="14" t="s">
        <v>655</v>
      </c>
      <c r="E167" s="7">
        <v>12.8</v>
      </c>
      <c r="F167" s="11" t="s">
        <v>1039</v>
      </c>
      <c r="G167" s="5"/>
    </row>
    <row r="168" spans="1:7" x14ac:dyDescent="0.25">
      <c r="A168" s="6">
        <v>167</v>
      </c>
      <c r="B168" s="6" t="s">
        <v>642</v>
      </c>
      <c r="C168" s="6" t="s">
        <v>445</v>
      </c>
      <c r="D168" s="14" t="s">
        <v>656</v>
      </c>
      <c r="E168" s="7">
        <v>14.4</v>
      </c>
      <c r="F168" s="11" t="s">
        <v>1309</v>
      </c>
      <c r="G168" s="5"/>
    </row>
    <row r="169" spans="1:7" x14ac:dyDescent="0.25">
      <c r="A169" s="6">
        <v>168</v>
      </c>
      <c r="B169" s="6" t="s">
        <v>642</v>
      </c>
      <c r="C169" s="6" t="s">
        <v>445</v>
      </c>
      <c r="D169" s="14" t="s">
        <v>657</v>
      </c>
      <c r="E169" s="7">
        <v>4.8</v>
      </c>
      <c r="F169" s="11" t="s">
        <v>1040</v>
      </c>
      <c r="G169" s="5"/>
    </row>
    <row r="170" spans="1:7" x14ac:dyDescent="0.25">
      <c r="A170" s="6">
        <v>169</v>
      </c>
      <c r="B170" s="6" t="s">
        <v>642</v>
      </c>
      <c r="C170" s="6" t="s">
        <v>445</v>
      </c>
      <c r="D170" s="14" t="s">
        <v>699</v>
      </c>
      <c r="E170" s="7">
        <v>0.36</v>
      </c>
      <c r="F170" s="11" t="s">
        <v>1041</v>
      </c>
      <c r="G170" s="5"/>
    </row>
    <row r="171" spans="1:7" x14ac:dyDescent="0.25">
      <c r="A171" s="6">
        <v>170</v>
      </c>
      <c r="B171" s="6" t="s">
        <v>642</v>
      </c>
      <c r="C171" s="6" t="s">
        <v>445</v>
      </c>
      <c r="D171" s="14" t="s">
        <v>663</v>
      </c>
      <c r="E171" s="7">
        <v>3.5</v>
      </c>
      <c r="F171" s="11" t="s">
        <v>1042</v>
      </c>
      <c r="G171" s="5"/>
    </row>
    <row r="172" spans="1:7" x14ac:dyDescent="0.25">
      <c r="A172" s="6">
        <v>171</v>
      </c>
      <c r="B172" s="6" t="s">
        <v>642</v>
      </c>
      <c r="C172" s="6" t="s">
        <v>445</v>
      </c>
      <c r="D172" s="14" t="s">
        <v>665</v>
      </c>
      <c r="E172" s="7">
        <v>0.6</v>
      </c>
      <c r="F172" s="11" t="s">
        <v>1043</v>
      </c>
      <c r="G172" s="5"/>
    </row>
    <row r="173" spans="1:7" x14ac:dyDescent="0.25">
      <c r="A173" s="6">
        <v>172</v>
      </c>
      <c r="B173" s="6" t="s">
        <v>642</v>
      </c>
      <c r="C173" s="6" t="s">
        <v>445</v>
      </c>
      <c r="D173" s="14" t="s">
        <v>720</v>
      </c>
      <c r="E173" s="7">
        <v>4.8</v>
      </c>
      <c r="F173" s="11" t="s">
        <v>721</v>
      </c>
      <c r="G173" s="5"/>
    </row>
    <row r="174" spans="1:7" x14ac:dyDescent="0.25">
      <c r="A174" s="6">
        <v>173</v>
      </c>
      <c r="B174" s="6" t="s">
        <v>642</v>
      </c>
      <c r="C174" s="6" t="s">
        <v>445</v>
      </c>
      <c r="D174" s="14" t="s">
        <v>725</v>
      </c>
      <c r="E174" s="7">
        <v>24</v>
      </c>
      <c r="F174" s="11" t="s">
        <v>726</v>
      </c>
      <c r="G174" s="5"/>
    </row>
    <row r="175" spans="1:7" x14ac:dyDescent="0.25">
      <c r="A175" s="6">
        <v>174</v>
      </c>
      <c r="B175" s="6" t="s">
        <v>642</v>
      </c>
      <c r="C175" s="6" t="s">
        <v>445</v>
      </c>
      <c r="D175" s="14" t="s">
        <v>747</v>
      </c>
      <c r="E175" s="7">
        <v>6</v>
      </c>
      <c r="F175" s="11" t="s">
        <v>1044</v>
      </c>
      <c r="G175" s="5"/>
    </row>
    <row r="176" spans="1:7" x14ac:dyDescent="0.25">
      <c r="A176" s="6">
        <v>175</v>
      </c>
      <c r="B176" s="6" t="s">
        <v>132</v>
      </c>
      <c r="C176" s="6" t="s">
        <v>445</v>
      </c>
      <c r="D176" s="14" t="s">
        <v>1939</v>
      </c>
      <c r="E176" s="7">
        <v>3</v>
      </c>
      <c r="F176" s="11" t="s">
        <v>1940</v>
      </c>
      <c r="G176" s="5"/>
    </row>
    <row r="177" spans="1:7" x14ac:dyDescent="0.25">
      <c r="A177" s="6">
        <v>176</v>
      </c>
      <c r="B177" s="6" t="s">
        <v>642</v>
      </c>
      <c r="C177" s="6" t="s">
        <v>445</v>
      </c>
      <c r="D177" s="14" t="s">
        <v>743</v>
      </c>
      <c r="E177" s="7">
        <v>10</v>
      </c>
      <c r="F177" s="11" t="s">
        <v>1045</v>
      </c>
      <c r="G177" s="5"/>
    </row>
    <row r="178" spans="1:7" x14ac:dyDescent="0.25">
      <c r="A178" s="6">
        <v>177</v>
      </c>
      <c r="B178" s="6" t="s">
        <v>750</v>
      </c>
      <c r="C178" s="6" t="s">
        <v>445</v>
      </c>
      <c r="D178" s="14" t="s">
        <v>751</v>
      </c>
      <c r="E178" s="7">
        <v>0.5</v>
      </c>
      <c r="F178" s="11" t="s">
        <v>1156</v>
      </c>
      <c r="G178" s="5"/>
    </row>
    <row r="179" spans="1:7" x14ac:dyDescent="0.25">
      <c r="A179" s="6">
        <v>178</v>
      </c>
      <c r="B179" s="6" t="s">
        <v>750</v>
      </c>
      <c r="C179" s="6" t="s">
        <v>445</v>
      </c>
      <c r="D179" s="14" t="s">
        <v>779</v>
      </c>
      <c r="E179" s="7">
        <v>7</v>
      </c>
      <c r="F179" s="11" t="s">
        <v>780</v>
      </c>
      <c r="G179" s="5"/>
    </row>
    <row r="180" spans="1:7" x14ac:dyDescent="0.25">
      <c r="A180" s="6">
        <v>179</v>
      </c>
      <c r="B180" s="6" t="s">
        <v>750</v>
      </c>
      <c r="C180" s="6" t="s">
        <v>445</v>
      </c>
      <c r="D180" s="14" t="s">
        <v>766</v>
      </c>
      <c r="E180" s="7">
        <v>1</v>
      </c>
      <c r="F180" s="11" t="s">
        <v>1157</v>
      </c>
      <c r="G180" s="5"/>
    </row>
    <row r="181" spans="1:7" x14ac:dyDescent="0.25">
      <c r="A181" s="6">
        <v>180</v>
      </c>
      <c r="B181" s="6" t="s">
        <v>750</v>
      </c>
      <c r="C181" s="6" t="s">
        <v>445</v>
      </c>
      <c r="D181" s="14" t="s">
        <v>822</v>
      </c>
      <c r="E181" s="7">
        <v>3.5</v>
      </c>
      <c r="F181" s="11" t="s">
        <v>1158</v>
      </c>
      <c r="G181" s="5"/>
    </row>
    <row r="182" spans="1:7" x14ac:dyDescent="0.25">
      <c r="A182" s="6">
        <v>181</v>
      </c>
      <c r="B182" s="6" t="s">
        <v>750</v>
      </c>
      <c r="C182" s="6" t="s">
        <v>445</v>
      </c>
      <c r="D182" s="14" t="s">
        <v>769</v>
      </c>
      <c r="E182" s="7">
        <v>3</v>
      </c>
      <c r="F182" s="11" t="s">
        <v>1046</v>
      </c>
      <c r="G182" s="5"/>
    </row>
    <row r="183" spans="1:7" x14ac:dyDescent="0.25">
      <c r="A183" s="6">
        <v>182</v>
      </c>
      <c r="B183" s="6" t="s">
        <v>750</v>
      </c>
      <c r="C183" s="6" t="s">
        <v>445</v>
      </c>
      <c r="D183" s="14" t="s">
        <v>819</v>
      </c>
      <c r="E183" s="7">
        <v>9</v>
      </c>
      <c r="F183" s="11" t="s">
        <v>945</v>
      </c>
      <c r="G183" s="5"/>
    </row>
    <row r="184" spans="1:7" x14ac:dyDescent="0.25">
      <c r="A184" s="6">
        <v>183</v>
      </c>
      <c r="B184" s="6" t="s">
        <v>750</v>
      </c>
      <c r="C184" s="6" t="s">
        <v>445</v>
      </c>
      <c r="D184" s="14" t="s">
        <v>783</v>
      </c>
      <c r="E184" s="7">
        <v>3</v>
      </c>
      <c r="F184" s="11" t="s">
        <v>784</v>
      </c>
      <c r="G184" s="5"/>
    </row>
    <row r="185" spans="1:7" x14ac:dyDescent="0.25">
      <c r="A185" s="6">
        <v>184</v>
      </c>
      <c r="B185" s="6" t="s">
        <v>750</v>
      </c>
      <c r="C185" s="6" t="s">
        <v>445</v>
      </c>
      <c r="D185" s="14" t="s">
        <v>752</v>
      </c>
      <c r="E185" s="7">
        <v>1</v>
      </c>
      <c r="F185" s="11" t="s">
        <v>760</v>
      </c>
      <c r="G185" s="5"/>
    </row>
    <row r="186" spans="1:7" x14ac:dyDescent="0.25">
      <c r="A186" s="6">
        <v>185</v>
      </c>
      <c r="B186" s="6" t="s">
        <v>750</v>
      </c>
      <c r="C186" s="6" t="s">
        <v>445</v>
      </c>
      <c r="D186" s="14" t="s">
        <v>762</v>
      </c>
      <c r="E186" s="7">
        <v>3</v>
      </c>
      <c r="F186" s="11" t="s">
        <v>763</v>
      </c>
      <c r="G186" s="5"/>
    </row>
    <row r="187" spans="1:7" x14ac:dyDescent="0.25">
      <c r="A187" s="6">
        <v>186</v>
      </c>
      <c r="B187" s="6" t="s">
        <v>750</v>
      </c>
      <c r="C187" s="6" t="s">
        <v>445</v>
      </c>
      <c r="D187" s="14" t="s">
        <v>753</v>
      </c>
      <c r="E187" s="7">
        <v>0.12</v>
      </c>
      <c r="F187" s="11" t="s">
        <v>1159</v>
      </c>
      <c r="G187" s="5"/>
    </row>
    <row r="188" spans="1:7" x14ac:dyDescent="0.25">
      <c r="A188" s="6">
        <v>187</v>
      </c>
      <c r="B188" s="6" t="s">
        <v>750</v>
      </c>
      <c r="C188" s="6" t="s">
        <v>445</v>
      </c>
      <c r="D188" s="14" t="s">
        <v>754</v>
      </c>
      <c r="E188" s="7">
        <v>1.5</v>
      </c>
      <c r="F188" s="11" t="s">
        <v>1160</v>
      </c>
      <c r="G188" s="5"/>
    </row>
    <row r="189" spans="1:7" x14ac:dyDescent="0.25">
      <c r="A189" s="6">
        <v>188</v>
      </c>
      <c r="B189" s="6" t="s">
        <v>750</v>
      </c>
      <c r="C189" s="6" t="s">
        <v>445</v>
      </c>
      <c r="D189" s="14" t="s">
        <v>755</v>
      </c>
      <c r="E189" s="7">
        <v>6</v>
      </c>
      <c r="F189" s="11" t="s">
        <v>759</v>
      </c>
      <c r="G189" s="5"/>
    </row>
    <row r="190" spans="1:7" x14ac:dyDescent="0.25">
      <c r="A190" s="6">
        <v>189</v>
      </c>
      <c r="B190" s="6" t="s">
        <v>750</v>
      </c>
      <c r="C190" s="6" t="s">
        <v>445</v>
      </c>
      <c r="D190" s="14" t="s">
        <v>761</v>
      </c>
      <c r="E190" s="7">
        <v>5</v>
      </c>
      <c r="F190" s="11" t="s">
        <v>1047</v>
      </c>
      <c r="G190" s="5"/>
    </row>
    <row r="191" spans="1:7" x14ac:dyDescent="0.25">
      <c r="A191" s="6">
        <v>190</v>
      </c>
      <c r="B191" s="6" t="s">
        <v>750</v>
      </c>
      <c r="C191" s="6" t="s">
        <v>445</v>
      </c>
      <c r="D191" s="14" t="s">
        <v>764</v>
      </c>
      <c r="E191" s="7">
        <v>0.3</v>
      </c>
      <c r="F191" s="11" t="s">
        <v>1161</v>
      </c>
      <c r="G191" s="5"/>
    </row>
    <row r="192" spans="1:7" x14ac:dyDescent="0.25">
      <c r="A192" s="6">
        <v>191</v>
      </c>
      <c r="B192" s="6" t="s">
        <v>750</v>
      </c>
      <c r="C192" s="6" t="s">
        <v>445</v>
      </c>
      <c r="D192" s="14" t="s">
        <v>765</v>
      </c>
      <c r="E192" s="7">
        <v>4</v>
      </c>
      <c r="F192" s="11" t="s">
        <v>1048</v>
      </c>
      <c r="G192" s="5"/>
    </row>
    <row r="193" spans="1:7" x14ac:dyDescent="0.25">
      <c r="A193" s="6">
        <v>192</v>
      </c>
      <c r="B193" s="6" t="s">
        <v>750</v>
      </c>
      <c r="C193" s="6" t="s">
        <v>445</v>
      </c>
      <c r="D193" s="14" t="s">
        <v>767</v>
      </c>
      <c r="E193" s="7">
        <v>15</v>
      </c>
      <c r="F193" s="11" t="s">
        <v>1162</v>
      </c>
      <c r="G193" s="5"/>
    </row>
    <row r="194" spans="1:7" x14ac:dyDescent="0.25">
      <c r="A194" s="6">
        <v>193</v>
      </c>
      <c r="B194" s="6" t="s">
        <v>750</v>
      </c>
      <c r="C194" s="6" t="s">
        <v>445</v>
      </c>
      <c r="D194" s="14" t="s">
        <v>768</v>
      </c>
      <c r="E194" s="7">
        <v>6</v>
      </c>
      <c r="F194" s="11" t="s">
        <v>1049</v>
      </c>
      <c r="G194" s="5"/>
    </row>
    <row r="195" spans="1:7" x14ac:dyDescent="0.25">
      <c r="A195" s="6">
        <v>194</v>
      </c>
      <c r="B195" s="6" t="s">
        <v>750</v>
      </c>
      <c r="C195" s="6" t="s">
        <v>445</v>
      </c>
      <c r="D195" s="14" t="s">
        <v>774</v>
      </c>
      <c r="E195" s="7">
        <v>0.72</v>
      </c>
      <c r="F195" s="11" t="s">
        <v>775</v>
      </c>
      <c r="G195" s="5"/>
    </row>
    <row r="196" spans="1:7" x14ac:dyDescent="0.25">
      <c r="A196" s="6">
        <v>195</v>
      </c>
      <c r="B196" s="6" t="s">
        <v>750</v>
      </c>
      <c r="C196" s="6" t="s">
        <v>445</v>
      </c>
      <c r="D196" s="14" t="s">
        <v>770</v>
      </c>
      <c r="E196" s="7">
        <v>4</v>
      </c>
      <c r="F196" s="11" t="s">
        <v>1050</v>
      </c>
      <c r="G196" s="5"/>
    </row>
    <row r="197" spans="1:7" x14ac:dyDescent="0.25">
      <c r="A197" s="6">
        <v>196</v>
      </c>
      <c r="B197" s="6" t="s">
        <v>750</v>
      </c>
      <c r="C197" s="6" t="s">
        <v>445</v>
      </c>
      <c r="D197" s="14" t="s">
        <v>781</v>
      </c>
      <c r="E197" s="7">
        <v>3</v>
      </c>
      <c r="F197" s="11" t="s">
        <v>1051</v>
      </c>
      <c r="G197" s="5"/>
    </row>
    <row r="198" spans="1:7" x14ac:dyDescent="0.25">
      <c r="A198" s="6">
        <v>197</v>
      </c>
      <c r="B198" s="6" t="s">
        <v>750</v>
      </c>
      <c r="C198" s="6" t="s">
        <v>445</v>
      </c>
      <c r="D198" s="14" t="s">
        <v>787</v>
      </c>
      <c r="E198" s="7">
        <v>3</v>
      </c>
      <c r="F198" s="11" t="s">
        <v>1163</v>
      </c>
      <c r="G198" s="5"/>
    </row>
    <row r="199" spans="1:7" x14ac:dyDescent="0.25">
      <c r="A199" s="6">
        <v>198</v>
      </c>
      <c r="B199" s="6" t="s">
        <v>750</v>
      </c>
      <c r="C199" s="6" t="s">
        <v>445</v>
      </c>
      <c r="D199" s="14" t="s">
        <v>776</v>
      </c>
      <c r="E199" s="7">
        <v>1.6</v>
      </c>
      <c r="F199" s="11" t="s">
        <v>778</v>
      </c>
      <c r="G199" s="5"/>
    </row>
    <row r="200" spans="1:7" x14ac:dyDescent="0.25">
      <c r="A200" s="6">
        <v>199</v>
      </c>
      <c r="B200" s="6" t="s">
        <v>750</v>
      </c>
      <c r="C200" s="6" t="s">
        <v>445</v>
      </c>
      <c r="D200" s="14" t="s">
        <v>788</v>
      </c>
      <c r="E200" s="7">
        <v>0.5</v>
      </c>
      <c r="F200" s="11" t="s">
        <v>1052</v>
      </c>
      <c r="G200" s="5"/>
    </row>
    <row r="201" spans="1:7" x14ac:dyDescent="0.25">
      <c r="A201" s="6">
        <v>200</v>
      </c>
      <c r="B201" s="6" t="s">
        <v>750</v>
      </c>
      <c r="C201" s="6" t="s">
        <v>445</v>
      </c>
      <c r="D201" s="14" t="s">
        <v>797</v>
      </c>
      <c r="E201" s="7">
        <v>3</v>
      </c>
      <c r="F201" s="11" t="s">
        <v>1101</v>
      </c>
      <c r="G201" s="5"/>
    </row>
    <row r="202" spans="1:7" x14ac:dyDescent="0.25">
      <c r="A202" s="6">
        <v>201</v>
      </c>
      <c r="B202" s="6" t="s">
        <v>750</v>
      </c>
      <c r="C202" s="6" t="s">
        <v>445</v>
      </c>
      <c r="D202" s="14" t="s">
        <v>798</v>
      </c>
      <c r="E202" s="7">
        <v>0.25</v>
      </c>
      <c r="F202" s="11" t="s">
        <v>1310</v>
      </c>
      <c r="G202" s="5"/>
    </row>
    <row r="203" spans="1:7" x14ac:dyDescent="0.25">
      <c r="A203" s="6">
        <v>202</v>
      </c>
      <c r="B203" s="6" t="s">
        <v>750</v>
      </c>
      <c r="C203" s="6" t="s">
        <v>445</v>
      </c>
      <c r="D203" s="14" t="s">
        <v>806</v>
      </c>
      <c r="E203" s="7">
        <v>15</v>
      </c>
      <c r="F203" s="11" t="s">
        <v>1053</v>
      </c>
      <c r="G203" s="5"/>
    </row>
    <row r="204" spans="1:7" x14ac:dyDescent="0.25">
      <c r="A204" s="6">
        <v>203</v>
      </c>
      <c r="B204" s="6" t="s">
        <v>750</v>
      </c>
      <c r="C204" s="6" t="s">
        <v>445</v>
      </c>
      <c r="D204" s="14" t="s">
        <v>811</v>
      </c>
      <c r="E204" s="7">
        <v>2</v>
      </c>
      <c r="F204" s="11" t="s">
        <v>1164</v>
      </c>
      <c r="G204" s="5"/>
    </row>
    <row r="205" spans="1:7" x14ac:dyDescent="0.25">
      <c r="A205" s="6">
        <v>204</v>
      </c>
      <c r="B205" s="6" t="s">
        <v>750</v>
      </c>
      <c r="C205" s="6" t="s">
        <v>445</v>
      </c>
      <c r="D205" s="14" t="s">
        <v>812</v>
      </c>
      <c r="E205" s="7">
        <v>3.48</v>
      </c>
      <c r="F205" s="11" t="s">
        <v>1054</v>
      </c>
      <c r="G205" s="5"/>
    </row>
    <row r="206" spans="1:7" x14ac:dyDescent="0.25">
      <c r="A206" s="6">
        <v>205</v>
      </c>
      <c r="B206" s="6" t="s">
        <v>750</v>
      </c>
      <c r="C206" s="6" t="s">
        <v>445</v>
      </c>
      <c r="D206" s="14" t="s">
        <v>817</v>
      </c>
      <c r="E206" s="7">
        <v>8</v>
      </c>
      <c r="F206" s="11" t="s">
        <v>818</v>
      </c>
      <c r="G206" s="5"/>
    </row>
    <row r="207" spans="1:7" x14ac:dyDescent="0.25">
      <c r="A207" s="6">
        <v>206</v>
      </c>
      <c r="B207" s="6" t="s">
        <v>750</v>
      </c>
      <c r="C207" s="6" t="s">
        <v>445</v>
      </c>
      <c r="D207" s="14" t="s">
        <v>782</v>
      </c>
      <c r="E207" s="7">
        <v>7.5</v>
      </c>
      <c r="F207" s="11" t="s">
        <v>1055</v>
      </c>
      <c r="G207" s="5"/>
    </row>
    <row r="208" spans="1:7" x14ac:dyDescent="0.25">
      <c r="A208" s="6">
        <v>207</v>
      </c>
      <c r="B208" s="6" t="s">
        <v>750</v>
      </c>
      <c r="C208" s="6" t="s">
        <v>445</v>
      </c>
      <c r="D208" s="14" t="s">
        <v>820</v>
      </c>
      <c r="E208" s="7">
        <v>8</v>
      </c>
      <c r="F208" s="11" t="s">
        <v>821</v>
      </c>
      <c r="G208" s="5"/>
    </row>
    <row r="209" spans="1:7" x14ac:dyDescent="0.25">
      <c r="A209" s="6">
        <v>208</v>
      </c>
      <c r="B209" s="6" t="s">
        <v>750</v>
      </c>
      <c r="C209" s="6" t="s">
        <v>445</v>
      </c>
      <c r="D209" s="14" t="s">
        <v>813</v>
      </c>
      <c r="E209" s="7">
        <v>10</v>
      </c>
      <c r="F209" s="11" t="s">
        <v>814</v>
      </c>
      <c r="G209" s="5"/>
    </row>
    <row r="210" spans="1:7" x14ac:dyDescent="0.25">
      <c r="A210" s="6">
        <v>209</v>
      </c>
      <c r="B210" s="6" t="s">
        <v>287</v>
      </c>
      <c r="C210" s="6" t="s">
        <v>445</v>
      </c>
      <c r="D210" s="14" t="s">
        <v>829</v>
      </c>
      <c r="E210" s="7">
        <v>2.25</v>
      </c>
      <c r="F210" s="11" t="s">
        <v>1116</v>
      </c>
      <c r="G210" s="5"/>
    </row>
    <row r="211" spans="1:7" x14ac:dyDescent="0.25">
      <c r="A211" s="6">
        <v>210</v>
      </c>
      <c r="B211" s="6" t="s">
        <v>287</v>
      </c>
      <c r="C211" s="6" t="s">
        <v>445</v>
      </c>
      <c r="D211" s="14" t="s">
        <v>827</v>
      </c>
      <c r="E211" s="7">
        <v>2.25</v>
      </c>
      <c r="F211" s="11" t="s">
        <v>1118</v>
      </c>
      <c r="G211" s="5"/>
    </row>
    <row r="212" spans="1:7" x14ac:dyDescent="0.25">
      <c r="A212" s="6">
        <v>211</v>
      </c>
      <c r="B212" s="6" t="s">
        <v>287</v>
      </c>
      <c r="C212" s="6" t="s">
        <v>445</v>
      </c>
      <c r="D212" s="14" t="s">
        <v>859</v>
      </c>
      <c r="E212" s="7">
        <v>0.5</v>
      </c>
      <c r="F212" s="11" t="s">
        <v>1165</v>
      </c>
      <c r="G212" s="5"/>
    </row>
    <row r="213" spans="1:7" x14ac:dyDescent="0.25">
      <c r="A213" s="6">
        <v>212</v>
      </c>
      <c r="B213" s="6" t="s">
        <v>287</v>
      </c>
      <c r="C213" s="6" t="s">
        <v>445</v>
      </c>
      <c r="D213" s="14" t="s">
        <v>831</v>
      </c>
      <c r="E213" s="7">
        <v>0.5</v>
      </c>
      <c r="F213" s="11" t="s">
        <v>1119</v>
      </c>
      <c r="G213" s="5"/>
    </row>
    <row r="214" spans="1:7" x14ac:dyDescent="0.25">
      <c r="A214" s="6">
        <v>213</v>
      </c>
      <c r="B214" s="6" t="s">
        <v>287</v>
      </c>
      <c r="C214" s="6" t="s">
        <v>445</v>
      </c>
      <c r="D214" s="14" t="s">
        <v>832</v>
      </c>
      <c r="E214" s="7">
        <v>1</v>
      </c>
      <c r="F214" s="11" t="s">
        <v>1120</v>
      </c>
      <c r="G214" s="5"/>
    </row>
    <row r="215" spans="1:7" x14ac:dyDescent="0.25">
      <c r="A215" s="6">
        <v>214</v>
      </c>
      <c r="B215" s="6" t="s">
        <v>287</v>
      </c>
      <c r="C215" s="6" t="s">
        <v>445</v>
      </c>
      <c r="D215" s="15" t="s">
        <v>842</v>
      </c>
      <c r="E215" s="7">
        <v>2.25</v>
      </c>
      <c r="F215" s="11" t="s">
        <v>1121</v>
      </c>
      <c r="G215" s="5"/>
    </row>
    <row r="216" spans="1:7" x14ac:dyDescent="0.25">
      <c r="A216" s="6">
        <v>215</v>
      </c>
      <c r="B216" s="6" t="s">
        <v>287</v>
      </c>
      <c r="C216" s="6" t="s">
        <v>445</v>
      </c>
      <c r="D216" s="15" t="s">
        <v>865</v>
      </c>
      <c r="E216" s="7">
        <v>6</v>
      </c>
      <c r="F216" s="11" t="s">
        <v>1122</v>
      </c>
      <c r="G216" s="5"/>
    </row>
    <row r="217" spans="1:7" x14ac:dyDescent="0.25">
      <c r="A217" s="6">
        <v>216</v>
      </c>
      <c r="B217" s="6" t="s">
        <v>287</v>
      </c>
      <c r="C217" s="6" t="s">
        <v>445</v>
      </c>
      <c r="D217" s="15" t="s">
        <v>852</v>
      </c>
      <c r="E217" s="7">
        <v>2</v>
      </c>
      <c r="F217" s="11" t="s">
        <v>1123</v>
      </c>
      <c r="G217" s="5"/>
    </row>
    <row r="218" spans="1:7" x14ac:dyDescent="0.25">
      <c r="A218" s="6">
        <v>217</v>
      </c>
      <c r="B218" s="6" t="s">
        <v>287</v>
      </c>
      <c r="C218" s="6" t="s">
        <v>445</v>
      </c>
      <c r="D218" s="14" t="s">
        <v>833</v>
      </c>
      <c r="E218" s="7">
        <v>4</v>
      </c>
      <c r="F218" s="11" t="s">
        <v>1166</v>
      </c>
      <c r="G218" s="5"/>
    </row>
    <row r="219" spans="1:7" x14ac:dyDescent="0.25">
      <c r="A219" s="6">
        <v>218</v>
      </c>
      <c r="B219" s="6" t="s">
        <v>287</v>
      </c>
      <c r="C219" s="6" t="s">
        <v>445</v>
      </c>
      <c r="D219" s="14" t="s">
        <v>834</v>
      </c>
      <c r="E219" s="7">
        <v>0.5</v>
      </c>
      <c r="F219" s="11" t="s">
        <v>1167</v>
      </c>
      <c r="G219" s="5"/>
    </row>
    <row r="220" spans="1:7" x14ac:dyDescent="0.25">
      <c r="A220" s="6">
        <v>219</v>
      </c>
      <c r="B220" s="6" t="s">
        <v>287</v>
      </c>
      <c r="C220" s="6" t="s">
        <v>445</v>
      </c>
      <c r="D220" s="14" t="s">
        <v>835</v>
      </c>
      <c r="E220" s="7">
        <v>0.25</v>
      </c>
      <c r="F220" s="11" t="s">
        <v>1168</v>
      </c>
      <c r="G220" s="5"/>
    </row>
    <row r="221" spans="1:7" x14ac:dyDescent="0.25">
      <c r="A221" s="6">
        <v>220</v>
      </c>
      <c r="B221" s="6" t="s">
        <v>287</v>
      </c>
      <c r="C221" s="6" t="s">
        <v>445</v>
      </c>
      <c r="D221" s="14" t="s">
        <v>836</v>
      </c>
      <c r="E221" s="7">
        <v>4</v>
      </c>
      <c r="F221" s="11" t="s">
        <v>1169</v>
      </c>
      <c r="G221" s="5"/>
    </row>
    <row r="222" spans="1:7" x14ac:dyDescent="0.25">
      <c r="A222" s="6">
        <v>221</v>
      </c>
      <c r="B222" s="6" t="s">
        <v>287</v>
      </c>
      <c r="C222" s="6" t="s">
        <v>445</v>
      </c>
      <c r="D222" s="14" t="s">
        <v>864</v>
      </c>
      <c r="E222" s="7">
        <v>0.8</v>
      </c>
      <c r="F222" s="11" t="s">
        <v>1125</v>
      </c>
      <c r="G222" s="5"/>
    </row>
    <row r="223" spans="1:7" x14ac:dyDescent="0.25">
      <c r="A223" s="6">
        <v>222</v>
      </c>
      <c r="B223" s="6" t="s">
        <v>287</v>
      </c>
      <c r="C223" s="6" t="s">
        <v>445</v>
      </c>
      <c r="D223" s="14" t="s">
        <v>828</v>
      </c>
      <c r="E223" s="7">
        <v>5</v>
      </c>
      <c r="F223" s="11" t="s">
        <v>1124</v>
      </c>
      <c r="G223" s="5"/>
    </row>
    <row r="224" spans="1:7" x14ac:dyDescent="0.25">
      <c r="A224" s="6">
        <v>223</v>
      </c>
      <c r="B224" s="6" t="s">
        <v>287</v>
      </c>
      <c r="C224" s="6" t="s">
        <v>445</v>
      </c>
      <c r="D224" s="14" t="s">
        <v>830</v>
      </c>
      <c r="E224" s="7">
        <v>1.25</v>
      </c>
      <c r="F224" s="11" t="s">
        <v>1170</v>
      </c>
      <c r="G224" s="5"/>
    </row>
    <row r="225" spans="1:7" x14ac:dyDescent="0.25">
      <c r="A225" s="6">
        <v>224</v>
      </c>
      <c r="B225" s="6" t="s">
        <v>287</v>
      </c>
      <c r="C225" s="6" t="s">
        <v>445</v>
      </c>
      <c r="D225" s="14" t="s">
        <v>869</v>
      </c>
      <c r="E225" s="7">
        <v>9</v>
      </c>
      <c r="F225" s="11" t="s">
        <v>1126</v>
      </c>
      <c r="G225" s="5"/>
    </row>
    <row r="226" spans="1:7" x14ac:dyDescent="0.25">
      <c r="A226" s="6">
        <v>225</v>
      </c>
      <c r="B226" s="6" t="s">
        <v>287</v>
      </c>
      <c r="C226" s="6" t="s">
        <v>445</v>
      </c>
      <c r="D226" s="14" t="s">
        <v>837</v>
      </c>
      <c r="E226" s="7">
        <v>2.25</v>
      </c>
      <c r="F226" s="11" t="s">
        <v>1117</v>
      </c>
      <c r="G226" s="5"/>
    </row>
    <row r="227" spans="1:7" x14ac:dyDescent="0.25">
      <c r="A227" s="6">
        <v>226</v>
      </c>
      <c r="B227" s="6" t="s">
        <v>287</v>
      </c>
      <c r="C227" s="6" t="s">
        <v>445</v>
      </c>
      <c r="D227" s="14" t="s">
        <v>838</v>
      </c>
      <c r="E227" s="7">
        <v>3</v>
      </c>
      <c r="F227" s="11" t="s">
        <v>1127</v>
      </c>
      <c r="G227" s="5"/>
    </row>
    <row r="228" spans="1:7" x14ac:dyDescent="0.25">
      <c r="A228" s="6">
        <v>227</v>
      </c>
      <c r="B228" s="6" t="s">
        <v>287</v>
      </c>
      <c r="C228" s="6" t="s">
        <v>445</v>
      </c>
      <c r="D228" s="14" t="s">
        <v>1128</v>
      </c>
      <c r="E228" s="7">
        <v>5.5</v>
      </c>
      <c r="F228" s="11" t="s">
        <v>1171</v>
      </c>
      <c r="G228" s="5"/>
    </row>
    <row r="229" spans="1:7" x14ac:dyDescent="0.25">
      <c r="A229" s="6">
        <v>228</v>
      </c>
      <c r="B229" s="6" t="s">
        <v>287</v>
      </c>
      <c r="C229" s="6" t="s">
        <v>445</v>
      </c>
      <c r="D229" s="14" t="s">
        <v>843</v>
      </c>
      <c r="E229" s="7">
        <v>10.5</v>
      </c>
      <c r="F229" s="11" t="s">
        <v>1172</v>
      </c>
      <c r="G229" s="5"/>
    </row>
    <row r="230" spans="1:7" x14ac:dyDescent="0.25">
      <c r="A230" s="6">
        <v>229</v>
      </c>
      <c r="B230" s="6" t="s">
        <v>287</v>
      </c>
      <c r="C230" s="6" t="s">
        <v>445</v>
      </c>
      <c r="D230" s="14" t="s">
        <v>857</v>
      </c>
      <c r="E230" s="7">
        <v>0.1</v>
      </c>
      <c r="F230" s="11" t="s">
        <v>1173</v>
      </c>
      <c r="G230" s="5"/>
    </row>
    <row r="231" spans="1:7" x14ac:dyDescent="0.25">
      <c r="A231" s="6">
        <v>230</v>
      </c>
      <c r="B231" s="6" t="s">
        <v>287</v>
      </c>
      <c r="C231" s="6" t="s">
        <v>445</v>
      </c>
      <c r="D231" s="14" t="s">
        <v>878</v>
      </c>
      <c r="E231" s="7">
        <v>0.5</v>
      </c>
      <c r="F231" s="11" t="s">
        <v>1129</v>
      </c>
      <c r="G231" s="5"/>
    </row>
    <row r="232" spans="1:7" x14ac:dyDescent="0.25">
      <c r="A232" s="6">
        <v>231</v>
      </c>
      <c r="B232" s="6" t="s">
        <v>287</v>
      </c>
      <c r="C232" s="6" t="s">
        <v>445</v>
      </c>
      <c r="D232" s="14" t="s">
        <v>877</v>
      </c>
      <c r="E232" s="7">
        <v>2</v>
      </c>
      <c r="F232" s="11" t="s">
        <v>1131</v>
      </c>
      <c r="G232" s="5"/>
    </row>
    <row r="233" spans="1:7" x14ac:dyDescent="0.25">
      <c r="A233" s="6">
        <v>232</v>
      </c>
      <c r="B233" s="6" t="s">
        <v>287</v>
      </c>
      <c r="C233" s="6" t="s">
        <v>445</v>
      </c>
      <c r="D233" s="14" t="s">
        <v>876</v>
      </c>
      <c r="E233" s="7">
        <v>2.5</v>
      </c>
      <c r="F233" s="11" t="s">
        <v>1130</v>
      </c>
      <c r="G233" s="5"/>
    </row>
    <row r="234" spans="1:7" x14ac:dyDescent="0.25">
      <c r="A234" s="6">
        <v>233</v>
      </c>
      <c r="B234" s="6" t="s">
        <v>287</v>
      </c>
      <c r="C234" s="6" t="s">
        <v>445</v>
      </c>
      <c r="D234" s="14" t="s">
        <v>875</v>
      </c>
      <c r="E234" s="7">
        <v>2.5</v>
      </c>
      <c r="F234" s="11" t="s">
        <v>1132</v>
      </c>
      <c r="G234" s="5"/>
    </row>
    <row r="235" spans="1:7" x14ac:dyDescent="0.25">
      <c r="A235" s="6">
        <v>234</v>
      </c>
      <c r="B235" s="6" t="s">
        <v>287</v>
      </c>
      <c r="C235" s="6" t="s">
        <v>445</v>
      </c>
      <c r="D235" s="14" t="s">
        <v>872</v>
      </c>
      <c r="E235" s="7">
        <v>1.5</v>
      </c>
      <c r="F235" s="11" t="s">
        <v>1133</v>
      </c>
      <c r="G235" s="5"/>
    </row>
    <row r="236" spans="1:7" x14ac:dyDescent="0.25">
      <c r="A236" s="6">
        <v>235</v>
      </c>
      <c r="B236" s="6" t="s">
        <v>287</v>
      </c>
      <c r="C236" s="6" t="s">
        <v>445</v>
      </c>
      <c r="D236" s="14" t="s">
        <v>873</v>
      </c>
      <c r="E236" s="7">
        <v>4.5</v>
      </c>
      <c r="F236" s="11" t="s">
        <v>1174</v>
      </c>
      <c r="G236" s="5"/>
    </row>
    <row r="237" spans="1:7" x14ac:dyDescent="0.25">
      <c r="A237" s="6">
        <v>236</v>
      </c>
      <c r="B237" s="6" t="s">
        <v>287</v>
      </c>
      <c r="C237" s="6" t="s">
        <v>445</v>
      </c>
      <c r="D237" s="14" t="s">
        <v>874</v>
      </c>
      <c r="E237" s="7">
        <v>0.5</v>
      </c>
      <c r="F237" s="11" t="s">
        <v>1134</v>
      </c>
      <c r="G237" s="5"/>
    </row>
    <row r="238" spans="1:7" x14ac:dyDescent="0.25">
      <c r="A238" s="6">
        <v>237</v>
      </c>
      <c r="B238" s="6" t="s">
        <v>287</v>
      </c>
      <c r="C238" s="6" t="s">
        <v>445</v>
      </c>
      <c r="D238" s="14" t="s">
        <v>861</v>
      </c>
      <c r="E238" s="7">
        <v>9</v>
      </c>
      <c r="F238" s="11" t="s">
        <v>1135</v>
      </c>
      <c r="G238" s="5"/>
    </row>
    <row r="239" spans="1:7" x14ac:dyDescent="0.25">
      <c r="A239" s="6">
        <v>238</v>
      </c>
      <c r="B239" s="6" t="s">
        <v>287</v>
      </c>
      <c r="C239" s="6" t="s">
        <v>445</v>
      </c>
      <c r="D239" s="14" t="s">
        <v>853</v>
      </c>
      <c r="E239" s="7">
        <v>1</v>
      </c>
      <c r="F239" s="11" t="s">
        <v>1136</v>
      </c>
      <c r="G239" s="5"/>
    </row>
    <row r="240" spans="1:7" x14ac:dyDescent="0.25">
      <c r="A240" s="6">
        <v>239</v>
      </c>
      <c r="B240" s="6" t="s">
        <v>287</v>
      </c>
      <c r="C240" s="6" t="s">
        <v>445</v>
      </c>
      <c r="D240" s="14" t="s">
        <v>862</v>
      </c>
      <c r="E240" s="7">
        <v>0.5</v>
      </c>
      <c r="F240" s="11" t="s">
        <v>1137</v>
      </c>
      <c r="G240" s="5"/>
    </row>
    <row r="241" spans="1:7" x14ac:dyDescent="0.25">
      <c r="A241" s="6">
        <v>240</v>
      </c>
      <c r="B241" s="6" t="s">
        <v>287</v>
      </c>
      <c r="C241" s="6" t="s">
        <v>445</v>
      </c>
      <c r="D241" s="14" t="s">
        <v>870</v>
      </c>
      <c r="E241" s="7">
        <v>3</v>
      </c>
      <c r="F241" s="11" t="s">
        <v>1138</v>
      </c>
      <c r="G241" s="5"/>
    </row>
    <row r="242" spans="1:7" x14ac:dyDescent="0.25">
      <c r="A242" s="6">
        <v>241</v>
      </c>
      <c r="B242" s="6" t="s">
        <v>287</v>
      </c>
      <c r="C242" s="6" t="s">
        <v>445</v>
      </c>
      <c r="D242" s="14" t="s">
        <v>863</v>
      </c>
      <c r="E242" s="7">
        <v>0.4</v>
      </c>
      <c r="F242" s="11" t="s">
        <v>1139</v>
      </c>
      <c r="G242" s="5"/>
    </row>
    <row r="243" spans="1:7" x14ac:dyDescent="0.25">
      <c r="A243" s="6">
        <v>242</v>
      </c>
      <c r="B243" s="6" t="s">
        <v>287</v>
      </c>
      <c r="C243" s="6" t="s">
        <v>445</v>
      </c>
      <c r="D243" s="14" t="s">
        <v>845</v>
      </c>
      <c r="E243" s="7">
        <v>2.25</v>
      </c>
      <c r="F243" s="11" t="s">
        <v>1140</v>
      </c>
      <c r="G243" s="5"/>
    </row>
    <row r="244" spans="1:7" x14ac:dyDescent="0.25">
      <c r="A244" s="6">
        <v>243</v>
      </c>
      <c r="B244" s="6" t="s">
        <v>287</v>
      </c>
      <c r="C244" s="6" t="s">
        <v>445</v>
      </c>
      <c r="D244" s="14" t="s">
        <v>851</v>
      </c>
      <c r="E244" s="7">
        <v>3</v>
      </c>
      <c r="F244" s="11" t="s">
        <v>1141</v>
      </c>
      <c r="G244" s="5"/>
    </row>
    <row r="245" spans="1:7" x14ac:dyDescent="0.25">
      <c r="A245" s="6">
        <v>244</v>
      </c>
      <c r="B245" s="6" t="s">
        <v>287</v>
      </c>
      <c r="C245" s="6" t="s">
        <v>445</v>
      </c>
      <c r="D245" s="14" t="s">
        <v>855</v>
      </c>
      <c r="E245" s="7">
        <v>0.6</v>
      </c>
      <c r="F245" s="11" t="s">
        <v>1143</v>
      </c>
      <c r="G245" s="5"/>
    </row>
    <row r="246" spans="1:7" x14ac:dyDescent="0.25">
      <c r="A246" s="6">
        <v>245</v>
      </c>
      <c r="B246" s="6" t="s">
        <v>287</v>
      </c>
      <c r="C246" s="6" t="s">
        <v>445</v>
      </c>
      <c r="D246" s="14" t="s">
        <v>868</v>
      </c>
      <c r="E246" s="7">
        <v>30</v>
      </c>
      <c r="F246" s="11" t="s">
        <v>1142</v>
      </c>
      <c r="G246" s="5"/>
    </row>
    <row r="247" spans="1:7" x14ac:dyDescent="0.25">
      <c r="A247" s="6">
        <v>246</v>
      </c>
      <c r="B247" s="6" t="s">
        <v>287</v>
      </c>
      <c r="C247" s="6" t="s">
        <v>445</v>
      </c>
      <c r="D247" s="14" t="s">
        <v>840</v>
      </c>
      <c r="E247" s="7">
        <v>3</v>
      </c>
      <c r="F247" s="11" t="s">
        <v>1146</v>
      </c>
      <c r="G247" s="5"/>
    </row>
    <row r="248" spans="1:7" x14ac:dyDescent="0.25">
      <c r="A248" s="6">
        <v>247</v>
      </c>
      <c r="B248" s="6" t="s">
        <v>134</v>
      </c>
      <c r="C248" s="6" t="s">
        <v>445</v>
      </c>
      <c r="D248" s="14" t="s">
        <v>1144</v>
      </c>
      <c r="E248" s="7">
        <v>3</v>
      </c>
      <c r="F248" s="11" t="s">
        <v>1145</v>
      </c>
      <c r="G248" s="5"/>
    </row>
    <row r="249" spans="1:7" x14ac:dyDescent="0.25">
      <c r="A249" s="6">
        <v>248</v>
      </c>
      <c r="B249" s="6" t="s">
        <v>287</v>
      </c>
      <c r="C249" s="6" t="s">
        <v>445</v>
      </c>
      <c r="D249" s="14" t="s">
        <v>871</v>
      </c>
      <c r="E249" s="7">
        <v>6</v>
      </c>
      <c r="F249" s="11" t="s">
        <v>1147</v>
      </c>
      <c r="G249" s="5"/>
    </row>
    <row r="250" spans="1:7" x14ac:dyDescent="0.25">
      <c r="A250" s="6">
        <v>249</v>
      </c>
      <c r="B250" s="6" t="s">
        <v>287</v>
      </c>
      <c r="C250" s="6" t="s">
        <v>445</v>
      </c>
      <c r="D250" s="15" t="s">
        <v>841</v>
      </c>
      <c r="E250" s="7">
        <v>15</v>
      </c>
      <c r="F250" s="11" t="s">
        <v>1175</v>
      </c>
      <c r="G250" s="5"/>
    </row>
    <row r="251" spans="1:7" x14ac:dyDescent="0.25">
      <c r="A251" s="6">
        <v>250</v>
      </c>
      <c r="B251" s="6" t="s">
        <v>287</v>
      </c>
      <c r="C251" s="6" t="s">
        <v>445</v>
      </c>
      <c r="D251" s="15" t="s">
        <v>844</v>
      </c>
      <c r="E251" s="7">
        <v>9</v>
      </c>
      <c r="F251" s="11" t="s">
        <v>1183</v>
      </c>
      <c r="G251" s="5"/>
    </row>
    <row r="252" spans="1:7" x14ac:dyDescent="0.25">
      <c r="A252" s="6">
        <v>251</v>
      </c>
      <c r="B252" s="6" t="s">
        <v>287</v>
      </c>
      <c r="C252" s="6" t="s">
        <v>445</v>
      </c>
      <c r="D252" s="15" t="s">
        <v>854</v>
      </c>
      <c r="E252" s="7">
        <v>5</v>
      </c>
      <c r="F252" s="11" t="s">
        <v>1184</v>
      </c>
      <c r="G252" s="5"/>
    </row>
    <row r="253" spans="1:7" x14ac:dyDescent="0.25">
      <c r="A253" s="6">
        <v>252</v>
      </c>
      <c r="B253" s="6" t="s">
        <v>287</v>
      </c>
      <c r="C253" s="6" t="s">
        <v>445</v>
      </c>
      <c r="D253" s="15" t="s">
        <v>860</v>
      </c>
      <c r="E253" s="7">
        <v>10</v>
      </c>
      <c r="F253" s="11" t="s">
        <v>1186</v>
      </c>
      <c r="G253" s="5"/>
    </row>
    <row r="254" spans="1:7" x14ac:dyDescent="0.25">
      <c r="A254" s="6">
        <v>253</v>
      </c>
      <c r="B254" s="6" t="s">
        <v>287</v>
      </c>
      <c r="C254" s="6" t="s">
        <v>445</v>
      </c>
      <c r="D254" s="14" t="s">
        <v>839</v>
      </c>
      <c r="E254" s="7">
        <v>1</v>
      </c>
      <c r="F254" s="11" t="s">
        <v>1185</v>
      </c>
      <c r="G254" s="5"/>
    </row>
    <row r="255" spans="1:7" x14ac:dyDescent="0.25">
      <c r="A255" s="6">
        <v>254</v>
      </c>
      <c r="B255" s="6" t="s">
        <v>287</v>
      </c>
      <c r="C255" s="6" t="s">
        <v>445</v>
      </c>
      <c r="D255" s="14" t="s">
        <v>897</v>
      </c>
      <c r="E255" s="7">
        <v>2.25</v>
      </c>
      <c r="F255" s="11" t="s">
        <v>1187</v>
      </c>
      <c r="G255" s="5"/>
    </row>
    <row r="256" spans="1:7" x14ac:dyDescent="0.25">
      <c r="A256" s="6">
        <v>255</v>
      </c>
      <c r="B256" s="6" t="s">
        <v>287</v>
      </c>
      <c r="C256" s="6" t="s">
        <v>445</v>
      </c>
      <c r="D256" s="14" t="s">
        <v>856</v>
      </c>
      <c r="E256" s="7">
        <v>12</v>
      </c>
      <c r="F256" s="11" t="s">
        <v>1188</v>
      </c>
      <c r="G256" s="5"/>
    </row>
    <row r="257" spans="1:7" x14ac:dyDescent="0.25">
      <c r="A257" s="6">
        <v>256</v>
      </c>
      <c r="B257" s="6" t="s">
        <v>287</v>
      </c>
      <c r="C257" s="6" t="s">
        <v>445</v>
      </c>
      <c r="D257" s="14" t="s">
        <v>858</v>
      </c>
      <c r="E257" s="7">
        <v>4</v>
      </c>
      <c r="F257" s="11" t="s">
        <v>1189</v>
      </c>
      <c r="G257" s="5"/>
    </row>
    <row r="258" spans="1:7" x14ac:dyDescent="0.25">
      <c r="A258" s="6">
        <v>257</v>
      </c>
      <c r="B258" s="6" t="s">
        <v>447</v>
      </c>
      <c r="C258" s="6" t="s">
        <v>446</v>
      </c>
      <c r="D258" s="14" t="s">
        <v>377</v>
      </c>
      <c r="E258" s="7">
        <v>-5</v>
      </c>
      <c r="F258" s="11" t="s">
        <v>1056</v>
      </c>
      <c r="G258" s="5"/>
    </row>
    <row r="259" spans="1:7" x14ac:dyDescent="0.25">
      <c r="A259" s="6">
        <v>258</v>
      </c>
      <c r="B259" s="6" t="s">
        <v>447</v>
      </c>
      <c r="C259" s="6" t="s">
        <v>446</v>
      </c>
      <c r="D259" s="14" t="s">
        <v>512</v>
      </c>
      <c r="E259" s="7">
        <v>-2</v>
      </c>
      <c r="F259" s="11" t="s">
        <v>1084</v>
      </c>
      <c r="G259" s="5"/>
    </row>
    <row r="260" spans="1:7" x14ac:dyDescent="0.25">
      <c r="A260" s="6">
        <v>259</v>
      </c>
      <c r="B260" s="6" t="s">
        <v>447</v>
      </c>
      <c r="C260" s="6" t="s">
        <v>446</v>
      </c>
      <c r="D260" s="14" t="s">
        <v>511</v>
      </c>
      <c r="E260" s="7">
        <v>-2</v>
      </c>
      <c r="F260" s="11" t="s">
        <v>1085</v>
      </c>
      <c r="G260" s="5"/>
    </row>
    <row r="261" spans="1:7" x14ac:dyDescent="0.25">
      <c r="A261" s="6">
        <v>260</v>
      </c>
      <c r="B261" s="6" t="s">
        <v>447</v>
      </c>
      <c r="C261" s="6" t="s">
        <v>446</v>
      </c>
      <c r="D261" s="14" t="s">
        <v>459</v>
      </c>
      <c r="E261" s="7">
        <v>-1</v>
      </c>
      <c r="F261" s="11" t="s">
        <v>1086</v>
      </c>
      <c r="G261" s="5"/>
    </row>
    <row r="262" spans="1:7" x14ac:dyDescent="0.25">
      <c r="A262" s="6">
        <v>261</v>
      </c>
      <c r="B262" s="6" t="s">
        <v>447</v>
      </c>
      <c r="C262" s="6" t="s">
        <v>446</v>
      </c>
      <c r="D262" s="14" t="s">
        <v>461</v>
      </c>
      <c r="E262" s="7">
        <v>-1</v>
      </c>
      <c r="F262" s="11" t="s">
        <v>1087</v>
      </c>
      <c r="G262" s="5"/>
    </row>
    <row r="263" spans="1:7" x14ac:dyDescent="0.25">
      <c r="A263" s="6">
        <v>262</v>
      </c>
      <c r="B263" s="6" t="s">
        <v>447</v>
      </c>
      <c r="C263" s="6" t="s">
        <v>446</v>
      </c>
      <c r="D263" s="14" t="s">
        <v>460</v>
      </c>
      <c r="E263" s="7">
        <v>-1</v>
      </c>
      <c r="F263" s="11" t="s">
        <v>1088</v>
      </c>
      <c r="G263" s="5"/>
    </row>
    <row r="264" spans="1:7" x14ac:dyDescent="0.25">
      <c r="A264" s="6">
        <v>263</v>
      </c>
      <c r="B264" s="6" t="s">
        <v>447</v>
      </c>
      <c r="C264" s="6" t="s">
        <v>446</v>
      </c>
      <c r="D264" s="14" t="s">
        <v>1196</v>
      </c>
      <c r="E264" s="7">
        <v>-1</v>
      </c>
      <c r="F264" s="11" t="s">
        <v>1197</v>
      </c>
      <c r="G264" s="5"/>
    </row>
    <row r="265" spans="1:7" x14ac:dyDescent="0.25">
      <c r="A265" s="6">
        <v>264</v>
      </c>
      <c r="B265" s="6" t="s">
        <v>447</v>
      </c>
      <c r="C265" s="6" t="s">
        <v>446</v>
      </c>
      <c r="D265" s="14" t="s">
        <v>772</v>
      </c>
      <c r="E265" s="7">
        <v>-3</v>
      </c>
      <c r="F265" s="11" t="s">
        <v>773</v>
      </c>
      <c r="G265" s="5"/>
    </row>
    <row r="266" spans="1:7" x14ac:dyDescent="0.25">
      <c r="A266" s="6">
        <v>265</v>
      </c>
      <c r="B266" s="6" t="s">
        <v>447</v>
      </c>
      <c r="C266" s="6" t="s">
        <v>446</v>
      </c>
      <c r="D266" s="14" t="s">
        <v>1207</v>
      </c>
      <c r="E266" s="7">
        <v>-0.5</v>
      </c>
      <c r="F266" s="11" t="s">
        <v>1208</v>
      </c>
      <c r="G266" s="5"/>
    </row>
    <row r="267" spans="1:7" x14ac:dyDescent="0.25">
      <c r="A267" s="6">
        <v>266</v>
      </c>
      <c r="B267" s="6" t="s">
        <v>447</v>
      </c>
      <c r="C267" s="6" t="s">
        <v>446</v>
      </c>
      <c r="D267" s="14" t="s">
        <v>462</v>
      </c>
      <c r="E267" s="7">
        <v>-1</v>
      </c>
      <c r="F267" s="11" t="s">
        <v>1089</v>
      </c>
      <c r="G267" s="5"/>
    </row>
    <row r="268" spans="1:7" x14ac:dyDescent="0.25">
      <c r="A268" s="6">
        <v>267</v>
      </c>
      <c r="B268" s="6" t="s">
        <v>447</v>
      </c>
      <c r="C268" s="6" t="s">
        <v>446</v>
      </c>
      <c r="D268" s="14" t="s">
        <v>389</v>
      </c>
      <c r="E268" s="7">
        <v>-3</v>
      </c>
      <c r="F268" s="11" t="s">
        <v>1090</v>
      </c>
      <c r="G268" s="5"/>
    </row>
    <row r="269" spans="1:7" x14ac:dyDescent="0.25">
      <c r="A269" s="6">
        <v>268</v>
      </c>
      <c r="B269" s="6" t="s">
        <v>447</v>
      </c>
      <c r="C269" s="6" t="s">
        <v>446</v>
      </c>
      <c r="D269" s="14" t="s">
        <v>487</v>
      </c>
      <c r="E269" s="7">
        <v>-3</v>
      </c>
      <c r="F269" s="11" t="s">
        <v>1091</v>
      </c>
      <c r="G269" s="5"/>
    </row>
    <row r="270" spans="1:7" x14ac:dyDescent="0.25">
      <c r="A270" s="6">
        <v>269</v>
      </c>
      <c r="B270" s="6" t="s">
        <v>447</v>
      </c>
      <c r="C270" s="6" t="s">
        <v>446</v>
      </c>
      <c r="D270" s="14" t="s">
        <v>396</v>
      </c>
      <c r="E270" s="7">
        <v>-3</v>
      </c>
      <c r="F270" s="11" t="s">
        <v>1092</v>
      </c>
      <c r="G270" s="5"/>
    </row>
    <row r="271" spans="1:7" x14ac:dyDescent="0.25">
      <c r="A271" s="6">
        <v>270</v>
      </c>
      <c r="B271" s="6" t="s">
        <v>447</v>
      </c>
      <c r="C271" s="6" t="s">
        <v>446</v>
      </c>
      <c r="D271" s="14" t="s">
        <v>398</v>
      </c>
      <c r="E271" s="7">
        <v>-5</v>
      </c>
      <c r="F271" s="11" t="s">
        <v>1093</v>
      </c>
      <c r="G271" s="5"/>
    </row>
    <row r="272" spans="1:7" x14ac:dyDescent="0.25">
      <c r="A272" s="6">
        <v>271</v>
      </c>
      <c r="B272" s="6" t="s">
        <v>447</v>
      </c>
      <c r="C272" s="6" t="s">
        <v>446</v>
      </c>
      <c r="D272" s="14" t="s">
        <v>401</v>
      </c>
      <c r="E272" s="7">
        <v>-5</v>
      </c>
      <c r="F272" s="11" t="s">
        <v>1109</v>
      </c>
      <c r="G272" s="5"/>
    </row>
    <row r="273" spans="1:7" x14ac:dyDescent="0.25">
      <c r="A273" s="6">
        <v>272</v>
      </c>
      <c r="B273" s="6" t="s">
        <v>447</v>
      </c>
      <c r="C273" s="6" t="s">
        <v>446</v>
      </c>
      <c r="D273" s="14" t="s">
        <v>399</v>
      </c>
      <c r="E273" s="7">
        <v>-5</v>
      </c>
      <c r="F273" s="11" t="s">
        <v>1110</v>
      </c>
      <c r="G273" s="5"/>
    </row>
    <row r="274" spans="1:7" x14ac:dyDescent="0.25">
      <c r="A274" s="6">
        <v>273</v>
      </c>
      <c r="B274" s="6" t="s">
        <v>447</v>
      </c>
      <c r="C274" s="6" t="s">
        <v>446</v>
      </c>
      <c r="D274" s="14" t="s">
        <v>394</v>
      </c>
      <c r="E274" s="7">
        <v>-10</v>
      </c>
      <c r="F274" s="11" t="s">
        <v>1111</v>
      </c>
      <c r="G274" s="5"/>
    </row>
    <row r="275" spans="1:7" x14ac:dyDescent="0.25">
      <c r="A275" s="6">
        <v>274</v>
      </c>
      <c r="B275" s="6" t="s">
        <v>447</v>
      </c>
      <c r="C275" s="6" t="s">
        <v>446</v>
      </c>
      <c r="D275" s="14" t="s">
        <v>403</v>
      </c>
      <c r="E275" s="7">
        <v>-3</v>
      </c>
      <c r="F275" s="11" t="s">
        <v>1094</v>
      </c>
      <c r="G275" s="5"/>
    </row>
    <row r="276" spans="1:7" x14ac:dyDescent="0.25">
      <c r="A276" s="6">
        <v>275</v>
      </c>
      <c r="B276" s="6" t="s">
        <v>447</v>
      </c>
      <c r="C276" s="6" t="s">
        <v>446</v>
      </c>
      <c r="D276" s="14" t="s">
        <v>402</v>
      </c>
      <c r="E276" s="7">
        <v>-3</v>
      </c>
      <c r="F276" s="11" t="s">
        <v>1108</v>
      </c>
      <c r="G276" s="5"/>
    </row>
    <row r="277" spans="1:7" x14ac:dyDescent="0.25">
      <c r="A277" s="6">
        <v>276</v>
      </c>
      <c r="B277" s="6" t="s">
        <v>447</v>
      </c>
      <c r="C277" s="6" t="s">
        <v>446</v>
      </c>
      <c r="D277" s="14" t="s">
        <v>407</v>
      </c>
      <c r="E277" s="7">
        <v>-1</v>
      </c>
      <c r="F277" s="11" t="s">
        <v>1095</v>
      </c>
      <c r="G277" s="5"/>
    </row>
    <row r="278" spans="1:7" x14ac:dyDescent="0.25">
      <c r="A278" s="6">
        <v>277</v>
      </c>
      <c r="B278" s="6" t="s">
        <v>447</v>
      </c>
      <c r="C278" s="6" t="s">
        <v>446</v>
      </c>
      <c r="D278" s="14" t="s">
        <v>411</v>
      </c>
      <c r="E278" s="7">
        <v>-1</v>
      </c>
      <c r="F278" s="11" t="s">
        <v>1096</v>
      </c>
      <c r="G278" s="5"/>
    </row>
    <row r="279" spans="1:7" x14ac:dyDescent="0.25">
      <c r="A279" s="6">
        <v>278</v>
      </c>
      <c r="B279" s="6" t="s">
        <v>447</v>
      </c>
      <c r="C279" s="6" t="s">
        <v>446</v>
      </c>
      <c r="D279" s="14" t="s">
        <v>1300</v>
      </c>
      <c r="E279" s="7">
        <v>-1</v>
      </c>
      <c r="F279" s="11" t="s">
        <v>1301</v>
      </c>
      <c r="G279" s="5"/>
    </row>
    <row r="280" spans="1:7" x14ac:dyDescent="0.25">
      <c r="A280" s="6">
        <v>279</v>
      </c>
      <c r="B280" s="6" t="s">
        <v>447</v>
      </c>
      <c r="C280" s="6" t="s">
        <v>446</v>
      </c>
      <c r="D280" s="14" t="s">
        <v>415</v>
      </c>
      <c r="E280" s="7">
        <v>-1</v>
      </c>
      <c r="F280" s="11" t="s">
        <v>1106</v>
      </c>
      <c r="G280" s="5"/>
    </row>
    <row r="281" spans="1:7" x14ac:dyDescent="0.25">
      <c r="A281" s="6">
        <v>280</v>
      </c>
      <c r="B281" s="6" t="s">
        <v>447</v>
      </c>
      <c r="C281" s="6" t="s">
        <v>446</v>
      </c>
      <c r="D281" s="14" t="s">
        <v>413</v>
      </c>
      <c r="E281" s="7">
        <v>-3</v>
      </c>
      <c r="F281" s="11" t="s">
        <v>1107</v>
      </c>
      <c r="G281" s="5"/>
    </row>
    <row r="282" spans="1:7" x14ac:dyDescent="0.25">
      <c r="A282" s="6">
        <v>281</v>
      </c>
      <c r="B282" s="6" t="s">
        <v>447</v>
      </c>
      <c r="C282" s="6" t="s">
        <v>446</v>
      </c>
      <c r="D282" s="14" t="s">
        <v>98</v>
      </c>
      <c r="E282" s="7">
        <v>-3</v>
      </c>
      <c r="F282" s="11" t="s">
        <v>1097</v>
      </c>
      <c r="G282" s="5"/>
    </row>
    <row r="283" spans="1:7" x14ac:dyDescent="0.25">
      <c r="A283" s="6">
        <v>282</v>
      </c>
      <c r="B283" s="6" t="s">
        <v>447</v>
      </c>
      <c r="C283" s="6" t="s">
        <v>446</v>
      </c>
      <c r="D283" s="14" t="s">
        <v>1211</v>
      </c>
      <c r="E283" s="7">
        <v>-3</v>
      </c>
      <c r="F283" s="11" t="s">
        <v>1212</v>
      </c>
      <c r="G283" s="5"/>
    </row>
    <row r="284" spans="1:7" x14ac:dyDescent="0.25">
      <c r="A284" s="6">
        <v>283</v>
      </c>
      <c r="B284" s="6" t="s">
        <v>447</v>
      </c>
      <c r="C284" s="6" t="s">
        <v>446</v>
      </c>
      <c r="D284" s="14" t="s">
        <v>454</v>
      </c>
      <c r="E284" s="7">
        <v>-9</v>
      </c>
      <c r="F284" s="11" t="s">
        <v>1102</v>
      </c>
      <c r="G284" s="5"/>
    </row>
    <row r="285" spans="1:7" x14ac:dyDescent="0.25">
      <c r="A285" s="6">
        <v>284</v>
      </c>
      <c r="B285" s="6" t="s">
        <v>447</v>
      </c>
      <c r="C285" s="6" t="s">
        <v>446</v>
      </c>
      <c r="D285" s="14" t="s">
        <v>1213</v>
      </c>
      <c r="E285" s="7">
        <v>-3</v>
      </c>
      <c r="F285" s="11" t="s">
        <v>1214</v>
      </c>
      <c r="G285" s="5"/>
    </row>
    <row r="286" spans="1:7" x14ac:dyDescent="0.25">
      <c r="A286" s="6">
        <v>285</v>
      </c>
      <c r="B286" s="6" t="s">
        <v>447</v>
      </c>
      <c r="C286" s="6" t="s">
        <v>446</v>
      </c>
      <c r="D286" s="14" t="s">
        <v>127</v>
      </c>
      <c r="E286" s="7">
        <v>-1</v>
      </c>
      <c r="F286" s="11" t="s">
        <v>1098</v>
      </c>
      <c r="G286" s="5"/>
    </row>
    <row r="287" spans="1:7" x14ac:dyDescent="0.25">
      <c r="A287" s="6">
        <v>286</v>
      </c>
      <c r="B287" s="6" t="s">
        <v>447</v>
      </c>
      <c r="C287" s="6" t="s">
        <v>446</v>
      </c>
      <c r="D287" s="14" t="s">
        <v>455</v>
      </c>
      <c r="E287" s="7">
        <v>-1</v>
      </c>
      <c r="F287" s="11" t="s">
        <v>1103</v>
      </c>
      <c r="G287" s="5"/>
    </row>
    <row r="288" spans="1:7" x14ac:dyDescent="0.25">
      <c r="A288" s="6">
        <v>287</v>
      </c>
      <c r="B288" s="6" t="s">
        <v>447</v>
      </c>
      <c r="C288" s="6" t="s">
        <v>446</v>
      </c>
      <c r="D288" s="14" t="s">
        <v>456</v>
      </c>
      <c r="E288" s="7">
        <v>-1</v>
      </c>
      <c r="F288" s="11" t="s">
        <v>1104</v>
      </c>
      <c r="G288" s="5"/>
    </row>
    <row r="289" spans="1:7" x14ac:dyDescent="0.25">
      <c r="A289" s="6">
        <v>288</v>
      </c>
      <c r="B289" s="6" t="s">
        <v>447</v>
      </c>
      <c r="C289" s="6" t="s">
        <v>446</v>
      </c>
      <c r="D289" s="14" t="s">
        <v>457</v>
      </c>
      <c r="E289" s="7">
        <v>-2</v>
      </c>
      <c r="F289" s="11" t="s">
        <v>1105</v>
      </c>
      <c r="G289" s="5"/>
    </row>
    <row r="290" spans="1:7" x14ac:dyDescent="0.25">
      <c r="A290" s="6">
        <v>289</v>
      </c>
      <c r="B290" s="6" t="s">
        <v>447</v>
      </c>
      <c r="C290" s="6" t="s">
        <v>446</v>
      </c>
      <c r="D290" s="14" t="s">
        <v>672</v>
      </c>
      <c r="E290" s="7">
        <v>-1</v>
      </c>
      <c r="F290" s="11" t="s">
        <v>673</v>
      </c>
      <c r="G290" s="5"/>
    </row>
    <row r="291" spans="1:7" x14ac:dyDescent="0.25">
      <c r="A291" s="6">
        <v>290</v>
      </c>
      <c r="B291" s="6" t="s">
        <v>447</v>
      </c>
      <c r="C291" s="6" t="s">
        <v>446</v>
      </c>
      <c r="D291" s="14" t="s">
        <v>283</v>
      </c>
      <c r="E291" s="7">
        <v>-1</v>
      </c>
      <c r="F291" s="11" t="s">
        <v>1112</v>
      </c>
      <c r="G291" s="5"/>
    </row>
    <row r="292" spans="1:7" x14ac:dyDescent="0.25">
      <c r="A292" s="6">
        <v>291</v>
      </c>
      <c r="B292" s="6" t="s">
        <v>447</v>
      </c>
      <c r="C292" s="6" t="s">
        <v>446</v>
      </c>
      <c r="D292" s="14" t="s">
        <v>284</v>
      </c>
      <c r="E292" s="7">
        <v>-5</v>
      </c>
      <c r="F292" s="11" t="s">
        <v>285</v>
      </c>
      <c r="G292" s="5"/>
    </row>
    <row r="293" spans="1:7" x14ac:dyDescent="0.25">
      <c r="A293" s="6">
        <v>292</v>
      </c>
      <c r="B293" s="6" t="s">
        <v>447</v>
      </c>
      <c r="C293" s="6" t="s">
        <v>446</v>
      </c>
      <c r="D293" s="14" t="s">
        <v>1191</v>
      </c>
      <c r="E293" s="7">
        <v>-3</v>
      </c>
      <c r="F293" s="11" t="s">
        <v>1192</v>
      </c>
      <c r="G293" s="5"/>
    </row>
    <row r="294" spans="1:7" x14ac:dyDescent="0.25">
      <c r="A294" s="6">
        <v>293</v>
      </c>
      <c r="B294" s="6" t="s">
        <v>447</v>
      </c>
      <c r="C294" s="6" t="s">
        <v>446</v>
      </c>
      <c r="D294" s="14" t="s">
        <v>697</v>
      </c>
      <c r="E294" s="7">
        <v>-5</v>
      </c>
      <c r="F294" s="11" t="s">
        <v>1057</v>
      </c>
      <c r="G294" s="5"/>
    </row>
    <row r="295" spans="1:7" x14ac:dyDescent="0.25">
      <c r="A295" s="6">
        <v>294</v>
      </c>
      <c r="B295" s="6" t="s">
        <v>447</v>
      </c>
      <c r="C295" s="6" t="s">
        <v>446</v>
      </c>
      <c r="D295" s="14" t="s">
        <v>696</v>
      </c>
      <c r="E295" s="7">
        <v>-5</v>
      </c>
      <c r="F295" s="11" t="s">
        <v>1058</v>
      </c>
      <c r="G295" s="5"/>
    </row>
    <row r="296" spans="1:7" x14ac:dyDescent="0.25">
      <c r="A296" s="6">
        <v>295</v>
      </c>
      <c r="B296" s="6" t="s">
        <v>447</v>
      </c>
      <c r="C296" s="6" t="s">
        <v>446</v>
      </c>
      <c r="D296" s="14" t="s">
        <v>313</v>
      </c>
      <c r="E296" s="7">
        <v>-1</v>
      </c>
      <c r="F296" s="11" t="s">
        <v>317</v>
      </c>
      <c r="G296" s="5"/>
    </row>
    <row r="297" spans="1:7" x14ac:dyDescent="0.25">
      <c r="A297" s="6">
        <v>296</v>
      </c>
      <c r="B297" s="6" t="s">
        <v>447</v>
      </c>
      <c r="C297" s="6" t="s">
        <v>446</v>
      </c>
      <c r="D297" s="14" t="s">
        <v>458</v>
      </c>
      <c r="E297" s="7">
        <v>-1</v>
      </c>
      <c r="F297" s="11" t="s">
        <v>991</v>
      </c>
      <c r="G297" s="5"/>
    </row>
    <row r="298" spans="1:7" x14ac:dyDescent="0.25">
      <c r="A298" s="6">
        <v>297</v>
      </c>
      <c r="B298" s="6" t="s">
        <v>447</v>
      </c>
      <c r="C298" s="6" t="s">
        <v>446</v>
      </c>
      <c r="D298" s="14" t="s">
        <v>315</v>
      </c>
      <c r="E298" s="7">
        <v>-1</v>
      </c>
      <c r="F298" s="11" t="s">
        <v>992</v>
      </c>
      <c r="G298" s="5"/>
    </row>
    <row r="299" spans="1:7" x14ac:dyDescent="0.25">
      <c r="A299" s="6">
        <v>298</v>
      </c>
      <c r="B299" s="6" t="s">
        <v>447</v>
      </c>
      <c r="C299" s="6" t="s">
        <v>446</v>
      </c>
      <c r="D299" s="14" t="s">
        <v>777</v>
      </c>
      <c r="E299" s="7">
        <v>-1</v>
      </c>
      <c r="F299" s="11" t="s">
        <v>994</v>
      </c>
      <c r="G299" s="5"/>
    </row>
    <row r="300" spans="1:7" x14ac:dyDescent="0.25">
      <c r="A300" s="6">
        <v>299</v>
      </c>
      <c r="B300" s="6" t="s">
        <v>447</v>
      </c>
      <c r="C300" s="6" t="s">
        <v>446</v>
      </c>
      <c r="D300" s="14" t="s">
        <v>314</v>
      </c>
      <c r="E300" s="7">
        <v>-3</v>
      </c>
      <c r="F300" s="11" t="s">
        <v>993</v>
      </c>
      <c r="G300" s="5"/>
    </row>
    <row r="301" spans="1:7" x14ac:dyDescent="0.25">
      <c r="A301" s="6">
        <v>300</v>
      </c>
      <c r="B301" s="6" t="s">
        <v>447</v>
      </c>
      <c r="C301" s="6" t="s">
        <v>446</v>
      </c>
      <c r="D301" s="14" t="s">
        <v>318</v>
      </c>
      <c r="E301" s="7">
        <v>-3</v>
      </c>
      <c r="F301" s="11" t="s">
        <v>1059</v>
      </c>
      <c r="G301" s="5"/>
    </row>
    <row r="302" spans="1:7" x14ac:dyDescent="0.25">
      <c r="A302" s="6">
        <v>301</v>
      </c>
      <c r="B302" s="6" t="s">
        <v>447</v>
      </c>
      <c r="C302" s="6" t="s">
        <v>446</v>
      </c>
      <c r="D302" s="14" t="s">
        <v>319</v>
      </c>
      <c r="E302" s="7">
        <v>-1</v>
      </c>
      <c r="F302" s="11" t="s">
        <v>645</v>
      </c>
      <c r="G302" s="5"/>
    </row>
    <row r="303" spans="1:7" x14ac:dyDescent="0.25">
      <c r="A303" s="6">
        <v>302</v>
      </c>
      <c r="B303" s="6" t="s">
        <v>447</v>
      </c>
      <c r="C303" s="6" t="s">
        <v>446</v>
      </c>
      <c r="D303" s="14" t="s">
        <v>1203</v>
      </c>
      <c r="E303" s="7">
        <v>-1</v>
      </c>
      <c r="F303" s="11" t="s">
        <v>1205</v>
      </c>
      <c r="G303" s="5"/>
    </row>
    <row r="304" spans="1:7" x14ac:dyDescent="0.25">
      <c r="A304" s="6">
        <v>303</v>
      </c>
      <c r="B304" s="6" t="s">
        <v>447</v>
      </c>
      <c r="C304" s="6" t="s">
        <v>446</v>
      </c>
      <c r="D304" s="14" t="s">
        <v>1204</v>
      </c>
      <c r="E304" s="7">
        <v>-1</v>
      </c>
      <c r="F304" s="11" t="s">
        <v>1206</v>
      </c>
      <c r="G304" s="5"/>
    </row>
    <row r="305" spans="1:7" x14ac:dyDescent="0.25">
      <c r="A305" s="6">
        <v>304</v>
      </c>
      <c r="B305" s="6" t="s">
        <v>447</v>
      </c>
      <c r="C305" s="6" t="s">
        <v>446</v>
      </c>
      <c r="D305" s="14" t="s">
        <v>320</v>
      </c>
      <c r="E305" s="7">
        <v>-3</v>
      </c>
      <c r="F305" s="11" t="s">
        <v>698</v>
      </c>
      <c r="G305" s="5"/>
    </row>
    <row r="306" spans="1:7" x14ac:dyDescent="0.25">
      <c r="A306" s="6">
        <v>305</v>
      </c>
      <c r="B306" s="6" t="s">
        <v>447</v>
      </c>
      <c r="C306" s="6" t="s">
        <v>446</v>
      </c>
      <c r="D306" s="14" t="s">
        <v>643</v>
      </c>
      <c r="E306" s="7">
        <v>-1.5</v>
      </c>
      <c r="F306" s="11" t="s">
        <v>644</v>
      </c>
      <c r="G306" s="5"/>
    </row>
    <row r="307" spans="1:7" x14ac:dyDescent="0.25">
      <c r="A307" s="6">
        <v>306</v>
      </c>
      <c r="B307" s="6" t="s">
        <v>447</v>
      </c>
      <c r="C307" s="6" t="s">
        <v>446</v>
      </c>
      <c r="D307" s="14" t="s">
        <v>377</v>
      </c>
      <c r="E307" s="7">
        <v>-3</v>
      </c>
      <c r="F307" s="11" t="s">
        <v>1056</v>
      </c>
      <c r="G307" s="5"/>
    </row>
    <row r="308" spans="1:7" x14ac:dyDescent="0.25">
      <c r="A308" s="6">
        <v>307</v>
      </c>
      <c r="B308" s="6" t="s">
        <v>447</v>
      </c>
      <c r="C308" s="6" t="s">
        <v>446</v>
      </c>
      <c r="D308" s="14" t="s">
        <v>376</v>
      </c>
      <c r="E308" s="7">
        <v>-3</v>
      </c>
      <c r="F308" s="11" t="s">
        <v>1060</v>
      </c>
      <c r="G308" s="5"/>
    </row>
    <row r="309" spans="1:7" x14ac:dyDescent="0.25">
      <c r="A309" s="6">
        <v>308</v>
      </c>
      <c r="B309" s="6" t="s">
        <v>447</v>
      </c>
      <c r="C309" s="6" t="s">
        <v>446</v>
      </c>
      <c r="D309" s="14" t="s">
        <v>387</v>
      </c>
      <c r="E309" s="7">
        <v>-9</v>
      </c>
      <c r="F309" s="11" t="s">
        <v>1061</v>
      </c>
      <c r="G309" s="5"/>
    </row>
    <row r="310" spans="1:7" x14ac:dyDescent="0.25">
      <c r="A310" s="6">
        <v>309</v>
      </c>
      <c r="B310" s="6" t="s">
        <v>447</v>
      </c>
      <c r="C310" s="6" t="s">
        <v>446</v>
      </c>
      <c r="D310" s="14" t="s">
        <v>386</v>
      </c>
      <c r="E310" s="7">
        <v>-9</v>
      </c>
      <c r="F310" s="11" t="s">
        <v>1060</v>
      </c>
      <c r="G310" s="5"/>
    </row>
    <row r="311" spans="1:7" x14ac:dyDescent="0.25">
      <c r="A311" s="6">
        <v>310</v>
      </c>
      <c r="B311" s="6" t="s">
        <v>447</v>
      </c>
      <c r="C311" s="6" t="s">
        <v>446</v>
      </c>
      <c r="D311" s="14" t="s">
        <v>350</v>
      </c>
      <c r="E311" s="7">
        <v>-1</v>
      </c>
      <c r="F311" s="11" t="s">
        <v>987</v>
      </c>
      <c r="G311" s="5"/>
    </row>
    <row r="312" spans="1:7" x14ac:dyDescent="0.25">
      <c r="A312" s="6">
        <v>311</v>
      </c>
      <c r="B312" s="6" t="s">
        <v>447</v>
      </c>
      <c r="C312" s="6" t="s">
        <v>446</v>
      </c>
      <c r="D312" s="14" t="s">
        <v>476</v>
      </c>
      <c r="E312" s="7">
        <v>-1</v>
      </c>
      <c r="F312" s="11" t="s">
        <v>988</v>
      </c>
      <c r="G312" s="5"/>
    </row>
    <row r="313" spans="1:7" x14ac:dyDescent="0.25">
      <c r="A313" s="6">
        <v>312</v>
      </c>
      <c r="B313" s="6" t="s">
        <v>447</v>
      </c>
      <c r="C313" s="6" t="s">
        <v>446</v>
      </c>
      <c r="D313" s="14" t="s">
        <v>507</v>
      </c>
      <c r="E313" s="7">
        <v>-0.5</v>
      </c>
      <c r="F313" s="11" t="s">
        <v>1062</v>
      </c>
      <c r="G313" s="5"/>
    </row>
    <row r="314" spans="1:7" x14ac:dyDescent="0.25">
      <c r="A314" s="6">
        <v>313</v>
      </c>
      <c r="B314" s="6" t="s">
        <v>447</v>
      </c>
      <c r="C314" s="6" t="s">
        <v>446</v>
      </c>
      <c r="D314" s="14" t="s">
        <v>354</v>
      </c>
      <c r="E314" s="7">
        <v>-5</v>
      </c>
      <c r="F314" s="11" t="s">
        <v>989</v>
      </c>
      <c r="G314" s="5"/>
    </row>
    <row r="315" spans="1:7" x14ac:dyDescent="0.25">
      <c r="A315" s="6">
        <v>314</v>
      </c>
      <c r="B315" s="6" t="s">
        <v>447</v>
      </c>
      <c r="C315" s="6" t="s">
        <v>446</v>
      </c>
      <c r="D315" s="14" t="s">
        <v>356</v>
      </c>
      <c r="E315" s="7">
        <v>-1</v>
      </c>
      <c r="F315" s="11" t="s">
        <v>990</v>
      </c>
      <c r="G315" s="5"/>
    </row>
    <row r="316" spans="1:7" x14ac:dyDescent="0.25">
      <c r="A316" s="6">
        <v>315</v>
      </c>
      <c r="B316" s="6" t="s">
        <v>447</v>
      </c>
      <c r="C316" s="6" t="s">
        <v>446</v>
      </c>
      <c r="D316" s="14" t="s">
        <v>414</v>
      </c>
      <c r="E316" s="7">
        <v>-1</v>
      </c>
      <c r="F316" s="11" t="s">
        <v>982</v>
      </c>
      <c r="G316" s="5"/>
    </row>
    <row r="317" spans="1:7" x14ac:dyDescent="0.25">
      <c r="A317" s="6">
        <v>316</v>
      </c>
      <c r="B317" s="6" t="s">
        <v>447</v>
      </c>
      <c r="C317" s="6" t="s">
        <v>446</v>
      </c>
      <c r="D317" s="14" t="s">
        <v>330</v>
      </c>
      <c r="E317" s="7">
        <v>0</v>
      </c>
      <c r="F317" s="11" t="s">
        <v>983</v>
      </c>
      <c r="G317" s="5"/>
    </row>
    <row r="318" spans="1:7" x14ac:dyDescent="0.25">
      <c r="A318" s="6">
        <v>317</v>
      </c>
      <c r="B318" s="6" t="s">
        <v>447</v>
      </c>
      <c r="C318" s="6" t="s">
        <v>446</v>
      </c>
      <c r="D318" s="14" t="s">
        <v>343</v>
      </c>
      <c r="E318" s="7">
        <v>-7</v>
      </c>
      <c r="F318" s="11" t="s">
        <v>984</v>
      </c>
      <c r="G318" s="5"/>
    </row>
    <row r="319" spans="1:7" x14ac:dyDescent="0.25">
      <c r="A319" s="6">
        <v>318</v>
      </c>
      <c r="B319" s="6" t="s">
        <v>447</v>
      </c>
      <c r="C319" s="6" t="s">
        <v>446</v>
      </c>
      <c r="D319" s="14" t="s">
        <v>400</v>
      </c>
      <c r="E319" s="7">
        <v>-3</v>
      </c>
      <c r="F319" s="11" t="s">
        <v>662</v>
      </c>
      <c r="G319" s="5"/>
    </row>
    <row r="320" spans="1:7" x14ac:dyDescent="0.25">
      <c r="A320" s="6">
        <v>319</v>
      </c>
      <c r="B320" s="6" t="s">
        <v>447</v>
      </c>
      <c r="C320" s="6" t="s">
        <v>446</v>
      </c>
      <c r="D320" s="14" t="s">
        <v>661</v>
      </c>
      <c r="E320" s="7">
        <v>-3</v>
      </c>
      <c r="F320" s="11" t="s">
        <v>662</v>
      </c>
      <c r="G320" s="5"/>
    </row>
    <row r="321" spans="1:7" x14ac:dyDescent="0.25">
      <c r="A321" s="6">
        <v>320</v>
      </c>
      <c r="B321" s="6" t="s">
        <v>447</v>
      </c>
      <c r="C321" s="6" t="s">
        <v>446</v>
      </c>
      <c r="D321" s="14" t="s">
        <v>681</v>
      </c>
      <c r="E321" s="7">
        <v>-1</v>
      </c>
      <c r="F321" s="11" t="s">
        <v>985</v>
      </c>
      <c r="G321" s="5"/>
    </row>
    <row r="322" spans="1:7" x14ac:dyDescent="0.25">
      <c r="A322" s="6">
        <v>321</v>
      </c>
      <c r="B322" s="6" t="s">
        <v>447</v>
      </c>
      <c r="C322" s="6" t="s">
        <v>446</v>
      </c>
      <c r="D322" s="14" t="s">
        <v>684</v>
      </c>
      <c r="E322" s="7">
        <v>-1</v>
      </c>
      <c r="F322" s="11" t="s">
        <v>1063</v>
      </c>
      <c r="G322" s="5"/>
    </row>
    <row r="323" spans="1:7" x14ac:dyDescent="0.25">
      <c r="A323" s="6">
        <v>322</v>
      </c>
      <c r="B323" s="6" t="s">
        <v>447</v>
      </c>
      <c r="C323" s="6" t="s">
        <v>446</v>
      </c>
      <c r="D323" s="14" t="s">
        <v>683</v>
      </c>
      <c r="E323" s="7">
        <v>-3</v>
      </c>
      <c r="F323" s="11" t="s">
        <v>986</v>
      </c>
      <c r="G323" s="5"/>
    </row>
    <row r="324" spans="1:7" x14ac:dyDescent="0.25">
      <c r="A324" s="6">
        <v>323</v>
      </c>
      <c r="B324" s="6" t="s">
        <v>447</v>
      </c>
      <c r="C324" s="6" t="s">
        <v>446</v>
      </c>
      <c r="D324" s="14" t="s">
        <v>685</v>
      </c>
      <c r="E324" s="7">
        <v>-1.5</v>
      </c>
      <c r="F324" s="11" t="s">
        <v>686</v>
      </c>
      <c r="G324" s="5"/>
    </row>
    <row r="325" spans="1:7" x14ac:dyDescent="0.25">
      <c r="A325" s="6">
        <v>324</v>
      </c>
      <c r="B325" s="6" t="s">
        <v>447</v>
      </c>
      <c r="C325" s="6" t="s">
        <v>446</v>
      </c>
      <c r="D325" s="14" t="s">
        <v>1201</v>
      </c>
      <c r="E325" s="7">
        <v>-1.5</v>
      </c>
      <c r="F325" s="11" t="s">
        <v>1202</v>
      </c>
      <c r="G325" s="5"/>
    </row>
    <row r="326" spans="1:7" x14ac:dyDescent="0.25">
      <c r="A326" s="6">
        <v>325</v>
      </c>
      <c r="B326" s="6" t="s">
        <v>447</v>
      </c>
      <c r="C326" s="6" t="s">
        <v>446</v>
      </c>
      <c r="D326" s="14" t="s">
        <v>705</v>
      </c>
      <c r="E326" s="7">
        <v>-1.5</v>
      </c>
      <c r="F326" s="11" t="s">
        <v>706</v>
      </c>
      <c r="G326" s="5"/>
    </row>
    <row r="327" spans="1:7" x14ac:dyDescent="0.25">
      <c r="A327" s="6">
        <v>326</v>
      </c>
      <c r="B327" s="6" t="s">
        <v>447</v>
      </c>
      <c r="C327" s="6" t="s">
        <v>446</v>
      </c>
      <c r="D327" s="14" t="s">
        <v>703</v>
      </c>
      <c r="E327" s="7">
        <v>-3</v>
      </c>
      <c r="F327" s="11" t="s">
        <v>704</v>
      </c>
      <c r="G327" s="5"/>
    </row>
    <row r="328" spans="1:7" x14ac:dyDescent="0.25">
      <c r="A328" s="6">
        <v>327</v>
      </c>
      <c r="B328" s="6" t="s">
        <v>447</v>
      </c>
      <c r="C328" s="6" t="s">
        <v>446</v>
      </c>
      <c r="D328" s="14" t="s">
        <v>803</v>
      </c>
      <c r="E328" s="7">
        <v>-0.3</v>
      </c>
      <c r="F328" s="11" t="s">
        <v>804</v>
      </c>
      <c r="G328" s="5"/>
    </row>
    <row r="329" spans="1:7" x14ac:dyDescent="0.25">
      <c r="A329" s="6">
        <v>328</v>
      </c>
      <c r="B329" s="6" t="s">
        <v>447</v>
      </c>
      <c r="C329" s="6" t="s">
        <v>446</v>
      </c>
      <c r="D329" s="14" t="s">
        <v>745</v>
      </c>
      <c r="E329" s="7">
        <v>-1.5</v>
      </c>
      <c r="F329" s="11" t="s">
        <v>1064</v>
      </c>
      <c r="G329" s="5"/>
    </row>
    <row r="330" spans="1:7" x14ac:dyDescent="0.25">
      <c r="A330" s="6">
        <v>329</v>
      </c>
      <c r="B330" s="6" t="s">
        <v>447</v>
      </c>
      <c r="C330" s="6" t="s">
        <v>446</v>
      </c>
      <c r="D330" s="14" t="s">
        <v>801</v>
      </c>
      <c r="E330" s="7">
        <v>1</v>
      </c>
      <c r="F330" s="11" t="s">
        <v>1065</v>
      </c>
      <c r="G330" s="5"/>
    </row>
    <row r="331" spans="1:7" x14ac:dyDescent="0.25">
      <c r="A331" s="6">
        <v>330</v>
      </c>
      <c r="B331" s="6" t="s">
        <v>447</v>
      </c>
      <c r="C331" s="6" t="s">
        <v>446</v>
      </c>
      <c r="D331" s="14" t="s">
        <v>1217</v>
      </c>
      <c r="E331" s="7">
        <v>-10</v>
      </c>
      <c r="F331" s="11" t="s">
        <v>1218</v>
      </c>
      <c r="G331" s="5"/>
    </row>
    <row r="332" spans="1:7" x14ac:dyDescent="0.25">
      <c r="A332" s="6">
        <v>331</v>
      </c>
      <c r="B332" s="6" t="s">
        <v>447</v>
      </c>
      <c r="C332" s="6" t="s">
        <v>446</v>
      </c>
      <c r="D332" s="14" t="s">
        <v>734</v>
      </c>
      <c r="E332" s="7">
        <v>5</v>
      </c>
      <c r="F332" s="11" t="s">
        <v>736</v>
      </c>
      <c r="G332" s="5"/>
    </row>
    <row r="333" spans="1:7" x14ac:dyDescent="0.25">
      <c r="A333" s="6">
        <v>332</v>
      </c>
      <c r="B333" s="6" t="s">
        <v>447</v>
      </c>
      <c r="C333" s="6" t="s">
        <v>446</v>
      </c>
      <c r="D333" s="14" t="s">
        <v>735</v>
      </c>
      <c r="E333" s="7">
        <v>-4</v>
      </c>
      <c r="F333" s="11" t="s">
        <v>1066</v>
      </c>
      <c r="G333" s="5"/>
    </row>
    <row r="334" spans="1:7" x14ac:dyDescent="0.25">
      <c r="A334" s="6">
        <v>333</v>
      </c>
      <c r="B334" s="6" t="s">
        <v>447</v>
      </c>
      <c r="C334" s="6" t="s">
        <v>446</v>
      </c>
      <c r="D334" s="14" t="s">
        <v>1296</v>
      </c>
      <c r="E334" s="7">
        <v>-1.5</v>
      </c>
      <c r="F334" s="11" t="s">
        <v>1302</v>
      </c>
      <c r="G334" s="5"/>
    </row>
    <row r="335" spans="1:7" x14ac:dyDescent="0.25">
      <c r="A335" s="6">
        <v>334</v>
      </c>
      <c r="B335" s="6" t="s">
        <v>447</v>
      </c>
      <c r="C335" s="6" t="s">
        <v>446</v>
      </c>
      <c r="D335" s="14" t="s">
        <v>737</v>
      </c>
      <c r="E335" s="7">
        <v>-2</v>
      </c>
      <c r="F335" s="11" t="s">
        <v>740</v>
      </c>
      <c r="G335" s="5"/>
    </row>
    <row r="336" spans="1:7" x14ac:dyDescent="0.25">
      <c r="A336" s="6">
        <v>335</v>
      </c>
      <c r="B336" s="6" t="s">
        <v>447</v>
      </c>
      <c r="C336" s="6" t="s">
        <v>446</v>
      </c>
      <c r="D336" s="14" t="s">
        <v>738</v>
      </c>
      <c r="E336" s="7">
        <v>-1</v>
      </c>
      <c r="F336" s="11" t="s">
        <v>741</v>
      </c>
      <c r="G336" s="5"/>
    </row>
    <row r="337" spans="1:7" x14ac:dyDescent="0.25">
      <c r="A337" s="6">
        <v>336</v>
      </c>
      <c r="B337" s="6" t="s">
        <v>447</v>
      </c>
      <c r="C337" s="6" t="s">
        <v>446</v>
      </c>
      <c r="D337" s="14" t="s">
        <v>739</v>
      </c>
      <c r="E337" s="7">
        <v>-2</v>
      </c>
      <c r="F337" s="11" t="s">
        <v>742</v>
      </c>
      <c r="G337" s="5"/>
    </row>
    <row r="338" spans="1:7" x14ac:dyDescent="0.25">
      <c r="A338" s="6">
        <v>337</v>
      </c>
      <c r="B338" s="6" t="s">
        <v>447</v>
      </c>
      <c r="C338" s="6" t="s">
        <v>446</v>
      </c>
      <c r="D338" s="14" t="s">
        <v>508</v>
      </c>
      <c r="E338" s="7">
        <v>-3</v>
      </c>
      <c r="F338" s="11" t="s">
        <v>1067</v>
      </c>
      <c r="G338" s="5"/>
    </row>
    <row r="339" spans="1:7" x14ac:dyDescent="0.25">
      <c r="A339" s="6">
        <v>338</v>
      </c>
      <c r="B339" s="6" t="s">
        <v>447</v>
      </c>
      <c r="C339" s="6" t="s">
        <v>446</v>
      </c>
      <c r="D339" s="14" t="s">
        <v>522</v>
      </c>
      <c r="E339" s="7">
        <v>-1</v>
      </c>
      <c r="F339" s="11" t="s">
        <v>528</v>
      </c>
      <c r="G339" s="5"/>
    </row>
    <row r="340" spans="1:7" x14ac:dyDescent="0.25">
      <c r="A340" s="6">
        <v>339</v>
      </c>
      <c r="B340" s="6" t="s">
        <v>447</v>
      </c>
      <c r="C340" s="6" t="s">
        <v>446</v>
      </c>
      <c r="D340" s="14" t="s">
        <v>1215</v>
      </c>
      <c r="E340" s="7">
        <v>-1</v>
      </c>
      <c r="F340" s="11" t="s">
        <v>1216</v>
      </c>
      <c r="G340" s="5"/>
    </row>
    <row r="341" spans="1:7" x14ac:dyDescent="0.25">
      <c r="A341" s="6">
        <v>340</v>
      </c>
      <c r="B341" s="6" t="s">
        <v>447</v>
      </c>
      <c r="C341" s="6" t="s">
        <v>446</v>
      </c>
      <c r="D341" s="14" t="s">
        <v>409</v>
      </c>
      <c r="E341" s="7">
        <v>-3</v>
      </c>
      <c r="F341" s="11" t="s">
        <v>410</v>
      </c>
      <c r="G341" s="5"/>
    </row>
    <row r="342" spans="1:7" x14ac:dyDescent="0.25">
      <c r="A342" s="6">
        <v>341</v>
      </c>
      <c r="B342" s="6" t="s">
        <v>447</v>
      </c>
      <c r="C342" s="6" t="s">
        <v>446</v>
      </c>
      <c r="D342" s="14" t="s">
        <v>395</v>
      </c>
      <c r="E342" s="7">
        <v>5</v>
      </c>
      <c r="F342" s="11" t="s">
        <v>397</v>
      </c>
      <c r="G342" s="5"/>
    </row>
    <row r="343" spans="1:7" x14ac:dyDescent="0.25">
      <c r="A343" s="6">
        <v>342</v>
      </c>
      <c r="B343" s="6" t="s">
        <v>447</v>
      </c>
      <c r="C343" s="6" t="s">
        <v>446</v>
      </c>
      <c r="D343" s="14" t="s">
        <v>269</v>
      </c>
      <c r="E343" s="7">
        <v>-2</v>
      </c>
      <c r="F343" s="11" t="s">
        <v>483</v>
      </c>
      <c r="G343" s="5"/>
    </row>
    <row r="344" spans="1:7" x14ac:dyDescent="0.25">
      <c r="A344" s="6">
        <v>343</v>
      </c>
      <c r="B344" s="6" t="s">
        <v>447</v>
      </c>
      <c r="C344" s="6" t="s">
        <v>446</v>
      </c>
      <c r="D344" s="14" t="s">
        <v>349</v>
      </c>
      <c r="E344" s="7">
        <v>-10</v>
      </c>
      <c r="F344" s="11" t="s">
        <v>351</v>
      </c>
      <c r="G344" s="5"/>
    </row>
    <row r="345" spans="1:7" x14ac:dyDescent="0.25">
      <c r="A345" s="6">
        <v>344</v>
      </c>
      <c r="B345" s="6" t="s">
        <v>447</v>
      </c>
      <c r="C345" s="6" t="s">
        <v>446</v>
      </c>
      <c r="D345" s="14" t="s">
        <v>1176</v>
      </c>
      <c r="E345" s="7">
        <v>-5</v>
      </c>
      <c r="F345" s="11" t="s">
        <v>355</v>
      </c>
      <c r="G345" s="5"/>
    </row>
    <row r="346" spans="1:7" x14ac:dyDescent="0.25">
      <c r="A346" s="6">
        <v>345</v>
      </c>
      <c r="B346" s="6" t="s">
        <v>447</v>
      </c>
      <c r="C346" s="6" t="s">
        <v>446</v>
      </c>
      <c r="D346" s="14" t="s">
        <v>1177</v>
      </c>
      <c r="E346" s="7">
        <v>-5</v>
      </c>
      <c r="F346" s="11" t="s">
        <v>500</v>
      </c>
      <c r="G346" s="5"/>
    </row>
    <row r="347" spans="1:7" x14ac:dyDescent="0.25">
      <c r="A347" s="6">
        <v>346</v>
      </c>
      <c r="B347" s="6" t="s">
        <v>447</v>
      </c>
      <c r="C347" s="6" t="s">
        <v>446</v>
      </c>
      <c r="D347" s="14" t="s">
        <v>1178</v>
      </c>
      <c r="E347" s="7">
        <v>-3</v>
      </c>
      <c r="F347" s="11" t="s">
        <v>560</v>
      </c>
      <c r="G347" s="5"/>
    </row>
    <row r="348" spans="1:7" x14ac:dyDescent="0.25">
      <c r="A348" s="6">
        <v>347</v>
      </c>
      <c r="B348" s="6" t="s">
        <v>447</v>
      </c>
      <c r="C348" s="6" t="s">
        <v>446</v>
      </c>
      <c r="D348" s="14" t="s">
        <v>1209</v>
      </c>
      <c r="E348" s="7">
        <v>-1</v>
      </c>
      <c r="F348" s="11" t="s">
        <v>1210</v>
      </c>
      <c r="G348" s="5"/>
    </row>
    <row r="349" spans="1:7" x14ac:dyDescent="0.25">
      <c r="A349" s="6">
        <v>348</v>
      </c>
      <c r="B349" s="6" t="s">
        <v>447</v>
      </c>
      <c r="C349" s="6" t="s">
        <v>446</v>
      </c>
      <c r="D349" s="14" t="s">
        <v>357</v>
      </c>
      <c r="E349" s="7">
        <v>-3</v>
      </c>
      <c r="F349" s="11" t="s">
        <v>1069</v>
      </c>
      <c r="G349" s="5"/>
    </row>
    <row r="350" spans="1:7" x14ac:dyDescent="0.25">
      <c r="A350" s="6">
        <v>349</v>
      </c>
      <c r="B350" s="6" t="s">
        <v>447</v>
      </c>
      <c r="C350" s="6" t="s">
        <v>446</v>
      </c>
      <c r="D350" s="14" t="s">
        <v>499</v>
      </c>
      <c r="E350" s="7">
        <v>-9</v>
      </c>
      <c r="F350" s="11" t="s">
        <v>1070</v>
      </c>
      <c r="G350" s="5"/>
    </row>
    <row r="351" spans="1:7" x14ac:dyDescent="0.25">
      <c r="A351" s="6">
        <v>350</v>
      </c>
      <c r="B351" s="6" t="s">
        <v>447</v>
      </c>
      <c r="C351" s="6" t="s">
        <v>446</v>
      </c>
      <c r="D351" s="14" t="s">
        <v>558</v>
      </c>
      <c r="E351" s="7">
        <v>-5</v>
      </c>
      <c r="F351" s="11" t="s">
        <v>1071</v>
      </c>
      <c r="G351" s="5"/>
    </row>
    <row r="352" spans="1:7" x14ac:dyDescent="0.25">
      <c r="A352" s="6">
        <v>351</v>
      </c>
      <c r="B352" s="6" t="s">
        <v>447</v>
      </c>
      <c r="C352" s="6" t="s">
        <v>446</v>
      </c>
      <c r="D352" s="14" t="s">
        <v>866</v>
      </c>
      <c r="E352" s="7">
        <v>30</v>
      </c>
      <c r="F352" s="11" t="s">
        <v>867</v>
      </c>
      <c r="G352" s="5"/>
    </row>
    <row r="353" spans="1:7" x14ac:dyDescent="0.25">
      <c r="A353" s="6">
        <v>352</v>
      </c>
      <c r="B353" s="6" t="s">
        <v>447</v>
      </c>
      <c r="C353" s="6" t="s">
        <v>446</v>
      </c>
      <c r="D353" s="14" t="s">
        <v>490</v>
      </c>
      <c r="E353" s="7">
        <v>-2</v>
      </c>
      <c r="F353" s="11" t="s">
        <v>1072</v>
      </c>
      <c r="G353" s="5"/>
    </row>
    <row r="354" spans="1:7" x14ac:dyDescent="0.25">
      <c r="A354" s="6">
        <v>353</v>
      </c>
      <c r="B354" s="6" t="s">
        <v>447</v>
      </c>
      <c r="C354" s="6" t="s">
        <v>446</v>
      </c>
      <c r="D354" s="14" t="s">
        <v>328</v>
      </c>
      <c r="E354" s="7">
        <v>-3</v>
      </c>
      <c r="F354" s="11" t="s">
        <v>329</v>
      </c>
      <c r="G354" s="5"/>
    </row>
    <row r="355" spans="1:7" x14ac:dyDescent="0.25">
      <c r="A355" s="6">
        <v>354</v>
      </c>
      <c r="B355" s="6" t="s">
        <v>447</v>
      </c>
      <c r="C355" s="6" t="s">
        <v>446</v>
      </c>
      <c r="D355" s="14" t="s">
        <v>333</v>
      </c>
      <c r="E355" s="7">
        <v>-1.5</v>
      </c>
      <c r="F355" s="11" t="s">
        <v>979</v>
      </c>
      <c r="G355" s="5"/>
    </row>
    <row r="356" spans="1:7" x14ac:dyDescent="0.25">
      <c r="A356" s="6">
        <v>355</v>
      </c>
      <c r="B356" s="6" t="s">
        <v>447</v>
      </c>
      <c r="C356" s="6" t="s">
        <v>446</v>
      </c>
      <c r="D356" s="14" t="s">
        <v>332</v>
      </c>
      <c r="E356" s="7">
        <v>-1</v>
      </c>
      <c r="F356" s="11" t="s">
        <v>980</v>
      </c>
      <c r="G356" s="5"/>
    </row>
    <row r="357" spans="1:7" x14ac:dyDescent="0.25">
      <c r="A357" s="6">
        <v>356</v>
      </c>
      <c r="B357" s="6" t="s">
        <v>447</v>
      </c>
      <c r="C357" s="6" t="s">
        <v>446</v>
      </c>
      <c r="D357" s="14" t="s">
        <v>327</v>
      </c>
      <c r="E357" s="7">
        <v>-1</v>
      </c>
      <c r="F357" s="11" t="s">
        <v>981</v>
      </c>
      <c r="G357" s="5"/>
    </row>
    <row r="358" spans="1:7" x14ac:dyDescent="0.25">
      <c r="A358" s="6">
        <v>357</v>
      </c>
      <c r="B358" s="6" t="s">
        <v>447</v>
      </c>
      <c r="C358" s="6" t="s">
        <v>446</v>
      </c>
      <c r="D358" s="14" t="s">
        <v>1888</v>
      </c>
      <c r="E358" s="7">
        <v>-0.12</v>
      </c>
      <c r="F358" s="11" t="s">
        <v>1889</v>
      </c>
      <c r="G358" s="5"/>
    </row>
    <row r="359" spans="1:7" x14ac:dyDescent="0.25">
      <c r="A359" s="6">
        <v>358</v>
      </c>
      <c r="B359" s="6" t="s">
        <v>447</v>
      </c>
      <c r="C359" s="6" t="s">
        <v>446</v>
      </c>
      <c r="D359" s="14" t="s">
        <v>1890</v>
      </c>
      <c r="E359" s="7">
        <v>-4</v>
      </c>
      <c r="F359" s="11" t="s">
        <v>1892</v>
      </c>
      <c r="G359" s="5"/>
    </row>
    <row r="360" spans="1:7" x14ac:dyDescent="0.25">
      <c r="A360" s="6">
        <v>359</v>
      </c>
      <c r="B360" s="6" t="s">
        <v>447</v>
      </c>
      <c r="C360" s="6" t="s">
        <v>446</v>
      </c>
      <c r="D360" s="14" t="s">
        <v>1891</v>
      </c>
      <c r="E360" s="7">
        <v>-1</v>
      </c>
      <c r="F360" s="11" t="s">
        <v>1893</v>
      </c>
      <c r="G360" s="5"/>
    </row>
    <row r="361" spans="1:7" x14ac:dyDescent="0.25">
      <c r="A361" s="6">
        <v>360</v>
      </c>
      <c r="B361" s="6" t="s">
        <v>447</v>
      </c>
      <c r="C361" s="6" t="s">
        <v>446</v>
      </c>
      <c r="D361" s="14" t="s">
        <v>1894</v>
      </c>
      <c r="E361" s="7">
        <v>-3</v>
      </c>
      <c r="F361" s="11" t="s">
        <v>1895</v>
      </c>
      <c r="G361" s="5"/>
    </row>
    <row r="362" spans="1:7" x14ac:dyDescent="0.25">
      <c r="A362" s="6">
        <v>361</v>
      </c>
      <c r="B362" s="6" t="s">
        <v>447</v>
      </c>
      <c r="C362" s="6" t="s">
        <v>446</v>
      </c>
      <c r="D362" s="14" t="s">
        <v>1896</v>
      </c>
      <c r="E362" s="7">
        <v>-2</v>
      </c>
      <c r="F362" s="11" t="s">
        <v>1900</v>
      </c>
      <c r="G362" s="5"/>
    </row>
    <row r="363" spans="1:7" x14ac:dyDescent="0.25">
      <c r="A363" s="6">
        <v>362</v>
      </c>
      <c r="B363" s="6" t="s">
        <v>447</v>
      </c>
      <c r="C363" s="6" t="s">
        <v>446</v>
      </c>
      <c r="D363" s="14" t="s">
        <v>1899</v>
      </c>
      <c r="E363" s="7">
        <v>-5</v>
      </c>
      <c r="F363" s="11" t="s">
        <v>1901</v>
      </c>
      <c r="G363" s="5"/>
    </row>
    <row r="364" spans="1:7" x14ac:dyDescent="0.25">
      <c r="A364" s="6">
        <v>363</v>
      </c>
      <c r="B364" s="6" t="s">
        <v>447</v>
      </c>
      <c r="C364" s="6" t="s">
        <v>446</v>
      </c>
      <c r="D364" s="14" t="s">
        <v>1898</v>
      </c>
      <c r="E364" s="7">
        <v>-3</v>
      </c>
      <c r="F364" s="11" t="s">
        <v>1902</v>
      </c>
      <c r="G364" s="5"/>
    </row>
    <row r="365" spans="1:7" x14ac:dyDescent="0.25">
      <c r="A365" s="6">
        <v>364</v>
      </c>
      <c r="B365" s="6" t="s">
        <v>447</v>
      </c>
      <c r="C365" s="6" t="s">
        <v>446</v>
      </c>
      <c r="D365" s="14" t="s">
        <v>1897</v>
      </c>
      <c r="E365" s="7">
        <v>-0.12</v>
      </c>
      <c r="F365" s="11" t="s">
        <v>1903</v>
      </c>
      <c r="G365" s="5"/>
    </row>
    <row r="366" spans="1:7" x14ac:dyDescent="0.25">
      <c r="A366" s="6">
        <v>365</v>
      </c>
      <c r="B366" s="6" t="s">
        <v>447</v>
      </c>
      <c r="C366" s="6" t="s">
        <v>446</v>
      </c>
      <c r="D366" s="14" t="s">
        <v>1907</v>
      </c>
      <c r="E366" s="7">
        <v>-50</v>
      </c>
      <c r="F366" s="11" t="s">
        <v>1909</v>
      </c>
      <c r="G366" s="5"/>
    </row>
    <row r="367" spans="1:7" x14ac:dyDescent="0.25">
      <c r="A367" s="6">
        <v>366</v>
      </c>
      <c r="B367" s="6" t="s">
        <v>447</v>
      </c>
      <c r="C367" s="6" t="s">
        <v>446</v>
      </c>
      <c r="D367" s="14" t="s">
        <v>1908</v>
      </c>
      <c r="E367" s="7">
        <v>10</v>
      </c>
      <c r="F367" s="11" t="s">
        <v>1910</v>
      </c>
      <c r="G367" s="5"/>
    </row>
    <row r="368" spans="1:7" x14ac:dyDescent="0.25">
      <c r="A368" s="6">
        <v>367</v>
      </c>
      <c r="B368" s="6" t="s">
        <v>447</v>
      </c>
      <c r="C368" s="6" t="s">
        <v>446</v>
      </c>
      <c r="D368" s="14" t="s">
        <v>1914</v>
      </c>
      <c r="E368" s="7">
        <v>-0.5</v>
      </c>
      <c r="F368" s="11" t="s">
        <v>1916</v>
      </c>
      <c r="G368" s="5"/>
    </row>
    <row r="369" spans="1:7" x14ac:dyDescent="0.25">
      <c r="A369" s="6">
        <v>368</v>
      </c>
      <c r="B369" s="6" t="s">
        <v>447</v>
      </c>
      <c r="C369" s="6" t="s">
        <v>446</v>
      </c>
      <c r="D369" s="14" t="s">
        <v>1915</v>
      </c>
      <c r="E369" s="7">
        <v>-0.1</v>
      </c>
      <c r="F369" s="11" t="s">
        <v>1917</v>
      </c>
      <c r="G369" s="5"/>
    </row>
    <row r="370" spans="1:7" x14ac:dyDescent="0.25">
      <c r="A370" s="6">
        <v>369</v>
      </c>
      <c r="B370" s="6" t="s">
        <v>447</v>
      </c>
      <c r="C370" s="6" t="s">
        <v>446</v>
      </c>
      <c r="D370" s="14" t="s">
        <v>1921</v>
      </c>
      <c r="E370" s="7">
        <v>-7</v>
      </c>
      <c r="F370" s="11" t="s">
        <v>1923</v>
      </c>
      <c r="G370" s="5"/>
    </row>
    <row r="371" spans="1:7" x14ac:dyDescent="0.25">
      <c r="A371" s="6">
        <v>370</v>
      </c>
      <c r="B371" s="6" t="s">
        <v>447</v>
      </c>
      <c r="C371" s="6" t="s">
        <v>446</v>
      </c>
      <c r="D371" s="14" t="s">
        <v>1922</v>
      </c>
      <c r="E371" s="7">
        <v>-0.05</v>
      </c>
      <c r="F371" s="11" t="s">
        <v>1924</v>
      </c>
      <c r="G371" s="5"/>
    </row>
    <row r="372" spans="1:7" s="19" customFormat="1" x14ac:dyDescent="0.25">
      <c r="A372" s="6">
        <v>371</v>
      </c>
      <c r="B372" s="8" t="s">
        <v>447</v>
      </c>
      <c r="C372" s="8" t="s">
        <v>446</v>
      </c>
      <c r="D372" s="17" t="s">
        <v>675</v>
      </c>
      <c r="E372" s="12">
        <v>-0.56999999999999995</v>
      </c>
      <c r="F372" s="18" t="s">
        <v>1081</v>
      </c>
    </row>
    <row r="373" spans="1:7" s="19" customFormat="1" x14ac:dyDescent="0.25">
      <c r="A373" s="6">
        <v>372</v>
      </c>
      <c r="B373" s="8" t="s">
        <v>447</v>
      </c>
      <c r="C373" s="8" t="s">
        <v>446</v>
      </c>
      <c r="D373" s="17" t="s">
        <v>491</v>
      </c>
      <c r="E373" s="12">
        <v>-0.5</v>
      </c>
      <c r="F373" s="18" t="s">
        <v>1078</v>
      </c>
    </row>
    <row r="374" spans="1:7" s="19" customFormat="1" x14ac:dyDescent="0.25">
      <c r="A374" s="6">
        <v>373</v>
      </c>
      <c r="B374" s="8" t="s">
        <v>447</v>
      </c>
      <c r="C374" s="8" t="s">
        <v>446</v>
      </c>
      <c r="D374" s="17" t="s">
        <v>674</v>
      </c>
      <c r="E374" s="12">
        <v>-1.83</v>
      </c>
      <c r="F374" s="18" t="s">
        <v>1079</v>
      </c>
    </row>
    <row r="375" spans="1:7" s="19" customFormat="1" x14ac:dyDescent="0.25">
      <c r="A375" s="6">
        <v>374</v>
      </c>
      <c r="B375" s="8" t="s">
        <v>447</v>
      </c>
      <c r="C375" s="8" t="s">
        <v>446</v>
      </c>
      <c r="D375" s="17" t="s">
        <v>676</v>
      </c>
      <c r="E375" s="12">
        <v>-1.77</v>
      </c>
      <c r="F375" s="18" t="s">
        <v>1080</v>
      </c>
    </row>
    <row r="376" spans="1:7" s="19" customFormat="1" x14ac:dyDescent="0.25">
      <c r="A376" s="6">
        <v>375</v>
      </c>
      <c r="B376" s="8" t="s">
        <v>447</v>
      </c>
      <c r="C376" s="8" t="s">
        <v>446</v>
      </c>
      <c r="D376" s="17" t="s">
        <v>809</v>
      </c>
      <c r="E376" s="12">
        <v>-0.33</v>
      </c>
      <c r="F376" s="18" t="s">
        <v>1083</v>
      </c>
    </row>
    <row r="377" spans="1:7" s="19" customFormat="1" x14ac:dyDescent="0.25">
      <c r="A377" s="6">
        <v>376</v>
      </c>
      <c r="B377" s="8" t="s">
        <v>447</v>
      </c>
      <c r="C377" s="8" t="s">
        <v>446</v>
      </c>
      <c r="D377" s="17" t="s">
        <v>677</v>
      </c>
      <c r="E377" s="12">
        <v>-1.4</v>
      </c>
      <c r="F377" s="18" t="s">
        <v>1082</v>
      </c>
    </row>
    <row r="378" spans="1:7" s="19" customFormat="1" x14ac:dyDescent="0.25">
      <c r="A378" s="6">
        <v>377</v>
      </c>
      <c r="B378" s="8" t="s">
        <v>447</v>
      </c>
      <c r="C378" s="8" t="s">
        <v>446</v>
      </c>
      <c r="D378" s="17" t="s">
        <v>412</v>
      </c>
      <c r="E378" s="12">
        <v>-0.56999999999999995</v>
      </c>
      <c r="F378" s="18" t="s">
        <v>1073</v>
      </c>
    </row>
    <row r="379" spans="1:7" x14ac:dyDescent="0.25">
      <c r="D379" s="5"/>
      <c r="E379" s="5"/>
      <c r="F379" s="5"/>
    </row>
    <row r="380" spans="1:7" x14ac:dyDescent="0.25">
      <c r="D380" s="5"/>
      <c r="E380" s="5"/>
      <c r="F380" s="5"/>
    </row>
    <row r="381" spans="1:7" x14ac:dyDescent="0.25">
      <c r="D381" s="5"/>
      <c r="E381" s="5"/>
      <c r="F381" s="5"/>
    </row>
    <row r="382" spans="1:7" x14ac:dyDescent="0.25">
      <c r="D382" s="5"/>
      <c r="E382" s="5"/>
      <c r="F382" s="5"/>
    </row>
    <row r="383" spans="1:7" x14ac:dyDescent="0.25">
      <c r="D383" s="5"/>
      <c r="E383" s="5"/>
      <c r="F383" s="5"/>
    </row>
    <row r="384" spans="1:7" x14ac:dyDescent="0.25">
      <c r="D384" s="5"/>
      <c r="E384" s="5"/>
      <c r="F384" s="5"/>
    </row>
    <row r="385" spans="4:6" x14ac:dyDescent="0.25">
      <c r="D385" s="5"/>
      <c r="E385" s="5"/>
      <c r="F385" s="5"/>
    </row>
    <row r="386" spans="4:6" x14ac:dyDescent="0.25">
      <c r="D386" s="5"/>
      <c r="E386" s="5"/>
      <c r="F386" s="5"/>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E85D4-DF74-4B92-82D4-C2CDF08111DE}">
  <sheetPr codeName="Sheet7"/>
  <dimension ref="A1:V38"/>
  <sheetViews>
    <sheetView workbookViewId="0">
      <selection activeCell="B13" sqref="B13:B14"/>
    </sheetView>
  </sheetViews>
  <sheetFormatPr defaultColWidth="12.77734375" defaultRowHeight="15.6" x14ac:dyDescent="0.25"/>
  <cols>
    <col min="1" max="1" width="12.77734375" style="1"/>
    <col min="2" max="2" width="16.109375" style="1" bestFit="1" customWidth="1"/>
    <col min="3" max="16384" width="12.77734375" style="1"/>
  </cols>
  <sheetData>
    <row r="1" spans="1:22" x14ac:dyDescent="0.25">
      <c r="A1" s="6" t="s">
        <v>125</v>
      </c>
      <c r="B1" s="9" t="s">
        <v>13</v>
      </c>
      <c r="C1" s="7" t="s">
        <v>1941</v>
      </c>
      <c r="D1" s="6" t="s">
        <v>14</v>
      </c>
      <c r="E1" s="6" t="s">
        <v>35</v>
      </c>
      <c r="F1" s="6" t="s">
        <v>254</v>
      </c>
      <c r="G1" s="6" t="s">
        <v>36</v>
      </c>
      <c r="H1" s="6" t="s">
        <v>254</v>
      </c>
      <c r="I1" s="6" t="s">
        <v>37</v>
      </c>
      <c r="J1" s="6" t="s">
        <v>254</v>
      </c>
      <c r="K1" s="6" t="s">
        <v>38</v>
      </c>
      <c r="L1" s="6" t="s">
        <v>254</v>
      </c>
      <c r="M1" s="6" t="s">
        <v>255</v>
      </c>
      <c r="N1" s="6" t="s">
        <v>254</v>
      </c>
      <c r="O1" s="6" t="s">
        <v>1862</v>
      </c>
      <c r="P1" s="6" t="s">
        <v>1863</v>
      </c>
      <c r="Q1" s="6" t="s">
        <v>1864</v>
      </c>
      <c r="R1" s="6" t="s">
        <v>1865</v>
      </c>
      <c r="S1" s="6" t="s">
        <v>900</v>
      </c>
      <c r="T1" s="6" t="s">
        <v>901</v>
      </c>
      <c r="U1" s="6" t="s">
        <v>902</v>
      </c>
      <c r="V1" s="6" t="s">
        <v>879</v>
      </c>
    </row>
    <row r="2" spans="1:22" x14ac:dyDescent="0.25">
      <c r="A2" s="6">
        <v>1</v>
      </c>
      <c r="B2" s="9" t="s">
        <v>15</v>
      </c>
      <c r="C2" s="7">
        <f>ROUND(2/3*'02设定表'!$C$5*(0.5*(3*O2+3*P2+3*Q2+9*R2)+1*S2+1*T2+(3+0.5*V2)*U2+AVERAGE('02角色表'!$C$2:$C$7)),0)</f>
        <v>36</v>
      </c>
      <c r="D2" s="6">
        <v>1</v>
      </c>
      <c r="E2" s="6"/>
      <c r="F2" s="6"/>
      <c r="G2" s="6" t="s">
        <v>200</v>
      </c>
      <c r="H2" s="6">
        <v>1</v>
      </c>
      <c r="I2" s="6"/>
      <c r="J2" s="6"/>
      <c r="K2" s="6" t="s">
        <v>201</v>
      </c>
      <c r="L2" s="6">
        <v>1</v>
      </c>
      <c r="M2" s="6"/>
      <c r="N2" s="6"/>
      <c r="O2" s="6">
        <f>1/4*(COUNTIF($E$2:$N2,"通用宝箱")+COUNTIF($E$2:$N2,"普通战斗")+COUNTIF($E$2:$N2,"困难战斗")+2*COUNTIF($E$2:$N2,"保守宝箱"))</f>
        <v>0</v>
      </c>
      <c r="P2" s="6">
        <f>1/4*(COUNTIF($E$2:$N2,"通用宝箱")+COUNTIF($E$2:$N2,"普通战斗")+COUNTIF($E$2:$N2,"困难战斗")+2*COUNTIF($E$2:$N2,"均衡宝箱"))</f>
        <v>0</v>
      </c>
      <c r="Q2" s="6">
        <f>1/4*(COUNTIF($E$2:$N2,"通用宝箱")+COUNTIF($E$2:$N2,"普通战斗")+COUNTIF($E$2:$N2,"困难战斗")+2*COUNTIF($E$2:$N2,"冒险宝箱"))</f>
        <v>0</v>
      </c>
      <c r="R2" s="6">
        <f>(COUNTIF($E$2:$N2,"头目战斗")+COUNTIF($E$2:$N2,"史诗商店"))</f>
        <v>0</v>
      </c>
      <c r="S2" s="6">
        <f>COUNTIF($E$2:N2,"困难战斗")+COUNTIF($E$2:N2,"破损神庙")+COUNTIF($E$2:N2,"神庙")+1</f>
        <v>1</v>
      </c>
      <c r="T2" s="6">
        <f>COUNTIF($E$2:N2,"头目战斗")+1</f>
        <v>1</v>
      </c>
      <c r="U2" s="6">
        <v>2</v>
      </c>
      <c r="V2" s="6">
        <f>IF(IF(U2=0,0,IF(U2=1,1,0.5*COUNTIF($E$2:M2,"守卫商店")))&gt;5,5,IF(U2=0,0,IF(U2=1,1,0.5*COUNTIF($E$2:M2,"守卫商店"))))</f>
        <v>0</v>
      </c>
    </row>
    <row r="3" spans="1:22" x14ac:dyDescent="0.25">
      <c r="A3" s="6">
        <v>2</v>
      </c>
      <c r="B3" s="9" t="s">
        <v>15</v>
      </c>
      <c r="C3" s="7">
        <f>ROUND(2/3*'02设定表'!$C$5*(0.5*(3*O3+3*P3+3*Q3+9*R3)+1*S3+1*T3+(3+0.5*V3)*U3+AVERAGE('02角色表'!$C$2:$C$7)),0)</f>
        <v>39</v>
      </c>
      <c r="D3" s="6">
        <v>2</v>
      </c>
      <c r="E3" s="6"/>
      <c r="F3" s="6"/>
      <c r="G3" s="6"/>
      <c r="H3" s="6"/>
      <c r="I3" s="6" t="s">
        <v>202</v>
      </c>
      <c r="J3" s="6">
        <v>1</v>
      </c>
      <c r="K3" s="6"/>
      <c r="L3" s="6"/>
      <c r="M3" s="6"/>
      <c r="N3" s="6"/>
      <c r="O3" s="6">
        <f>1/4*(COUNTIF($E$2:$N3,"通用宝箱")+COUNTIF($E$2:$N3,"普通战斗")+COUNTIF($E$2:$N3,"困难战斗")+2*COUNTIF($E$2:$N3,"保守宝箱"))</f>
        <v>0.25</v>
      </c>
      <c r="P3" s="6">
        <f>1/4*(COUNTIF($E$2:$N3,"通用宝箱")+COUNTIF($E$2:$N3,"普通战斗")+COUNTIF($E$2:$N3,"困难战斗")+2*COUNTIF($E$2:$N3,"均衡宝箱"))</f>
        <v>0.25</v>
      </c>
      <c r="Q3" s="6">
        <f>1/4*(COUNTIF($E$2:$N3,"通用宝箱")+COUNTIF($E$2:$N3,"普通战斗")+COUNTIF($E$2:$N3,"困难战斗")+2*COUNTIF($E$2:$N3,"冒险宝箱"))</f>
        <v>0.25</v>
      </c>
      <c r="R3" s="6">
        <f>(COUNTIF($E$2:$N3,"头目战斗")+COUNTIF($E$2:$N3,"史诗商店"))</f>
        <v>0</v>
      </c>
      <c r="S3" s="6">
        <f>COUNTIF($E$2:N3,"困难战斗")+COUNTIF($E$2:N3,"破损神庙")+COUNTIF($E$2:N3,"神庙")+1</f>
        <v>1</v>
      </c>
      <c r="T3" s="6">
        <f>COUNTIF($E$2:N3,"头目战斗")+1</f>
        <v>1</v>
      </c>
      <c r="U3" s="6">
        <v>2</v>
      </c>
      <c r="V3" s="6">
        <f>IF(IF(U3=0,0,IF(U3=1,1,0.5*COUNTIF($E$2:M3,"守卫商店")))&gt;5,5,IF(U3=0,0,IF(U3=1,1,0.5*COUNTIF($E$2:M3,"守卫商店"))))</f>
        <v>0</v>
      </c>
    </row>
    <row r="4" spans="1:22" x14ac:dyDescent="0.25">
      <c r="A4" s="6">
        <v>3</v>
      </c>
      <c r="B4" s="9" t="s">
        <v>15</v>
      </c>
      <c r="C4" s="7">
        <f>ROUND(2/3*'02设定表'!$C$5*(0.5*(3*O4+3*P4+3*Q4+9*R4)+1*S4+1*T4+(3+0.5*V4)*U4+AVERAGE('02角色表'!$C$2:$C$7)),0)</f>
        <v>41</v>
      </c>
      <c r="D4" s="6">
        <v>3</v>
      </c>
      <c r="E4" s="6"/>
      <c r="F4" s="6"/>
      <c r="G4" s="6"/>
      <c r="H4" s="6"/>
      <c r="I4" s="6" t="s">
        <v>203</v>
      </c>
      <c r="J4" s="6">
        <v>4</v>
      </c>
      <c r="K4" s="6"/>
      <c r="L4" s="6"/>
      <c r="M4" s="6"/>
      <c r="N4" s="6"/>
      <c r="O4" s="6">
        <f>1/4*(COUNTIF($E$2:$N4,"通用宝箱")+COUNTIF($E$2:$N4,"普通战斗")+COUNTIF($E$2:$N4,"困难战斗")+2*COUNTIF($E$2:$N4,"保守宝箱"))</f>
        <v>0.5</v>
      </c>
      <c r="P4" s="6">
        <f>1/4*(COUNTIF($E$2:$N4,"通用宝箱")+COUNTIF($E$2:$N4,"普通战斗")+COUNTIF($E$2:$N4,"困难战斗")+2*COUNTIF($E$2:$N4,"均衡宝箱"))</f>
        <v>0.5</v>
      </c>
      <c r="Q4" s="6">
        <f>1/4*(COUNTIF($E$2:$N4,"通用宝箱")+COUNTIF($E$2:$N4,"普通战斗")+COUNTIF($E$2:$N4,"困难战斗")+2*COUNTIF($E$2:$N4,"冒险宝箱"))</f>
        <v>0.5</v>
      </c>
      <c r="R4" s="6">
        <f>(COUNTIF($E$2:$N4,"头目战斗")+COUNTIF($E$2:$N4,"史诗商店"))</f>
        <v>0</v>
      </c>
      <c r="S4" s="6">
        <f>COUNTIF($E$2:N4,"困难战斗")+COUNTIF($E$2:N4,"破损神庙")+COUNTIF($E$2:N4,"神庙")+1</f>
        <v>1</v>
      </c>
      <c r="T4" s="6">
        <f>COUNTIF($E$2:N4,"头目战斗")+1</f>
        <v>1</v>
      </c>
      <c r="U4" s="6">
        <v>2</v>
      </c>
      <c r="V4" s="6">
        <f>IF(IF(U4=0,0,IF(U4=1,1,0.5*COUNTIF($E$2:M4,"守卫商店")))&gt;5,5,IF(U4=0,0,IF(U4=1,1,0.5*COUNTIF($E$2:M4,"守卫商店"))))</f>
        <v>0</v>
      </c>
    </row>
    <row r="5" spans="1:22" x14ac:dyDescent="0.25">
      <c r="A5" s="6">
        <v>4</v>
      </c>
      <c r="B5" s="9" t="s">
        <v>15</v>
      </c>
      <c r="C5" s="7">
        <f>ROUND(2/3*'02设定表'!$C$5*(0.5*(3*O5+3*P5+3*Q5+9*R5)+1*S5+1*T5+(3+0.5*V5)*U5+AVERAGE('02角色表'!$C$2:$C$7)),0)</f>
        <v>45</v>
      </c>
      <c r="D5" s="6">
        <v>4</v>
      </c>
      <c r="E5" s="6" t="s">
        <v>232</v>
      </c>
      <c r="F5" s="6">
        <v>1</v>
      </c>
      <c r="G5" s="6" t="s">
        <v>233</v>
      </c>
      <c r="H5" s="6">
        <v>1</v>
      </c>
      <c r="I5" s="6"/>
      <c r="J5" s="6"/>
      <c r="K5" s="6" t="s">
        <v>272</v>
      </c>
      <c r="L5" s="6">
        <v>1</v>
      </c>
      <c r="M5" s="6" t="s">
        <v>361</v>
      </c>
      <c r="N5" s="6">
        <v>1</v>
      </c>
      <c r="O5" s="6">
        <f>1/4*(COUNTIF($E$2:$N5,"通用宝箱")+COUNTIF($E$2:$N5,"普通战斗")+COUNTIF($E$2:$N5,"困难战斗")+2*COUNTIF($E$2:$N5,"保守宝箱"))</f>
        <v>1</v>
      </c>
      <c r="P5" s="6">
        <f>1/4*(COUNTIF($E$2:$N5,"通用宝箱")+COUNTIF($E$2:$N5,"普通战斗")+COUNTIF($E$2:$N5,"困难战斗")+2*COUNTIF($E$2:$N5,"均衡宝箱"))</f>
        <v>1</v>
      </c>
      <c r="Q5" s="6">
        <f>1/4*(COUNTIF($E$2:$N5,"通用宝箱")+COUNTIF($E$2:$N5,"普通战斗")+COUNTIF($E$2:$N5,"困难战斗")+2*COUNTIF($E$2:$N5,"冒险宝箱"))</f>
        <v>1</v>
      </c>
      <c r="R5" s="6">
        <f>(COUNTIF($E$2:$N5,"头目战斗")+COUNTIF($E$2:$N5,"史诗商店"))</f>
        <v>0</v>
      </c>
      <c r="S5" s="6">
        <f>COUNTIF($E$2:N5,"困难战斗")+COUNTIF($E$2:N5,"破损神庙")+COUNTIF($E$2:N5,"神庙")+1</f>
        <v>1</v>
      </c>
      <c r="T5" s="6">
        <f>COUNTIF($E$2:N5,"头目战斗")+1</f>
        <v>1</v>
      </c>
      <c r="U5" s="6">
        <v>2</v>
      </c>
      <c r="V5" s="6">
        <f>IF(IF(U5=0,0,IF(U5=1,1,0.5*COUNTIF($E$2:M5,"守卫商店")))&gt;5,5,IF(U5=0,0,IF(U5=1,1,0.5*COUNTIF($E$2:M5,"守卫商店"))))</f>
        <v>0</v>
      </c>
    </row>
    <row r="6" spans="1:22" x14ac:dyDescent="0.25">
      <c r="A6" s="6">
        <v>5</v>
      </c>
      <c r="B6" s="9" t="s">
        <v>15</v>
      </c>
      <c r="C6" s="7">
        <f>ROUND(2/3*'02设定表'!$C$5*(0.5*(3*O6+3*P6+3*Q6+9*R6)+1*S6+1*T6+(3+0.5*V6)*U6+AVERAGE('02角色表'!$C$2:$C$7)),0)</f>
        <v>48</v>
      </c>
      <c r="D6" s="6">
        <v>5</v>
      </c>
      <c r="E6" s="6"/>
      <c r="F6" s="6"/>
      <c r="G6" s="6"/>
      <c r="H6" s="6"/>
      <c r="I6" s="6" t="s">
        <v>203</v>
      </c>
      <c r="J6" s="6">
        <v>2</v>
      </c>
      <c r="K6" s="6"/>
      <c r="L6" s="6"/>
      <c r="M6" s="6"/>
      <c r="N6" s="6"/>
      <c r="O6" s="6">
        <f>1/4*(COUNTIF($E$2:$N6,"通用宝箱")+COUNTIF($E$2:$N6,"普通战斗")+COUNTIF($E$2:$N6,"困难战斗")+2*COUNTIF($E$2:$N6,"保守宝箱"))</f>
        <v>1.25</v>
      </c>
      <c r="P6" s="6">
        <f>1/4*(COUNTIF($E$2:$N6,"通用宝箱")+COUNTIF($E$2:$N6,"普通战斗")+COUNTIF($E$2:$N6,"困难战斗")+2*COUNTIF($E$2:$N6,"均衡宝箱"))</f>
        <v>1.25</v>
      </c>
      <c r="Q6" s="6">
        <f>1/4*(COUNTIF($E$2:$N6,"通用宝箱")+COUNTIF($E$2:$N6,"普通战斗")+COUNTIF($E$2:$N6,"困难战斗")+2*COUNTIF($E$2:$N6,"冒险宝箱"))</f>
        <v>1.25</v>
      </c>
      <c r="R6" s="6">
        <f>(COUNTIF($E$2:$N6,"头目战斗")+COUNTIF($E$2:$N6,"史诗商店"))</f>
        <v>0</v>
      </c>
      <c r="S6" s="6">
        <f>COUNTIF($E$2:N6,"困难战斗")+COUNTIF($E$2:N6,"破损神庙")+COUNTIF($E$2:N6,"神庙")+1</f>
        <v>1</v>
      </c>
      <c r="T6" s="6">
        <f>COUNTIF($E$2:N6,"头目战斗")+1</f>
        <v>1</v>
      </c>
      <c r="U6" s="6">
        <v>2</v>
      </c>
      <c r="V6" s="6">
        <f>IF(IF(U6=0,0,IF(U6=1,1,0.5*COUNTIF($E$2:M6,"守卫商店")))&gt;5,5,IF(U6=0,0,IF(U6=1,1,0.5*COUNTIF($E$2:M6,"守卫商店"))))</f>
        <v>0</v>
      </c>
    </row>
    <row r="7" spans="1:22" x14ac:dyDescent="0.25">
      <c r="A7" s="6">
        <v>6</v>
      </c>
      <c r="B7" s="9" t="s">
        <v>15</v>
      </c>
      <c r="C7" s="7">
        <f>ROUND(2/3*'02设定表'!$C$5*(0.5*(3*O7+3*P7+3*Q7+9*R7)+1*S7+1*T7+(3+0.5*V7)*U7+AVERAGE('02角色表'!$C$2:$C$7)),0)</f>
        <v>49</v>
      </c>
      <c r="D7" s="6">
        <v>6</v>
      </c>
      <c r="E7" s="6"/>
      <c r="F7" s="6"/>
      <c r="G7" s="6" t="s">
        <v>238</v>
      </c>
      <c r="H7" s="6">
        <v>2</v>
      </c>
      <c r="I7" s="6"/>
      <c r="J7" s="6"/>
      <c r="K7" s="6" t="s">
        <v>232</v>
      </c>
      <c r="L7" s="6">
        <v>2</v>
      </c>
      <c r="M7" s="6"/>
      <c r="N7" s="6"/>
      <c r="O7" s="6">
        <f>1/4*(COUNTIF($E$2:$N7,"通用宝箱")+COUNTIF($E$2:$N7,"普通战斗")+COUNTIF($E$2:$N7,"困难战斗")+2*COUNTIF($E$2:$N7,"保守宝箱"))</f>
        <v>1.25</v>
      </c>
      <c r="P7" s="6">
        <f>1/4*(COUNTIF($E$2:$N7,"通用宝箱")+COUNTIF($E$2:$N7,"普通战斗")+COUNTIF($E$2:$N7,"困难战斗")+2*COUNTIF($E$2:$N7,"均衡宝箱"))</f>
        <v>1.75</v>
      </c>
      <c r="Q7" s="6">
        <f>1/4*(COUNTIF($E$2:$N7,"通用宝箱")+COUNTIF($E$2:$N7,"普通战斗")+COUNTIF($E$2:$N7,"困难战斗")+2*COUNTIF($E$2:$N7,"冒险宝箱"))</f>
        <v>1.25</v>
      </c>
      <c r="R7" s="6">
        <f>(COUNTIF($E$2:$N7,"头目战斗")+COUNTIF($E$2:$N7,"史诗商店"))</f>
        <v>0</v>
      </c>
      <c r="S7" s="6">
        <f>COUNTIF($E$2:N7,"困难战斗")+COUNTIF($E$2:N7,"破损神庙")+COUNTIF($E$2:N7,"神庙")+1</f>
        <v>1</v>
      </c>
      <c r="T7" s="6">
        <f>COUNTIF($E$2:N7,"头目战斗")+1</f>
        <v>1</v>
      </c>
      <c r="U7" s="6">
        <v>2</v>
      </c>
      <c r="V7" s="6">
        <f>IF(IF(U7=0,0,IF(U7=1,1,0.5*COUNTIF($E$2:M7,"守卫商店")))&gt;5,5,IF(U7=0,0,IF(U7=1,1,0.5*COUNTIF($E$2:M7,"守卫商店"))))</f>
        <v>0</v>
      </c>
    </row>
    <row r="8" spans="1:22" x14ac:dyDescent="0.25">
      <c r="A8" s="6">
        <v>7</v>
      </c>
      <c r="B8" s="9" t="s">
        <v>15</v>
      </c>
      <c r="C8" s="7">
        <f>ROUND(2/3*'02设定表'!$C$5*(0.5*(3*O8+3*P8+3*Q8+9*R8)+1*S8+1*T8+(3+0.5*V8)*U8+AVERAGE('02角色表'!$C$2:$C$7)),0)</f>
        <v>50</v>
      </c>
      <c r="D8" s="6">
        <v>7</v>
      </c>
      <c r="E8" s="6"/>
      <c r="F8" s="6"/>
      <c r="G8" s="6" t="s">
        <v>247</v>
      </c>
      <c r="H8" s="6">
        <v>1</v>
      </c>
      <c r="I8" s="6" t="s">
        <v>361</v>
      </c>
      <c r="J8" s="6">
        <v>1</v>
      </c>
      <c r="K8" s="6" t="s">
        <v>248</v>
      </c>
      <c r="L8" s="6">
        <v>1</v>
      </c>
      <c r="M8" s="6"/>
      <c r="N8" s="6"/>
      <c r="O8" s="6">
        <f>1/4*(COUNTIF($E$2:$N8,"通用宝箱")+COUNTIF($E$2:$N8,"普通战斗")+COUNTIF($E$2:$N8,"困难战斗")+2*COUNTIF($E$2:$N8,"保守宝箱"))</f>
        <v>1.25</v>
      </c>
      <c r="P8" s="6">
        <f>1/4*(COUNTIF($E$2:$N8,"通用宝箱")+COUNTIF($E$2:$N8,"普通战斗")+COUNTIF($E$2:$N8,"困难战斗")+2*COUNTIF($E$2:$N8,"均衡宝箱"))</f>
        <v>1.75</v>
      </c>
      <c r="Q8" s="6">
        <f>1/4*(COUNTIF($E$2:$N8,"通用宝箱")+COUNTIF($E$2:$N8,"普通战斗")+COUNTIF($E$2:$N8,"困难战斗")+2*COUNTIF($E$2:$N8,"冒险宝箱"))</f>
        <v>1.25</v>
      </c>
      <c r="R8" s="6">
        <f>(COUNTIF($E$2:$N8,"头目战斗")+COUNTIF($E$2:$N8,"史诗商店"))</f>
        <v>0</v>
      </c>
      <c r="S8" s="6">
        <f>COUNTIF($E$2:N8,"困难战斗")+COUNTIF($E$2:N8,"破损神庙")+COUNTIF($E$2:N8,"神庙")+1</f>
        <v>1</v>
      </c>
      <c r="T8" s="6">
        <f>COUNTIF($E$2:N8,"头目战斗")+1</f>
        <v>1</v>
      </c>
      <c r="U8" s="6">
        <v>2</v>
      </c>
      <c r="V8" s="6">
        <f>IF(IF(U8=0,0,IF(U8=1,1,0.5*COUNTIF($E$2:M8,"守卫商店")))&gt;5,5,IF(U8=0,0,IF(U8=1,1,0.5*COUNTIF($E$2:M8,"守卫商店"))))</f>
        <v>0.5</v>
      </c>
    </row>
    <row r="9" spans="1:22" x14ac:dyDescent="0.25">
      <c r="A9" s="6">
        <v>8</v>
      </c>
      <c r="B9" s="9" t="s">
        <v>15</v>
      </c>
      <c r="C9" s="7">
        <f>ROUND(2/3*'02设定表'!$C$5*(0.5*(3*O9+3*P9+3*Q9+9*R9)+1*S9+1*T9+(3+0.5*V9)*U9+AVERAGE('02角色表'!$C$2:$C$7)),0)</f>
        <v>57</v>
      </c>
      <c r="D9" s="6">
        <v>8</v>
      </c>
      <c r="E9" s="6"/>
      <c r="F9" s="6"/>
      <c r="G9" s="6" t="s">
        <v>203</v>
      </c>
      <c r="H9" s="6">
        <v>2</v>
      </c>
      <c r="I9" s="6"/>
      <c r="J9" s="6"/>
      <c r="K9" s="6" t="s">
        <v>249</v>
      </c>
      <c r="L9" s="6">
        <v>2</v>
      </c>
      <c r="M9" s="6"/>
      <c r="N9" s="6"/>
      <c r="O9" s="6">
        <f>1/4*(COUNTIF($E$2:$N9,"通用宝箱")+COUNTIF($E$2:$N9,"普通战斗")+COUNTIF($E$2:$N9,"困难战斗")+2*COUNTIF($E$2:$N9,"保守宝箱"))</f>
        <v>1.75</v>
      </c>
      <c r="P9" s="6">
        <f>1/4*(COUNTIF($E$2:$N9,"通用宝箱")+COUNTIF($E$2:$N9,"普通战斗")+COUNTIF($E$2:$N9,"困难战斗")+2*COUNTIF($E$2:$N9,"均衡宝箱"))</f>
        <v>2.25</v>
      </c>
      <c r="Q9" s="6">
        <f>1/4*(COUNTIF($E$2:$N9,"通用宝箱")+COUNTIF($E$2:$N9,"普通战斗")+COUNTIF($E$2:$N9,"困难战斗")+2*COUNTIF($E$2:$N9,"冒险宝箱"))</f>
        <v>1.75</v>
      </c>
      <c r="R9" s="6">
        <f>(COUNTIF($E$2:$N9,"头目战斗")+COUNTIF($E$2:$N9,"史诗商店"))</f>
        <v>0</v>
      </c>
      <c r="S9" s="6">
        <f>COUNTIF($E$2:N9,"困难战斗")+COUNTIF($E$2:N9,"破损神庙")+COUNTIF($E$2:N9,"神庙")+1</f>
        <v>2</v>
      </c>
      <c r="T9" s="6">
        <f>COUNTIF($E$2:N9,"头目战斗")+1</f>
        <v>1</v>
      </c>
      <c r="U9" s="6">
        <v>2</v>
      </c>
      <c r="V9" s="6">
        <f>IF(IF(U9=0,0,IF(U9=1,1,0.5*COUNTIF($E$2:M9,"守卫商店")))&gt;5,5,IF(U9=0,0,IF(U9=1,1,0.5*COUNTIF($E$2:M9,"守卫商店"))))</f>
        <v>0.5</v>
      </c>
    </row>
    <row r="10" spans="1:22" x14ac:dyDescent="0.25">
      <c r="A10" s="6">
        <v>9</v>
      </c>
      <c r="B10" s="9" t="s">
        <v>15</v>
      </c>
      <c r="C10" s="7">
        <f>ROUND(2/3*'02设定表'!$C$5*(0.5*(3*O10+3*P10+3*Q10+9*R10)+1*S10+1*T10+(3+0.5*V10)*U10+AVERAGE('02角色表'!$C$2:$C$7)),0)</f>
        <v>58</v>
      </c>
      <c r="D10" s="6">
        <v>9</v>
      </c>
      <c r="E10" s="6"/>
      <c r="F10" s="6"/>
      <c r="G10" s="6" t="s">
        <v>361</v>
      </c>
      <c r="H10" s="6">
        <v>2</v>
      </c>
      <c r="I10" s="6"/>
      <c r="J10" s="6"/>
      <c r="K10" s="6" t="s">
        <v>233</v>
      </c>
      <c r="L10" s="6">
        <v>2</v>
      </c>
      <c r="M10" s="6"/>
      <c r="N10" s="6"/>
      <c r="O10" s="6">
        <f>1/4*(COUNTIF($E$2:$N10,"通用宝箱")+COUNTIF($E$2:$N10,"普通战斗")+COUNTIF($E$2:$N10,"困难战斗")+2*COUNTIF($E$2:$N10,"保守宝箱"))</f>
        <v>2.25</v>
      </c>
      <c r="P10" s="6">
        <f>1/4*(COUNTIF($E$2:$N10,"通用宝箱")+COUNTIF($E$2:$N10,"普通战斗")+COUNTIF($E$2:$N10,"困难战斗")+2*COUNTIF($E$2:$N10,"均衡宝箱"))</f>
        <v>2.25</v>
      </c>
      <c r="Q10" s="6">
        <f>1/4*(COUNTIF($E$2:$N10,"通用宝箱")+COUNTIF($E$2:$N10,"普通战斗")+COUNTIF($E$2:$N10,"困难战斗")+2*COUNTIF($E$2:$N10,"冒险宝箱"))</f>
        <v>1.75</v>
      </c>
      <c r="R10" s="6">
        <f>(COUNTIF($E$2:$N10,"头目战斗")+COUNTIF($E$2:$N10,"史诗商店"))</f>
        <v>0</v>
      </c>
      <c r="S10" s="6">
        <f>COUNTIF($E$2:N10,"困难战斗")+COUNTIF($E$2:N10,"破损神庙")+COUNTIF($E$2:N10,"神庙")+1</f>
        <v>2</v>
      </c>
      <c r="T10" s="6">
        <f>COUNTIF($E$2:N10,"头目战斗")+1</f>
        <v>1</v>
      </c>
      <c r="U10" s="6">
        <v>2</v>
      </c>
      <c r="V10" s="6">
        <f>IF(IF(U10=0,0,IF(U10=1,1,0.5*COUNTIF($E$2:M10,"守卫商店")))&gt;5,5,IF(U10=0,0,IF(U10=1,1,0.5*COUNTIF($E$2:M10,"守卫商店"))))</f>
        <v>0.5</v>
      </c>
    </row>
    <row r="11" spans="1:22" x14ac:dyDescent="0.25">
      <c r="A11" s="6">
        <v>10</v>
      </c>
      <c r="B11" s="9" t="s">
        <v>15</v>
      </c>
      <c r="C11" s="7">
        <f>ROUND(2/3*'02设定表'!$C$5*(0.5*(3*O11+3*P11+3*Q11+9*R11)+1*S11+1*T11+(3+0.5*V11)*U11+AVERAGE('02角色表'!$C$2:$C$7)),0)</f>
        <v>59</v>
      </c>
      <c r="D11" s="6">
        <v>10</v>
      </c>
      <c r="E11" s="6"/>
      <c r="F11" s="6"/>
      <c r="G11" s="6" t="s">
        <v>250</v>
      </c>
      <c r="H11" s="6">
        <v>1</v>
      </c>
      <c r="I11" s="6" t="s">
        <v>251</v>
      </c>
      <c r="J11" s="6">
        <v>1</v>
      </c>
      <c r="K11" s="6" t="s">
        <v>248</v>
      </c>
      <c r="L11" s="6">
        <v>1</v>
      </c>
      <c r="M11" s="6"/>
      <c r="N11" s="6"/>
      <c r="O11" s="6">
        <f>1/4*(COUNTIF($E$2:$N11,"通用宝箱")+COUNTIF($E$2:$N11,"普通战斗")+COUNTIF($E$2:$N11,"困难战斗")+2*COUNTIF($E$2:$N11,"保守宝箱"))</f>
        <v>2.25</v>
      </c>
      <c r="P11" s="6">
        <f>1/4*(COUNTIF($E$2:$N11,"通用宝箱")+COUNTIF($E$2:$N11,"普通战斗")+COUNTIF($E$2:$N11,"困难战斗")+2*COUNTIF($E$2:$N11,"均衡宝箱"))</f>
        <v>2.25</v>
      </c>
      <c r="Q11" s="6">
        <f>1/4*(COUNTIF($E$2:$N11,"通用宝箱")+COUNTIF($E$2:$N11,"普通战斗")+COUNTIF($E$2:$N11,"困难战斗")+2*COUNTIF($E$2:$N11,"冒险宝箱"))</f>
        <v>1.75</v>
      </c>
      <c r="R11" s="6">
        <f>(COUNTIF($E$2:$N11,"头目战斗")+COUNTIF($E$2:$N11,"史诗商店"))</f>
        <v>0</v>
      </c>
      <c r="S11" s="6">
        <f>COUNTIF($E$2:N11,"困难战斗")+COUNTIF($E$2:N11,"破损神庙")+COUNTIF($E$2:N11,"神庙")+1</f>
        <v>2</v>
      </c>
      <c r="T11" s="6">
        <f>COUNTIF($E$2:N11,"头目战斗")+1</f>
        <v>1</v>
      </c>
      <c r="U11" s="6">
        <v>2</v>
      </c>
      <c r="V11" s="6">
        <f>IF(IF(U11=0,0,IF(U11=1,1,0.5*COUNTIF($E$2:M11,"守卫商店")))&gt;5,5,IF(U11=0,0,IF(U11=1,1,0.5*COUNTIF($E$2:M11,"守卫商店"))))</f>
        <v>1</v>
      </c>
    </row>
    <row r="12" spans="1:22" x14ac:dyDescent="0.25">
      <c r="A12" s="6">
        <v>11</v>
      </c>
      <c r="B12" s="9" t="s">
        <v>15</v>
      </c>
      <c r="C12" s="7">
        <f>ROUND(2/3*'02设定表'!$C$5*(0.5*(3*O12+3*P12+3*Q12+9*R12)+1*S12+1*T12+(3+0.5*V12)*U12+AVERAGE('02角色表'!$C$2:$C$7)),0)</f>
        <v>61</v>
      </c>
      <c r="D12" s="6">
        <v>11</v>
      </c>
      <c r="E12" s="6"/>
      <c r="F12" s="6"/>
      <c r="G12" s="6"/>
      <c r="H12" s="6"/>
      <c r="I12" s="6" t="s">
        <v>252</v>
      </c>
      <c r="J12" s="6">
        <v>1</v>
      </c>
      <c r="K12" s="6"/>
      <c r="L12" s="6"/>
      <c r="M12" s="6"/>
      <c r="N12" s="6"/>
      <c r="O12" s="6">
        <f>1/4*(COUNTIF($E$2:$N12,"通用宝箱")+COUNTIF($E$2:$N12,"普通战斗")+COUNTIF($E$2:$N12,"困难战斗")+2*COUNTIF($E$2:$N12,"保守宝箱"))</f>
        <v>2.25</v>
      </c>
      <c r="P12" s="6">
        <f>1/4*(COUNTIF($E$2:$N12,"通用宝箱")+COUNTIF($E$2:$N12,"普通战斗")+COUNTIF($E$2:$N12,"困难战斗")+2*COUNTIF($E$2:$N12,"均衡宝箱"))</f>
        <v>2.25</v>
      </c>
      <c r="Q12" s="6">
        <f>1/4*(COUNTIF($E$2:$N12,"通用宝箱")+COUNTIF($E$2:$N12,"普通战斗")+COUNTIF($E$2:$N12,"困难战斗")+2*COUNTIF($E$2:$N12,"冒险宝箱"))</f>
        <v>1.75</v>
      </c>
      <c r="R12" s="6">
        <f>(COUNTIF($E$2:$N12,"头目战斗")+COUNTIF($E$2:$N12,"史诗商店"))</f>
        <v>0</v>
      </c>
      <c r="S12" s="6">
        <f>COUNTIF($E$2:N12,"困难战斗")+COUNTIF($E$2:N12,"破损神庙")+COUNTIF($E$2:N12,"神庙")+1</f>
        <v>3</v>
      </c>
      <c r="T12" s="6">
        <f>COUNTIF($E$2:N12,"头目战斗")+1</f>
        <v>1</v>
      </c>
      <c r="U12" s="6">
        <v>2</v>
      </c>
      <c r="V12" s="6">
        <f>IF(IF(U12=0,0,IF(U12=1,1,0.5*COUNTIF($E$2:M12,"守卫商店")))&gt;5,5,IF(U12=0,0,IF(U12=1,1,0.5*COUNTIF($E$2:M12,"守卫商店"))))</f>
        <v>1</v>
      </c>
    </row>
    <row r="13" spans="1:22" x14ac:dyDescent="0.25">
      <c r="A13" s="6">
        <v>12</v>
      </c>
      <c r="B13" s="9" t="s">
        <v>15</v>
      </c>
      <c r="C13" s="7">
        <f>ROUND(2/3*'02设定表'!$C$5*(0.5*(3*O13+3*P13+3*Q13+9*R13)+1*S13+1*T13+(3+0.5*V13)*U13+AVERAGE('02角色表'!$C$2:$C$7)),0)</f>
        <v>72</v>
      </c>
      <c r="D13" s="6">
        <v>12</v>
      </c>
      <c r="E13" s="6"/>
      <c r="F13" s="6"/>
      <c r="G13" s="6"/>
      <c r="H13" s="6"/>
      <c r="I13" s="6" t="s">
        <v>253</v>
      </c>
      <c r="J13" s="6">
        <v>0</v>
      </c>
      <c r="K13" s="6"/>
      <c r="L13" s="6"/>
      <c r="M13" s="6"/>
      <c r="N13" s="6"/>
      <c r="O13" s="6">
        <f>1/4*(COUNTIF($E$2:$N13,"通用宝箱")+COUNTIF($E$2:$N13,"普通战斗")+COUNTIF($E$2:$N13,"困难战斗")+2*COUNTIF($E$2:$N13,"保守宝箱"))</f>
        <v>2.25</v>
      </c>
      <c r="P13" s="6">
        <f>1/4*(COUNTIF($E$2:$N13,"通用宝箱")+COUNTIF($E$2:$N13,"普通战斗")+COUNTIF($E$2:$N13,"困难战斗")+2*COUNTIF($E$2:$N13,"均衡宝箱"))</f>
        <v>2.25</v>
      </c>
      <c r="Q13" s="6">
        <f>1/4*(COUNTIF($E$2:$N13,"通用宝箱")+COUNTIF($E$2:$N13,"普通战斗")+COUNTIF($E$2:$N13,"困难战斗")+2*COUNTIF($E$2:$N13,"冒险宝箱"))</f>
        <v>1.75</v>
      </c>
      <c r="R13" s="6">
        <f>(COUNTIF($E$2:$N13,"头目战斗")+COUNTIF($E$2:$N13,"史诗商店"))</f>
        <v>1</v>
      </c>
      <c r="S13" s="6">
        <f>COUNTIF($E$2:N13,"困难战斗")+COUNTIF($E$2:N13,"破损神庙")+COUNTIF($E$2:N13,"神庙")+1</f>
        <v>3</v>
      </c>
      <c r="T13" s="6">
        <f>COUNTIF($E$2:N13,"头目战斗")+1</f>
        <v>2</v>
      </c>
      <c r="U13" s="6">
        <v>2</v>
      </c>
      <c r="V13" s="6">
        <f>IF(IF(U13=0,0,IF(U13=1,1,0.5*COUNTIF($E$2:M13,"守卫商店")))&gt;5,5,IF(U13=0,0,IF(U13=1,1,0.5*COUNTIF($E$2:M13,"守卫商店"))))</f>
        <v>1</v>
      </c>
    </row>
    <row r="14" spans="1:22" x14ac:dyDescent="0.25">
      <c r="A14" s="6">
        <v>13</v>
      </c>
      <c r="B14" s="9" t="s">
        <v>271</v>
      </c>
      <c r="C14" s="7">
        <f>ROUND(2/3*'02设定表'!$C$5*(0.5*(3*O14+3*P14+3*Q14+9*R14)+1*S14+1*T14+(3+0.5*V14)*U14+AVERAGE('02角色表'!$C$2:$C$7)),0)</f>
        <v>74</v>
      </c>
      <c r="D14" s="6">
        <v>1</v>
      </c>
      <c r="E14" s="6"/>
      <c r="F14" s="6"/>
      <c r="G14" s="6" t="s">
        <v>238</v>
      </c>
      <c r="H14" s="6">
        <v>2</v>
      </c>
      <c r="I14" s="6" t="s">
        <v>361</v>
      </c>
      <c r="J14" s="6">
        <v>2</v>
      </c>
      <c r="K14" s="6" t="s">
        <v>272</v>
      </c>
      <c r="L14" s="6">
        <v>2</v>
      </c>
      <c r="M14" s="6"/>
      <c r="N14" s="6"/>
      <c r="O14" s="6">
        <f>1/4*(COUNTIF($E$2:$N14,"通用宝箱")+COUNTIF($E$2:$N14,"普通战斗")+COUNTIF($E$2:$N14,"困难战斗")+2*COUNTIF($E$2:$N14,"保守宝箱"))</f>
        <v>2.25</v>
      </c>
      <c r="P14" s="6">
        <f>1/4*(COUNTIF($E$2:$N14,"通用宝箱")+COUNTIF($E$2:$N14,"普通战斗")+COUNTIF($E$2:$N14,"困难战斗")+2*COUNTIF($E$2:$N14,"均衡宝箱"))</f>
        <v>2.25</v>
      </c>
      <c r="Q14" s="6">
        <f>1/4*(COUNTIF($E$2:$N14,"通用宝箱")+COUNTIF($E$2:$N14,"普通战斗")+COUNTIF($E$2:$N14,"困难战斗")+2*COUNTIF($E$2:$N14,"冒险宝箱"))</f>
        <v>2.25</v>
      </c>
      <c r="R14" s="6">
        <f>(COUNTIF($E$2:$N14,"头目战斗")+COUNTIF($E$2:$N14,"史诗商店"))</f>
        <v>1</v>
      </c>
      <c r="S14" s="6">
        <f>COUNTIF($E$2:N14,"困难战斗")+COUNTIF($E$2:N14,"破损神庙")+COUNTIF($E$2:N14,"神庙")+1</f>
        <v>3</v>
      </c>
      <c r="T14" s="6">
        <f>COUNTIF($E$2:N14,"头目战斗")+1</f>
        <v>2</v>
      </c>
      <c r="U14" s="6">
        <v>2</v>
      </c>
      <c r="V14" s="6">
        <f>IF(IF(U14=0,0,IF(U14=1,1,0.5*COUNTIF($E$2:M14,"守卫商店")))&gt;5,5,IF(U14=0,0,IF(U14=1,1,0.5*COUNTIF($E$2:M14,"守卫商店"))))</f>
        <v>1</v>
      </c>
    </row>
    <row r="15" spans="1:22" x14ac:dyDescent="0.25">
      <c r="A15" s="6">
        <v>14</v>
      </c>
      <c r="B15" s="9" t="s">
        <v>271</v>
      </c>
      <c r="C15" s="7">
        <f>ROUND(2/3*'02设定表'!$C$5*(0.5*(3*O15+3*P15+3*Q15+9*R15)+1*S15+1*T15+(3+0.5*V15)*U15+AVERAGE('02角色表'!$C$2:$C$7)),0)</f>
        <v>76</v>
      </c>
      <c r="D15" s="6">
        <v>2</v>
      </c>
      <c r="E15" s="6" t="s">
        <v>232</v>
      </c>
      <c r="F15" s="6">
        <v>1</v>
      </c>
      <c r="G15" s="6" t="s">
        <v>248</v>
      </c>
      <c r="H15" s="6">
        <v>1</v>
      </c>
      <c r="I15" s="6"/>
      <c r="J15" s="6"/>
      <c r="K15" s="6" t="s">
        <v>273</v>
      </c>
      <c r="L15" s="6">
        <v>1</v>
      </c>
      <c r="M15" s="6" t="s">
        <v>247</v>
      </c>
      <c r="N15" s="6">
        <v>1</v>
      </c>
      <c r="O15" s="6">
        <f>1/4*(COUNTIF($E$2:$N15,"通用宝箱")+COUNTIF($E$2:$N15,"普通战斗")+COUNTIF($E$2:$N15,"困难战斗")+2*COUNTIF($E$2:$N15,"保守宝箱"))</f>
        <v>2.25</v>
      </c>
      <c r="P15" s="6">
        <f>1/4*(COUNTIF($E$2:$N15,"通用宝箱")+COUNTIF($E$2:$N15,"普通战斗")+COUNTIF($E$2:$N15,"困难战斗")+2*COUNTIF($E$2:$N15,"均衡宝箱"))</f>
        <v>2.75</v>
      </c>
      <c r="Q15" s="6">
        <f>1/4*(COUNTIF($E$2:$N15,"通用宝箱")+COUNTIF($E$2:$N15,"普通战斗")+COUNTIF($E$2:$N15,"困难战斗")+2*COUNTIF($E$2:$N15,"冒险宝箱"))</f>
        <v>2.25</v>
      </c>
      <c r="R15" s="6">
        <f>(COUNTIF($E$2:$N15,"头目战斗")+COUNTIF($E$2:$N15,"史诗商店"))</f>
        <v>1</v>
      </c>
      <c r="S15" s="6">
        <f>COUNTIF($E$2:N15,"困难战斗")+COUNTIF($E$2:N15,"破损神庙")+COUNTIF($E$2:N15,"神庙")+1</f>
        <v>3</v>
      </c>
      <c r="T15" s="6">
        <f>COUNTIF($E$2:N15,"头目战斗")+1</f>
        <v>2</v>
      </c>
      <c r="U15" s="6">
        <v>2</v>
      </c>
      <c r="V15" s="6">
        <f>IF(IF(U15=0,0,IF(U15=1,1,0.5*COUNTIF($E$2:M15,"守卫商店")))&gt;5,5,IF(U15=0,0,IF(U15=1,1,0.5*COUNTIF($E$2:M15,"守卫商店"))))</f>
        <v>1.5</v>
      </c>
    </row>
    <row r="16" spans="1:22" x14ac:dyDescent="0.25">
      <c r="A16" s="6">
        <v>15</v>
      </c>
      <c r="B16" s="9" t="s">
        <v>271</v>
      </c>
      <c r="C16" s="7">
        <f>ROUND(2/3*'02设定表'!$C$5*(0.5*(3*O16+3*P16+3*Q16+9*R16)+1*S16+1*T16+(3+0.5*V16)*U16+AVERAGE('02角色表'!$C$2:$C$7)),0)</f>
        <v>78</v>
      </c>
      <c r="D16" s="6">
        <v>3</v>
      </c>
      <c r="E16" s="6"/>
      <c r="F16" s="6"/>
      <c r="G16" s="6"/>
      <c r="H16" s="6"/>
      <c r="I16" s="6" t="s">
        <v>203</v>
      </c>
      <c r="J16" s="6">
        <v>3</v>
      </c>
      <c r="K16" s="6"/>
      <c r="L16" s="6"/>
      <c r="M16" s="6"/>
      <c r="N16" s="6"/>
      <c r="O16" s="6">
        <f>1/4*(COUNTIF($E$2:$N16,"通用宝箱")+COUNTIF($E$2:$N16,"普通战斗")+COUNTIF($E$2:$N16,"困难战斗")+2*COUNTIF($E$2:$N16,"保守宝箱"))</f>
        <v>2.5</v>
      </c>
      <c r="P16" s="6">
        <f>1/4*(COUNTIF($E$2:$N16,"通用宝箱")+COUNTIF($E$2:$N16,"普通战斗")+COUNTIF($E$2:$N16,"困难战斗")+2*COUNTIF($E$2:$N16,"均衡宝箱"))</f>
        <v>3</v>
      </c>
      <c r="Q16" s="6">
        <f>1/4*(COUNTIF($E$2:$N16,"通用宝箱")+COUNTIF($E$2:$N16,"普通战斗")+COUNTIF($E$2:$N16,"困难战斗")+2*COUNTIF($E$2:$N16,"冒险宝箱"))</f>
        <v>2.5</v>
      </c>
      <c r="R16" s="6">
        <f>(COUNTIF($E$2:$N16,"头目战斗")+COUNTIF($E$2:$N16,"史诗商店"))</f>
        <v>1</v>
      </c>
      <c r="S16" s="6">
        <f>COUNTIF($E$2:N16,"困难战斗")+COUNTIF($E$2:N16,"破损神庙")+COUNTIF($E$2:N16,"神庙")+1</f>
        <v>3</v>
      </c>
      <c r="T16" s="6">
        <f>COUNTIF($E$2:N16,"头目战斗")+1</f>
        <v>2</v>
      </c>
      <c r="U16" s="6">
        <v>2</v>
      </c>
      <c r="V16" s="6">
        <f>IF(IF(U16=0,0,IF(U16=1,1,0.5*COUNTIF($E$2:M16,"守卫商店")))&gt;5,5,IF(U16=0,0,IF(U16=1,1,0.5*COUNTIF($E$2:M16,"守卫商店"))))</f>
        <v>1.5</v>
      </c>
    </row>
    <row r="17" spans="1:22" x14ac:dyDescent="0.25">
      <c r="A17" s="6">
        <v>16</v>
      </c>
      <c r="B17" s="9" t="s">
        <v>271</v>
      </c>
      <c r="C17" s="7">
        <f>ROUND(2/3*'02设定表'!$C$5*(0.5*(3*O17+3*P17+3*Q17+9*R17)+1*S17+1*T17+(3+0.5*V17)*U17+AVERAGE('02角色表'!$C$2:$C$7)),0)</f>
        <v>83</v>
      </c>
      <c r="D17" s="6">
        <v>4</v>
      </c>
      <c r="E17" s="6"/>
      <c r="F17" s="6"/>
      <c r="G17" s="6" t="s">
        <v>272</v>
      </c>
      <c r="H17" s="6">
        <v>2</v>
      </c>
      <c r="I17" s="6" t="s">
        <v>233</v>
      </c>
      <c r="J17" s="6">
        <v>2</v>
      </c>
      <c r="K17" s="6" t="s">
        <v>274</v>
      </c>
      <c r="L17" s="6">
        <v>2</v>
      </c>
      <c r="M17" s="6"/>
      <c r="N17" s="6"/>
      <c r="O17" s="6">
        <f>1/4*(COUNTIF($E$2:$N17,"通用宝箱")+COUNTIF($E$2:$N17,"普通战斗")+COUNTIF($E$2:$N17,"困难战斗")+2*COUNTIF($E$2:$N17,"保守宝箱"))</f>
        <v>3</v>
      </c>
      <c r="P17" s="6">
        <f>1/4*(COUNTIF($E$2:$N17,"通用宝箱")+COUNTIF($E$2:$N17,"普通战斗")+COUNTIF($E$2:$N17,"困难战斗")+2*COUNTIF($E$2:$N17,"均衡宝箱"))</f>
        <v>3</v>
      </c>
      <c r="Q17" s="6">
        <f>1/4*(COUNTIF($E$2:$N17,"通用宝箱")+COUNTIF($E$2:$N17,"普通战斗")+COUNTIF($E$2:$N17,"困难战斗")+2*COUNTIF($E$2:$N17,"冒险宝箱"))</f>
        <v>3</v>
      </c>
      <c r="R17" s="6">
        <f>(COUNTIF($E$2:$N17,"头目战斗")+COUNTIF($E$2:$N17,"史诗商店"))</f>
        <v>1</v>
      </c>
      <c r="S17" s="6">
        <f>COUNTIF($E$2:N17,"困难战斗")+COUNTIF($E$2:N17,"破损神庙")+COUNTIF($E$2:N17,"神庙")+1</f>
        <v>4</v>
      </c>
      <c r="T17" s="6">
        <f>COUNTIF($E$2:N17,"头目战斗")+1</f>
        <v>2</v>
      </c>
      <c r="U17" s="6">
        <v>2</v>
      </c>
      <c r="V17" s="6">
        <f>IF(IF(U17=0,0,IF(U17=1,1,0.5*COUNTIF($E$2:M17,"守卫商店")))&gt;5,5,IF(U17=0,0,IF(U17=1,1,0.5*COUNTIF($E$2:M17,"守卫商店"))))</f>
        <v>1.5</v>
      </c>
    </row>
    <row r="18" spans="1:22" x14ac:dyDescent="0.25">
      <c r="A18" s="6">
        <v>17</v>
      </c>
      <c r="B18" s="9" t="s">
        <v>271</v>
      </c>
      <c r="C18" s="7">
        <f>ROUND(2/3*'02设定表'!$C$5*(0.5*(3*O18+3*P18+3*Q18+9*R18)+1*S18+1*T18+(3+0.5*V18)*U18+AVERAGE('02角色表'!$C$2:$C$7)),0)</f>
        <v>98</v>
      </c>
      <c r="D18" s="6">
        <v>5</v>
      </c>
      <c r="E18" s="6" t="s">
        <v>232</v>
      </c>
      <c r="F18" s="6">
        <v>1</v>
      </c>
      <c r="G18" s="6" t="s">
        <v>202</v>
      </c>
      <c r="H18" s="6">
        <v>1</v>
      </c>
      <c r="I18" s="6"/>
      <c r="J18" s="6"/>
      <c r="K18" s="6" t="s">
        <v>272</v>
      </c>
      <c r="L18" s="6">
        <v>1</v>
      </c>
      <c r="M18" s="6" t="s">
        <v>276</v>
      </c>
      <c r="N18" s="6">
        <v>1</v>
      </c>
      <c r="O18" s="6">
        <f>1/4*(COUNTIF($E$2:$N18,"通用宝箱")+COUNTIF($E$2:$N18,"普通战斗")+COUNTIF($E$2:$N18,"困难战斗")+2*COUNTIF($E$2:$N18,"保守宝箱"))</f>
        <v>3.25</v>
      </c>
      <c r="P18" s="6">
        <f>1/4*(COUNTIF($E$2:$N18,"通用宝箱")+COUNTIF($E$2:$N18,"普通战斗")+COUNTIF($E$2:$N18,"困难战斗")+2*COUNTIF($E$2:$N18,"均衡宝箱"))</f>
        <v>3.75</v>
      </c>
      <c r="Q18" s="6">
        <f>1/4*(COUNTIF($E$2:$N18,"通用宝箱")+COUNTIF($E$2:$N18,"普通战斗")+COUNTIF($E$2:$N18,"困难战斗")+2*COUNTIF($E$2:$N18,"冒险宝箱"))</f>
        <v>3.75</v>
      </c>
      <c r="R18" s="6">
        <f>(COUNTIF($E$2:$N18,"头目战斗")+COUNTIF($E$2:$N18,"史诗商店"))</f>
        <v>2</v>
      </c>
      <c r="S18" s="6">
        <f>COUNTIF($E$2:N18,"困难战斗")+COUNTIF($E$2:N18,"破损神庙")+COUNTIF($E$2:N18,"神庙")+1</f>
        <v>4</v>
      </c>
      <c r="T18" s="6">
        <f>COUNTIF($E$2:N18,"头目战斗")+1</f>
        <v>2</v>
      </c>
      <c r="U18" s="6">
        <v>2</v>
      </c>
      <c r="V18" s="6">
        <f>IF(IF(U18=0,0,IF(U18=1,1,0.5*COUNTIF($E$2:M18,"守卫商店")))&gt;5,5,IF(U18=0,0,IF(U18=1,1,0.5*COUNTIF($E$2:M18,"守卫商店"))))</f>
        <v>1.5</v>
      </c>
    </row>
    <row r="19" spans="1:22" x14ac:dyDescent="0.25">
      <c r="A19" s="6">
        <v>18</v>
      </c>
      <c r="B19" s="9" t="s">
        <v>271</v>
      </c>
      <c r="C19" s="7">
        <f>ROUND(2/3*'02设定表'!$C$5*(0.5*(3*O19+3*P19+3*Q19+9*R19)+1*S19+1*T19+(3+0.5*V19)*U19+AVERAGE('02角色表'!$C$2:$C$7)),0)</f>
        <v>104</v>
      </c>
      <c r="D19" s="6">
        <v>6</v>
      </c>
      <c r="E19" s="6"/>
      <c r="F19" s="6"/>
      <c r="G19" s="6" t="s">
        <v>203</v>
      </c>
      <c r="H19" s="6">
        <v>2</v>
      </c>
      <c r="I19" s="6"/>
      <c r="J19" s="6"/>
      <c r="K19" s="6" t="s">
        <v>249</v>
      </c>
      <c r="L19" s="6">
        <v>2</v>
      </c>
      <c r="M19" s="6"/>
      <c r="N19" s="6"/>
      <c r="O19" s="6">
        <f>1/4*(COUNTIF($E$2:$N19,"通用宝箱")+COUNTIF($E$2:$N19,"普通战斗")+COUNTIF($E$2:$N19,"困难战斗")+2*COUNTIF($E$2:$N19,"保守宝箱"))</f>
        <v>3.75</v>
      </c>
      <c r="P19" s="6">
        <f>1/4*(COUNTIF($E$2:$N19,"通用宝箱")+COUNTIF($E$2:$N19,"普通战斗")+COUNTIF($E$2:$N19,"困难战斗")+2*COUNTIF($E$2:$N19,"均衡宝箱"))</f>
        <v>4.25</v>
      </c>
      <c r="Q19" s="6">
        <f>1/4*(COUNTIF($E$2:$N19,"通用宝箱")+COUNTIF($E$2:$N19,"普通战斗")+COUNTIF($E$2:$N19,"困难战斗")+2*COUNTIF($E$2:$N19,"冒险宝箱"))</f>
        <v>4.25</v>
      </c>
      <c r="R19" s="6">
        <f>(COUNTIF($E$2:$N19,"头目战斗")+COUNTIF($E$2:$N19,"史诗商店"))</f>
        <v>2</v>
      </c>
      <c r="S19" s="6">
        <f>COUNTIF($E$2:N19,"困难战斗")+COUNTIF($E$2:N19,"破损神庙")+COUNTIF($E$2:N19,"神庙")+1</f>
        <v>5</v>
      </c>
      <c r="T19" s="6">
        <f>COUNTIF($E$2:N19,"头目战斗")+1</f>
        <v>2</v>
      </c>
      <c r="U19" s="6">
        <v>2</v>
      </c>
      <c r="V19" s="6">
        <f>IF(IF(U19=0,0,IF(U19=1,1,0.5*COUNTIF($E$2:M19,"守卫商店")))&gt;5,5,IF(U19=0,0,IF(U19=1,1,0.5*COUNTIF($E$2:M19,"守卫商店"))))</f>
        <v>1.5</v>
      </c>
    </row>
    <row r="20" spans="1:22" x14ac:dyDescent="0.25">
      <c r="A20" s="6">
        <v>19</v>
      </c>
      <c r="B20" s="9" t="s">
        <v>271</v>
      </c>
      <c r="C20" s="7">
        <f>ROUND(2/3*'02设定表'!$C$5*(0.5*(3*O20+3*P20+3*Q20+9*R20)+1*S20+1*T20+(3+0.5*V20)*U20+AVERAGE('02角色表'!$C$2:$C$7)),0)</f>
        <v>104</v>
      </c>
      <c r="D20" s="6">
        <v>7</v>
      </c>
      <c r="E20" s="6"/>
      <c r="F20" s="6"/>
      <c r="G20" s="6" t="s">
        <v>238</v>
      </c>
      <c r="H20" s="6">
        <v>2</v>
      </c>
      <c r="I20" s="6"/>
      <c r="J20" s="6"/>
      <c r="K20" s="6" t="s">
        <v>251</v>
      </c>
      <c r="L20" s="6">
        <v>2</v>
      </c>
      <c r="M20" s="6"/>
      <c r="N20" s="6"/>
      <c r="O20" s="6">
        <f>1/4*(COUNTIF($E$2:$N20,"通用宝箱")+COUNTIF($E$2:$N20,"普通战斗")+COUNTIF($E$2:$N20,"困难战斗")+2*COUNTIF($E$2:$N20,"保守宝箱"))</f>
        <v>3.75</v>
      </c>
      <c r="P20" s="6">
        <f>1/4*(COUNTIF($E$2:$N20,"通用宝箱")+COUNTIF($E$2:$N20,"普通战斗")+COUNTIF($E$2:$N20,"困难战斗")+2*COUNTIF($E$2:$N20,"均衡宝箱"))</f>
        <v>4.25</v>
      </c>
      <c r="Q20" s="6">
        <f>1/4*(COUNTIF($E$2:$N20,"通用宝箱")+COUNTIF($E$2:$N20,"普通战斗")+COUNTIF($E$2:$N20,"困难战斗")+2*COUNTIF($E$2:$N20,"冒险宝箱"))</f>
        <v>4.25</v>
      </c>
      <c r="R20" s="6">
        <f>(COUNTIF($E$2:$N20,"头目战斗")+COUNTIF($E$2:$N20,"史诗商店"))</f>
        <v>2</v>
      </c>
      <c r="S20" s="6">
        <f>COUNTIF($E$2:N20,"困难战斗")+COUNTIF($E$2:N20,"破损神庙")+COUNTIF($E$2:N20,"神庙")+1</f>
        <v>5</v>
      </c>
      <c r="T20" s="6">
        <f>COUNTIF($E$2:N20,"头目战斗")+1</f>
        <v>2</v>
      </c>
      <c r="U20" s="6">
        <v>2</v>
      </c>
      <c r="V20" s="6">
        <f>IF(IF(U20=0,0,IF(U20=1,1,0.5*COUNTIF($E$2:M20,"守卫商店")))&gt;5,5,IF(U20=0,0,IF(U20=1,1,0.5*COUNTIF($E$2:M20,"守卫商店"))))</f>
        <v>1.5</v>
      </c>
    </row>
    <row r="21" spans="1:22" x14ac:dyDescent="0.25">
      <c r="A21" s="6">
        <v>20</v>
      </c>
      <c r="B21" s="9" t="s">
        <v>271</v>
      </c>
      <c r="C21" s="7">
        <f>ROUND(2/3*'02设定表'!$C$5*(0.5*(3*O21+3*P21+3*Q21+9*R21)+1*S21+1*T21+(3+0.5*V21)*U21+AVERAGE('02角色表'!$C$2:$C$7)),0)</f>
        <v>105</v>
      </c>
      <c r="D21" s="6">
        <v>8</v>
      </c>
      <c r="E21" s="6"/>
      <c r="F21" s="6"/>
      <c r="G21" s="6" t="s">
        <v>247</v>
      </c>
      <c r="H21" s="6">
        <v>2</v>
      </c>
      <c r="I21" s="6" t="s">
        <v>361</v>
      </c>
      <c r="J21" s="6">
        <v>2</v>
      </c>
      <c r="K21" s="6" t="s">
        <v>248</v>
      </c>
      <c r="L21" s="6">
        <v>2</v>
      </c>
      <c r="M21" s="6"/>
      <c r="N21" s="6"/>
      <c r="O21" s="6">
        <f>1/4*(COUNTIF($E$2:$N21,"通用宝箱")+COUNTIF($E$2:$N21,"普通战斗")+COUNTIF($E$2:$N21,"困难战斗")+2*COUNTIF($E$2:$N21,"保守宝箱"))</f>
        <v>3.75</v>
      </c>
      <c r="P21" s="6">
        <f>1/4*(COUNTIF($E$2:$N21,"通用宝箱")+COUNTIF($E$2:$N21,"普通战斗")+COUNTIF($E$2:$N21,"困难战斗")+2*COUNTIF($E$2:$N21,"均衡宝箱"))</f>
        <v>4.25</v>
      </c>
      <c r="Q21" s="6">
        <f>1/4*(COUNTIF($E$2:$N21,"通用宝箱")+COUNTIF($E$2:$N21,"普通战斗")+COUNTIF($E$2:$N21,"困难战斗")+2*COUNTIF($E$2:$N21,"冒险宝箱"))</f>
        <v>4.25</v>
      </c>
      <c r="R21" s="6">
        <f>(COUNTIF($E$2:$N21,"头目战斗")+COUNTIF($E$2:$N21,"史诗商店"))</f>
        <v>2</v>
      </c>
      <c r="S21" s="6">
        <f>COUNTIF($E$2:N21,"困难战斗")+COUNTIF($E$2:N21,"破损神庙")+COUNTIF($E$2:N21,"神庙")+1</f>
        <v>5</v>
      </c>
      <c r="T21" s="6">
        <f>COUNTIF($E$2:N21,"头目战斗")+1</f>
        <v>2</v>
      </c>
      <c r="U21" s="6">
        <v>2</v>
      </c>
      <c r="V21" s="6">
        <f>IF(IF(U21=0,0,IF(U21=1,1,0.5*COUNTIF($E$2:M21,"守卫商店")))&gt;5,5,IF(U21=0,0,IF(U21=1,1,0.5*COUNTIF($E$2:M21,"守卫商店"))))</f>
        <v>2</v>
      </c>
    </row>
    <row r="22" spans="1:22" x14ac:dyDescent="0.25">
      <c r="A22" s="6">
        <v>21</v>
      </c>
      <c r="B22" s="9" t="s">
        <v>271</v>
      </c>
      <c r="C22" s="7">
        <f>ROUND(2/3*'02设定表'!$C$5*(0.5*(3*O22+3*P22+3*Q22+9*R22)+1*S22+1*T22+(3+0.5*V22)*U22+AVERAGE('02角色表'!$C$2:$C$7)),0)</f>
        <v>110</v>
      </c>
      <c r="D22" s="6">
        <v>9</v>
      </c>
      <c r="E22" s="6" t="s">
        <v>232</v>
      </c>
      <c r="F22" s="6">
        <v>1</v>
      </c>
      <c r="G22" s="6" t="s">
        <v>272</v>
      </c>
      <c r="H22" s="6">
        <v>1</v>
      </c>
      <c r="I22" s="6"/>
      <c r="J22" s="6"/>
      <c r="K22" s="6" t="s">
        <v>202</v>
      </c>
      <c r="L22" s="6">
        <v>1</v>
      </c>
      <c r="M22" s="6" t="s">
        <v>361</v>
      </c>
      <c r="N22" s="6">
        <v>1</v>
      </c>
      <c r="O22" s="6">
        <f>1/4*(COUNTIF($E$2:$N22,"通用宝箱")+COUNTIF($E$2:$N22,"普通战斗")+COUNTIF($E$2:$N22,"困难战斗")+2*COUNTIF($E$2:$N22,"保守宝箱"))</f>
        <v>4</v>
      </c>
      <c r="P22" s="6">
        <f>1/4*(COUNTIF($E$2:$N22,"通用宝箱")+COUNTIF($E$2:$N22,"普通战斗")+COUNTIF($E$2:$N22,"困难战斗")+2*COUNTIF($E$2:$N22,"均衡宝箱"))</f>
        <v>5</v>
      </c>
      <c r="Q22" s="6">
        <f>1/4*(COUNTIF($E$2:$N22,"通用宝箱")+COUNTIF($E$2:$N22,"普通战斗")+COUNTIF($E$2:$N22,"困难战斗")+2*COUNTIF($E$2:$N22,"冒险宝箱"))</f>
        <v>5</v>
      </c>
      <c r="R22" s="6">
        <f>(COUNTIF($E$2:$N22,"头目战斗")+COUNTIF($E$2:$N22,"史诗商店"))</f>
        <v>2</v>
      </c>
      <c r="S22" s="6">
        <f>COUNTIF($E$2:N22,"困难战斗")+COUNTIF($E$2:N22,"破损神庙")+COUNTIF($E$2:N22,"神庙")+1</f>
        <v>5</v>
      </c>
      <c r="T22" s="6">
        <f>COUNTIF($E$2:N22,"头目战斗")+1</f>
        <v>2</v>
      </c>
      <c r="U22" s="6">
        <v>2</v>
      </c>
      <c r="V22" s="6">
        <f>IF(IF(U22=0,0,IF(U22=1,1,0.5*COUNTIF($E$2:M22,"守卫商店")))&gt;5,5,IF(U22=0,0,IF(U22=1,1,0.5*COUNTIF($E$2:M22,"守卫商店"))))</f>
        <v>2</v>
      </c>
    </row>
    <row r="23" spans="1:22" x14ac:dyDescent="0.25">
      <c r="A23" s="6">
        <v>22</v>
      </c>
      <c r="B23" s="9" t="s">
        <v>271</v>
      </c>
      <c r="C23" s="7">
        <f>ROUND(2/3*'02设定表'!$C$5*(0.5*(3*O23+3*P23+3*Q23+9*R23)+1*S23+1*T23+(3+0.5*V23)*U23+AVERAGE('02角色表'!$C$2:$C$7)),0)</f>
        <v>112</v>
      </c>
      <c r="D23" s="6">
        <v>10</v>
      </c>
      <c r="E23" s="6"/>
      <c r="F23" s="6"/>
      <c r="G23" s="6"/>
      <c r="H23" s="6"/>
      <c r="I23" s="6" t="s">
        <v>252</v>
      </c>
      <c r="J23" s="6">
        <v>1</v>
      </c>
      <c r="K23" s="6"/>
      <c r="L23" s="6"/>
      <c r="M23" s="6"/>
      <c r="N23" s="6"/>
      <c r="O23" s="6">
        <f>1/4*(COUNTIF($E$2:$N23,"通用宝箱")+COUNTIF($E$2:$N23,"普通战斗")+COUNTIF($E$2:$N23,"困难战斗")+2*COUNTIF($E$2:$N23,"保守宝箱"))</f>
        <v>4</v>
      </c>
      <c r="P23" s="6">
        <f>1/4*(COUNTIF($E$2:$N23,"通用宝箱")+COUNTIF($E$2:$N23,"普通战斗")+COUNTIF($E$2:$N23,"困难战斗")+2*COUNTIF($E$2:$N23,"均衡宝箱"))</f>
        <v>5</v>
      </c>
      <c r="Q23" s="6">
        <f>1/4*(COUNTIF($E$2:$N23,"通用宝箱")+COUNTIF($E$2:$N23,"普通战斗")+COUNTIF($E$2:$N23,"困难战斗")+2*COUNTIF($E$2:$N23,"冒险宝箱"))</f>
        <v>5</v>
      </c>
      <c r="R23" s="6">
        <f>(COUNTIF($E$2:$N23,"头目战斗")+COUNTIF($E$2:$N23,"史诗商店"))</f>
        <v>2</v>
      </c>
      <c r="S23" s="6">
        <f>COUNTIF($E$2:N23,"困难战斗")+COUNTIF($E$2:N23,"破损神庙")+COUNTIF($E$2:N23,"神庙")+1</f>
        <v>6</v>
      </c>
      <c r="T23" s="6">
        <f>COUNTIF($E$2:N23,"头目战斗")+1</f>
        <v>2</v>
      </c>
      <c r="U23" s="6">
        <v>2</v>
      </c>
      <c r="V23" s="6">
        <f>IF(IF(U23=0,0,IF(U23=1,1,0.5*COUNTIF($E$2:M23,"守卫商店")))&gt;5,5,IF(U23=0,0,IF(U23=1,1,0.5*COUNTIF($E$2:M23,"守卫商店"))))</f>
        <v>2</v>
      </c>
    </row>
    <row r="24" spans="1:22" x14ac:dyDescent="0.25">
      <c r="A24" s="6">
        <v>23</v>
      </c>
      <c r="B24" s="9" t="s">
        <v>271</v>
      </c>
      <c r="C24" s="7">
        <f>ROUND(2/3*'02设定表'!$C$5*(0.5*(3*O24+3*P24+3*Q24+9*R24)+1*S24+1*T24+(3+0.5*V24)*U24+AVERAGE('02角色表'!$C$2:$C$7)),0)</f>
        <v>123</v>
      </c>
      <c r="D24" s="6">
        <v>11</v>
      </c>
      <c r="E24" s="6"/>
      <c r="F24" s="6"/>
      <c r="G24" s="6"/>
      <c r="H24" s="6"/>
      <c r="I24" s="6" t="s">
        <v>253</v>
      </c>
      <c r="J24" s="6">
        <v>0</v>
      </c>
      <c r="K24" s="6"/>
      <c r="L24" s="6"/>
      <c r="M24" s="6"/>
      <c r="N24" s="6"/>
      <c r="O24" s="6">
        <f>1/4*(COUNTIF($E$2:$N24,"通用宝箱")+COUNTIF($E$2:$N24,"普通战斗")+COUNTIF($E$2:$N24,"困难战斗")+2*COUNTIF($E$2:$N24,"保守宝箱"))</f>
        <v>4</v>
      </c>
      <c r="P24" s="6">
        <f>1/4*(COUNTIF($E$2:$N24,"通用宝箱")+COUNTIF($E$2:$N24,"普通战斗")+COUNTIF($E$2:$N24,"困难战斗")+2*COUNTIF($E$2:$N24,"均衡宝箱"))</f>
        <v>5</v>
      </c>
      <c r="Q24" s="6">
        <f>1/4*(COUNTIF($E$2:$N24,"通用宝箱")+COUNTIF($E$2:$N24,"普通战斗")+COUNTIF($E$2:$N24,"困难战斗")+2*COUNTIF($E$2:$N24,"冒险宝箱"))</f>
        <v>5</v>
      </c>
      <c r="R24" s="6">
        <f>(COUNTIF($E$2:$N24,"头目战斗")+COUNTIF($E$2:$N24,"史诗商店"))</f>
        <v>3</v>
      </c>
      <c r="S24" s="6">
        <f>COUNTIF($E$2:N24,"困难战斗")+COUNTIF($E$2:N24,"破损神庙")+COUNTIF($E$2:N24,"神庙")+1</f>
        <v>6</v>
      </c>
      <c r="T24" s="6">
        <f>COUNTIF($E$2:N24,"头目战斗")+1</f>
        <v>3</v>
      </c>
      <c r="U24" s="6">
        <v>2</v>
      </c>
      <c r="V24" s="6">
        <f>IF(IF(U24=0,0,IF(U24=1,1,0.5*COUNTIF($E$2:M24,"守卫商店")))&gt;5,5,IF(U24=0,0,IF(U24=1,1,0.5*COUNTIF($E$2:M24,"守卫商店"))))</f>
        <v>2</v>
      </c>
    </row>
    <row r="25" spans="1:22" x14ac:dyDescent="0.25">
      <c r="A25" s="6">
        <v>24</v>
      </c>
      <c r="B25" s="9" t="s">
        <v>360</v>
      </c>
      <c r="C25" s="7">
        <f>ROUND(2/3*'02设定表'!$C$5*(0.5*(3*O25+3*P25+3*Q25+9*R25)+1*S25+1*T25+(3+0.5*V25)*U25+AVERAGE('02角色表'!$C$2:$C$7)),0)</f>
        <v>127</v>
      </c>
      <c r="D25" s="6">
        <v>1</v>
      </c>
      <c r="E25" s="6"/>
      <c r="F25" s="6"/>
      <c r="G25" s="6" t="s">
        <v>361</v>
      </c>
      <c r="H25" s="6">
        <v>2</v>
      </c>
      <c r="I25" s="6" t="s">
        <v>363</v>
      </c>
      <c r="J25" s="6">
        <v>2</v>
      </c>
      <c r="K25" s="6" t="s">
        <v>362</v>
      </c>
      <c r="L25" s="6">
        <v>2</v>
      </c>
      <c r="M25" s="6"/>
      <c r="N25" s="6"/>
      <c r="O25" s="6">
        <f>1/4*(COUNTIF($E$2:$N25,"通用宝箱")+COUNTIF($E$2:$N25,"普通战斗")+COUNTIF($E$2:$N25,"困难战斗")+2*COUNTIF($E$2:$N25,"保守宝箱"))</f>
        <v>4.75</v>
      </c>
      <c r="P25" s="6">
        <f>1/4*(COUNTIF($E$2:$N25,"通用宝箱")+COUNTIF($E$2:$N25,"普通战斗")+COUNTIF($E$2:$N25,"困难战斗")+2*COUNTIF($E$2:$N25,"均衡宝箱"))</f>
        <v>5.25</v>
      </c>
      <c r="Q25" s="6">
        <f>1/4*(COUNTIF($E$2:$N25,"通用宝箱")+COUNTIF($E$2:$N25,"普通战斗")+COUNTIF($E$2:$N25,"困难战斗")+2*COUNTIF($E$2:$N25,"冒险宝箱"))</f>
        <v>5.25</v>
      </c>
      <c r="R25" s="6">
        <f>(COUNTIF($E$2:$N25,"头目战斗")+COUNTIF($E$2:$N25,"史诗商店"))</f>
        <v>3</v>
      </c>
      <c r="S25" s="6">
        <f>COUNTIF($E$2:N25,"困难战斗")+COUNTIF($E$2:N25,"破损神庙")+COUNTIF($E$2:N25,"神庙")+1</f>
        <v>6</v>
      </c>
      <c r="T25" s="6">
        <f>COUNTIF($E$2:N25,"头目战斗")+1</f>
        <v>3</v>
      </c>
      <c r="U25" s="6">
        <v>2</v>
      </c>
      <c r="V25" s="6">
        <f>IF(IF(U25=0,0,IF(U25=1,1,0.5*COUNTIF($E$2:M25,"守卫商店")))&gt;5,5,IF(U25=0,0,IF(U25=1,1,0.5*COUNTIF($E$2:M25,"守卫商店"))))</f>
        <v>2</v>
      </c>
    </row>
    <row r="26" spans="1:22" x14ac:dyDescent="0.25">
      <c r="A26" s="6">
        <v>25</v>
      </c>
      <c r="B26" s="9" t="s">
        <v>360</v>
      </c>
      <c r="C26" s="7">
        <f>ROUND(2/3*'02设定表'!$C$5*(0.5*(3*O26+3*P26+3*Q26+9*R26)+1*S26+1*T26+(3+0.5*V26)*U26+AVERAGE('02角色表'!$C$2:$C$7)),0)</f>
        <v>131</v>
      </c>
      <c r="D26" s="6">
        <v>2</v>
      </c>
      <c r="E26" s="6" t="s">
        <v>364</v>
      </c>
      <c r="F26" s="6">
        <v>1</v>
      </c>
      <c r="G26" s="6" t="s">
        <v>365</v>
      </c>
      <c r="H26" s="6">
        <v>1</v>
      </c>
      <c r="I26" s="6"/>
      <c r="J26" s="6"/>
      <c r="K26" s="6" t="s">
        <v>366</v>
      </c>
      <c r="L26" s="6">
        <v>1</v>
      </c>
      <c r="M26" s="6" t="s">
        <v>367</v>
      </c>
      <c r="N26" s="6">
        <v>1</v>
      </c>
      <c r="O26" s="6">
        <f>1/4*(COUNTIF($E$2:$N26,"通用宝箱")+COUNTIF($E$2:$N26,"普通战斗")+COUNTIF($E$2:$N26,"困难战斗")+2*COUNTIF($E$2:$N26,"保守宝箱"))</f>
        <v>4.75</v>
      </c>
      <c r="P26" s="6">
        <f>1/4*(COUNTIF($E$2:$N26,"通用宝箱")+COUNTIF($E$2:$N26,"普通战斗")+COUNTIF($E$2:$N26,"困难战斗")+2*COUNTIF($E$2:$N26,"均衡宝箱"))</f>
        <v>5.75</v>
      </c>
      <c r="Q26" s="6">
        <f>1/4*(COUNTIF($E$2:$N26,"通用宝箱")+COUNTIF($E$2:$N26,"普通战斗")+COUNTIF($E$2:$N26,"困难战斗")+2*COUNTIF($E$2:$N26,"冒险宝箱"))</f>
        <v>5.75</v>
      </c>
      <c r="R26" s="6">
        <f>(COUNTIF($E$2:$N26,"头目战斗")+COUNTIF($E$2:$N26,"史诗商店"))</f>
        <v>3</v>
      </c>
      <c r="S26" s="6">
        <f>COUNTIF($E$2:N26,"困难战斗")+COUNTIF($E$2:N26,"破损神庙")+COUNTIF($E$2:N26,"神庙")+1</f>
        <v>6</v>
      </c>
      <c r="T26" s="6">
        <f>COUNTIF($E$2:N26,"头目战斗")+1</f>
        <v>3</v>
      </c>
      <c r="U26" s="6">
        <v>2</v>
      </c>
      <c r="V26" s="6">
        <f>IF(IF(U26=0,0,IF(U26=1,1,0.5*COUNTIF($E$2:M26,"守卫商店")))&gt;5,5,IF(U26=0,0,IF(U26=1,1,0.5*COUNTIF($E$2:M26,"守卫商店"))))</f>
        <v>2.5</v>
      </c>
    </row>
    <row r="27" spans="1:22" x14ac:dyDescent="0.25">
      <c r="A27" s="6">
        <v>26</v>
      </c>
      <c r="B27" s="9" t="s">
        <v>360</v>
      </c>
      <c r="C27" s="7">
        <f>ROUND(2/3*'02设定表'!$C$5*(0.5*(3*O27+3*P27+3*Q27+9*R27)+1*S27+1*T27+(3+0.5*V27)*U27+AVERAGE('02角色表'!$C$2:$C$7)),0)</f>
        <v>138</v>
      </c>
      <c r="D27" s="6">
        <v>3</v>
      </c>
      <c r="E27" s="6"/>
      <c r="F27" s="6"/>
      <c r="G27" s="6" t="s">
        <v>203</v>
      </c>
      <c r="H27" s="6">
        <v>2</v>
      </c>
      <c r="I27" s="6"/>
      <c r="J27" s="6"/>
      <c r="K27" s="6" t="s">
        <v>325</v>
      </c>
      <c r="L27" s="6">
        <v>2</v>
      </c>
      <c r="M27" s="6"/>
      <c r="N27" s="6"/>
      <c r="O27" s="6">
        <f>1/4*(COUNTIF($E$2:$N27,"通用宝箱")+COUNTIF($E$2:$N27,"普通战斗")+COUNTIF($E$2:$N27,"困难战斗")+2*COUNTIF($E$2:$N27,"保守宝箱"))</f>
        <v>5.25</v>
      </c>
      <c r="P27" s="6">
        <f>1/4*(COUNTIF($E$2:$N27,"通用宝箱")+COUNTIF($E$2:$N27,"普通战斗")+COUNTIF($E$2:$N27,"困难战斗")+2*COUNTIF($E$2:$N27,"均衡宝箱"))</f>
        <v>6.25</v>
      </c>
      <c r="Q27" s="6">
        <f>1/4*(COUNTIF($E$2:$N27,"通用宝箱")+COUNTIF($E$2:$N27,"普通战斗")+COUNTIF($E$2:$N27,"困难战斗")+2*COUNTIF($E$2:$N27,"冒险宝箱"))</f>
        <v>6.25</v>
      </c>
      <c r="R27" s="6">
        <f>(COUNTIF($E$2:$N27,"头目战斗")+COUNTIF($E$2:$N27,"史诗商店"))</f>
        <v>3</v>
      </c>
      <c r="S27" s="6">
        <f>COUNTIF($E$2:N27,"困难战斗")+COUNTIF($E$2:N27,"破损神庙")+COUNTIF($E$2:N27,"神庙")+1</f>
        <v>7</v>
      </c>
      <c r="T27" s="6">
        <f>COUNTIF($E$2:N27,"头目战斗")+1</f>
        <v>3</v>
      </c>
      <c r="U27" s="6">
        <v>2</v>
      </c>
      <c r="V27" s="6">
        <f>IF(IF(U27=0,0,IF(U27=1,1,0.5*COUNTIF($E$2:M27,"守卫商店")))&gt;5,5,IF(U27=0,0,IF(U27=1,1,0.5*COUNTIF($E$2:M27,"守卫商店"))))</f>
        <v>2.5</v>
      </c>
    </row>
    <row r="28" spans="1:22" x14ac:dyDescent="0.25">
      <c r="A28" s="6">
        <v>27</v>
      </c>
      <c r="B28" s="9" t="s">
        <v>360</v>
      </c>
      <c r="C28" s="7">
        <f>ROUND(2/3*'02设定表'!$C$5*(0.5*(3*O28+3*P28+3*Q28+9*R28)+1*S28+1*T28+(3+0.5*V28)*U28+AVERAGE('02角色表'!$C$2:$C$7)),0)</f>
        <v>141</v>
      </c>
      <c r="D28" s="6">
        <v>4</v>
      </c>
      <c r="E28" s="6"/>
      <c r="F28" s="6"/>
      <c r="G28" s="6" t="s">
        <v>322</v>
      </c>
      <c r="H28" s="6">
        <v>2</v>
      </c>
      <c r="I28" s="6"/>
      <c r="J28" s="6"/>
      <c r="K28" s="6" t="s">
        <v>363</v>
      </c>
      <c r="L28" s="6">
        <v>2</v>
      </c>
      <c r="M28" s="6"/>
      <c r="N28" s="6"/>
      <c r="O28" s="6">
        <f>1/4*(COUNTIF($E$2:$N28,"通用宝箱")+COUNTIF($E$2:$N28,"普通战斗")+COUNTIF($E$2:$N28,"困难战斗")+2*COUNTIF($E$2:$N28,"保守宝箱"))</f>
        <v>5.75</v>
      </c>
      <c r="P28" s="6">
        <f>1/4*(COUNTIF($E$2:$N28,"通用宝箱")+COUNTIF($E$2:$N28,"普通战斗")+COUNTIF($E$2:$N28,"困难战斗")+2*COUNTIF($E$2:$N28,"均衡宝箱"))</f>
        <v>6.25</v>
      </c>
      <c r="Q28" s="6">
        <f>1/4*(COUNTIF($E$2:$N28,"通用宝箱")+COUNTIF($E$2:$N28,"普通战斗")+COUNTIF($E$2:$N28,"困难战斗")+2*COUNTIF($E$2:$N28,"冒险宝箱"))</f>
        <v>6.25</v>
      </c>
      <c r="R28" s="6">
        <f>(COUNTIF($E$2:$N28,"头目战斗")+COUNTIF($E$2:$N28,"史诗商店"))</f>
        <v>3</v>
      </c>
      <c r="S28" s="6">
        <f>COUNTIF($E$2:N28,"困难战斗")+COUNTIF($E$2:N28,"破损神庙")+COUNTIF($E$2:N28,"神庙")+1</f>
        <v>8</v>
      </c>
      <c r="T28" s="6">
        <f>COUNTIF($E$2:N28,"头目战斗")+1</f>
        <v>3</v>
      </c>
      <c r="U28" s="6">
        <v>2</v>
      </c>
      <c r="V28" s="6">
        <f>IF(IF(U28=0,0,IF(U28=1,1,0.5*COUNTIF($E$2:M28,"守卫商店")))&gt;5,5,IF(U28=0,0,IF(U28=1,1,0.5*COUNTIF($E$2:M28,"守卫商店"))))</f>
        <v>2.5</v>
      </c>
    </row>
    <row r="29" spans="1:22" x14ac:dyDescent="0.25">
      <c r="A29" s="6">
        <v>28</v>
      </c>
      <c r="B29" s="9" t="s">
        <v>360</v>
      </c>
      <c r="C29" s="7">
        <f>ROUND(2/3*'02设定表'!$C$5*(0.5*(3*O29+3*P29+3*Q29+9*R29)+1*S29+1*T29+(3+0.5*V29)*U29+AVERAGE('02角色表'!$C$2:$C$7)),0)</f>
        <v>142</v>
      </c>
      <c r="D29" s="6">
        <v>5</v>
      </c>
      <c r="E29" s="6"/>
      <c r="F29" s="6"/>
      <c r="G29" s="6" t="s">
        <v>368</v>
      </c>
      <c r="H29" s="6">
        <v>2</v>
      </c>
      <c r="I29" s="6" t="s">
        <v>367</v>
      </c>
      <c r="J29" s="6">
        <v>2</v>
      </c>
      <c r="K29" s="6" t="s">
        <v>369</v>
      </c>
      <c r="L29" s="6">
        <v>2</v>
      </c>
      <c r="M29" s="6"/>
      <c r="N29" s="6"/>
      <c r="O29" s="6">
        <f>1/4*(COUNTIF($E$2:$N29,"通用宝箱")+COUNTIF($E$2:$N29,"普通战斗")+COUNTIF($E$2:$N29,"困难战斗")+2*COUNTIF($E$2:$N29,"保守宝箱"))</f>
        <v>5.75</v>
      </c>
      <c r="P29" s="6">
        <f>1/4*(COUNTIF($E$2:$N29,"通用宝箱")+COUNTIF($E$2:$N29,"普通战斗")+COUNTIF($E$2:$N29,"困难战斗")+2*COUNTIF($E$2:$N29,"均衡宝箱"))</f>
        <v>6.25</v>
      </c>
      <c r="Q29" s="6">
        <f>1/4*(COUNTIF($E$2:$N29,"通用宝箱")+COUNTIF($E$2:$N29,"普通战斗")+COUNTIF($E$2:$N29,"困难战斗")+2*COUNTIF($E$2:$N29,"冒险宝箱"))</f>
        <v>6.25</v>
      </c>
      <c r="R29" s="6">
        <f>(COUNTIF($E$2:$N29,"头目战斗")+COUNTIF($E$2:$N29,"史诗商店"))</f>
        <v>3</v>
      </c>
      <c r="S29" s="6">
        <f>COUNTIF($E$2:N29,"困难战斗")+COUNTIF($E$2:N29,"破损神庙")+COUNTIF($E$2:N29,"神庙")+1</f>
        <v>8</v>
      </c>
      <c r="T29" s="6">
        <f>COUNTIF($E$2:N29,"头目战斗")+1</f>
        <v>3</v>
      </c>
      <c r="U29" s="6">
        <v>2</v>
      </c>
      <c r="V29" s="6">
        <f>IF(IF(U29=0,0,IF(U29=1,1,0.5*COUNTIF($E$2:M29,"守卫商店")))&gt;5,5,IF(U29=0,0,IF(U29=1,1,0.5*COUNTIF($E$2:M29,"守卫商店"))))</f>
        <v>3</v>
      </c>
    </row>
    <row r="30" spans="1:22" x14ac:dyDescent="0.25">
      <c r="A30" s="6">
        <v>29</v>
      </c>
      <c r="B30" s="9" t="s">
        <v>360</v>
      </c>
      <c r="C30" s="7">
        <f>ROUND(2/3*'02设定表'!$C$5*(0.5*(3*O30+3*P30+3*Q30+9*R30)+1*S30+1*T30+(3+0.5*V30)*U30+AVERAGE('02角色表'!$C$2:$C$7)),0)</f>
        <v>147</v>
      </c>
      <c r="D30" s="6">
        <v>6</v>
      </c>
      <c r="E30" s="6" t="s">
        <v>363</v>
      </c>
      <c r="F30" s="6">
        <v>1</v>
      </c>
      <c r="G30" s="6" t="s">
        <v>366</v>
      </c>
      <c r="H30" s="6">
        <v>1</v>
      </c>
      <c r="I30" s="6"/>
      <c r="J30" s="6"/>
      <c r="K30" s="6" t="s">
        <v>361</v>
      </c>
      <c r="L30" s="6">
        <v>1</v>
      </c>
      <c r="M30" s="6" t="s">
        <v>362</v>
      </c>
      <c r="N30" s="6">
        <v>1</v>
      </c>
      <c r="O30" s="6">
        <f>1/4*(COUNTIF($E$2:$N30,"通用宝箱")+COUNTIF($E$2:$N30,"普通战斗")+COUNTIF($E$2:$N30,"困难战斗")+2*COUNTIF($E$2:$N30,"保守宝箱"))</f>
        <v>6.5</v>
      </c>
      <c r="P30" s="6">
        <f>1/4*(COUNTIF($E$2:$N30,"通用宝箱")+COUNTIF($E$2:$N30,"普通战斗")+COUNTIF($E$2:$N30,"困难战斗")+2*COUNTIF($E$2:$N30,"均衡宝箱"))</f>
        <v>6.5</v>
      </c>
      <c r="Q30" s="6">
        <f>1/4*(COUNTIF($E$2:$N30,"通用宝箱")+COUNTIF($E$2:$N30,"普通战斗")+COUNTIF($E$2:$N30,"困难战斗")+2*COUNTIF($E$2:$N30,"冒险宝箱"))</f>
        <v>7</v>
      </c>
      <c r="R30" s="6">
        <f>(COUNTIF($E$2:$N30,"头目战斗")+COUNTIF($E$2:$N30,"史诗商店"))</f>
        <v>3</v>
      </c>
      <c r="S30" s="6">
        <f>COUNTIF($E$2:N30,"困难战斗")+COUNTIF($E$2:N30,"破损神庙")+COUNTIF($E$2:N30,"神庙")+1</f>
        <v>8</v>
      </c>
      <c r="T30" s="6">
        <f>COUNTIF($E$2:N30,"头目战斗")+1</f>
        <v>3</v>
      </c>
      <c r="U30" s="6">
        <v>2</v>
      </c>
      <c r="V30" s="6">
        <f>IF(IF(U30=0,0,IF(U30=1,1,0.5*COUNTIF($E$2:M30,"守卫商店")))&gt;5,5,IF(U30=0,0,IF(U30=1,1,0.5*COUNTIF($E$2:M30,"守卫商店"))))</f>
        <v>3</v>
      </c>
    </row>
    <row r="31" spans="1:22" x14ac:dyDescent="0.25">
      <c r="A31" s="6">
        <v>30</v>
      </c>
      <c r="B31" s="9" t="s">
        <v>360</v>
      </c>
      <c r="C31" s="7">
        <f>ROUND(2/3*'02设定表'!$C$5*(0.5*(3*O31+3*P31+3*Q31+9*R31)+1*S31+1*T31+(3+0.5*V31)*U31+AVERAGE('02角色表'!$C$2:$C$7)),0)</f>
        <v>154</v>
      </c>
      <c r="D31" s="6">
        <v>7</v>
      </c>
      <c r="E31" s="6"/>
      <c r="F31" s="6"/>
      <c r="G31" s="6" t="s">
        <v>203</v>
      </c>
      <c r="H31" s="6">
        <v>3</v>
      </c>
      <c r="I31" s="6"/>
      <c r="J31" s="6"/>
      <c r="K31" s="6" t="s">
        <v>325</v>
      </c>
      <c r="L31" s="6">
        <v>3</v>
      </c>
      <c r="M31" s="6"/>
      <c r="N31" s="6"/>
      <c r="O31" s="6">
        <f>1/4*(COUNTIF($E$2:$N31,"通用宝箱")+COUNTIF($E$2:$N31,"普通战斗")+COUNTIF($E$2:$N31,"困难战斗")+2*COUNTIF($E$2:$N31,"保守宝箱"))</f>
        <v>7</v>
      </c>
      <c r="P31" s="6">
        <f>1/4*(COUNTIF($E$2:$N31,"通用宝箱")+COUNTIF($E$2:$N31,"普通战斗")+COUNTIF($E$2:$N31,"困难战斗")+2*COUNTIF($E$2:$N31,"均衡宝箱"))</f>
        <v>7</v>
      </c>
      <c r="Q31" s="6">
        <f>1/4*(COUNTIF($E$2:$N31,"通用宝箱")+COUNTIF($E$2:$N31,"普通战斗")+COUNTIF($E$2:$N31,"困难战斗")+2*COUNTIF($E$2:$N31,"冒险宝箱"))</f>
        <v>7.5</v>
      </c>
      <c r="R31" s="6">
        <f>(COUNTIF($E$2:$N31,"头目战斗")+COUNTIF($E$2:$N31,"史诗商店"))</f>
        <v>3</v>
      </c>
      <c r="S31" s="6">
        <f>COUNTIF($E$2:N31,"困难战斗")+COUNTIF($E$2:N31,"破损神庙")+COUNTIF($E$2:N31,"神庙")+1</f>
        <v>9</v>
      </c>
      <c r="T31" s="6">
        <f>COUNTIF($E$2:N31,"头目战斗")+1</f>
        <v>3</v>
      </c>
      <c r="U31" s="6">
        <v>2</v>
      </c>
      <c r="V31" s="6">
        <f>IF(IF(U31=0,0,IF(U31=1,1,0.5*COUNTIF($E$2:M31,"守卫商店")))&gt;5,5,IF(U31=0,0,IF(U31=1,1,0.5*COUNTIF($E$2:M31,"守卫商店"))))</f>
        <v>3</v>
      </c>
    </row>
    <row r="32" spans="1:22" x14ac:dyDescent="0.25">
      <c r="A32" s="6">
        <v>31</v>
      </c>
      <c r="B32" s="9" t="s">
        <v>360</v>
      </c>
      <c r="C32" s="7">
        <f>ROUND(2/3*'02设定表'!$C$5*(0.5*(3*O32+3*P32+3*Q32+9*R32)+1*S32+1*T32+(3+0.5*V32)*U32+AVERAGE('02角色表'!$C$2:$C$7)),0)</f>
        <v>158</v>
      </c>
      <c r="D32" s="6">
        <v>8</v>
      </c>
      <c r="E32" s="6"/>
      <c r="F32" s="6"/>
      <c r="G32" s="6" t="s">
        <v>361</v>
      </c>
      <c r="H32" s="6">
        <v>2</v>
      </c>
      <c r="I32" s="6" t="s">
        <v>362</v>
      </c>
      <c r="J32" s="6">
        <v>2</v>
      </c>
      <c r="K32" s="6" t="s">
        <v>366</v>
      </c>
      <c r="L32" s="6">
        <v>2</v>
      </c>
      <c r="M32" s="6"/>
      <c r="N32" s="6"/>
      <c r="O32" s="6">
        <f>1/4*(COUNTIF($E$2:$N32,"通用宝箱")+COUNTIF($E$2:$N32,"普通战斗")+COUNTIF($E$2:$N32,"困难战斗")+2*COUNTIF($E$2:$N32,"保守宝箱"))</f>
        <v>7.25</v>
      </c>
      <c r="P32" s="6">
        <f>1/4*(COUNTIF($E$2:$N32,"通用宝箱")+COUNTIF($E$2:$N32,"普通战斗")+COUNTIF($E$2:$N32,"困难战斗")+2*COUNTIF($E$2:$N32,"均衡宝箱"))</f>
        <v>7.25</v>
      </c>
      <c r="Q32" s="6">
        <f>1/4*(COUNTIF($E$2:$N32,"通用宝箱")+COUNTIF($E$2:$N32,"普通战斗")+COUNTIF($E$2:$N32,"困难战斗")+2*COUNTIF($E$2:$N32,"冒险宝箱"))</f>
        <v>8.25</v>
      </c>
      <c r="R32" s="6">
        <f>(COUNTIF($E$2:$N32,"头目战斗")+COUNTIF($E$2:$N32,"史诗商店"))</f>
        <v>3</v>
      </c>
      <c r="S32" s="6">
        <f>COUNTIF($E$2:N32,"困难战斗")+COUNTIF($E$2:N32,"破损神庙")+COUNTIF($E$2:N32,"神庙")+1</f>
        <v>9</v>
      </c>
      <c r="T32" s="6">
        <f>COUNTIF($E$2:N32,"头目战斗")+1</f>
        <v>3</v>
      </c>
      <c r="U32" s="6">
        <v>2</v>
      </c>
      <c r="V32" s="6">
        <f>IF(IF(U32=0,0,IF(U32=1,1,0.5*COUNTIF($E$2:M32,"守卫商店")))&gt;5,5,IF(U32=0,0,IF(U32=1,1,0.5*COUNTIF($E$2:M32,"守卫商店"))))</f>
        <v>3</v>
      </c>
    </row>
    <row r="33" spans="1:22" x14ac:dyDescent="0.25">
      <c r="A33" s="6">
        <v>32</v>
      </c>
      <c r="B33" s="9" t="s">
        <v>360</v>
      </c>
      <c r="C33" s="7">
        <f>ROUND(2/3*'02设定表'!$C$5*(0.5*(3*O33+3*P33+3*Q33+9*R33)+1*S33+1*T33+(3+0.5*V33)*U33+AVERAGE('02角色表'!$C$2:$C$7)),0)</f>
        <v>168</v>
      </c>
      <c r="D33" s="6">
        <v>9</v>
      </c>
      <c r="E33" s="6" t="s">
        <v>364</v>
      </c>
      <c r="F33" s="6">
        <v>1</v>
      </c>
      <c r="G33" s="6" t="s">
        <v>367</v>
      </c>
      <c r="H33" s="6">
        <v>1</v>
      </c>
      <c r="I33" s="6"/>
      <c r="J33" s="6"/>
      <c r="K33" s="6" t="s">
        <v>370</v>
      </c>
      <c r="L33" s="6">
        <v>1</v>
      </c>
      <c r="M33" s="6" t="s">
        <v>371</v>
      </c>
      <c r="N33" s="6">
        <v>1</v>
      </c>
      <c r="O33" s="6">
        <f>1/4*(COUNTIF($E$2:$N33,"通用宝箱")+COUNTIF($E$2:$N33,"普通战斗")+COUNTIF($E$2:$N33,"困难战斗")+2*COUNTIF($E$2:$N33,"保守宝箱"))</f>
        <v>7.25</v>
      </c>
      <c r="P33" s="6">
        <f>1/4*(COUNTIF($E$2:$N33,"通用宝箱")+COUNTIF($E$2:$N33,"普通战斗")+COUNTIF($E$2:$N33,"困难战斗")+2*COUNTIF($E$2:$N33,"均衡宝箱"))</f>
        <v>7.25</v>
      </c>
      <c r="Q33" s="6">
        <f>1/4*(COUNTIF($E$2:$N33,"通用宝箱")+COUNTIF($E$2:$N33,"普通战斗")+COUNTIF($E$2:$N33,"困难战斗")+2*COUNTIF($E$2:$N33,"冒险宝箱"))</f>
        <v>8.25</v>
      </c>
      <c r="R33" s="6">
        <f>(COUNTIF($E$2:$N33,"头目战斗")+COUNTIF($E$2:$N33,"史诗商店"))</f>
        <v>4</v>
      </c>
      <c r="S33" s="6">
        <f>COUNTIF($E$2:N33,"困难战斗")+COUNTIF($E$2:N33,"破损神庙")+COUNTIF($E$2:N33,"神庙")+1</f>
        <v>9</v>
      </c>
      <c r="T33" s="6">
        <f>COUNTIF($E$2:N33,"头目战斗")+1</f>
        <v>3</v>
      </c>
      <c r="U33" s="6">
        <v>2</v>
      </c>
      <c r="V33" s="6">
        <f>IF(IF(U33=0,0,IF(U33=1,1,0.5*COUNTIF($E$2:M33,"守卫商店")))&gt;5,5,IF(U33=0,0,IF(U33=1,1,0.5*COUNTIF($E$2:M33,"守卫商店"))))</f>
        <v>3.5</v>
      </c>
    </row>
    <row r="34" spans="1:22" x14ac:dyDescent="0.25">
      <c r="A34" s="6">
        <v>33</v>
      </c>
      <c r="B34" s="9" t="s">
        <v>360</v>
      </c>
      <c r="C34" s="7">
        <f>ROUND(2/3*'02设定表'!$C$5*(0.5*(3*O34+3*P34+3*Q34+9*R34)+1*S34+1*T34+(3+0.5*V34)*U34+AVERAGE('02角色表'!$C$2:$C$7)),0)</f>
        <v>170</v>
      </c>
      <c r="D34" s="6">
        <v>10</v>
      </c>
      <c r="E34" s="6"/>
      <c r="F34" s="6"/>
      <c r="G34" s="6"/>
      <c r="H34" s="6"/>
      <c r="I34" s="6" t="s">
        <v>252</v>
      </c>
      <c r="J34" s="6">
        <v>1</v>
      </c>
      <c r="K34" s="6"/>
      <c r="L34" s="6"/>
      <c r="M34" s="6"/>
      <c r="N34" s="6"/>
      <c r="O34" s="6">
        <f>1/4*(COUNTIF($E$2:$N34,"通用宝箱")+COUNTIF($E$2:$N34,"普通战斗")+COUNTIF($E$2:$N34,"困难战斗")+2*COUNTIF($E$2:$N34,"保守宝箱"))</f>
        <v>7.25</v>
      </c>
      <c r="P34" s="6">
        <f>1/4*(COUNTIF($E$2:$N34,"通用宝箱")+COUNTIF($E$2:$N34,"普通战斗")+COUNTIF($E$2:$N34,"困难战斗")+2*COUNTIF($E$2:$N34,"均衡宝箱"))</f>
        <v>7.25</v>
      </c>
      <c r="Q34" s="6">
        <f>1/4*(COUNTIF($E$2:$N34,"通用宝箱")+COUNTIF($E$2:$N34,"普通战斗")+COUNTIF($E$2:$N34,"困难战斗")+2*COUNTIF($E$2:$N34,"冒险宝箱"))</f>
        <v>8.25</v>
      </c>
      <c r="R34" s="6">
        <f>(COUNTIF($E$2:$N34,"头目战斗")+COUNTIF($E$2:$N34,"史诗商店"))</f>
        <v>4</v>
      </c>
      <c r="S34" s="6">
        <f>COUNTIF($E$2:N34,"困难战斗")+COUNTIF($E$2:N34,"破损神庙")+COUNTIF($E$2:N34,"神庙")+1</f>
        <v>10</v>
      </c>
      <c r="T34" s="6">
        <f>COUNTIF($E$2:N34,"头目战斗")+1</f>
        <v>3</v>
      </c>
      <c r="U34" s="6">
        <v>2</v>
      </c>
      <c r="V34" s="6">
        <f>IF(IF(U34=0,0,IF(U34=1,1,0.5*COUNTIF($E$2:M34,"守卫商店")))&gt;5,5,IF(U34=0,0,IF(U34=1,1,0.5*COUNTIF($E$2:M34,"守卫商店"))))</f>
        <v>3.5</v>
      </c>
    </row>
    <row r="35" spans="1:22" x14ac:dyDescent="0.25">
      <c r="A35" s="6">
        <v>34</v>
      </c>
      <c r="B35" s="9" t="s">
        <v>360</v>
      </c>
      <c r="C35" s="7">
        <f>ROUND(2/3*'02设定表'!$C$5*(0.5*(3*O35+3*P35+3*Q35+9*R35)+1*S35+1*T35+(3+0.5*V35)*U35+AVERAGE('02角色表'!$C$2:$C$7)),0)</f>
        <v>181</v>
      </c>
      <c r="D35" s="6">
        <v>11</v>
      </c>
      <c r="E35" s="6"/>
      <c r="F35" s="6"/>
      <c r="G35" s="6"/>
      <c r="H35" s="6"/>
      <c r="I35" s="6" t="s">
        <v>253</v>
      </c>
      <c r="J35" s="6">
        <v>0</v>
      </c>
      <c r="K35" s="6"/>
      <c r="L35" s="6"/>
      <c r="M35" s="6"/>
      <c r="N35" s="6"/>
      <c r="O35" s="6">
        <f>1/4*(COUNTIF($E$2:$N35,"通用宝箱")+COUNTIF($E$2:$N35,"普通战斗")+COUNTIF($E$2:$N35,"困难战斗")+2*COUNTIF($E$2:$N35,"保守宝箱"))</f>
        <v>7.25</v>
      </c>
      <c r="P35" s="6">
        <f>1/4*(COUNTIF($E$2:$N35,"通用宝箱")+COUNTIF($E$2:$N35,"普通战斗")+COUNTIF($E$2:$N35,"困难战斗")+2*COUNTIF($E$2:$N35,"均衡宝箱"))</f>
        <v>7.25</v>
      </c>
      <c r="Q35" s="6">
        <f>1/4*(COUNTIF($E$2:$N35,"通用宝箱")+COUNTIF($E$2:$N35,"普通战斗")+COUNTIF($E$2:$N35,"困难战斗")+2*COUNTIF($E$2:$N35,"冒险宝箱"))</f>
        <v>8.25</v>
      </c>
      <c r="R35" s="6">
        <f>(COUNTIF($E$2:$N35,"头目战斗")+COUNTIF($E$2:$N35,"史诗商店"))</f>
        <v>5</v>
      </c>
      <c r="S35" s="6">
        <f>COUNTIF($E$2:N35,"困难战斗")+COUNTIF($E$2:N35,"破损神庙")+COUNTIF($E$2:N35,"神庙")+1</f>
        <v>10</v>
      </c>
      <c r="T35" s="6">
        <f>COUNTIF($E$2:N35,"头目战斗")+1</f>
        <v>4</v>
      </c>
      <c r="U35" s="6">
        <v>2</v>
      </c>
      <c r="V35" s="6">
        <f>IF(IF(U35=0,0,IF(U35=1,1,0.5*COUNTIF($E$2:M35,"守卫商店")))&gt;5,5,IF(U35=0,0,IF(U35=1,1,0.5*COUNTIF($E$2:M35,"守卫商店"))))</f>
        <v>3.5</v>
      </c>
    </row>
    <row r="36" spans="1:22" x14ac:dyDescent="0.25">
      <c r="A36" s="6">
        <v>35</v>
      </c>
      <c r="B36" s="9" t="s">
        <v>898</v>
      </c>
      <c r="C36" s="7">
        <f>ROUND(2/3*'02设定表'!$C$5*(0.5*(3*O36+3*P36+3*Q36+9*R36)+1*S36+1*T36+(3+0.5*V36)*U36+AVERAGE('02角色表'!$C$2:$C$7)),0)</f>
        <v>191</v>
      </c>
      <c r="D36" s="6">
        <v>1</v>
      </c>
      <c r="E36" s="6"/>
      <c r="F36" s="6"/>
      <c r="G36" s="6" t="s">
        <v>1875</v>
      </c>
      <c r="H36" s="6">
        <v>1</v>
      </c>
      <c r="I36" s="6" t="s">
        <v>1876</v>
      </c>
      <c r="J36" s="6">
        <v>2</v>
      </c>
      <c r="K36" s="6" t="s">
        <v>1877</v>
      </c>
      <c r="L36" s="6">
        <v>1</v>
      </c>
      <c r="M36" s="6"/>
      <c r="N36" s="6"/>
      <c r="O36" s="6">
        <f>1/4*(COUNTIF($E$2:$N36,"通用宝箱")+COUNTIF($E$2:$N36,"普通战斗")+COUNTIF($E$2:$N36,"困难战斗")+2*COUNTIF($E$2:$N36,"保守宝箱"))</f>
        <v>7.25</v>
      </c>
      <c r="P36" s="6">
        <f>1/4*(COUNTIF($E$2:$N36,"通用宝箱")+COUNTIF($E$2:$N36,"普通战斗")+COUNTIF($E$2:$N36,"困难战斗")+2*COUNTIF($E$2:$N36,"均衡宝箱"))</f>
        <v>7.25</v>
      </c>
      <c r="Q36" s="6">
        <f>1/4*(COUNTIF($E$2:$N36,"通用宝箱")+COUNTIF($E$2:$N36,"普通战斗")+COUNTIF($E$2:$N36,"困难战斗")+2*COUNTIF($E$2:$N36,"冒险宝箱"))</f>
        <v>8.25</v>
      </c>
      <c r="R36" s="6">
        <f>(COUNTIF($E$2:$N36,"头目战斗")+COUNTIF($E$2:$N36,"史诗商店"))</f>
        <v>6</v>
      </c>
      <c r="S36" s="6">
        <f>COUNTIF($E$2:N36,"困难战斗")+COUNTIF($E$2:N36,"破损神庙")+COUNTIF($E$2:N36,"神庙")+1</f>
        <v>10</v>
      </c>
      <c r="T36" s="6">
        <f>COUNTIF($E$2:N36,"头目战斗")+1</f>
        <v>4</v>
      </c>
      <c r="U36" s="6">
        <v>2</v>
      </c>
      <c r="V36" s="6">
        <f>IF(IF(U36=0,0,IF(U36=1,1,0.5*COUNTIF($E$2:M36,"守卫商店")))&gt;5,5,IF(U36=0,0,IF(U36=1,1,0.5*COUNTIF($E$2:M36,"守卫商店"))))</f>
        <v>4</v>
      </c>
    </row>
    <row r="37" spans="1:22" x14ac:dyDescent="0.25">
      <c r="A37" s="6">
        <v>36</v>
      </c>
      <c r="B37" s="9" t="s">
        <v>898</v>
      </c>
      <c r="C37" s="7">
        <f>ROUND(2/3*'02设定表'!$C$5*(0.5*(3*O37+3*P37+3*Q37+9*R37)+1*S37+1*T37+(3+0.5*V37)*U37+AVERAGE('02角色表'!$C$2:$C$7)),0)</f>
        <v>201</v>
      </c>
      <c r="D37" s="6">
        <v>2</v>
      </c>
      <c r="E37" s="6"/>
      <c r="F37" s="6"/>
      <c r="G37" s="6" t="s">
        <v>1878</v>
      </c>
      <c r="H37" s="6">
        <v>1</v>
      </c>
      <c r="I37" s="6"/>
      <c r="J37" s="6"/>
      <c r="K37" s="6" t="s">
        <v>1879</v>
      </c>
      <c r="L37" s="6">
        <v>1</v>
      </c>
      <c r="M37" s="6"/>
      <c r="N37" s="6"/>
      <c r="O37" s="6">
        <f>1/4*(COUNTIF($E$2:$N37,"通用宝箱")+COUNTIF($E$2:$N37,"普通战斗")+COUNTIF($E$2:$N37,"困难战斗")+2*COUNTIF($E$2:$N37,"保守宝箱"))</f>
        <v>7.25</v>
      </c>
      <c r="P37" s="6">
        <f>1/4*(COUNTIF($E$2:$N37,"通用宝箱")+COUNTIF($E$2:$N37,"普通战斗")+COUNTIF($E$2:$N37,"困难战斗")+2*COUNTIF($E$2:$N37,"均衡宝箱"))</f>
        <v>7.25</v>
      </c>
      <c r="Q37" s="6">
        <f>1/4*(COUNTIF($E$2:$N37,"通用宝箱")+COUNTIF($E$2:$N37,"普通战斗")+COUNTIF($E$2:$N37,"困难战斗")+2*COUNTIF($E$2:$N37,"冒险宝箱"))</f>
        <v>8.25</v>
      </c>
      <c r="R37" s="6">
        <f>(COUNTIF($E$2:$N37,"头目战斗")+COUNTIF($E$2:$N37,"史诗商店"))</f>
        <v>6</v>
      </c>
      <c r="S37" s="6">
        <f>COUNTIF($E$2:N37,"困难战斗")+COUNTIF($E$2:N37,"破损神庙")+COUNTIF($E$2:N37,"神庙")+1</f>
        <v>10</v>
      </c>
      <c r="T37" s="6">
        <f>COUNTIF($E$2:N37,"头目战斗")+1</f>
        <v>4</v>
      </c>
      <c r="U37" s="6">
        <v>3</v>
      </c>
      <c r="V37" s="6">
        <f>IF(IF(U37=0,0,IF(U37=1,1,0.5*COUNTIF($E$2:M37,"守卫商店")))&gt;5,5,IF(U37=0,0,IF(U37=1,1,0.5*COUNTIF($E$2:M37,"守卫商店"))))</f>
        <v>4</v>
      </c>
    </row>
    <row r="38" spans="1:22" x14ac:dyDescent="0.25">
      <c r="A38" s="6">
        <v>37</v>
      </c>
      <c r="B38" s="9" t="s">
        <v>898</v>
      </c>
      <c r="C38" s="7">
        <f>ROUND(2/3*'02设定表'!$C$5*(0.5*(3*O38+3*P38+3*Q38+9*R38)+1*S38+1*T38+(3+0.5*V38)*U38+AVERAGE('02角色表'!$C$2:$C$7)),0)</f>
        <v>211</v>
      </c>
      <c r="D38" s="6">
        <v>3</v>
      </c>
      <c r="E38" s="6"/>
      <c r="F38" s="6"/>
      <c r="G38" s="6"/>
      <c r="H38" s="6"/>
      <c r="I38" s="6" t="s">
        <v>1880</v>
      </c>
      <c r="J38" s="6">
        <v>0</v>
      </c>
      <c r="K38" s="6"/>
      <c r="L38" s="6"/>
      <c r="M38" s="6"/>
      <c r="N38" s="6"/>
      <c r="O38" s="6">
        <f>1/4*(COUNTIF($E$2:$N38,"通用宝箱")+COUNTIF($E$2:$N38,"普通战斗")+COUNTIF($E$2:$N38,"困难战斗")+2*COUNTIF($E$2:$N38,"保守宝箱"))</f>
        <v>7.25</v>
      </c>
      <c r="P38" s="6">
        <f>1/4*(COUNTIF($E$2:$N38,"通用宝箱")+COUNTIF($E$2:$N38,"普通战斗")+COUNTIF($E$2:$N38,"困难战斗")+2*COUNTIF($E$2:$N38,"均衡宝箱"))</f>
        <v>7.25</v>
      </c>
      <c r="Q38" s="6">
        <f>1/4*(COUNTIF($E$2:$N38,"通用宝箱")+COUNTIF($E$2:$N38,"普通战斗")+COUNTIF($E$2:$N38,"困难战斗")+2*COUNTIF($E$2:$N38,"冒险宝箱"))</f>
        <v>8.25</v>
      </c>
      <c r="R38" s="6">
        <f>(COUNTIF($E$2:$N38,"头目战斗")+COUNTIF($E$2:$N38,"史诗商店"))</f>
        <v>6</v>
      </c>
      <c r="S38" s="6">
        <f>COUNTIF($E$2:N38,"困难战斗")+COUNTIF($E$2:N38,"破损神庙")+COUNTIF($E$2:N38,"神庙")+1</f>
        <v>10</v>
      </c>
      <c r="T38" s="6">
        <f>COUNTIF($E$2:N38,"头目战斗")+1</f>
        <v>4</v>
      </c>
      <c r="U38" s="6">
        <v>4</v>
      </c>
      <c r="V38" s="6">
        <f>IF(IF(U38=0,0,IF(U38=1,1,0.5*COUNTIF($E$2:M38,"守卫商店")))&gt;5,5,IF(U38=0,0,IF(U38=1,1,0.5*COUNTIF($E$2:M38,"守卫商店"))))</f>
        <v>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011F0-7F1A-4C91-877C-F58EBFA00C27}">
  <sheetPr codeName="Sheet8"/>
  <dimension ref="A1:AP80"/>
  <sheetViews>
    <sheetView zoomScaleNormal="100" workbookViewId="0">
      <selection activeCell="C14" sqref="C14"/>
    </sheetView>
  </sheetViews>
  <sheetFormatPr defaultColWidth="15.77734375" defaultRowHeight="15.6" x14ac:dyDescent="0.25"/>
  <cols>
    <col min="1" max="4" width="15.77734375" style="1"/>
    <col min="5" max="5" width="18.33203125" style="1" bestFit="1" customWidth="1"/>
    <col min="6" max="16384" width="15.77734375" style="1"/>
  </cols>
  <sheetData>
    <row r="1" spans="1:42" x14ac:dyDescent="0.25">
      <c r="A1" s="6" t="s">
        <v>234</v>
      </c>
      <c r="B1" s="6" t="s">
        <v>280</v>
      </c>
      <c r="C1" s="6" t="s">
        <v>638</v>
      </c>
      <c r="D1" s="6" t="s">
        <v>257</v>
      </c>
      <c r="E1" s="9" t="s">
        <v>205</v>
      </c>
      <c r="F1" s="7" t="s">
        <v>640</v>
      </c>
      <c r="G1" s="6" t="s">
        <v>639</v>
      </c>
      <c r="H1" s="6" t="s">
        <v>235</v>
      </c>
      <c r="I1" s="6" t="s">
        <v>206</v>
      </c>
      <c r="J1" s="6" t="s">
        <v>209</v>
      </c>
      <c r="K1" s="6" t="s">
        <v>208</v>
      </c>
      <c r="L1" s="6" t="s">
        <v>211</v>
      </c>
      <c r="M1" s="6" t="s">
        <v>347</v>
      </c>
      <c r="N1" s="6" t="s">
        <v>213</v>
      </c>
      <c r="O1" s="6" t="s">
        <v>348</v>
      </c>
      <c r="P1" s="6" t="s">
        <v>213</v>
      </c>
      <c r="Q1" s="6" t="s">
        <v>515</v>
      </c>
      <c r="R1" s="6" t="s">
        <v>213</v>
      </c>
      <c r="S1" s="6" t="s">
        <v>707</v>
      </c>
      <c r="T1" s="6" t="s">
        <v>211</v>
      </c>
      <c r="U1" s="6" t="s">
        <v>708</v>
      </c>
      <c r="V1" s="6" t="s">
        <v>211</v>
      </c>
      <c r="W1" s="6" t="s">
        <v>709</v>
      </c>
      <c r="X1" s="6" t="s">
        <v>211</v>
      </c>
      <c r="Y1" s="6" t="s">
        <v>711</v>
      </c>
      <c r="Z1" s="6" t="s">
        <v>211</v>
      </c>
      <c r="AA1" s="6" t="s">
        <v>712</v>
      </c>
      <c r="AB1" s="6" t="s">
        <v>211</v>
      </c>
      <c r="AC1" s="6" t="s">
        <v>713</v>
      </c>
      <c r="AD1" s="6" t="s">
        <v>211</v>
      </c>
      <c r="AE1" s="6" t="s">
        <v>714</v>
      </c>
      <c r="AF1" s="6" t="s">
        <v>211</v>
      </c>
      <c r="AG1" s="6" t="s">
        <v>715</v>
      </c>
      <c r="AH1" s="6" t="s">
        <v>211</v>
      </c>
      <c r="AI1" s="6" t="s">
        <v>716</v>
      </c>
      <c r="AJ1" s="6" t="s">
        <v>211</v>
      </c>
      <c r="AK1" s="6" t="s">
        <v>717</v>
      </c>
      <c r="AL1" s="6" t="s">
        <v>211</v>
      </c>
      <c r="AM1" s="6" t="s">
        <v>718</v>
      </c>
      <c r="AN1" s="6" t="s">
        <v>211</v>
      </c>
      <c r="AO1" s="6" t="s">
        <v>719</v>
      </c>
      <c r="AP1" s="6" t="s">
        <v>211</v>
      </c>
    </row>
    <row r="2" spans="1:42" x14ac:dyDescent="0.25">
      <c r="A2" s="6">
        <v>1</v>
      </c>
      <c r="B2" s="6" t="s">
        <v>15</v>
      </c>
      <c r="C2" s="6">
        <v>1.1000000000000001</v>
      </c>
      <c r="D2" s="6" t="s">
        <v>204</v>
      </c>
      <c r="E2" s="9" t="s">
        <v>207</v>
      </c>
      <c r="F2" s="7">
        <f>ROUND(-1*(3/K2*L2*_xlfn.XLOOKUP(J2,'02效果表'!D:D,'02效果表'!E:E)+N2*_xlfn.XLOOKUP(M2,'02效果表'!D:D,'02效果表'!E:E)+P2*_xlfn.XLOOKUP(O2,'02效果表'!D:D,'02效果表'!E:E)+R2*_xlfn.XLOOKUP(Q2,'02效果表'!D:D,'02效果表'!E:E)+1/6*(T2*_xlfn.XLOOKUP(S2,'02效果表'!D:D,'02效果表'!E:E)+V2*_xlfn.XLOOKUP(U2,'02效果表'!D:D,'02效果表'!E:E)+X2*_xlfn.XLOOKUP(W2,'02效果表'!D:D,'02效果表'!E:E)+Z2*_xlfn.XLOOKUP(Y2,'02效果表'!D:D,'02效果表'!E:E)+AB2*_xlfn.XLOOKUP(AA2,'02效果表'!D:D,'02效果表'!E:E)+AD2*_xlfn.XLOOKUP(AC2,'02效果表'!D:D,'02效果表'!E:E)+AF2*_xlfn.XLOOKUP(AE2,'02效果表'!D:D,'02效果表'!E:E)+AH2*_xlfn.XLOOKUP(AG2,'02效果表'!D:D,'02效果表'!E:E)+AJ2*_xlfn.XLOOKUP(AI2,'02效果表'!D:D,'02效果表'!E:E)+AL2*_xlfn.XLOOKUP(AK2,'02效果表'!D:D,'02效果表'!E:E)+AN2*_xlfn.XLOOKUP(AM2,'02效果表'!D:D,'02效果表'!E:E)+AP2*_xlfn.XLOOKUP(AO2,'02效果表'!D:D,'02效果表'!E:E))),0)</f>
        <v>5</v>
      </c>
      <c r="G2" s="6">
        <v>1</v>
      </c>
      <c r="H2" s="6" t="s">
        <v>261</v>
      </c>
      <c r="I2" s="6">
        <v>18</v>
      </c>
      <c r="J2" s="6" t="s">
        <v>210</v>
      </c>
      <c r="K2" s="6">
        <v>6</v>
      </c>
      <c r="L2" s="6">
        <v>3</v>
      </c>
      <c r="M2" s="6" t="s">
        <v>212</v>
      </c>
      <c r="N2" s="6">
        <v>1</v>
      </c>
      <c r="O2" s="6"/>
      <c r="P2" s="6"/>
      <c r="Q2" s="6"/>
      <c r="R2" s="6"/>
      <c r="S2" s="6"/>
      <c r="T2" s="6"/>
      <c r="U2" s="6"/>
      <c r="V2" s="6"/>
      <c r="W2" s="6"/>
      <c r="X2" s="6"/>
      <c r="Y2" s="6"/>
      <c r="Z2" s="6"/>
      <c r="AA2" s="6"/>
      <c r="AB2" s="6"/>
      <c r="AC2" s="6"/>
      <c r="AD2" s="6"/>
      <c r="AE2" s="6"/>
      <c r="AF2" s="6"/>
      <c r="AG2" s="6"/>
      <c r="AH2" s="6"/>
      <c r="AI2" s="6"/>
      <c r="AJ2" s="6"/>
      <c r="AK2" s="6"/>
      <c r="AL2" s="6"/>
      <c r="AM2" s="6"/>
      <c r="AN2" s="6"/>
      <c r="AO2" s="6"/>
      <c r="AP2" s="6"/>
    </row>
    <row r="3" spans="1:42" x14ac:dyDescent="0.25">
      <c r="A3" s="6">
        <v>2</v>
      </c>
      <c r="B3" s="6" t="s">
        <v>15</v>
      </c>
      <c r="C3" s="6">
        <v>1.2</v>
      </c>
      <c r="D3" s="6" t="s">
        <v>326</v>
      </c>
      <c r="E3" s="9" t="s">
        <v>470</v>
      </c>
      <c r="F3" s="7">
        <f>ROUND(-1*(3/K3*L3*_xlfn.XLOOKUP(J3,'02效果表'!D:D,'02效果表'!E:E)+N3*_xlfn.XLOOKUP(M3,'02效果表'!D:D,'02效果表'!E:E)+P3*_xlfn.XLOOKUP(O3,'02效果表'!D:D,'02效果表'!E:E)+R3*_xlfn.XLOOKUP(Q3,'02效果表'!D:D,'02效果表'!E:E)+1/6*(T3*_xlfn.XLOOKUP(S3,'02效果表'!D:D,'02效果表'!E:E)+V3*_xlfn.XLOOKUP(U3,'02效果表'!D:D,'02效果表'!E:E)+X3*_xlfn.XLOOKUP(W3,'02效果表'!D:D,'02效果表'!E:E)+Z3*_xlfn.XLOOKUP(Y3,'02效果表'!D:D,'02效果表'!E:E)+AB3*_xlfn.XLOOKUP(AA3,'02效果表'!D:D,'02效果表'!E:E)+AD3*_xlfn.XLOOKUP(AC3,'02效果表'!D:D,'02效果表'!E:E)+AF3*_xlfn.XLOOKUP(AE3,'02效果表'!D:D,'02效果表'!E:E)+AH3*_xlfn.XLOOKUP(AG3,'02效果表'!D:D,'02效果表'!E:E)+AJ3*_xlfn.XLOOKUP(AI3,'02效果表'!D:D,'02效果表'!E:E)+AL3*_xlfn.XLOOKUP(AK3,'02效果表'!D:D,'02效果表'!E:E)+AN3*_xlfn.XLOOKUP(AM3,'02效果表'!D:D,'02效果表'!E:E)+AP3*_xlfn.XLOOKUP(AO3,'02效果表'!D:D,'02效果表'!E:E))),0)</f>
        <v>8</v>
      </c>
      <c r="G3" s="6">
        <v>1</v>
      </c>
      <c r="H3" s="6" t="s">
        <v>471</v>
      </c>
      <c r="I3" s="6">
        <v>22</v>
      </c>
      <c r="J3" s="6" t="s">
        <v>331</v>
      </c>
      <c r="K3" s="6">
        <v>3</v>
      </c>
      <c r="L3" s="6">
        <v>3</v>
      </c>
      <c r="M3" s="6" t="s">
        <v>350</v>
      </c>
      <c r="N3" s="6">
        <v>1</v>
      </c>
      <c r="O3" s="6"/>
      <c r="P3" s="6"/>
      <c r="Q3" s="6"/>
      <c r="R3" s="6"/>
      <c r="S3" s="6" t="s">
        <v>331</v>
      </c>
      <c r="T3" s="6">
        <v>2</v>
      </c>
      <c r="U3" s="6" t="s">
        <v>383</v>
      </c>
      <c r="V3" s="6">
        <v>2</v>
      </c>
      <c r="W3" s="6" t="s">
        <v>331</v>
      </c>
      <c r="X3" s="6">
        <v>3</v>
      </c>
      <c r="Y3" s="6" t="s">
        <v>383</v>
      </c>
      <c r="Z3" s="6">
        <v>3</v>
      </c>
      <c r="AA3" s="6" t="s">
        <v>383</v>
      </c>
      <c r="AB3" s="6">
        <v>3</v>
      </c>
      <c r="AC3" s="6"/>
      <c r="AD3" s="6"/>
      <c r="AE3" s="6" t="s">
        <v>331</v>
      </c>
      <c r="AF3" s="6">
        <v>2</v>
      </c>
      <c r="AG3" s="6" t="s">
        <v>383</v>
      </c>
      <c r="AH3" s="6">
        <v>2</v>
      </c>
      <c r="AI3" s="6" t="s">
        <v>331</v>
      </c>
      <c r="AJ3" s="6">
        <v>2</v>
      </c>
      <c r="AK3" s="6" t="s">
        <v>383</v>
      </c>
      <c r="AL3" s="6">
        <v>2</v>
      </c>
      <c r="AM3" s="6" t="s">
        <v>331</v>
      </c>
      <c r="AN3" s="6">
        <v>2</v>
      </c>
      <c r="AO3" s="6" t="s">
        <v>383</v>
      </c>
      <c r="AP3" s="6">
        <v>2</v>
      </c>
    </row>
    <row r="4" spans="1:42" x14ac:dyDescent="0.25">
      <c r="A4" s="6">
        <v>3</v>
      </c>
      <c r="B4" s="6" t="s">
        <v>15</v>
      </c>
      <c r="C4" s="8">
        <v>2.1</v>
      </c>
      <c r="D4" s="8" t="s">
        <v>204</v>
      </c>
      <c r="E4" s="13" t="s">
        <v>236</v>
      </c>
      <c r="F4" s="7">
        <f>ROUND(-1*(3/K4*L4*_xlfn.XLOOKUP(J4,'02效果表'!D:D,'02效果表'!E:E)+N4*_xlfn.XLOOKUP(M4,'02效果表'!D:D,'02效果表'!E:E)+P4*_xlfn.XLOOKUP(O4,'02效果表'!D:D,'02效果表'!E:E)+R4*_xlfn.XLOOKUP(Q4,'02效果表'!D:D,'02效果表'!E:E)+1/6*(T4*_xlfn.XLOOKUP(S4,'02效果表'!D:D,'02效果表'!E:E)+V4*_xlfn.XLOOKUP(U4,'02效果表'!D:D,'02效果表'!E:E)+X4*_xlfn.XLOOKUP(W4,'02效果表'!D:D,'02效果表'!E:E)+Z4*_xlfn.XLOOKUP(Y4,'02效果表'!D:D,'02效果表'!E:E)+AB4*_xlfn.XLOOKUP(AA4,'02效果表'!D:D,'02效果表'!E:E)+AD4*_xlfn.XLOOKUP(AC4,'02效果表'!D:D,'02效果表'!E:E)+AF4*_xlfn.XLOOKUP(AE4,'02效果表'!D:D,'02效果表'!E:E)+AH4*_xlfn.XLOOKUP(AG4,'02效果表'!D:D,'02效果表'!E:E)+AJ4*_xlfn.XLOOKUP(AI4,'02效果表'!D:D,'02效果表'!E:E)+AL4*_xlfn.XLOOKUP(AK4,'02效果表'!D:D,'02效果表'!E:E)+AN4*_xlfn.XLOOKUP(AM4,'02效果表'!D:D,'02效果表'!E:E)+AP4*_xlfn.XLOOKUP(AO4,'02效果表'!D:D,'02效果表'!E:E))),0)</f>
        <v>4</v>
      </c>
      <c r="G4" s="8">
        <v>1</v>
      </c>
      <c r="H4" s="8" t="s">
        <v>261</v>
      </c>
      <c r="I4" s="6">
        <v>30</v>
      </c>
      <c r="J4" s="6" t="s">
        <v>97</v>
      </c>
      <c r="K4" s="6">
        <v>6</v>
      </c>
      <c r="L4" s="6">
        <v>2</v>
      </c>
      <c r="M4" s="6" t="s">
        <v>1190</v>
      </c>
      <c r="N4" s="6">
        <v>1</v>
      </c>
      <c r="O4" s="6"/>
      <c r="P4" s="6"/>
      <c r="Q4" s="6"/>
      <c r="R4" s="6"/>
      <c r="S4" s="6"/>
      <c r="T4" s="6"/>
      <c r="U4" s="6"/>
      <c r="V4" s="6"/>
      <c r="W4" s="6"/>
      <c r="X4" s="6"/>
      <c r="Y4" s="6"/>
      <c r="Z4" s="6"/>
      <c r="AA4" s="6"/>
      <c r="AB4" s="6"/>
      <c r="AC4" s="6"/>
      <c r="AD4" s="6"/>
      <c r="AE4" s="6"/>
      <c r="AF4" s="6"/>
      <c r="AG4" s="6"/>
      <c r="AH4" s="6"/>
      <c r="AI4" s="6"/>
      <c r="AJ4" s="6"/>
      <c r="AK4" s="6"/>
      <c r="AL4" s="6"/>
      <c r="AM4" s="6"/>
      <c r="AN4" s="6"/>
      <c r="AO4" s="6"/>
      <c r="AP4" s="6"/>
    </row>
    <row r="5" spans="1:42" x14ac:dyDescent="0.25">
      <c r="A5" s="6">
        <v>4</v>
      </c>
      <c r="B5" s="6" t="s">
        <v>15</v>
      </c>
      <c r="C5" s="8">
        <v>2.2000000000000002</v>
      </c>
      <c r="D5" s="8" t="s">
        <v>203</v>
      </c>
      <c r="E5" s="13" t="s">
        <v>658</v>
      </c>
      <c r="F5" s="7">
        <f>ROUND(-1*(3/K5*L5*_xlfn.XLOOKUP(J5,'02效果表'!D:D,'02效果表'!E:E)+N5*_xlfn.XLOOKUP(M5,'02效果表'!D:D,'02效果表'!E:E)+P5*_xlfn.XLOOKUP(O5,'02效果表'!D:D,'02效果表'!E:E)+R5*_xlfn.XLOOKUP(Q5,'02效果表'!D:D,'02效果表'!E:E)+1/6*(T5*_xlfn.XLOOKUP(S5,'02效果表'!D:D,'02效果表'!E:E)+V5*_xlfn.XLOOKUP(U5,'02效果表'!D:D,'02效果表'!E:E)+X5*_xlfn.XLOOKUP(W5,'02效果表'!D:D,'02效果表'!E:E)+Z5*_xlfn.XLOOKUP(Y5,'02效果表'!D:D,'02效果表'!E:E)+AB5*_xlfn.XLOOKUP(AA5,'02效果表'!D:D,'02效果表'!E:E)+AD5*_xlfn.XLOOKUP(AC5,'02效果表'!D:D,'02效果表'!E:E)+AF5*_xlfn.XLOOKUP(AE5,'02效果表'!D:D,'02效果表'!E:E)+AH5*_xlfn.XLOOKUP(AG5,'02效果表'!D:D,'02效果表'!E:E)+AJ5*_xlfn.XLOOKUP(AI5,'02效果表'!D:D,'02效果表'!E:E)+AL5*_xlfn.XLOOKUP(AK5,'02效果表'!D:D,'02效果表'!E:E)+AN5*_xlfn.XLOOKUP(AM5,'02效果表'!D:D,'02效果表'!E:E)+AP5*_xlfn.XLOOKUP(AO5,'02效果表'!D:D,'02效果表'!E:E))),0)</f>
        <v>5</v>
      </c>
      <c r="G5" s="8">
        <v>1</v>
      </c>
      <c r="H5" s="8" t="s">
        <v>471</v>
      </c>
      <c r="I5" s="6">
        <v>30</v>
      </c>
      <c r="J5" s="6" t="s">
        <v>331</v>
      </c>
      <c r="K5" s="6">
        <v>6</v>
      </c>
      <c r="L5" s="6">
        <v>2</v>
      </c>
      <c r="M5" s="6" t="s">
        <v>381</v>
      </c>
      <c r="N5" s="6">
        <v>2</v>
      </c>
      <c r="O5" s="6"/>
      <c r="P5" s="6"/>
      <c r="Q5" s="6"/>
      <c r="R5" s="6"/>
      <c r="S5" s="6" t="s">
        <v>331</v>
      </c>
      <c r="T5" s="6">
        <v>3</v>
      </c>
      <c r="U5" s="6"/>
      <c r="V5" s="6"/>
      <c r="W5" s="6" t="s">
        <v>385</v>
      </c>
      <c r="X5" s="6">
        <v>1</v>
      </c>
      <c r="Y5" s="6"/>
      <c r="Z5" s="6"/>
      <c r="AA5" s="6" t="s">
        <v>331</v>
      </c>
      <c r="AB5" s="6">
        <v>1</v>
      </c>
      <c r="AC5" s="6"/>
      <c r="AD5" s="6"/>
      <c r="AE5" s="6" t="s">
        <v>331</v>
      </c>
      <c r="AF5" s="6">
        <v>2</v>
      </c>
      <c r="AG5" s="6"/>
      <c r="AH5" s="6"/>
      <c r="AI5" s="6" t="s">
        <v>331</v>
      </c>
      <c r="AJ5" s="6">
        <v>2</v>
      </c>
      <c r="AK5" s="6"/>
      <c r="AL5" s="6"/>
      <c r="AM5" s="6" t="s">
        <v>331</v>
      </c>
      <c r="AN5" s="6">
        <v>3</v>
      </c>
      <c r="AO5" s="6"/>
      <c r="AP5" s="6"/>
    </row>
    <row r="6" spans="1:42" x14ac:dyDescent="0.25">
      <c r="A6" s="6">
        <v>5</v>
      </c>
      <c r="B6" s="6" t="s">
        <v>15</v>
      </c>
      <c r="C6" s="8">
        <v>3.1</v>
      </c>
      <c r="D6" s="8" t="s">
        <v>326</v>
      </c>
      <c r="E6" s="13" t="s">
        <v>670</v>
      </c>
      <c r="F6" s="7">
        <f>ROUND(-1*(3/K6*L6*_xlfn.XLOOKUP(J6,'02效果表'!D:D,'02效果表'!E:E)+N6*_xlfn.XLOOKUP(M6,'02效果表'!D:D,'02效果表'!E:E)+P6*_xlfn.XLOOKUP(O6,'02效果表'!D:D,'02效果表'!E:E)+R6*_xlfn.XLOOKUP(Q6,'02效果表'!D:D,'02效果表'!E:E)+1/6*(T6*_xlfn.XLOOKUP(S6,'02效果表'!D:D,'02效果表'!E:E)+V6*_xlfn.XLOOKUP(U6,'02效果表'!D:D,'02效果表'!E:E)+X6*_xlfn.XLOOKUP(W6,'02效果表'!D:D,'02效果表'!E:E)+Z6*_xlfn.XLOOKUP(Y6,'02效果表'!D:D,'02效果表'!E:E)+AB6*_xlfn.XLOOKUP(AA6,'02效果表'!D:D,'02效果表'!E:E)+AD6*_xlfn.XLOOKUP(AC6,'02效果表'!D:D,'02效果表'!E:E)+AF6*_xlfn.XLOOKUP(AE6,'02效果表'!D:D,'02效果表'!E:E)+AH6*_xlfn.XLOOKUP(AG6,'02效果表'!D:D,'02效果表'!E:E)+AJ6*_xlfn.XLOOKUP(AI6,'02效果表'!D:D,'02效果表'!E:E)+AL6*_xlfn.XLOOKUP(AK6,'02效果表'!D:D,'02效果表'!E:E)+AN6*_xlfn.XLOOKUP(AM6,'02效果表'!D:D,'02效果表'!E:E)+AP6*_xlfn.XLOOKUP(AO6,'02效果表'!D:D,'02效果表'!E:E))),0)</f>
        <v>1</v>
      </c>
      <c r="G6" s="8">
        <v>1</v>
      </c>
      <c r="H6" s="8" t="s">
        <v>261</v>
      </c>
      <c r="I6" s="6">
        <v>20</v>
      </c>
      <c r="J6" s="6" t="s">
        <v>456</v>
      </c>
      <c r="K6" s="6">
        <v>5</v>
      </c>
      <c r="L6" s="6">
        <v>1</v>
      </c>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row>
    <row r="7" spans="1:42" x14ac:dyDescent="0.25">
      <c r="A7" s="6">
        <v>6</v>
      </c>
      <c r="B7" s="6" t="s">
        <v>15</v>
      </c>
      <c r="C7" s="8">
        <v>3.1</v>
      </c>
      <c r="D7" s="8" t="s">
        <v>326</v>
      </c>
      <c r="E7" s="13" t="s">
        <v>671</v>
      </c>
      <c r="F7" s="7">
        <f>ROUND(-1*(3/K7*L7*_xlfn.XLOOKUP(J7,'02效果表'!D:D,'02效果表'!E:E)+N7*_xlfn.XLOOKUP(M7,'02效果表'!D:D,'02效果表'!E:E)+P7*_xlfn.XLOOKUP(O7,'02效果表'!D:D,'02效果表'!E:E)+R7*_xlfn.XLOOKUP(Q7,'02效果表'!D:D,'02效果表'!E:E)+1/6*(T7*_xlfn.XLOOKUP(S7,'02效果表'!D:D,'02效果表'!E:E)+V7*_xlfn.XLOOKUP(U7,'02效果表'!D:D,'02效果表'!E:E)+X7*_xlfn.XLOOKUP(W7,'02效果表'!D:D,'02效果表'!E:E)+Z7*_xlfn.XLOOKUP(Y7,'02效果表'!D:D,'02效果表'!E:E)+AB7*_xlfn.XLOOKUP(AA7,'02效果表'!D:D,'02效果表'!E:E)+AD7*_xlfn.XLOOKUP(AC7,'02效果表'!D:D,'02效果表'!E:E)+AF7*_xlfn.XLOOKUP(AE7,'02效果表'!D:D,'02效果表'!E:E)+AH7*_xlfn.XLOOKUP(AG7,'02效果表'!D:D,'02效果表'!E:E)+AJ7*_xlfn.XLOOKUP(AI7,'02效果表'!D:D,'02效果表'!E:E)+AL7*_xlfn.XLOOKUP(AK7,'02效果表'!D:D,'02效果表'!E:E)+AN7*_xlfn.XLOOKUP(AM7,'02效果表'!D:D,'02效果表'!E:E)+AP7*_xlfn.XLOOKUP(AO7,'02效果表'!D:D,'02效果表'!E:E))),0)</f>
        <v>0</v>
      </c>
      <c r="G7" s="8">
        <v>1</v>
      </c>
      <c r="H7" s="8" t="s">
        <v>261</v>
      </c>
      <c r="I7" s="6">
        <v>25</v>
      </c>
      <c r="J7" s="6" t="s">
        <v>672</v>
      </c>
      <c r="K7" s="6">
        <v>8</v>
      </c>
      <c r="L7" s="6">
        <v>1</v>
      </c>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row>
    <row r="8" spans="1:42" x14ac:dyDescent="0.25">
      <c r="A8" s="6">
        <v>7</v>
      </c>
      <c r="B8" s="6" t="s">
        <v>15</v>
      </c>
      <c r="C8" s="8">
        <v>3.2</v>
      </c>
      <c r="D8" s="8" t="s">
        <v>326</v>
      </c>
      <c r="E8" s="13" t="s">
        <v>771</v>
      </c>
      <c r="F8" s="7">
        <f>ROUND(-1*(3/K8*L8*_xlfn.XLOOKUP(J8,'02效果表'!D:D,'02效果表'!E:E)+N8*_xlfn.XLOOKUP(M8,'02效果表'!D:D,'02效果表'!E:E)+P8*_xlfn.XLOOKUP(O8,'02效果表'!D:D,'02效果表'!E:E)+R8*_xlfn.XLOOKUP(Q8,'02效果表'!D:D,'02效果表'!E:E)+1/6*(T8*_xlfn.XLOOKUP(S8,'02效果表'!D:D,'02效果表'!E:E)+V8*_xlfn.XLOOKUP(U8,'02效果表'!D:D,'02效果表'!E:E)+X8*_xlfn.XLOOKUP(W8,'02效果表'!D:D,'02效果表'!E:E)+Z8*_xlfn.XLOOKUP(Y8,'02效果表'!D:D,'02效果表'!E:E)+AB8*_xlfn.XLOOKUP(AA8,'02效果表'!D:D,'02效果表'!E:E)+AD8*_xlfn.XLOOKUP(AC8,'02效果表'!D:D,'02效果表'!E:E)+AF8*_xlfn.XLOOKUP(AE8,'02效果表'!D:D,'02效果表'!E:E)+AH8*_xlfn.XLOOKUP(AG8,'02效果表'!D:D,'02效果表'!E:E)+AJ8*_xlfn.XLOOKUP(AI8,'02效果表'!D:D,'02效果表'!E:E)+AL8*_xlfn.XLOOKUP(AK8,'02效果表'!D:D,'02效果表'!E:E)+AN8*_xlfn.XLOOKUP(AM8,'02效果表'!D:D,'02效果表'!E:E)+AP8*_xlfn.XLOOKUP(AO8,'02效果表'!D:D,'02效果表'!E:E))),0)</f>
        <v>13</v>
      </c>
      <c r="G8" s="8">
        <v>1</v>
      </c>
      <c r="H8" s="8" t="s">
        <v>261</v>
      </c>
      <c r="I8" s="6">
        <v>10</v>
      </c>
      <c r="J8" s="6" t="s">
        <v>331</v>
      </c>
      <c r="K8" s="6">
        <v>7</v>
      </c>
      <c r="L8" s="6">
        <v>4</v>
      </c>
      <c r="M8" s="6" t="s">
        <v>460</v>
      </c>
      <c r="N8" s="6">
        <v>4</v>
      </c>
      <c r="O8" s="6" t="s">
        <v>356</v>
      </c>
      <c r="P8" s="6">
        <v>1</v>
      </c>
      <c r="Q8" s="6"/>
      <c r="R8" s="6"/>
      <c r="S8" s="6" t="s">
        <v>331</v>
      </c>
      <c r="T8" s="6">
        <v>2</v>
      </c>
      <c r="U8" s="6" t="s">
        <v>772</v>
      </c>
      <c r="V8" s="6">
        <v>2</v>
      </c>
      <c r="W8" s="6" t="s">
        <v>331</v>
      </c>
      <c r="X8" s="6">
        <v>2</v>
      </c>
      <c r="Y8" s="6" t="s">
        <v>772</v>
      </c>
      <c r="Z8" s="6">
        <v>3</v>
      </c>
      <c r="AA8" s="6" t="s">
        <v>331</v>
      </c>
      <c r="AB8" s="6">
        <v>1</v>
      </c>
      <c r="AC8" s="6" t="s">
        <v>462</v>
      </c>
      <c r="AD8" s="6">
        <v>2</v>
      </c>
      <c r="AE8" s="6" t="s">
        <v>331</v>
      </c>
      <c r="AF8" s="6">
        <v>1</v>
      </c>
      <c r="AG8" s="6" t="s">
        <v>462</v>
      </c>
      <c r="AH8" s="6">
        <v>2</v>
      </c>
      <c r="AI8" s="6" t="s">
        <v>331</v>
      </c>
      <c r="AJ8" s="6">
        <v>1</v>
      </c>
      <c r="AK8" s="6" t="s">
        <v>462</v>
      </c>
      <c r="AL8" s="6">
        <v>3</v>
      </c>
      <c r="AM8" s="6" t="s">
        <v>331</v>
      </c>
      <c r="AN8" s="6">
        <v>2</v>
      </c>
      <c r="AO8" s="6" t="s">
        <v>462</v>
      </c>
      <c r="AP8" s="6">
        <v>4</v>
      </c>
    </row>
    <row r="9" spans="1:42" x14ac:dyDescent="0.25">
      <c r="A9" s="6">
        <v>8</v>
      </c>
      <c r="B9" s="6" t="s">
        <v>15</v>
      </c>
      <c r="C9" s="6">
        <v>3.2</v>
      </c>
      <c r="D9" s="6" t="s">
        <v>326</v>
      </c>
      <c r="E9" s="9" t="s">
        <v>695</v>
      </c>
      <c r="F9" s="7">
        <f>ROUND(-1*(3/K9*L9*_xlfn.XLOOKUP(J9,'02效果表'!D:D,'02效果表'!E:E)+N9*_xlfn.XLOOKUP(M9,'02效果表'!D:D,'02效果表'!E:E)+P9*_xlfn.XLOOKUP(O9,'02效果表'!D:D,'02效果表'!E:E)+R9*_xlfn.XLOOKUP(Q9,'02效果表'!D:D,'02效果表'!E:E)+1/6*(T9*_xlfn.XLOOKUP(S9,'02效果表'!D:D,'02效果表'!E:E)+V9*_xlfn.XLOOKUP(U9,'02效果表'!D:D,'02效果表'!E:E)+X9*_xlfn.XLOOKUP(W9,'02效果表'!D:D,'02效果表'!E:E)+Z9*_xlfn.XLOOKUP(Y9,'02效果表'!D:D,'02效果表'!E:E)+AB9*_xlfn.XLOOKUP(AA9,'02效果表'!D:D,'02效果表'!E:E)+AD9*_xlfn.XLOOKUP(AC9,'02效果表'!D:D,'02效果表'!E:E)+AF9*_xlfn.XLOOKUP(AE9,'02效果表'!D:D,'02效果表'!E:E)+AH9*_xlfn.XLOOKUP(AG9,'02效果表'!D:D,'02效果表'!E:E)+AJ9*_xlfn.XLOOKUP(AI9,'02效果表'!D:D,'02效果表'!E:E)+AL9*_xlfn.XLOOKUP(AK9,'02效果表'!D:D,'02效果表'!E:E)+AN9*_xlfn.XLOOKUP(AM9,'02效果表'!D:D,'02效果表'!E:E)+AP9*_xlfn.XLOOKUP(AO9,'02效果表'!D:D,'02效果表'!E:E))),0)</f>
        <v>5</v>
      </c>
      <c r="G9" s="6">
        <v>1</v>
      </c>
      <c r="H9" s="6" t="s">
        <v>471</v>
      </c>
      <c r="I9" s="6">
        <v>25</v>
      </c>
      <c r="J9" s="6" t="s">
        <v>331</v>
      </c>
      <c r="K9" s="6">
        <v>8</v>
      </c>
      <c r="L9" s="6">
        <v>3</v>
      </c>
      <c r="M9" s="6" t="s">
        <v>350</v>
      </c>
      <c r="N9" s="6">
        <v>1</v>
      </c>
      <c r="O9" s="6" t="s">
        <v>396</v>
      </c>
      <c r="P9" s="6">
        <v>1</v>
      </c>
      <c r="Q9" s="6"/>
      <c r="R9" s="6"/>
      <c r="S9" s="6" t="s">
        <v>331</v>
      </c>
      <c r="T9" s="6">
        <v>1</v>
      </c>
      <c r="U9" s="6"/>
      <c r="V9" s="6"/>
      <c r="W9" s="6" t="s">
        <v>385</v>
      </c>
      <c r="X9" s="6">
        <v>0</v>
      </c>
      <c r="Y9" s="6"/>
      <c r="Z9" s="6"/>
      <c r="AA9" s="6" t="s">
        <v>331</v>
      </c>
      <c r="AB9" s="6">
        <v>0</v>
      </c>
      <c r="AC9" s="6"/>
      <c r="AD9" s="6"/>
      <c r="AE9" s="6" t="s">
        <v>331</v>
      </c>
      <c r="AF9" s="6">
        <v>0</v>
      </c>
      <c r="AG9" s="6"/>
      <c r="AH9" s="6"/>
      <c r="AI9" s="6" t="s">
        <v>331</v>
      </c>
      <c r="AJ9" s="6">
        <v>0</v>
      </c>
      <c r="AK9" s="6"/>
      <c r="AL9" s="6"/>
      <c r="AM9" s="6" t="s">
        <v>331</v>
      </c>
      <c r="AN9" s="6">
        <v>0</v>
      </c>
      <c r="AO9" s="6"/>
      <c r="AP9" s="6"/>
    </row>
    <row r="10" spans="1:42" x14ac:dyDescent="0.25">
      <c r="A10" s="6">
        <v>9</v>
      </c>
      <c r="B10" s="6" t="s">
        <v>15</v>
      </c>
      <c r="C10" s="8">
        <v>3.1</v>
      </c>
      <c r="D10" s="8" t="s">
        <v>256</v>
      </c>
      <c r="E10" s="13" t="s">
        <v>258</v>
      </c>
      <c r="F10" s="7">
        <f>ROUND(-1*(3/K10*L10*_xlfn.XLOOKUP(J10,'02效果表'!D:D,'02效果表'!E:E)+N10*_xlfn.XLOOKUP(M10,'02效果表'!D:D,'02效果表'!E:E)+P10*_xlfn.XLOOKUP(O10,'02效果表'!D:D,'02效果表'!E:E)+R10*_xlfn.XLOOKUP(Q10,'02效果表'!D:D,'02效果表'!E:E)+1/6*(T10*_xlfn.XLOOKUP(S10,'02效果表'!D:D,'02效果表'!E:E)+V10*_xlfn.XLOOKUP(U10,'02效果表'!D:D,'02效果表'!E:E)+X10*_xlfn.XLOOKUP(W10,'02效果表'!D:D,'02效果表'!E:E)+Z10*_xlfn.XLOOKUP(Y10,'02效果表'!D:D,'02效果表'!E:E)+AB10*_xlfn.XLOOKUP(AA10,'02效果表'!D:D,'02效果表'!E:E)+AD10*_xlfn.XLOOKUP(AC10,'02效果表'!D:D,'02效果表'!E:E)+AF10*_xlfn.XLOOKUP(AE10,'02效果表'!D:D,'02效果表'!E:E)+AH10*_xlfn.XLOOKUP(AG10,'02效果表'!D:D,'02效果表'!E:E)+AJ10*_xlfn.XLOOKUP(AI10,'02效果表'!D:D,'02效果表'!E:E)+AL10*_xlfn.XLOOKUP(AK10,'02效果表'!D:D,'02效果表'!E:E)+AN10*_xlfn.XLOOKUP(AM10,'02效果表'!D:D,'02效果表'!E:E)+AP10*_xlfn.XLOOKUP(AO10,'02效果表'!D:D,'02效果表'!E:E))),0)</f>
        <v>3</v>
      </c>
      <c r="G10" s="8">
        <v>1</v>
      </c>
      <c r="H10" s="8" t="s">
        <v>262</v>
      </c>
      <c r="I10" s="6">
        <v>22</v>
      </c>
      <c r="J10" s="6" t="s">
        <v>97</v>
      </c>
      <c r="K10" s="6">
        <v>6</v>
      </c>
      <c r="L10" s="6">
        <v>5</v>
      </c>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row>
    <row r="11" spans="1:42" x14ac:dyDescent="0.25">
      <c r="A11" s="6">
        <v>10</v>
      </c>
      <c r="B11" s="6" t="s">
        <v>15</v>
      </c>
      <c r="C11" s="8">
        <v>3.1</v>
      </c>
      <c r="D11" s="8" t="s">
        <v>256</v>
      </c>
      <c r="E11" s="13" t="s">
        <v>259</v>
      </c>
      <c r="F11" s="7">
        <f>ROUND(-1*(3/K11*L11*_xlfn.XLOOKUP(J11,'02效果表'!D:D,'02效果表'!E:E)+N11*_xlfn.XLOOKUP(M11,'02效果表'!D:D,'02效果表'!E:E)+P11*_xlfn.XLOOKUP(O11,'02效果表'!D:D,'02效果表'!E:E)+R11*_xlfn.XLOOKUP(Q11,'02效果表'!D:D,'02效果表'!E:E)+1/6*(T11*_xlfn.XLOOKUP(S11,'02效果表'!D:D,'02效果表'!E:E)+V11*_xlfn.XLOOKUP(U11,'02效果表'!D:D,'02效果表'!E:E)+X11*_xlfn.XLOOKUP(W11,'02效果表'!D:D,'02效果表'!E:E)+Z11*_xlfn.XLOOKUP(Y11,'02效果表'!D:D,'02效果表'!E:E)+AB11*_xlfn.XLOOKUP(AA11,'02效果表'!D:D,'02效果表'!E:E)+AD11*_xlfn.XLOOKUP(AC11,'02效果表'!D:D,'02效果表'!E:E)+AF11*_xlfn.XLOOKUP(AE11,'02效果表'!D:D,'02效果表'!E:E)+AH11*_xlfn.XLOOKUP(AG11,'02效果表'!D:D,'02效果表'!E:E)+AJ11*_xlfn.XLOOKUP(AI11,'02效果表'!D:D,'02效果表'!E:E)+AL11*_xlfn.XLOOKUP(AK11,'02效果表'!D:D,'02效果表'!E:E)+AN11*_xlfn.XLOOKUP(AM11,'02效果表'!D:D,'02效果表'!E:E)+AP11*_xlfn.XLOOKUP(AO11,'02效果表'!D:D,'02效果表'!E:E))),0)</f>
        <v>2</v>
      </c>
      <c r="G11" s="8">
        <v>1</v>
      </c>
      <c r="H11" s="8" t="s">
        <v>262</v>
      </c>
      <c r="I11" s="6">
        <v>22</v>
      </c>
      <c r="J11" s="6" t="s">
        <v>263</v>
      </c>
      <c r="K11" s="6">
        <v>4</v>
      </c>
      <c r="L11" s="6">
        <v>2</v>
      </c>
      <c r="M11" s="6"/>
      <c r="N11" s="6"/>
      <c r="O11" s="6"/>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row>
    <row r="12" spans="1:42" x14ac:dyDescent="0.25">
      <c r="A12" s="6">
        <v>11</v>
      </c>
      <c r="B12" s="6" t="s">
        <v>15</v>
      </c>
      <c r="C12" s="8">
        <v>3.1</v>
      </c>
      <c r="D12" s="8" t="s">
        <v>256</v>
      </c>
      <c r="E12" s="13" t="s">
        <v>260</v>
      </c>
      <c r="F12" s="7">
        <f>ROUND(-1*(3/K12*L12*_xlfn.XLOOKUP(J12,'02效果表'!D:D,'02效果表'!E:E)+N12*_xlfn.XLOOKUP(M12,'02效果表'!D:D,'02效果表'!E:E)+P12*_xlfn.XLOOKUP(O12,'02效果表'!D:D,'02效果表'!E:E)+R12*_xlfn.XLOOKUP(Q12,'02效果表'!D:D,'02效果表'!E:E)+1/6*(T12*_xlfn.XLOOKUP(S12,'02效果表'!D:D,'02效果表'!E:E)+V12*_xlfn.XLOOKUP(U12,'02效果表'!D:D,'02效果表'!E:E)+X12*_xlfn.XLOOKUP(W12,'02效果表'!D:D,'02效果表'!E:E)+Z12*_xlfn.XLOOKUP(Y12,'02效果表'!D:D,'02效果表'!E:E)+AB12*_xlfn.XLOOKUP(AA12,'02效果表'!D:D,'02效果表'!E:E)+AD12*_xlfn.XLOOKUP(AC12,'02效果表'!D:D,'02效果表'!E:E)+AF12*_xlfn.XLOOKUP(AE12,'02效果表'!D:D,'02效果表'!E:E)+AH12*_xlfn.XLOOKUP(AG12,'02效果表'!D:D,'02效果表'!E:E)+AJ12*_xlfn.XLOOKUP(AI12,'02效果表'!D:D,'02效果表'!E:E)+AL12*_xlfn.XLOOKUP(AK12,'02效果表'!D:D,'02效果表'!E:E)+AN12*_xlfn.XLOOKUP(AM12,'02效果表'!D:D,'02效果表'!E:E)+AP12*_xlfn.XLOOKUP(AO12,'02效果表'!D:D,'02效果表'!E:E))),0)</f>
        <v>1</v>
      </c>
      <c r="G12" s="8">
        <v>1</v>
      </c>
      <c r="H12" s="8" t="s">
        <v>262</v>
      </c>
      <c r="I12" s="6">
        <v>22</v>
      </c>
      <c r="J12" s="6" t="s">
        <v>264</v>
      </c>
      <c r="K12" s="6">
        <v>5</v>
      </c>
      <c r="L12" s="6">
        <v>1</v>
      </c>
      <c r="M12" s="6"/>
      <c r="N12" s="6"/>
      <c r="O12" s="6"/>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row>
    <row r="13" spans="1:42" x14ac:dyDescent="0.25">
      <c r="A13" s="6">
        <v>12</v>
      </c>
      <c r="B13" s="6" t="s">
        <v>15</v>
      </c>
      <c r="C13" s="8">
        <v>3.2</v>
      </c>
      <c r="D13" s="8" t="s">
        <v>249</v>
      </c>
      <c r="E13" s="13" t="s">
        <v>802</v>
      </c>
      <c r="F13" s="7">
        <f>ROUND(-1*(3/K13*L13*_xlfn.XLOOKUP(J13,'02效果表'!D:D,'02效果表'!E:E)+N13*_xlfn.XLOOKUP(M13,'02效果表'!D:D,'02效果表'!E:E)+P13*_xlfn.XLOOKUP(O13,'02效果表'!D:D,'02效果表'!E:E)+R13*_xlfn.XLOOKUP(Q13,'02效果表'!D:D,'02效果表'!E:E)+1/6*(T13*_xlfn.XLOOKUP(S13,'02效果表'!D:D,'02效果表'!E:E)+V13*_xlfn.XLOOKUP(U13,'02效果表'!D:D,'02效果表'!E:E)+X13*_xlfn.XLOOKUP(W13,'02效果表'!D:D,'02效果表'!E:E)+Z13*_xlfn.XLOOKUP(Y13,'02效果表'!D:D,'02效果表'!E:E)+AB13*_xlfn.XLOOKUP(AA13,'02效果表'!D:D,'02效果表'!E:E)+AD13*_xlfn.XLOOKUP(AC13,'02效果表'!D:D,'02效果表'!E:E)+AF13*_xlfn.XLOOKUP(AE13,'02效果表'!D:D,'02效果表'!E:E)+AH13*_xlfn.XLOOKUP(AG13,'02效果表'!D:D,'02效果表'!E:E)+AJ13*_xlfn.XLOOKUP(AI13,'02效果表'!D:D,'02效果表'!E:E)+AL13*_xlfn.XLOOKUP(AK13,'02效果表'!D:D,'02效果表'!E:E)+AN13*_xlfn.XLOOKUP(AM13,'02效果表'!D:D,'02效果表'!E:E)+AP13*_xlfn.XLOOKUP(AO13,'02效果表'!D:D,'02效果表'!E:E))),0)</f>
        <v>12</v>
      </c>
      <c r="G13" s="8">
        <v>1</v>
      </c>
      <c r="H13" s="8" t="s">
        <v>380</v>
      </c>
      <c r="I13" s="6">
        <v>45</v>
      </c>
      <c r="J13" s="6" t="s">
        <v>455</v>
      </c>
      <c r="K13" s="6">
        <v>6</v>
      </c>
      <c r="L13" s="6">
        <v>1</v>
      </c>
      <c r="M13" s="6" t="s">
        <v>354</v>
      </c>
      <c r="N13" s="6">
        <v>1</v>
      </c>
      <c r="O13" s="6" t="s">
        <v>396</v>
      </c>
      <c r="P13" s="6">
        <v>1</v>
      </c>
      <c r="Q13" s="6" t="s">
        <v>803</v>
      </c>
      <c r="R13" s="6">
        <v>3</v>
      </c>
      <c r="S13" s="6" t="s">
        <v>404</v>
      </c>
      <c r="T13" s="6">
        <v>3</v>
      </c>
      <c r="U13" s="6"/>
      <c r="V13" s="6"/>
      <c r="W13" s="6" t="s">
        <v>385</v>
      </c>
      <c r="X13" s="6">
        <v>1</v>
      </c>
      <c r="Y13" s="6"/>
      <c r="Z13" s="6"/>
      <c r="AA13" s="6" t="s">
        <v>331</v>
      </c>
      <c r="AB13" s="6">
        <v>1</v>
      </c>
      <c r="AC13" s="6"/>
      <c r="AD13" s="6"/>
      <c r="AE13" s="6" t="s">
        <v>331</v>
      </c>
      <c r="AF13" s="6">
        <v>2</v>
      </c>
      <c r="AG13" s="6"/>
      <c r="AH13" s="6"/>
      <c r="AI13" s="6" t="s">
        <v>331</v>
      </c>
      <c r="AJ13" s="6">
        <v>3</v>
      </c>
      <c r="AK13" s="6"/>
      <c r="AL13" s="6"/>
      <c r="AM13" s="6" t="s">
        <v>331</v>
      </c>
      <c r="AN13" s="6">
        <v>3</v>
      </c>
      <c r="AO13" s="6"/>
      <c r="AP13" s="6"/>
    </row>
    <row r="14" spans="1:42" x14ac:dyDescent="0.25">
      <c r="A14" s="6">
        <v>13</v>
      </c>
      <c r="B14" s="6" t="s">
        <v>15</v>
      </c>
      <c r="C14" s="6">
        <v>4.0999999999999996</v>
      </c>
      <c r="D14" s="6" t="s">
        <v>265</v>
      </c>
      <c r="E14" s="9" t="s">
        <v>266</v>
      </c>
      <c r="F14" s="7">
        <f>ROUND(-1*(3/K14*L14*_xlfn.XLOOKUP(J14,'02效果表'!D:D,'02效果表'!E:E)+N14*_xlfn.XLOOKUP(M14,'02效果表'!D:D,'02效果表'!E:E)+P14*_xlfn.XLOOKUP(O14,'02效果表'!D:D,'02效果表'!E:E)+R14*_xlfn.XLOOKUP(Q14,'02效果表'!D:D,'02效果表'!E:E)+1/6*(T14*_xlfn.XLOOKUP(S14,'02效果表'!D:D,'02效果表'!E:E)+V14*_xlfn.XLOOKUP(U14,'02效果表'!D:D,'02效果表'!E:E)+X14*_xlfn.XLOOKUP(W14,'02效果表'!D:D,'02效果表'!E:E)+Z14*_xlfn.XLOOKUP(Y14,'02效果表'!D:D,'02效果表'!E:E)+AB14*_xlfn.XLOOKUP(AA14,'02效果表'!D:D,'02效果表'!E:E)+AD14*_xlfn.XLOOKUP(AC14,'02效果表'!D:D,'02效果表'!E:E)+AF14*_xlfn.XLOOKUP(AE14,'02效果表'!D:D,'02效果表'!E:E)+AH14*_xlfn.XLOOKUP(AG14,'02效果表'!D:D,'02效果表'!E:E)+AJ14*_xlfn.XLOOKUP(AI14,'02效果表'!D:D,'02效果表'!E:E)+AL14*_xlfn.XLOOKUP(AK14,'02效果表'!D:D,'02效果表'!E:E)+AN14*_xlfn.XLOOKUP(AM14,'02效果表'!D:D,'02效果表'!E:E)+AP14*_xlfn.XLOOKUP(AO14,'02效果表'!D:D,'02效果表'!E:E))),0)</f>
        <v>13</v>
      </c>
      <c r="G14" s="6">
        <v>1</v>
      </c>
      <c r="H14" s="6" t="s">
        <v>267</v>
      </c>
      <c r="I14" s="6">
        <v>60</v>
      </c>
      <c r="J14" s="6" t="s">
        <v>263</v>
      </c>
      <c r="K14" s="6">
        <v>4</v>
      </c>
      <c r="L14" s="6">
        <v>1</v>
      </c>
      <c r="M14" s="6" t="s">
        <v>268</v>
      </c>
      <c r="N14" s="6">
        <v>6</v>
      </c>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row>
    <row r="15" spans="1:42" x14ac:dyDescent="0.25">
      <c r="A15" s="6">
        <v>14</v>
      </c>
      <c r="B15" s="6" t="s">
        <v>15</v>
      </c>
      <c r="C15" s="6">
        <v>4.0999999999999996</v>
      </c>
      <c r="D15" s="6" t="s">
        <v>253</v>
      </c>
      <c r="E15" s="9" t="s">
        <v>680</v>
      </c>
      <c r="F15" s="7">
        <f>ROUND(-1*(3/K15*L15*_xlfn.XLOOKUP(J15,'02效果表'!D:D,'02效果表'!E:E)+N15*_xlfn.XLOOKUP(M15,'02效果表'!D:D,'02效果表'!E:E)+P15*_xlfn.XLOOKUP(O15,'02效果表'!D:D,'02效果表'!E:E)+R15*_xlfn.XLOOKUP(Q15,'02效果表'!D:D,'02效果表'!E:E)+1/6*(T15*_xlfn.XLOOKUP(S15,'02效果表'!D:D,'02效果表'!E:E)+V15*_xlfn.XLOOKUP(U15,'02效果表'!D:D,'02效果表'!E:E)+X15*_xlfn.XLOOKUP(W15,'02效果表'!D:D,'02效果表'!E:E)+Z15*_xlfn.XLOOKUP(Y15,'02效果表'!D:D,'02效果表'!E:E)+AB15*_xlfn.XLOOKUP(AA15,'02效果表'!D:D,'02效果表'!E:E)+AD15*_xlfn.XLOOKUP(AC15,'02效果表'!D:D,'02效果表'!E:E)+AF15*_xlfn.XLOOKUP(AE15,'02效果表'!D:D,'02效果表'!E:E)+AH15*_xlfn.XLOOKUP(AG15,'02效果表'!D:D,'02效果表'!E:E)+AJ15*_xlfn.XLOOKUP(AI15,'02效果表'!D:D,'02效果表'!E:E)+AL15*_xlfn.XLOOKUP(AK15,'02效果表'!D:D,'02效果表'!E:E)+AN15*_xlfn.XLOOKUP(AM15,'02效果表'!D:D,'02效果表'!E:E)+AP15*_xlfn.XLOOKUP(AO15,'02效果表'!D:D,'02效果表'!E:E))),0)</f>
        <v>10</v>
      </c>
      <c r="G15" s="6">
        <v>1</v>
      </c>
      <c r="H15" s="6" t="s">
        <v>267</v>
      </c>
      <c r="I15" s="6">
        <v>60</v>
      </c>
      <c r="J15" s="6" t="s">
        <v>682</v>
      </c>
      <c r="K15" s="6">
        <v>4</v>
      </c>
      <c r="L15" s="6">
        <v>2</v>
      </c>
      <c r="M15" s="6" t="s">
        <v>682</v>
      </c>
      <c r="N15" s="6">
        <v>5</v>
      </c>
      <c r="O15" s="6" t="s">
        <v>1190</v>
      </c>
      <c r="P15" s="6">
        <v>1</v>
      </c>
      <c r="Q15" s="6"/>
      <c r="R15" s="6"/>
      <c r="S15" s="6"/>
      <c r="T15" s="6"/>
      <c r="U15" s="6"/>
      <c r="V15" s="6"/>
      <c r="W15" s="6"/>
      <c r="X15" s="6"/>
      <c r="Y15" s="6"/>
      <c r="Z15" s="6"/>
      <c r="AA15" s="6"/>
      <c r="AB15" s="6"/>
      <c r="AC15" s="6"/>
      <c r="AD15" s="6"/>
      <c r="AE15" s="6"/>
      <c r="AF15" s="6"/>
      <c r="AG15" s="6"/>
      <c r="AH15" s="6"/>
      <c r="AI15" s="6"/>
      <c r="AJ15" s="6"/>
      <c r="AK15" s="6"/>
      <c r="AL15" s="6"/>
      <c r="AM15" s="6"/>
      <c r="AN15" s="6"/>
      <c r="AO15" s="6"/>
      <c r="AP15" s="6"/>
    </row>
    <row r="16" spans="1:42" x14ac:dyDescent="0.25">
      <c r="A16" s="6">
        <v>15</v>
      </c>
      <c r="B16" s="6" t="s">
        <v>271</v>
      </c>
      <c r="C16" s="6">
        <v>1.1000000000000001</v>
      </c>
      <c r="D16" s="6" t="s">
        <v>204</v>
      </c>
      <c r="E16" s="9" t="s">
        <v>279</v>
      </c>
      <c r="F16" s="7">
        <f>ROUND(-1*(3/K16*L16*_xlfn.XLOOKUP(J16,'02效果表'!D:D,'02效果表'!E:E)+N16*_xlfn.XLOOKUP(M16,'02效果表'!D:D,'02效果表'!E:E)+P16*_xlfn.XLOOKUP(O16,'02效果表'!D:D,'02效果表'!E:E)+R16*_xlfn.XLOOKUP(Q16,'02效果表'!D:D,'02效果表'!E:E)+1/6*(T16*_xlfn.XLOOKUP(S16,'02效果表'!D:D,'02效果表'!E:E)+V16*_xlfn.XLOOKUP(U16,'02效果表'!D:D,'02效果表'!E:E)+X16*_xlfn.XLOOKUP(W16,'02效果表'!D:D,'02效果表'!E:E)+Z16*_xlfn.XLOOKUP(Y16,'02效果表'!D:D,'02效果表'!E:E)+AB16*_xlfn.XLOOKUP(AA16,'02效果表'!D:D,'02效果表'!E:E)+AD16*_xlfn.XLOOKUP(AC16,'02效果表'!D:D,'02效果表'!E:E)+AF16*_xlfn.XLOOKUP(AE16,'02效果表'!D:D,'02效果表'!E:E)+AH16*_xlfn.XLOOKUP(AG16,'02效果表'!D:D,'02效果表'!E:E)+AJ16*_xlfn.XLOOKUP(AI16,'02效果表'!D:D,'02效果表'!E:E)+AL16*_xlfn.XLOOKUP(AK16,'02效果表'!D:D,'02效果表'!E:E)+AN16*_xlfn.XLOOKUP(AM16,'02效果表'!D:D,'02效果表'!E:E)+AP16*_xlfn.XLOOKUP(AO16,'02效果表'!D:D,'02效果表'!E:E))),0)</f>
        <v>4</v>
      </c>
      <c r="G16" s="6">
        <v>1</v>
      </c>
      <c r="H16" s="6" t="s">
        <v>261</v>
      </c>
      <c r="I16" s="6">
        <v>31</v>
      </c>
      <c r="J16" s="6" t="s">
        <v>97</v>
      </c>
      <c r="K16" s="6">
        <v>5</v>
      </c>
      <c r="L16" s="6">
        <v>3</v>
      </c>
      <c r="M16" s="6" t="s">
        <v>282</v>
      </c>
      <c r="N16" s="6">
        <v>2</v>
      </c>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row>
    <row r="17" spans="1:42" x14ac:dyDescent="0.25">
      <c r="A17" s="6">
        <v>16</v>
      </c>
      <c r="B17" s="6" t="s">
        <v>271</v>
      </c>
      <c r="C17" s="6">
        <v>1.1000000000000001</v>
      </c>
      <c r="D17" s="6" t="s">
        <v>204</v>
      </c>
      <c r="E17" s="9" t="s">
        <v>281</v>
      </c>
      <c r="F17" s="7">
        <f>ROUND(-1*(3/K17*L17*_xlfn.XLOOKUP(J17,'02效果表'!D:D,'02效果表'!E:E)+N17*_xlfn.XLOOKUP(M17,'02效果表'!D:D,'02效果表'!E:E)+P17*_xlfn.XLOOKUP(O17,'02效果表'!D:D,'02效果表'!E:E)+R17*_xlfn.XLOOKUP(Q17,'02效果表'!D:D,'02效果表'!E:E)+1/6*(T17*_xlfn.XLOOKUP(S17,'02效果表'!D:D,'02效果表'!E:E)+V17*_xlfn.XLOOKUP(U17,'02效果表'!D:D,'02效果表'!E:E)+X17*_xlfn.XLOOKUP(W17,'02效果表'!D:D,'02效果表'!E:E)+Z17*_xlfn.XLOOKUP(Y17,'02效果表'!D:D,'02效果表'!E:E)+AB17*_xlfn.XLOOKUP(AA17,'02效果表'!D:D,'02效果表'!E:E)+AD17*_xlfn.XLOOKUP(AC17,'02效果表'!D:D,'02效果表'!E:E)+AF17*_xlfn.XLOOKUP(AE17,'02效果表'!D:D,'02效果表'!E:E)+AH17*_xlfn.XLOOKUP(AG17,'02效果表'!D:D,'02效果表'!E:E)+AJ17*_xlfn.XLOOKUP(AI17,'02效果表'!D:D,'02效果表'!E:E)+AL17*_xlfn.XLOOKUP(AK17,'02效果表'!D:D,'02效果表'!E:E)+AN17*_xlfn.XLOOKUP(AM17,'02效果表'!D:D,'02效果表'!E:E)+AP17*_xlfn.XLOOKUP(AO17,'02效果表'!D:D,'02效果表'!E:E))),0)</f>
        <v>2</v>
      </c>
      <c r="G17" s="6">
        <v>1</v>
      </c>
      <c r="H17" s="6" t="s">
        <v>261</v>
      </c>
      <c r="I17" s="6">
        <v>39</v>
      </c>
      <c r="J17" s="6" t="s">
        <v>237</v>
      </c>
      <c r="K17" s="6">
        <v>6</v>
      </c>
      <c r="L17" s="6">
        <v>4</v>
      </c>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row>
    <row r="18" spans="1:42" x14ac:dyDescent="0.25">
      <c r="A18" s="6">
        <v>17</v>
      </c>
      <c r="B18" s="6" t="s">
        <v>271</v>
      </c>
      <c r="C18" s="6">
        <v>1.2</v>
      </c>
      <c r="D18" s="6" t="s">
        <v>326</v>
      </c>
      <c r="E18" s="9" t="s">
        <v>486</v>
      </c>
      <c r="F18" s="7">
        <f>ROUND(-1*(3/K18*L18*_xlfn.XLOOKUP(J18,'02效果表'!D:D,'02效果表'!E:E)+N18*_xlfn.XLOOKUP(M18,'02效果表'!D:D,'02效果表'!E:E)+P18*_xlfn.XLOOKUP(O18,'02效果表'!D:D,'02效果表'!E:E)+R18*_xlfn.XLOOKUP(Q18,'02效果表'!D:D,'02效果表'!E:E)+1/6*(T18*_xlfn.XLOOKUP(S18,'02效果表'!D:D,'02效果表'!E:E)+V18*_xlfn.XLOOKUP(U18,'02效果表'!D:D,'02效果表'!E:E)+X18*_xlfn.XLOOKUP(W18,'02效果表'!D:D,'02效果表'!E:E)+Z18*_xlfn.XLOOKUP(Y18,'02效果表'!D:D,'02效果表'!E:E)+AB18*_xlfn.XLOOKUP(AA18,'02效果表'!D:D,'02效果表'!E:E)+AD18*_xlfn.XLOOKUP(AC18,'02效果表'!D:D,'02效果表'!E:E)+AF18*_xlfn.XLOOKUP(AE18,'02效果表'!D:D,'02效果表'!E:E)+AH18*_xlfn.XLOOKUP(AG18,'02效果表'!D:D,'02效果表'!E:E)+AJ18*_xlfn.XLOOKUP(AI18,'02效果表'!D:D,'02效果表'!E:E)+AL18*_xlfn.XLOOKUP(AK18,'02效果表'!D:D,'02效果表'!E:E)+AN18*_xlfn.XLOOKUP(AM18,'02效果表'!D:D,'02效果表'!E:E)+AP18*_xlfn.XLOOKUP(AO18,'02效果表'!D:D,'02效果表'!E:E))),0)</f>
        <v>3</v>
      </c>
      <c r="G18" s="6">
        <v>1</v>
      </c>
      <c r="H18" s="6" t="s">
        <v>471</v>
      </c>
      <c r="I18" s="6">
        <v>65</v>
      </c>
      <c r="J18" s="6" t="s">
        <v>455</v>
      </c>
      <c r="K18" s="6">
        <v>8</v>
      </c>
      <c r="L18" s="6">
        <v>1</v>
      </c>
      <c r="M18" s="6" t="s">
        <v>389</v>
      </c>
      <c r="N18" s="6">
        <v>1</v>
      </c>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row>
    <row r="19" spans="1:42" x14ac:dyDescent="0.25">
      <c r="A19" s="6">
        <v>18</v>
      </c>
      <c r="B19" s="6" t="s">
        <v>271</v>
      </c>
      <c r="C19" s="6">
        <v>1.3</v>
      </c>
      <c r="D19" s="6" t="s">
        <v>326</v>
      </c>
      <c r="E19" s="9" t="s">
        <v>694</v>
      </c>
      <c r="F19" s="7">
        <f>ROUND(-1*(3/K19*L19*_xlfn.XLOOKUP(J19,'02效果表'!D:D,'02效果表'!E:E)+N19*_xlfn.XLOOKUP(M19,'02效果表'!D:D,'02效果表'!E:E)+P19*_xlfn.XLOOKUP(O19,'02效果表'!D:D,'02效果表'!E:E)+R19*_xlfn.XLOOKUP(Q19,'02效果表'!D:D,'02效果表'!E:E)+1/6*(T19*_xlfn.XLOOKUP(S19,'02效果表'!D:D,'02效果表'!E:E)+V19*_xlfn.XLOOKUP(U19,'02效果表'!D:D,'02效果表'!E:E)+X19*_xlfn.XLOOKUP(W19,'02效果表'!D:D,'02效果表'!E:E)+Z19*_xlfn.XLOOKUP(Y19,'02效果表'!D:D,'02效果表'!E:E)+AB19*_xlfn.XLOOKUP(AA19,'02效果表'!D:D,'02效果表'!E:E)+AD19*_xlfn.XLOOKUP(AC19,'02效果表'!D:D,'02效果表'!E:E)+AF19*_xlfn.XLOOKUP(AE19,'02效果表'!D:D,'02效果表'!E:E)+AH19*_xlfn.XLOOKUP(AG19,'02效果表'!D:D,'02效果表'!E:E)+AJ19*_xlfn.XLOOKUP(AI19,'02效果表'!D:D,'02效果表'!E:E)+AL19*_xlfn.XLOOKUP(AK19,'02效果表'!D:D,'02效果表'!E:E)+AN19*_xlfn.XLOOKUP(AM19,'02效果表'!D:D,'02效果表'!E:E)+AP19*_xlfn.XLOOKUP(AO19,'02效果表'!D:D,'02效果表'!E:E))),0)</f>
        <v>2</v>
      </c>
      <c r="G19" s="6">
        <v>1</v>
      </c>
      <c r="H19" s="6" t="s">
        <v>471</v>
      </c>
      <c r="I19" s="6">
        <v>35</v>
      </c>
      <c r="J19" s="6" t="s">
        <v>455</v>
      </c>
      <c r="K19" s="6">
        <v>5</v>
      </c>
      <c r="L19" s="6">
        <v>1</v>
      </c>
      <c r="M19" s="6" t="s">
        <v>356</v>
      </c>
      <c r="N19" s="6">
        <v>1</v>
      </c>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row>
    <row r="20" spans="1:42" x14ac:dyDescent="0.25">
      <c r="A20" s="6">
        <v>19</v>
      </c>
      <c r="B20" s="6" t="s">
        <v>271</v>
      </c>
      <c r="C20" s="6">
        <v>1.3</v>
      </c>
      <c r="D20" s="6" t="s">
        <v>326</v>
      </c>
      <c r="E20" s="9" t="s">
        <v>695</v>
      </c>
      <c r="F20" s="7">
        <f>ROUND(-1*(3/K20*L20*_xlfn.XLOOKUP(J20,'02效果表'!D:D,'02效果表'!E:E)+N20*_xlfn.XLOOKUP(M20,'02效果表'!D:D,'02效果表'!E:E)+P20*_xlfn.XLOOKUP(O20,'02效果表'!D:D,'02效果表'!E:E)+R20*_xlfn.XLOOKUP(Q20,'02效果表'!D:D,'02效果表'!E:E)+1/6*(T20*_xlfn.XLOOKUP(S20,'02效果表'!D:D,'02效果表'!E:E)+V20*_xlfn.XLOOKUP(U20,'02效果表'!D:D,'02效果表'!E:E)+X20*_xlfn.XLOOKUP(W20,'02效果表'!D:D,'02效果表'!E:E)+Z20*_xlfn.XLOOKUP(Y20,'02效果表'!D:D,'02效果表'!E:E)+AB20*_xlfn.XLOOKUP(AA20,'02效果表'!D:D,'02效果表'!E:E)+AD20*_xlfn.XLOOKUP(AC20,'02效果表'!D:D,'02效果表'!E:E)+AF20*_xlfn.XLOOKUP(AE20,'02效果表'!D:D,'02效果表'!E:E)+AH20*_xlfn.XLOOKUP(AG20,'02效果表'!D:D,'02效果表'!E:E)+AJ20*_xlfn.XLOOKUP(AI20,'02效果表'!D:D,'02效果表'!E:E)+AL20*_xlfn.XLOOKUP(AK20,'02效果表'!D:D,'02效果表'!E:E)+AN20*_xlfn.XLOOKUP(AM20,'02效果表'!D:D,'02效果表'!E:E)+AP20*_xlfn.XLOOKUP(AO20,'02效果表'!D:D,'02效果表'!E:E))),0)</f>
        <v>5</v>
      </c>
      <c r="G20" s="6">
        <v>2</v>
      </c>
      <c r="H20" s="6" t="s">
        <v>471</v>
      </c>
      <c r="I20" s="6">
        <v>20</v>
      </c>
      <c r="J20" s="6" t="s">
        <v>331</v>
      </c>
      <c r="K20" s="6">
        <v>7</v>
      </c>
      <c r="L20" s="6">
        <v>3</v>
      </c>
      <c r="M20" s="6" t="s">
        <v>350</v>
      </c>
      <c r="N20" s="6">
        <v>1</v>
      </c>
      <c r="O20" s="6" t="s">
        <v>396</v>
      </c>
      <c r="P20" s="6">
        <v>1</v>
      </c>
      <c r="Q20" s="6"/>
      <c r="R20" s="6"/>
      <c r="S20" s="6"/>
      <c r="T20" s="6"/>
      <c r="U20" s="6"/>
      <c r="V20" s="6"/>
      <c r="W20" s="6"/>
      <c r="X20" s="6"/>
      <c r="Y20" s="6"/>
      <c r="Z20" s="6"/>
      <c r="AA20" s="6"/>
      <c r="AB20" s="6"/>
      <c r="AC20" s="6"/>
      <c r="AD20" s="6"/>
      <c r="AE20" s="6"/>
      <c r="AF20" s="6"/>
      <c r="AG20" s="6"/>
      <c r="AH20" s="6"/>
      <c r="AI20" s="6"/>
      <c r="AJ20" s="6"/>
      <c r="AK20" s="6"/>
      <c r="AL20" s="6"/>
      <c r="AM20" s="6"/>
      <c r="AN20" s="6"/>
      <c r="AO20" s="6"/>
      <c r="AP20" s="6"/>
    </row>
    <row r="21" spans="1:42" x14ac:dyDescent="0.25">
      <c r="A21" s="6">
        <v>20</v>
      </c>
      <c r="B21" s="6" t="s">
        <v>271</v>
      </c>
      <c r="C21" s="8">
        <v>1.4</v>
      </c>
      <c r="D21" s="8" t="s">
        <v>326</v>
      </c>
      <c r="E21" s="13" t="s">
        <v>701</v>
      </c>
      <c r="F21" s="7">
        <f>ROUND(-1*(3/K21*L21*_xlfn.XLOOKUP(J21,'02效果表'!D:D,'02效果表'!E:E)+N21*_xlfn.XLOOKUP(M21,'02效果表'!D:D,'02效果表'!E:E)+P21*_xlfn.XLOOKUP(O21,'02效果表'!D:D,'02效果表'!E:E)+R21*_xlfn.XLOOKUP(Q21,'02效果表'!D:D,'02效果表'!E:E)+1/6*(T21*_xlfn.XLOOKUP(S21,'02效果表'!D:D,'02效果表'!E:E)+V21*_xlfn.XLOOKUP(U21,'02效果表'!D:D,'02效果表'!E:E)+X21*_xlfn.XLOOKUP(W21,'02效果表'!D:D,'02效果表'!E:E)+Z21*_xlfn.XLOOKUP(Y21,'02效果表'!D:D,'02效果表'!E:E)+AB21*_xlfn.XLOOKUP(AA21,'02效果表'!D:D,'02效果表'!E:E)+AD21*_xlfn.XLOOKUP(AC21,'02效果表'!D:D,'02效果表'!E:E)+AF21*_xlfn.XLOOKUP(AE21,'02效果表'!D:D,'02效果表'!E:E)+AH21*_xlfn.XLOOKUP(AG21,'02效果表'!D:D,'02效果表'!E:E)+AJ21*_xlfn.XLOOKUP(AI21,'02效果表'!D:D,'02效果表'!E:E)+AL21*_xlfn.XLOOKUP(AK21,'02效果表'!D:D,'02效果表'!E:E)+AN21*_xlfn.XLOOKUP(AM21,'02效果表'!D:D,'02效果表'!E:E)+AP21*_xlfn.XLOOKUP(AO21,'02效果表'!D:D,'02效果表'!E:E))),0)</f>
        <v>5</v>
      </c>
      <c r="G21" s="8">
        <v>3</v>
      </c>
      <c r="H21" s="8" t="s">
        <v>261</v>
      </c>
      <c r="I21" s="8">
        <v>25</v>
      </c>
      <c r="J21" s="6" t="s">
        <v>331</v>
      </c>
      <c r="K21" s="6">
        <v>7</v>
      </c>
      <c r="L21" s="6">
        <v>3</v>
      </c>
      <c r="M21" s="6" t="s">
        <v>685</v>
      </c>
      <c r="N21" s="6">
        <v>1</v>
      </c>
      <c r="O21" s="6"/>
      <c r="P21" s="6"/>
      <c r="Q21" s="6"/>
      <c r="R21" s="6"/>
      <c r="S21" s="6" t="s">
        <v>805</v>
      </c>
      <c r="T21" s="6">
        <v>1</v>
      </c>
      <c r="U21" s="6"/>
      <c r="V21" s="6"/>
      <c r="W21" s="6" t="s">
        <v>805</v>
      </c>
      <c r="X21" s="6">
        <v>1</v>
      </c>
      <c r="Y21" s="6"/>
      <c r="Z21" s="6"/>
      <c r="AA21" s="6" t="s">
        <v>383</v>
      </c>
      <c r="AB21" s="6">
        <v>2</v>
      </c>
      <c r="AC21" s="6"/>
      <c r="AD21" s="6"/>
      <c r="AE21" s="6" t="s">
        <v>383</v>
      </c>
      <c r="AF21" s="6">
        <v>2</v>
      </c>
      <c r="AG21" s="6" t="s">
        <v>462</v>
      </c>
      <c r="AH21" s="6">
        <v>3</v>
      </c>
      <c r="AI21" s="6" t="s">
        <v>385</v>
      </c>
      <c r="AJ21" s="6">
        <v>1</v>
      </c>
      <c r="AK21" s="6"/>
      <c r="AL21" s="6"/>
      <c r="AM21" s="6" t="s">
        <v>705</v>
      </c>
      <c r="AN21" s="6">
        <v>1</v>
      </c>
      <c r="AO21" s="6"/>
      <c r="AP21" s="6"/>
    </row>
    <row r="22" spans="1:42" x14ac:dyDescent="0.25">
      <c r="A22" s="6">
        <v>21</v>
      </c>
      <c r="B22" s="6" t="s">
        <v>271</v>
      </c>
      <c r="C22" s="8">
        <v>1.5</v>
      </c>
      <c r="D22" s="8" t="s">
        <v>326</v>
      </c>
      <c r="E22" s="13" t="s">
        <v>849</v>
      </c>
      <c r="F22" s="7">
        <f>ROUND(-1*(3/K22*L22*_xlfn.XLOOKUP(J22,'02效果表'!D:D,'02效果表'!E:E)+N22*_xlfn.XLOOKUP(M22,'02效果表'!D:D,'02效果表'!E:E)+P22*_xlfn.XLOOKUP(O22,'02效果表'!D:D,'02效果表'!E:E)+R22*_xlfn.XLOOKUP(Q22,'02效果表'!D:D,'02效果表'!E:E)+1/6*(T22*_xlfn.XLOOKUP(S22,'02效果表'!D:D,'02效果表'!E:E)+V22*_xlfn.XLOOKUP(U22,'02效果表'!D:D,'02效果表'!E:E)+X22*_xlfn.XLOOKUP(W22,'02效果表'!D:D,'02效果表'!E:E)+Z22*_xlfn.XLOOKUP(Y22,'02效果表'!D:D,'02效果表'!E:E)+AB22*_xlfn.XLOOKUP(AA22,'02效果表'!D:D,'02效果表'!E:E)+AD22*_xlfn.XLOOKUP(AC22,'02效果表'!D:D,'02效果表'!E:E)+AF22*_xlfn.XLOOKUP(AE22,'02效果表'!D:D,'02效果表'!E:E)+AH22*_xlfn.XLOOKUP(AG22,'02效果表'!D:D,'02效果表'!E:E)+AJ22*_xlfn.XLOOKUP(AI22,'02效果表'!D:D,'02效果表'!E:E)+AL22*_xlfn.XLOOKUP(AK22,'02效果表'!D:D,'02效果表'!E:E)+AN22*_xlfn.XLOOKUP(AM22,'02效果表'!D:D,'02效果表'!E:E)+AP22*_xlfn.XLOOKUP(AO22,'02效果表'!D:D,'02效果表'!E:E))),0)</f>
        <v>9</v>
      </c>
      <c r="G22" s="8">
        <v>1</v>
      </c>
      <c r="H22" s="8" t="s">
        <v>261</v>
      </c>
      <c r="I22" s="8">
        <v>30</v>
      </c>
      <c r="J22" s="6" t="s">
        <v>331</v>
      </c>
      <c r="K22" s="6">
        <v>6</v>
      </c>
      <c r="L22" s="6">
        <v>3</v>
      </c>
      <c r="M22" s="6" t="s">
        <v>381</v>
      </c>
      <c r="N22" s="6">
        <v>2</v>
      </c>
      <c r="O22" s="6"/>
      <c r="P22" s="6"/>
      <c r="Q22" s="6"/>
      <c r="R22" s="6"/>
      <c r="S22" s="6" t="s">
        <v>385</v>
      </c>
      <c r="T22" s="6">
        <v>1</v>
      </c>
      <c r="U22" s="6" t="s">
        <v>376</v>
      </c>
      <c r="V22" s="6">
        <v>1</v>
      </c>
      <c r="W22" s="6" t="s">
        <v>331</v>
      </c>
      <c r="X22" s="6">
        <v>3</v>
      </c>
      <c r="Y22" s="6" t="s">
        <v>376</v>
      </c>
      <c r="Z22" s="6">
        <v>2</v>
      </c>
      <c r="AA22" s="6" t="s">
        <v>331</v>
      </c>
      <c r="AB22" s="6">
        <v>2</v>
      </c>
      <c r="AC22" s="6"/>
      <c r="AD22" s="6"/>
      <c r="AE22" s="6" t="s">
        <v>385</v>
      </c>
      <c r="AF22" s="6">
        <v>1</v>
      </c>
      <c r="AG22" s="6"/>
      <c r="AH22" s="6"/>
      <c r="AI22" s="6" t="s">
        <v>331</v>
      </c>
      <c r="AJ22" s="6">
        <v>2</v>
      </c>
      <c r="AK22" s="6" t="s">
        <v>376</v>
      </c>
      <c r="AL22" s="6">
        <v>1</v>
      </c>
      <c r="AM22" s="6" t="s">
        <v>331</v>
      </c>
      <c r="AN22" s="6">
        <v>2</v>
      </c>
      <c r="AO22" s="6" t="s">
        <v>376</v>
      </c>
      <c r="AP22" s="6">
        <v>1</v>
      </c>
    </row>
    <row r="23" spans="1:42" x14ac:dyDescent="0.25">
      <c r="A23" s="6">
        <v>22</v>
      </c>
      <c r="B23" s="6" t="s">
        <v>271</v>
      </c>
      <c r="C23" s="8">
        <v>1.5</v>
      </c>
      <c r="D23" s="8" t="s">
        <v>326</v>
      </c>
      <c r="E23" s="13" t="s">
        <v>850</v>
      </c>
      <c r="F23" s="7">
        <f>ROUND(-1*(3/K23*L23*_xlfn.XLOOKUP(J23,'02效果表'!D:D,'02效果表'!E:E)+N23*_xlfn.XLOOKUP(M23,'02效果表'!D:D,'02效果表'!E:E)+P23*_xlfn.XLOOKUP(O23,'02效果表'!D:D,'02效果表'!E:E)+R23*_xlfn.XLOOKUP(Q23,'02效果表'!D:D,'02效果表'!E:E)+1/6*(T23*_xlfn.XLOOKUP(S23,'02效果表'!D:D,'02效果表'!E:E)+V23*_xlfn.XLOOKUP(U23,'02效果表'!D:D,'02效果表'!E:E)+X23*_xlfn.XLOOKUP(W23,'02效果表'!D:D,'02效果表'!E:E)+Z23*_xlfn.XLOOKUP(Y23,'02效果表'!D:D,'02效果表'!E:E)+AB23*_xlfn.XLOOKUP(AA23,'02效果表'!D:D,'02效果表'!E:E)+AD23*_xlfn.XLOOKUP(AC23,'02效果表'!D:D,'02效果表'!E:E)+AF23*_xlfn.XLOOKUP(AE23,'02效果表'!D:D,'02效果表'!E:E)+AH23*_xlfn.XLOOKUP(AG23,'02效果表'!D:D,'02效果表'!E:E)+AJ23*_xlfn.XLOOKUP(AI23,'02效果表'!D:D,'02效果表'!E:E)+AL23*_xlfn.XLOOKUP(AK23,'02效果表'!D:D,'02效果表'!E:E)+AN23*_xlfn.XLOOKUP(AM23,'02效果表'!D:D,'02效果表'!E:E)+AP23*_xlfn.XLOOKUP(AO23,'02效果表'!D:D,'02效果表'!E:E))),0)</f>
        <v>6</v>
      </c>
      <c r="G23" s="8">
        <v>1</v>
      </c>
      <c r="H23" s="8" t="s">
        <v>261</v>
      </c>
      <c r="I23" s="8">
        <v>40</v>
      </c>
      <c r="J23" s="6" t="s">
        <v>331</v>
      </c>
      <c r="K23" s="6">
        <v>5</v>
      </c>
      <c r="L23" s="6">
        <v>3</v>
      </c>
      <c r="M23" s="6"/>
      <c r="N23" s="6"/>
      <c r="O23" s="6"/>
      <c r="P23" s="6"/>
      <c r="Q23" s="6"/>
      <c r="R23" s="6"/>
      <c r="S23" s="6" t="s">
        <v>331</v>
      </c>
      <c r="T23" s="6">
        <v>3</v>
      </c>
      <c r="U23" s="6" t="s">
        <v>491</v>
      </c>
      <c r="V23" s="6">
        <v>2</v>
      </c>
      <c r="W23" s="6" t="s">
        <v>385</v>
      </c>
      <c r="X23" s="6">
        <v>2</v>
      </c>
      <c r="Y23" s="6" t="s">
        <v>491</v>
      </c>
      <c r="Z23" s="6">
        <v>1</v>
      </c>
      <c r="AA23" s="6" t="s">
        <v>331</v>
      </c>
      <c r="AB23" s="6">
        <v>2</v>
      </c>
      <c r="AC23" s="6" t="s">
        <v>462</v>
      </c>
      <c r="AD23" s="6">
        <v>2</v>
      </c>
      <c r="AE23" s="6" t="s">
        <v>385</v>
      </c>
      <c r="AF23" s="6">
        <v>1</v>
      </c>
      <c r="AG23" s="6"/>
      <c r="AH23" s="6"/>
      <c r="AI23" s="6" t="s">
        <v>331</v>
      </c>
      <c r="AJ23" s="6">
        <v>2</v>
      </c>
      <c r="AK23" s="6" t="s">
        <v>491</v>
      </c>
      <c r="AL23" s="6">
        <v>1</v>
      </c>
      <c r="AM23" s="6" t="s">
        <v>331</v>
      </c>
      <c r="AN23" s="6">
        <v>2</v>
      </c>
      <c r="AO23" s="6" t="s">
        <v>491</v>
      </c>
      <c r="AP23" s="6">
        <v>1</v>
      </c>
    </row>
    <row r="24" spans="1:42" x14ac:dyDescent="0.25">
      <c r="A24" s="6">
        <v>23</v>
      </c>
      <c r="B24" s="6" t="s">
        <v>271</v>
      </c>
      <c r="C24" s="8">
        <v>2.1</v>
      </c>
      <c r="D24" s="8" t="s">
        <v>326</v>
      </c>
      <c r="E24" s="13" t="s">
        <v>700</v>
      </c>
      <c r="F24" s="7">
        <f>ROUND(-1*(3/K24*L24*_xlfn.XLOOKUP(J24,'02效果表'!D:D,'02效果表'!E:E)+N24*_xlfn.XLOOKUP(M24,'02效果表'!D:D,'02效果表'!E:E)+P24*_xlfn.XLOOKUP(O24,'02效果表'!D:D,'02效果表'!E:E)+R24*_xlfn.XLOOKUP(Q24,'02效果表'!D:D,'02效果表'!E:E)+1/6*(T24*_xlfn.XLOOKUP(S24,'02效果表'!D:D,'02效果表'!E:E)+V24*_xlfn.XLOOKUP(U24,'02效果表'!D:D,'02效果表'!E:E)+X24*_xlfn.XLOOKUP(W24,'02效果表'!D:D,'02效果表'!E:E)+Z24*_xlfn.XLOOKUP(Y24,'02效果表'!D:D,'02效果表'!E:E)+AB24*_xlfn.XLOOKUP(AA24,'02效果表'!D:D,'02效果表'!E:E)+AD24*_xlfn.XLOOKUP(AC24,'02效果表'!D:D,'02效果表'!E:E)+AF24*_xlfn.XLOOKUP(AE24,'02效果表'!D:D,'02效果表'!E:E)+AH24*_xlfn.XLOOKUP(AG24,'02效果表'!D:D,'02效果表'!E:E)+AJ24*_xlfn.XLOOKUP(AI24,'02效果表'!D:D,'02效果表'!E:E)+AL24*_xlfn.XLOOKUP(AK24,'02效果表'!D:D,'02效果表'!E:E)+AN24*_xlfn.XLOOKUP(AM24,'02效果表'!D:D,'02效果表'!E:E)+AP24*_xlfn.XLOOKUP(AO24,'02效果表'!D:D,'02效果表'!E:E))),0)</f>
        <v>4</v>
      </c>
      <c r="G24" s="8">
        <v>1</v>
      </c>
      <c r="H24" s="8" t="s">
        <v>261</v>
      </c>
      <c r="I24" s="8">
        <v>34</v>
      </c>
      <c r="J24" s="6" t="s">
        <v>331</v>
      </c>
      <c r="K24" s="6">
        <v>7</v>
      </c>
      <c r="L24" s="6">
        <v>3</v>
      </c>
      <c r="M24" s="6"/>
      <c r="N24" s="6"/>
      <c r="O24" s="6"/>
      <c r="P24" s="6"/>
      <c r="Q24" s="6"/>
      <c r="R24" s="6"/>
      <c r="S24" s="6" t="s">
        <v>331</v>
      </c>
      <c r="T24" s="6">
        <v>1</v>
      </c>
      <c r="U24" s="6" t="s">
        <v>672</v>
      </c>
      <c r="V24" s="6">
        <v>1</v>
      </c>
      <c r="W24" s="6" t="s">
        <v>331</v>
      </c>
      <c r="X24" s="6">
        <v>2</v>
      </c>
      <c r="Y24" s="6" t="s">
        <v>672</v>
      </c>
      <c r="Z24" s="6">
        <v>1</v>
      </c>
      <c r="AA24" s="6" t="s">
        <v>385</v>
      </c>
      <c r="AB24" s="6">
        <v>1</v>
      </c>
      <c r="AC24" s="6"/>
      <c r="AD24" s="6"/>
      <c r="AE24" s="6" t="s">
        <v>331</v>
      </c>
      <c r="AF24" s="6">
        <v>1</v>
      </c>
      <c r="AG24" s="6" t="s">
        <v>456</v>
      </c>
      <c r="AH24" s="6">
        <v>1</v>
      </c>
      <c r="AI24" s="6" t="s">
        <v>331</v>
      </c>
      <c r="AJ24" s="6">
        <v>1</v>
      </c>
      <c r="AK24" s="6" t="s">
        <v>456</v>
      </c>
      <c r="AL24" s="6">
        <v>1</v>
      </c>
      <c r="AM24" s="6" t="s">
        <v>331</v>
      </c>
      <c r="AN24" s="6">
        <v>1</v>
      </c>
      <c r="AO24" s="6" t="s">
        <v>456</v>
      </c>
      <c r="AP24" s="6">
        <v>1</v>
      </c>
    </row>
    <row r="25" spans="1:42" x14ac:dyDescent="0.25">
      <c r="A25" s="6">
        <v>24</v>
      </c>
      <c r="B25" s="6" t="s">
        <v>271</v>
      </c>
      <c r="C25" s="8">
        <v>2.1</v>
      </c>
      <c r="D25" s="8" t="s">
        <v>326</v>
      </c>
      <c r="E25" s="13" t="s">
        <v>701</v>
      </c>
      <c r="F25" s="7">
        <f>ROUND(-1*(3/K25*L25*_xlfn.XLOOKUP(J25,'02效果表'!D:D,'02效果表'!E:E)+N25*_xlfn.XLOOKUP(M25,'02效果表'!D:D,'02效果表'!E:E)+P25*_xlfn.XLOOKUP(O25,'02效果表'!D:D,'02效果表'!E:E)+R25*_xlfn.XLOOKUP(Q25,'02效果表'!D:D,'02效果表'!E:E)+1/6*(T25*_xlfn.XLOOKUP(S25,'02效果表'!D:D,'02效果表'!E:E)+V25*_xlfn.XLOOKUP(U25,'02效果表'!D:D,'02效果表'!E:E)+X25*_xlfn.XLOOKUP(W25,'02效果表'!D:D,'02效果表'!E:E)+Z25*_xlfn.XLOOKUP(Y25,'02效果表'!D:D,'02效果表'!E:E)+AB25*_xlfn.XLOOKUP(AA25,'02效果表'!D:D,'02效果表'!E:E)+AD25*_xlfn.XLOOKUP(AC25,'02效果表'!D:D,'02效果表'!E:E)+AF25*_xlfn.XLOOKUP(AE25,'02效果表'!D:D,'02效果表'!E:E)+AH25*_xlfn.XLOOKUP(AG25,'02效果表'!D:D,'02效果表'!E:E)+AJ25*_xlfn.XLOOKUP(AI25,'02效果表'!D:D,'02效果表'!E:E)+AL25*_xlfn.XLOOKUP(AK25,'02效果表'!D:D,'02效果表'!E:E)+AN25*_xlfn.XLOOKUP(AM25,'02效果表'!D:D,'02效果表'!E:E)+AP25*_xlfn.XLOOKUP(AO25,'02效果表'!D:D,'02效果表'!E:E))),0)</f>
        <v>4</v>
      </c>
      <c r="G25" s="8">
        <v>1</v>
      </c>
      <c r="H25" s="8" t="s">
        <v>261</v>
      </c>
      <c r="I25" s="8">
        <v>27</v>
      </c>
      <c r="J25" s="6" t="s">
        <v>331</v>
      </c>
      <c r="K25" s="6">
        <v>7</v>
      </c>
      <c r="L25" s="6">
        <v>3</v>
      </c>
      <c r="M25" s="6"/>
      <c r="N25" s="6"/>
      <c r="O25" s="6"/>
      <c r="P25" s="6"/>
      <c r="Q25" s="6"/>
      <c r="R25" s="6"/>
      <c r="S25" s="6" t="s">
        <v>705</v>
      </c>
      <c r="T25" s="6">
        <v>1</v>
      </c>
      <c r="U25" s="6"/>
      <c r="V25" s="6"/>
      <c r="W25" s="6" t="s">
        <v>705</v>
      </c>
      <c r="X25" s="6">
        <v>1</v>
      </c>
      <c r="Y25" s="6"/>
      <c r="Z25" s="6"/>
      <c r="AA25" s="6" t="s">
        <v>331</v>
      </c>
      <c r="AB25" s="6">
        <v>1</v>
      </c>
      <c r="AC25" s="6" t="s">
        <v>462</v>
      </c>
      <c r="AD25" s="6">
        <v>2</v>
      </c>
      <c r="AE25" s="6" t="s">
        <v>331</v>
      </c>
      <c r="AF25" s="6">
        <v>1</v>
      </c>
      <c r="AG25" s="6" t="s">
        <v>462</v>
      </c>
      <c r="AH25" s="6">
        <v>3</v>
      </c>
      <c r="AI25" s="6" t="s">
        <v>331</v>
      </c>
      <c r="AJ25" s="6">
        <v>1</v>
      </c>
      <c r="AK25" s="6" t="s">
        <v>462</v>
      </c>
      <c r="AL25" s="6">
        <v>3</v>
      </c>
      <c r="AM25" s="6" t="s">
        <v>385</v>
      </c>
      <c r="AN25" s="6">
        <v>1</v>
      </c>
      <c r="AO25" s="6"/>
      <c r="AP25" s="6"/>
    </row>
    <row r="26" spans="1:42" x14ac:dyDescent="0.25">
      <c r="A26" s="6">
        <v>25</v>
      </c>
      <c r="B26" s="6" t="s">
        <v>271</v>
      </c>
      <c r="C26" s="8">
        <v>2.1</v>
      </c>
      <c r="D26" s="8" t="s">
        <v>326</v>
      </c>
      <c r="E26" s="13" t="s">
        <v>702</v>
      </c>
      <c r="F26" s="7">
        <f>ROUND(-1*(3/K26*L26*_xlfn.XLOOKUP(J26,'02效果表'!D:D,'02效果表'!E:E)+N26*_xlfn.XLOOKUP(M26,'02效果表'!D:D,'02效果表'!E:E)+P26*_xlfn.XLOOKUP(O26,'02效果表'!D:D,'02效果表'!E:E)+R26*_xlfn.XLOOKUP(Q26,'02效果表'!D:D,'02效果表'!E:E)+1/6*(T26*_xlfn.XLOOKUP(S26,'02效果表'!D:D,'02效果表'!E:E)+V26*_xlfn.XLOOKUP(U26,'02效果表'!D:D,'02效果表'!E:E)+X26*_xlfn.XLOOKUP(W26,'02效果表'!D:D,'02效果表'!E:E)+Z26*_xlfn.XLOOKUP(Y26,'02效果表'!D:D,'02效果表'!E:E)+AB26*_xlfn.XLOOKUP(AA26,'02效果表'!D:D,'02效果表'!E:E)+AD26*_xlfn.XLOOKUP(AC26,'02效果表'!D:D,'02效果表'!E:E)+AF26*_xlfn.XLOOKUP(AE26,'02效果表'!D:D,'02效果表'!E:E)+AH26*_xlfn.XLOOKUP(AG26,'02效果表'!D:D,'02效果表'!E:E)+AJ26*_xlfn.XLOOKUP(AI26,'02效果表'!D:D,'02效果表'!E:E)+AL26*_xlfn.XLOOKUP(AK26,'02效果表'!D:D,'02效果表'!E:E)+AN26*_xlfn.XLOOKUP(AM26,'02效果表'!D:D,'02效果表'!E:E)+AP26*_xlfn.XLOOKUP(AO26,'02效果表'!D:D,'02效果表'!E:E))),0)</f>
        <v>10</v>
      </c>
      <c r="G26" s="8">
        <v>1</v>
      </c>
      <c r="H26" s="8" t="s">
        <v>261</v>
      </c>
      <c r="I26" s="8">
        <v>20</v>
      </c>
      <c r="J26" s="6" t="s">
        <v>331</v>
      </c>
      <c r="K26" s="6">
        <v>10</v>
      </c>
      <c r="L26" s="6">
        <v>6</v>
      </c>
      <c r="M26" s="6" t="s">
        <v>703</v>
      </c>
      <c r="N26" s="6">
        <v>2</v>
      </c>
      <c r="O26" s="6" t="s">
        <v>356</v>
      </c>
      <c r="P26" s="6">
        <v>1</v>
      </c>
      <c r="Q26" s="6"/>
      <c r="R26" s="6"/>
      <c r="S26" s="6" t="s">
        <v>331</v>
      </c>
      <c r="T26" s="6">
        <v>1</v>
      </c>
      <c r="U26" s="6"/>
      <c r="V26" s="6"/>
      <c r="W26" s="6" t="s">
        <v>383</v>
      </c>
      <c r="X26" s="6">
        <v>1</v>
      </c>
      <c r="Y26" s="6"/>
      <c r="Z26" s="6"/>
      <c r="AA26" s="6" t="s">
        <v>404</v>
      </c>
      <c r="AB26" s="6">
        <v>1</v>
      </c>
      <c r="AC26" s="6"/>
      <c r="AD26" s="6"/>
      <c r="AE26" s="6" t="s">
        <v>404</v>
      </c>
      <c r="AF26" s="6">
        <v>1</v>
      </c>
      <c r="AG26" s="6"/>
      <c r="AH26" s="6"/>
      <c r="AI26" s="6" t="s">
        <v>331</v>
      </c>
      <c r="AJ26" s="6">
        <v>1</v>
      </c>
      <c r="AK26" s="6"/>
      <c r="AL26" s="6"/>
      <c r="AM26" s="6" t="s">
        <v>331</v>
      </c>
      <c r="AN26" s="6">
        <v>1</v>
      </c>
      <c r="AO26" s="6"/>
      <c r="AP26" s="6"/>
    </row>
    <row r="27" spans="1:42" x14ac:dyDescent="0.25">
      <c r="A27" s="6">
        <v>26</v>
      </c>
      <c r="B27" s="6" t="s">
        <v>271</v>
      </c>
      <c r="C27" s="8">
        <v>2.2000000000000002</v>
      </c>
      <c r="D27" s="8" t="s">
        <v>326</v>
      </c>
      <c r="E27" s="13" t="s">
        <v>789</v>
      </c>
      <c r="F27" s="7">
        <f>ROUND(-1*(3/K27*L27*_xlfn.XLOOKUP(J27,'02效果表'!D:D,'02效果表'!E:E)+N27*_xlfn.XLOOKUP(M27,'02效果表'!D:D,'02效果表'!E:E)+P27*_xlfn.XLOOKUP(O27,'02效果表'!D:D,'02效果表'!E:E)+R27*_xlfn.XLOOKUP(Q27,'02效果表'!D:D,'02效果表'!E:E)+1/6*(T27*_xlfn.XLOOKUP(S27,'02效果表'!D:D,'02效果表'!E:E)+V27*_xlfn.XLOOKUP(U27,'02效果表'!D:D,'02效果表'!E:E)+X27*_xlfn.XLOOKUP(W27,'02效果表'!D:D,'02效果表'!E:E)+Z27*_xlfn.XLOOKUP(Y27,'02效果表'!D:D,'02效果表'!E:E)+AB27*_xlfn.XLOOKUP(AA27,'02效果表'!D:D,'02效果表'!E:E)+AD27*_xlfn.XLOOKUP(AC27,'02效果表'!D:D,'02效果表'!E:E)+AF27*_xlfn.XLOOKUP(AE27,'02效果表'!D:D,'02效果表'!E:E)+AH27*_xlfn.XLOOKUP(AG27,'02效果表'!D:D,'02效果表'!E:E)+AJ27*_xlfn.XLOOKUP(AI27,'02效果表'!D:D,'02效果表'!E:E)+AL27*_xlfn.XLOOKUP(AK27,'02效果表'!D:D,'02效果表'!E:E)+AN27*_xlfn.XLOOKUP(AM27,'02效果表'!D:D,'02效果表'!E:E)+AP27*_xlfn.XLOOKUP(AO27,'02效果表'!D:D,'02效果表'!E:E))),0)</f>
        <v>11</v>
      </c>
      <c r="G27" s="8">
        <v>1</v>
      </c>
      <c r="H27" s="8" t="s">
        <v>261</v>
      </c>
      <c r="I27" s="8">
        <v>30</v>
      </c>
      <c r="J27" s="6" t="s">
        <v>331</v>
      </c>
      <c r="K27" s="6">
        <v>9</v>
      </c>
      <c r="L27" s="6">
        <v>6</v>
      </c>
      <c r="M27" s="6" t="s">
        <v>396</v>
      </c>
      <c r="N27" s="6">
        <v>1</v>
      </c>
      <c r="O27" s="6" t="s">
        <v>356</v>
      </c>
      <c r="P27" s="6">
        <v>1</v>
      </c>
      <c r="Q27" s="6"/>
      <c r="R27" s="6"/>
      <c r="S27" s="6" t="s">
        <v>674</v>
      </c>
      <c r="T27" s="6">
        <v>1</v>
      </c>
      <c r="U27" s="6" t="s">
        <v>462</v>
      </c>
      <c r="V27" s="6">
        <v>3</v>
      </c>
      <c r="W27" s="6" t="s">
        <v>674</v>
      </c>
      <c r="X27" s="6">
        <v>2</v>
      </c>
      <c r="Y27" s="6" t="s">
        <v>772</v>
      </c>
      <c r="Z27" s="6">
        <v>2</v>
      </c>
      <c r="AA27" s="6" t="s">
        <v>331</v>
      </c>
      <c r="AB27" s="6">
        <v>1</v>
      </c>
      <c r="AC27" s="6" t="s">
        <v>383</v>
      </c>
      <c r="AD27" s="6">
        <v>2</v>
      </c>
      <c r="AE27" s="6" t="s">
        <v>674</v>
      </c>
      <c r="AF27" s="6">
        <v>1</v>
      </c>
      <c r="AG27" s="6" t="s">
        <v>383</v>
      </c>
      <c r="AH27" s="6">
        <v>2</v>
      </c>
      <c r="AI27" s="6" t="s">
        <v>674</v>
      </c>
      <c r="AJ27" s="6">
        <v>1</v>
      </c>
      <c r="AK27" s="6" t="s">
        <v>383</v>
      </c>
      <c r="AL27" s="6">
        <v>3</v>
      </c>
      <c r="AM27" s="6" t="s">
        <v>674</v>
      </c>
      <c r="AN27" s="6">
        <v>1</v>
      </c>
      <c r="AO27" s="6" t="s">
        <v>462</v>
      </c>
      <c r="AP27" s="6">
        <v>2</v>
      </c>
    </row>
    <row r="28" spans="1:42" x14ac:dyDescent="0.25">
      <c r="A28" s="6">
        <v>27</v>
      </c>
      <c r="B28" s="6" t="s">
        <v>271</v>
      </c>
      <c r="C28" s="8">
        <v>2.2000000000000002</v>
      </c>
      <c r="D28" s="8" t="s">
        <v>326</v>
      </c>
      <c r="E28" s="13" t="s">
        <v>790</v>
      </c>
      <c r="F28" s="7">
        <f>ROUND(-1*(3/K28*L28*_xlfn.XLOOKUP(J28,'02效果表'!D:D,'02效果表'!E:E)+N28*_xlfn.XLOOKUP(M28,'02效果表'!D:D,'02效果表'!E:E)+P28*_xlfn.XLOOKUP(O28,'02效果表'!D:D,'02效果表'!E:E)+R28*_xlfn.XLOOKUP(Q28,'02效果表'!D:D,'02效果表'!E:E)+1/6*(T28*_xlfn.XLOOKUP(S28,'02效果表'!D:D,'02效果表'!E:E)+V28*_xlfn.XLOOKUP(U28,'02效果表'!D:D,'02效果表'!E:E)+X28*_xlfn.XLOOKUP(W28,'02效果表'!D:D,'02效果表'!E:E)+Z28*_xlfn.XLOOKUP(Y28,'02效果表'!D:D,'02效果表'!E:E)+AB28*_xlfn.XLOOKUP(AA28,'02效果表'!D:D,'02效果表'!E:E)+AD28*_xlfn.XLOOKUP(AC28,'02效果表'!D:D,'02效果表'!E:E)+AF28*_xlfn.XLOOKUP(AE28,'02效果表'!D:D,'02效果表'!E:E)+AH28*_xlfn.XLOOKUP(AG28,'02效果表'!D:D,'02效果表'!E:E)+AJ28*_xlfn.XLOOKUP(AI28,'02效果表'!D:D,'02效果表'!E:E)+AL28*_xlfn.XLOOKUP(AK28,'02效果表'!D:D,'02效果表'!E:E)+AN28*_xlfn.XLOOKUP(AM28,'02效果表'!D:D,'02效果表'!E:E)+AP28*_xlfn.XLOOKUP(AO28,'02效果表'!D:D,'02效果表'!E:E))),0)</f>
        <v>12</v>
      </c>
      <c r="G28" s="8">
        <v>1</v>
      </c>
      <c r="H28" s="8" t="s">
        <v>261</v>
      </c>
      <c r="I28" s="8">
        <v>28</v>
      </c>
      <c r="J28" s="6" t="s">
        <v>385</v>
      </c>
      <c r="K28" s="6">
        <v>5</v>
      </c>
      <c r="L28" s="6">
        <v>4</v>
      </c>
      <c r="M28" s="6"/>
      <c r="N28" s="6"/>
      <c r="O28" s="6"/>
      <c r="P28" s="6"/>
      <c r="Q28" s="6"/>
      <c r="R28" s="6"/>
      <c r="S28" s="6" t="s">
        <v>320</v>
      </c>
      <c r="T28" s="6">
        <v>2</v>
      </c>
      <c r="U28" s="6"/>
      <c r="V28" s="6"/>
      <c r="W28" s="6" t="s">
        <v>320</v>
      </c>
      <c r="X28" s="6">
        <v>2</v>
      </c>
      <c r="Y28" s="6"/>
      <c r="Z28" s="6"/>
      <c r="AA28" s="6" t="s">
        <v>320</v>
      </c>
      <c r="AB28" s="6">
        <v>1</v>
      </c>
      <c r="AC28" s="6"/>
      <c r="AD28" s="6"/>
      <c r="AE28" s="6" t="s">
        <v>320</v>
      </c>
      <c r="AF28" s="6">
        <v>1</v>
      </c>
      <c r="AG28" s="6"/>
      <c r="AH28" s="6"/>
      <c r="AI28" s="6" t="s">
        <v>320</v>
      </c>
      <c r="AJ28" s="6">
        <v>1</v>
      </c>
      <c r="AK28" s="6"/>
      <c r="AL28" s="6"/>
      <c r="AM28" s="6" t="s">
        <v>320</v>
      </c>
      <c r="AN28" s="6">
        <v>1</v>
      </c>
      <c r="AO28" s="6"/>
      <c r="AP28" s="6"/>
    </row>
    <row r="29" spans="1:42" x14ac:dyDescent="0.25">
      <c r="A29" s="6">
        <v>28</v>
      </c>
      <c r="B29" s="6" t="s">
        <v>271</v>
      </c>
      <c r="C29" s="8">
        <v>2.2000000000000002</v>
      </c>
      <c r="D29" s="8" t="s">
        <v>326</v>
      </c>
      <c r="E29" s="13" t="s">
        <v>791</v>
      </c>
      <c r="F29" s="7">
        <f>ROUND(-1*(3/K29*L29*_xlfn.XLOOKUP(J29,'02效果表'!D:D,'02效果表'!E:E)+N29*_xlfn.XLOOKUP(M29,'02效果表'!D:D,'02效果表'!E:E)+P29*_xlfn.XLOOKUP(O29,'02效果表'!D:D,'02效果表'!E:E)+R29*_xlfn.XLOOKUP(Q29,'02效果表'!D:D,'02效果表'!E:E)+1/6*(T29*_xlfn.XLOOKUP(S29,'02效果表'!D:D,'02效果表'!E:E)+V29*_xlfn.XLOOKUP(U29,'02效果表'!D:D,'02效果表'!E:E)+X29*_xlfn.XLOOKUP(W29,'02效果表'!D:D,'02效果表'!E:E)+Z29*_xlfn.XLOOKUP(Y29,'02效果表'!D:D,'02效果表'!E:E)+AB29*_xlfn.XLOOKUP(AA29,'02效果表'!D:D,'02效果表'!E:E)+AD29*_xlfn.XLOOKUP(AC29,'02效果表'!D:D,'02效果表'!E:E)+AF29*_xlfn.XLOOKUP(AE29,'02效果表'!D:D,'02效果表'!E:E)+AH29*_xlfn.XLOOKUP(AG29,'02效果表'!D:D,'02效果表'!E:E)+AJ29*_xlfn.XLOOKUP(AI29,'02效果表'!D:D,'02效果表'!E:E)+AL29*_xlfn.XLOOKUP(AK29,'02效果表'!D:D,'02效果表'!E:E)+AN29*_xlfn.XLOOKUP(AM29,'02效果表'!D:D,'02效果表'!E:E)+AP29*_xlfn.XLOOKUP(AO29,'02效果表'!D:D,'02效果表'!E:E))),0)</f>
        <v>3</v>
      </c>
      <c r="G29" s="8">
        <v>1</v>
      </c>
      <c r="H29" s="8" t="s">
        <v>261</v>
      </c>
      <c r="I29" s="8">
        <v>20</v>
      </c>
      <c r="J29" s="6" t="s">
        <v>331</v>
      </c>
      <c r="K29" s="6">
        <v>8</v>
      </c>
      <c r="L29" s="6">
        <v>1</v>
      </c>
      <c r="M29" s="6"/>
      <c r="N29" s="6"/>
      <c r="O29" s="6"/>
      <c r="P29" s="6"/>
      <c r="Q29" s="6"/>
      <c r="R29" s="6"/>
      <c r="S29" s="6" t="s">
        <v>792</v>
      </c>
      <c r="T29" s="6">
        <v>2</v>
      </c>
      <c r="U29" s="6"/>
      <c r="V29" s="6"/>
      <c r="W29" s="6" t="s">
        <v>792</v>
      </c>
      <c r="X29" s="6">
        <v>2</v>
      </c>
      <c r="Y29" s="6"/>
      <c r="Z29" s="6"/>
      <c r="AA29" s="6" t="s">
        <v>793</v>
      </c>
      <c r="AB29" s="6">
        <v>2</v>
      </c>
      <c r="AC29" s="6"/>
      <c r="AD29" s="6"/>
      <c r="AE29" s="6" t="s">
        <v>793</v>
      </c>
      <c r="AF29" s="6">
        <v>3</v>
      </c>
      <c r="AG29" s="6"/>
      <c r="AH29" s="6"/>
      <c r="AI29" s="6" t="s">
        <v>793</v>
      </c>
      <c r="AJ29" s="6">
        <v>3</v>
      </c>
      <c r="AK29" s="6"/>
      <c r="AL29" s="6"/>
      <c r="AM29" s="6" t="s">
        <v>792</v>
      </c>
      <c r="AN29" s="6">
        <v>1</v>
      </c>
      <c r="AO29" s="6"/>
      <c r="AP29" s="6"/>
    </row>
    <row r="30" spans="1:42" x14ac:dyDescent="0.25">
      <c r="A30" s="6">
        <v>29</v>
      </c>
      <c r="B30" s="6" t="s">
        <v>271</v>
      </c>
      <c r="C30" s="8">
        <v>2.1</v>
      </c>
      <c r="D30" s="8" t="s">
        <v>325</v>
      </c>
      <c r="E30" s="13" t="s">
        <v>324</v>
      </c>
      <c r="F30" s="7">
        <f>ROUND(-1*(3/K30*L30*_xlfn.XLOOKUP(J30,'02效果表'!D:D,'02效果表'!E:E)+N30*_xlfn.XLOOKUP(M30,'02效果表'!D:D,'02效果表'!E:E)+P30*_xlfn.XLOOKUP(O30,'02效果表'!D:D,'02效果表'!E:E)+R30*_xlfn.XLOOKUP(Q30,'02效果表'!D:D,'02效果表'!E:E)+1/6*(T30*_xlfn.XLOOKUP(S30,'02效果表'!D:D,'02效果表'!E:E)+V30*_xlfn.XLOOKUP(U30,'02效果表'!D:D,'02效果表'!E:E)+X30*_xlfn.XLOOKUP(W30,'02效果表'!D:D,'02效果表'!E:E)+Z30*_xlfn.XLOOKUP(Y30,'02效果表'!D:D,'02效果表'!E:E)+AB30*_xlfn.XLOOKUP(AA30,'02效果表'!D:D,'02效果表'!E:E)+AD30*_xlfn.XLOOKUP(AC30,'02效果表'!D:D,'02效果表'!E:E)+AF30*_xlfn.XLOOKUP(AE30,'02效果表'!D:D,'02效果表'!E:E)+AH30*_xlfn.XLOOKUP(AG30,'02效果表'!D:D,'02效果表'!E:E)+AJ30*_xlfn.XLOOKUP(AI30,'02效果表'!D:D,'02效果表'!E:E)+AL30*_xlfn.XLOOKUP(AK30,'02效果表'!D:D,'02效果表'!E:E)+AN30*_xlfn.XLOOKUP(AM30,'02效果表'!D:D,'02效果表'!E:E)+AP30*_xlfn.XLOOKUP(AO30,'02效果表'!D:D,'02效果表'!E:E))),0)</f>
        <v>3</v>
      </c>
      <c r="G30" s="8">
        <v>1</v>
      </c>
      <c r="H30" s="8" t="s">
        <v>262</v>
      </c>
      <c r="I30" s="8">
        <v>85</v>
      </c>
      <c r="J30" s="6" t="s">
        <v>327</v>
      </c>
      <c r="K30" s="6">
        <v>9</v>
      </c>
      <c r="L30" s="6">
        <v>1</v>
      </c>
      <c r="M30" s="6" t="s">
        <v>328</v>
      </c>
      <c r="N30" s="6">
        <v>1</v>
      </c>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row>
    <row r="31" spans="1:42" x14ac:dyDescent="0.25">
      <c r="A31" s="6">
        <v>30</v>
      </c>
      <c r="B31" s="6" t="s">
        <v>271</v>
      </c>
      <c r="C31" s="8">
        <v>2.1</v>
      </c>
      <c r="D31" s="8" t="s">
        <v>325</v>
      </c>
      <c r="E31" s="13" t="s">
        <v>323</v>
      </c>
      <c r="F31" s="7">
        <f>ROUND(-1*(3/K31*L31*_xlfn.XLOOKUP(J31,'02效果表'!D:D,'02效果表'!E:E)+N31*_xlfn.XLOOKUP(M31,'02效果表'!D:D,'02效果表'!E:E)+P31*_xlfn.XLOOKUP(O31,'02效果表'!D:D,'02效果表'!E:E)+R31*_xlfn.XLOOKUP(Q31,'02效果表'!D:D,'02效果表'!E:E)+1/6*(T31*_xlfn.XLOOKUP(S31,'02效果表'!D:D,'02效果表'!E:E)+V31*_xlfn.XLOOKUP(U31,'02效果表'!D:D,'02效果表'!E:E)+X31*_xlfn.XLOOKUP(W31,'02效果表'!D:D,'02效果表'!E:E)+Z31*_xlfn.XLOOKUP(Y31,'02效果表'!D:D,'02效果表'!E:E)+AB31*_xlfn.XLOOKUP(AA31,'02效果表'!D:D,'02效果表'!E:E)+AD31*_xlfn.XLOOKUP(AC31,'02效果表'!D:D,'02效果表'!E:E)+AF31*_xlfn.XLOOKUP(AE31,'02效果表'!D:D,'02效果表'!E:E)+AH31*_xlfn.XLOOKUP(AG31,'02效果表'!D:D,'02效果表'!E:E)+AJ31*_xlfn.XLOOKUP(AI31,'02效果表'!D:D,'02效果表'!E:E)+AL31*_xlfn.XLOOKUP(AK31,'02效果表'!D:D,'02效果表'!E:E)+AN31*_xlfn.XLOOKUP(AM31,'02效果表'!D:D,'02效果表'!E:E)+AP31*_xlfn.XLOOKUP(AO31,'02效果表'!D:D,'02效果表'!E:E))),0)</f>
        <v>0</v>
      </c>
      <c r="G31" s="8">
        <v>2</v>
      </c>
      <c r="H31" s="8" t="s">
        <v>262</v>
      </c>
      <c r="I31" s="8">
        <v>13</v>
      </c>
      <c r="J31" s="6" t="s">
        <v>331</v>
      </c>
      <c r="K31" s="6">
        <v>8</v>
      </c>
      <c r="L31" s="6">
        <v>1</v>
      </c>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row>
    <row r="32" spans="1:42" x14ac:dyDescent="0.25">
      <c r="A32" s="6">
        <v>31</v>
      </c>
      <c r="B32" s="6" t="s">
        <v>271</v>
      </c>
      <c r="C32" s="6">
        <v>2.2000000000000002</v>
      </c>
      <c r="D32" s="6" t="s">
        <v>249</v>
      </c>
      <c r="E32" s="9" t="s">
        <v>489</v>
      </c>
      <c r="F32" s="7">
        <f>ROUND(-1*(3/K32*L32*_xlfn.XLOOKUP(J32,'02效果表'!D:D,'02效果表'!E:E)+N32*_xlfn.XLOOKUP(M32,'02效果表'!D:D,'02效果表'!E:E)+P32*_xlfn.XLOOKUP(O32,'02效果表'!D:D,'02效果表'!E:E)+R32*_xlfn.XLOOKUP(Q32,'02效果表'!D:D,'02效果表'!E:E)+1/6*(T32*_xlfn.XLOOKUP(S32,'02效果表'!D:D,'02效果表'!E:E)+V32*_xlfn.XLOOKUP(U32,'02效果表'!D:D,'02效果表'!E:E)+X32*_xlfn.XLOOKUP(W32,'02效果表'!D:D,'02效果表'!E:E)+Z32*_xlfn.XLOOKUP(Y32,'02效果表'!D:D,'02效果表'!E:E)+AB32*_xlfn.XLOOKUP(AA32,'02效果表'!D:D,'02效果表'!E:E)+AD32*_xlfn.XLOOKUP(AC32,'02效果表'!D:D,'02效果表'!E:E)+AF32*_xlfn.XLOOKUP(AE32,'02效果表'!D:D,'02效果表'!E:E)+AH32*_xlfn.XLOOKUP(AG32,'02效果表'!D:D,'02效果表'!E:E)+AJ32*_xlfn.XLOOKUP(AI32,'02效果表'!D:D,'02效果表'!E:E)+AL32*_xlfn.XLOOKUP(AK32,'02效果表'!D:D,'02效果表'!E:E)+AN32*_xlfn.XLOOKUP(AM32,'02效果表'!D:D,'02效果表'!E:E)+AP32*_xlfn.XLOOKUP(AO32,'02效果表'!D:D,'02效果表'!E:E))),0)</f>
        <v>6</v>
      </c>
      <c r="G32" s="6">
        <v>1</v>
      </c>
      <c r="H32" s="6" t="s">
        <v>380</v>
      </c>
      <c r="I32" s="6">
        <v>80</v>
      </c>
      <c r="J32" s="6" t="s">
        <v>455</v>
      </c>
      <c r="K32" s="6">
        <v>6</v>
      </c>
      <c r="L32" s="6">
        <v>1</v>
      </c>
      <c r="M32" s="6" t="s">
        <v>490</v>
      </c>
      <c r="N32" s="6">
        <v>1</v>
      </c>
      <c r="O32" s="6" t="s">
        <v>1190</v>
      </c>
      <c r="P32" s="6">
        <v>1</v>
      </c>
      <c r="Q32" s="6"/>
      <c r="R32" s="6"/>
      <c r="S32" s="6"/>
      <c r="T32" s="6"/>
      <c r="U32" s="6"/>
      <c r="V32" s="6"/>
      <c r="W32" s="6"/>
      <c r="X32" s="6"/>
      <c r="Y32" s="6"/>
      <c r="Z32" s="6"/>
      <c r="AA32" s="6"/>
      <c r="AB32" s="6"/>
      <c r="AC32" s="6"/>
      <c r="AD32" s="6"/>
      <c r="AE32" s="6"/>
      <c r="AF32" s="6"/>
      <c r="AG32" s="6"/>
      <c r="AH32" s="6"/>
      <c r="AI32" s="6"/>
      <c r="AJ32" s="6"/>
      <c r="AK32" s="6"/>
      <c r="AL32" s="6"/>
      <c r="AM32" s="6"/>
      <c r="AN32" s="6"/>
      <c r="AO32" s="6"/>
      <c r="AP32" s="6"/>
    </row>
    <row r="33" spans="1:42" x14ac:dyDescent="0.25">
      <c r="A33" s="6">
        <v>32</v>
      </c>
      <c r="B33" s="6" t="s">
        <v>271</v>
      </c>
      <c r="C33" s="6">
        <v>2.2999999999999998</v>
      </c>
      <c r="D33" s="6" t="s">
        <v>249</v>
      </c>
      <c r="E33" s="9" t="s">
        <v>807</v>
      </c>
      <c r="F33" s="7">
        <f>ROUND(-1*(3/K33*L33*_xlfn.XLOOKUP(J33,'02效果表'!D:D,'02效果表'!E:E)+N33*_xlfn.XLOOKUP(M33,'02效果表'!D:D,'02效果表'!E:E)+P33*_xlfn.XLOOKUP(O33,'02效果表'!D:D,'02效果表'!E:E)+R33*_xlfn.XLOOKUP(Q33,'02效果表'!D:D,'02效果表'!E:E)+1/6*(T33*_xlfn.XLOOKUP(S33,'02效果表'!D:D,'02效果表'!E:E)+V33*_xlfn.XLOOKUP(U33,'02效果表'!D:D,'02效果表'!E:E)+X33*_xlfn.XLOOKUP(W33,'02效果表'!D:D,'02效果表'!E:E)+Z33*_xlfn.XLOOKUP(Y33,'02效果表'!D:D,'02效果表'!E:E)+AB33*_xlfn.XLOOKUP(AA33,'02效果表'!D:D,'02效果表'!E:E)+AD33*_xlfn.XLOOKUP(AC33,'02效果表'!D:D,'02效果表'!E:E)+AF33*_xlfn.XLOOKUP(AE33,'02效果表'!D:D,'02效果表'!E:E)+AH33*_xlfn.XLOOKUP(AG33,'02效果表'!D:D,'02效果表'!E:E)+AJ33*_xlfn.XLOOKUP(AI33,'02效果表'!D:D,'02效果表'!E:E)+AL33*_xlfn.XLOOKUP(AK33,'02效果表'!D:D,'02效果表'!E:E)+AN33*_xlfn.XLOOKUP(AM33,'02效果表'!D:D,'02效果表'!E:E)+AP33*_xlfn.XLOOKUP(AO33,'02效果表'!D:D,'02效果表'!E:E))),0)</f>
        <v>8</v>
      </c>
      <c r="G33" s="6">
        <v>1</v>
      </c>
      <c r="H33" s="6" t="s">
        <v>380</v>
      </c>
      <c r="I33" s="6">
        <v>40</v>
      </c>
      <c r="J33" s="6" t="s">
        <v>331</v>
      </c>
      <c r="K33" s="6">
        <v>10</v>
      </c>
      <c r="L33" s="6">
        <v>5</v>
      </c>
      <c r="M33" s="6" t="s">
        <v>1190</v>
      </c>
      <c r="N33" s="6">
        <v>1</v>
      </c>
      <c r="O33" s="6"/>
      <c r="P33" s="6"/>
      <c r="Q33" s="6"/>
      <c r="R33" s="6"/>
      <c r="S33" s="6" t="s">
        <v>331</v>
      </c>
      <c r="T33" s="6">
        <v>2</v>
      </c>
      <c r="U33" s="6" t="s">
        <v>676</v>
      </c>
      <c r="V33" s="6">
        <v>1</v>
      </c>
      <c r="W33" s="6" t="s">
        <v>331</v>
      </c>
      <c r="X33" s="6">
        <v>3</v>
      </c>
      <c r="Y33" s="6" t="s">
        <v>676</v>
      </c>
      <c r="Z33" s="6">
        <v>1</v>
      </c>
      <c r="AA33" s="6" t="s">
        <v>331</v>
      </c>
      <c r="AB33" s="6">
        <v>2</v>
      </c>
      <c r="AC33" s="6"/>
      <c r="AD33" s="6"/>
      <c r="AE33" s="6" t="s">
        <v>331</v>
      </c>
      <c r="AF33" s="6">
        <v>1</v>
      </c>
      <c r="AG33" s="6" t="s">
        <v>676</v>
      </c>
      <c r="AH33" s="6">
        <v>1</v>
      </c>
      <c r="AI33" s="6" t="s">
        <v>331</v>
      </c>
      <c r="AJ33" s="6">
        <v>1</v>
      </c>
      <c r="AK33" s="6" t="s">
        <v>676</v>
      </c>
      <c r="AL33" s="6">
        <v>1</v>
      </c>
      <c r="AM33" s="6" t="s">
        <v>331</v>
      </c>
      <c r="AN33" s="6">
        <v>1</v>
      </c>
      <c r="AO33" s="6" t="s">
        <v>676</v>
      </c>
      <c r="AP33" s="6">
        <v>1</v>
      </c>
    </row>
    <row r="34" spans="1:42" x14ac:dyDescent="0.25">
      <c r="A34" s="6">
        <v>33</v>
      </c>
      <c r="B34" s="6" t="s">
        <v>271</v>
      </c>
      <c r="C34" s="6">
        <v>2.2999999999999998</v>
      </c>
      <c r="D34" s="6" t="s">
        <v>249</v>
      </c>
      <c r="E34" s="9" t="s">
        <v>808</v>
      </c>
      <c r="F34" s="7">
        <f>ROUND(-1*(3/K34*L34*_xlfn.XLOOKUP(J34,'02效果表'!D:D,'02效果表'!E:E)+N34*_xlfn.XLOOKUP(M34,'02效果表'!D:D,'02效果表'!E:E)+P34*_xlfn.XLOOKUP(O34,'02效果表'!D:D,'02效果表'!E:E)+R34*_xlfn.XLOOKUP(Q34,'02效果表'!D:D,'02效果表'!E:E)+1/6*(T34*_xlfn.XLOOKUP(S34,'02效果表'!D:D,'02效果表'!E:E)+V34*_xlfn.XLOOKUP(U34,'02效果表'!D:D,'02效果表'!E:E)+X34*_xlfn.XLOOKUP(W34,'02效果表'!D:D,'02效果表'!E:E)+Z34*_xlfn.XLOOKUP(Y34,'02效果表'!D:D,'02效果表'!E:E)+AB34*_xlfn.XLOOKUP(AA34,'02效果表'!D:D,'02效果表'!E:E)+AD34*_xlfn.XLOOKUP(AC34,'02效果表'!D:D,'02效果表'!E:E)+AF34*_xlfn.XLOOKUP(AE34,'02效果表'!D:D,'02效果表'!E:E)+AH34*_xlfn.XLOOKUP(AG34,'02效果表'!D:D,'02效果表'!E:E)+AJ34*_xlfn.XLOOKUP(AI34,'02效果表'!D:D,'02效果表'!E:E)+AL34*_xlfn.XLOOKUP(AK34,'02效果表'!D:D,'02效果表'!E:E)+AN34*_xlfn.XLOOKUP(AM34,'02效果表'!D:D,'02效果表'!E:E)+AP34*_xlfn.XLOOKUP(AO34,'02效果表'!D:D,'02效果表'!E:E))),0)</f>
        <v>6</v>
      </c>
      <c r="G34" s="6">
        <v>1</v>
      </c>
      <c r="H34" s="6" t="s">
        <v>380</v>
      </c>
      <c r="I34" s="6">
        <v>55</v>
      </c>
      <c r="J34" s="6" t="s">
        <v>331</v>
      </c>
      <c r="K34" s="6">
        <v>10</v>
      </c>
      <c r="L34" s="6">
        <v>5</v>
      </c>
      <c r="M34" s="6"/>
      <c r="N34" s="6"/>
      <c r="O34" s="6"/>
      <c r="P34" s="6"/>
      <c r="Q34" s="6"/>
      <c r="R34" s="6"/>
      <c r="S34" s="6" t="s">
        <v>462</v>
      </c>
      <c r="T34" s="6">
        <v>4</v>
      </c>
      <c r="U34" s="6" t="s">
        <v>809</v>
      </c>
      <c r="V34" s="6">
        <v>1</v>
      </c>
      <c r="W34" s="6" t="s">
        <v>772</v>
      </c>
      <c r="X34" s="6">
        <v>2</v>
      </c>
      <c r="Y34" s="6" t="s">
        <v>809</v>
      </c>
      <c r="Z34" s="6">
        <v>2</v>
      </c>
      <c r="AA34" s="6" t="s">
        <v>462</v>
      </c>
      <c r="AB34" s="6">
        <v>3</v>
      </c>
      <c r="AC34" s="6" t="s">
        <v>383</v>
      </c>
      <c r="AD34" s="6">
        <v>4</v>
      </c>
      <c r="AE34" s="6" t="s">
        <v>810</v>
      </c>
      <c r="AF34" s="6">
        <v>3</v>
      </c>
      <c r="AG34" s="6" t="s">
        <v>809</v>
      </c>
      <c r="AH34" s="6">
        <v>1</v>
      </c>
      <c r="AI34" s="6" t="s">
        <v>810</v>
      </c>
      <c r="AJ34" s="6">
        <v>4</v>
      </c>
      <c r="AK34" s="6" t="s">
        <v>809</v>
      </c>
      <c r="AL34" s="6">
        <v>1</v>
      </c>
      <c r="AM34" s="6" t="s">
        <v>462</v>
      </c>
      <c r="AN34" s="6">
        <v>3</v>
      </c>
      <c r="AO34" s="6" t="s">
        <v>809</v>
      </c>
      <c r="AP34" s="6">
        <v>1</v>
      </c>
    </row>
    <row r="35" spans="1:42" x14ac:dyDescent="0.25">
      <c r="A35" s="6">
        <v>34</v>
      </c>
      <c r="B35" s="6" t="s">
        <v>271</v>
      </c>
      <c r="C35" s="6">
        <v>3.1</v>
      </c>
      <c r="D35" s="6" t="s">
        <v>253</v>
      </c>
      <c r="E35" s="9" t="s">
        <v>345</v>
      </c>
      <c r="F35" s="7">
        <f>ROUND(-1*(3/K35*L35*_xlfn.XLOOKUP(J35,'02效果表'!D:D,'02效果表'!E:E)+N35*_xlfn.XLOOKUP(M35,'02效果表'!D:D,'02效果表'!E:E)+P35*_xlfn.XLOOKUP(O35,'02效果表'!D:D,'02效果表'!E:E)+R35*_xlfn.XLOOKUP(Q35,'02效果表'!D:D,'02效果表'!E:E)+1/6*(T35*_xlfn.XLOOKUP(S35,'02效果表'!D:D,'02效果表'!E:E)+V35*_xlfn.XLOOKUP(U35,'02效果表'!D:D,'02效果表'!E:E)+X35*_xlfn.XLOOKUP(W35,'02效果表'!D:D,'02效果表'!E:E)+Z35*_xlfn.XLOOKUP(Y35,'02效果表'!D:D,'02效果表'!E:E)+AB35*_xlfn.XLOOKUP(AA35,'02效果表'!D:D,'02效果表'!E:E)+AD35*_xlfn.XLOOKUP(AC35,'02效果表'!D:D,'02效果表'!E:E)+AF35*_xlfn.XLOOKUP(AE35,'02效果表'!D:D,'02效果表'!E:E)+AH35*_xlfn.XLOOKUP(AG35,'02效果表'!D:D,'02效果表'!E:E)+AJ35*_xlfn.XLOOKUP(AI35,'02效果表'!D:D,'02效果表'!E:E)+AL35*_xlfn.XLOOKUP(AK35,'02效果表'!D:D,'02效果表'!E:E)+AN35*_xlfn.XLOOKUP(AM35,'02效果表'!D:D,'02效果表'!E:E)+AP35*_xlfn.XLOOKUP(AO35,'02效果表'!D:D,'02效果表'!E:E))),0)</f>
        <v>14</v>
      </c>
      <c r="G35" s="6">
        <v>1</v>
      </c>
      <c r="H35" s="6" t="s">
        <v>346</v>
      </c>
      <c r="I35" s="6">
        <v>120</v>
      </c>
      <c r="J35" s="6" t="s">
        <v>331</v>
      </c>
      <c r="K35" s="6">
        <v>6</v>
      </c>
      <c r="L35" s="6">
        <v>6</v>
      </c>
      <c r="M35" s="6" t="s">
        <v>349</v>
      </c>
      <c r="N35" s="6">
        <v>1</v>
      </c>
      <c r="O35" s="6" t="s">
        <v>350</v>
      </c>
      <c r="P35" s="6">
        <v>1</v>
      </c>
      <c r="Q35" s="6"/>
      <c r="R35" s="6"/>
      <c r="S35" s="6"/>
      <c r="T35" s="6"/>
      <c r="U35" s="6"/>
      <c r="V35" s="6"/>
      <c r="W35" s="6"/>
      <c r="X35" s="6"/>
      <c r="Y35" s="6"/>
      <c r="Z35" s="6"/>
      <c r="AA35" s="6"/>
      <c r="AB35" s="6"/>
      <c r="AC35" s="6"/>
      <c r="AD35" s="6"/>
      <c r="AE35" s="6"/>
      <c r="AF35" s="6"/>
      <c r="AG35" s="6"/>
      <c r="AH35" s="6"/>
      <c r="AI35" s="6"/>
      <c r="AJ35" s="6"/>
      <c r="AK35" s="6"/>
      <c r="AL35" s="6"/>
      <c r="AM35" s="6"/>
      <c r="AN35" s="6"/>
      <c r="AO35" s="6"/>
      <c r="AP35" s="6"/>
    </row>
    <row r="36" spans="1:42" x14ac:dyDescent="0.25">
      <c r="A36" s="6">
        <v>35</v>
      </c>
      <c r="B36" s="6" t="s">
        <v>271</v>
      </c>
      <c r="C36" s="6">
        <v>3.1</v>
      </c>
      <c r="D36" s="6" t="s">
        <v>253</v>
      </c>
      <c r="E36" s="9" t="s">
        <v>352</v>
      </c>
      <c r="F36" s="7">
        <f>ROUND(-1*(3/K36*L36*_xlfn.XLOOKUP(J36,'02效果表'!D:D,'02效果表'!E:E)+N36*_xlfn.XLOOKUP(M36,'02效果表'!D:D,'02效果表'!E:E)+P36*_xlfn.XLOOKUP(O36,'02效果表'!D:D,'02效果表'!E:E)+R36*_xlfn.XLOOKUP(Q36,'02效果表'!D:D,'02效果表'!E:E)+1/6*(T36*_xlfn.XLOOKUP(S36,'02效果表'!D:D,'02效果表'!E:E)+V36*_xlfn.XLOOKUP(U36,'02效果表'!D:D,'02效果表'!E:E)+X36*_xlfn.XLOOKUP(W36,'02效果表'!D:D,'02效果表'!E:E)+Z36*_xlfn.XLOOKUP(Y36,'02效果表'!D:D,'02效果表'!E:E)+AB36*_xlfn.XLOOKUP(AA36,'02效果表'!D:D,'02效果表'!E:E)+AD36*_xlfn.XLOOKUP(AC36,'02效果表'!D:D,'02效果表'!E:E)+AF36*_xlfn.XLOOKUP(AE36,'02效果表'!D:D,'02效果表'!E:E)+AH36*_xlfn.XLOOKUP(AG36,'02效果表'!D:D,'02效果表'!E:E)+AJ36*_xlfn.XLOOKUP(AI36,'02效果表'!D:D,'02效果表'!E:E)+AL36*_xlfn.XLOOKUP(AK36,'02效果表'!D:D,'02效果表'!E:E)+AN36*_xlfn.XLOOKUP(AM36,'02效果表'!D:D,'02效果表'!E:E)+AP36*_xlfn.XLOOKUP(AO36,'02效果表'!D:D,'02效果表'!E:E))),0)</f>
        <v>8</v>
      </c>
      <c r="G36" s="6">
        <v>1</v>
      </c>
      <c r="H36" s="6" t="s">
        <v>346</v>
      </c>
      <c r="I36" s="6">
        <v>9</v>
      </c>
      <c r="J36" s="6" t="s">
        <v>331</v>
      </c>
      <c r="K36" s="6">
        <v>6</v>
      </c>
      <c r="L36" s="6">
        <v>3</v>
      </c>
      <c r="M36" s="6" t="s">
        <v>1176</v>
      </c>
      <c r="N36" s="6">
        <v>1</v>
      </c>
      <c r="O36" s="6" t="s">
        <v>356</v>
      </c>
      <c r="P36" s="6">
        <v>1</v>
      </c>
      <c r="Q36" s="6"/>
      <c r="R36" s="6"/>
      <c r="S36" s="6"/>
      <c r="T36" s="6"/>
      <c r="U36" s="6"/>
      <c r="V36" s="6"/>
      <c r="W36" s="6"/>
      <c r="X36" s="6"/>
      <c r="Y36" s="6"/>
      <c r="Z36" s="6"/>
      <c r="AA36" s="6"/>
      <c r="AB36" s="6"/>
      <c r="AC36" s="6"/>
      <c r="AD36" s="6"/>
      <c r="AE36" s="6"/>
      <c r="AF36" s="6"/>
      <c r="AG36" s="6"/>
      <c r="AH36" s="6"/>
      <c r="AI36" s="6"/>
      <c r="AJ36" s="6"/>
      <c r="AK36" s="6"/>
      <c r="AL36" s="6"/>
      <c r="AM36" s="6"/>
      <c r="AN36" s="6"/>
      <c r="AO36" s="6"/>
      <c r="AP36" s="6"/>
    </row>
    <row r="37" spans="1:42" x14ac:dyDescent="0.25">
      <c r="A37" s="6">
        <v>36</v>
      </c>
      <c r="B37" s="6" t="s">
        <v>271</v>
      </c>
      <c r="C37" s="6">
        <v>3.1</v>
      </c>
      <c r="D37" s="6" t="s">
        <v>253</v>
      </c>
      <c r="E37" s="13" t="s">
        <v>353</v>
      </c>
      <c r="F37" s="7">
        <f>ROUND(-1*(3/K37*L37*_xlfn.XLOOKUP(J37,'02效果表'!D:D,'02效果表'!E:E)+N37*_xlfn.XLOOKUP(M37,'02效果表'!D:D,'02效果表'!E:E)+P37*_xlfn.XLOOKUP(O37,'02效果表'!D:D,'02效果表'!E:E)+R37*_xlfn.XLOOKUP(Q37,'02效果表'!D:D,'02效果表'!E:E)+1/6*(T37*_xlfn.XLOOKUP(S37,'02效果表'!D:D,'02效果表'!E:E)+V37*_xlfn.XLOOKUP(U37,'02效果表'!D:D,'02效果表'!E:E)+X37*_xlfn.XLOOKUP(W37,'02效果表'!D:D,'02效果表'!E:E)+Z37*_xlfn.XLOOKUP(Y37,'02效果表'!D:D,'02效果表'!E:E)+AB37*_xlfn.XLOOKUP(AA37,'02效果表'!D:D,'02效果表'!E:E)+AD37*_xlfn.XLOOKUP(AC37,'02效果表'!D:D,'02效果表'!E:E)+AF37*_xlfn.XLOOKUP(AE37,'02效果表'!D:D,'02效果表'!E:E)+AH37*_xlfn.XLOOKUP(AG37,'02效果表'!D:D,'02效果表'!E:E)+AJ37*_xlfn.XLOOKUP(AI37,'02效果表'!D:D,'02效果表'!E:E)+AL37*_xlfn.XLOOKUP(AK37,'02效果表'!D:D,'02效果表'!E:E)+AN37*_xlfn.XLOOKUP(AM37,'02效果表'!D:D,'02效果表'!E:E)+AP37*_xlfn.XLOOKUP(AO37,'02效果表'!D:D,'02效果表'!E:E))),0)</f>
        <v>4</v>
      </c>
      <c r="G37" s="8">
        <v>1</v>
      </c>
      <c r="H37" s="6" t="s">
        <v>346</v>
      </c>
      <c r="I37" s="6">
        <v>9</v>
      </c>
      <c r="J37" s="6" t="s">
        <v>331</v>
      </c>
      <c r="K37" s="6">
        <v>6</v>
      </c>
      <c r="L37" s="6">
        <v>1</v>
      </c>
      <c r="M37" s="6" t="s">
        <v>357</v>
      </c>
      <c r="N37" s="6">
        <v>1</v>
      </c>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row>
    <row r="38" spans="1:42" x14ac:dyDescent="0.25">
      <c r="A38" s="6">
        <v>37</v>
      </c>
      <c r="B38" s="6" t="s">
        <v>271</v>
      </c>
      <c r="C38" s="6">
        <v>3.1</v>
      </c>
      <c r="D38" s="6" t="s">
        <v>253</v>
      </c>
      <c r="E38" s="13" t="s">
        <v>497</v>
      </c>
      <c r="F38" s="7">
        <f>ROUND(-1*(3/K38*L38*_xlfn.XLOOKUP(J38,'02效果表'!D:D,'02效果表'!E:E)+N38*_xlfn.XLOOKUP(M38,'02效果表'!D:D,'02效果表'!E:E)+P38*_xlfn.XLOOKUP(O38,'02效果表'!D:D,'02效果表'!E:E)+R38*_xlfn.XLOOKUP(Q38,'02效果表'!D:D,'02效果表'!E:E)+1/6*(T38*_xlfn.XLOOKUP(S38,'02效果表'!D:D,'02效果表'!E:E)+V38*_xlfn.XLOOKUP(U38,'02效果表'!D:D,'02效果表'!E:E)+X38*_xlfn.XLOOKUP(W38,'02效果表'!D:D,'02效果表'!E:E)+Z38*_xlfn.XLOOKUP(Y38,'02效果表'!D:D,'02效果表'!E:E)+AB38*_xlfn.XLOOKUP(AA38,'02效果表'!D:D,'02效果表'!E:E)+AD38*_xlfn.XLOOKUP(AC38,'02效果表'!D:D,'02效果表'!E:E)+AF38*_xlfn.XLOOKUP(AE38,'02效果表'!D:D,'02效果表'!E:E)+AH38*_xlfn.XLOOKUP(AG38,'02效果表'!D:D,'02效果表'!E:E)+AJ38*_xlfn.XLOOKUP(AI38,'02效果表'!D:D,'02效果表'!E:E)+AL38*_xlfn.XLOOKUP(AK38,'02效果表'!D:D,'02效果表'!E:E)+AN38*_xlfn.XLOOKUP(AM38,'02效果表'!D:D,'02效果表'!E:E)+AP38*_xlfn.XLOOKUP(AO38,'02效果表'!D:D,'02效果表'!E:E))),0)</f>
        <v>6</v>
      </c>
      <c r="G38" s="8">
        <v>1</v>
      </c>
      <c r="H38" s="6" t="s">
        <v>346</v>
      </c>
      <c r="I38" s="6">
        <v>7</v>
      </c>
      <c r="J38" s="6" t="s">
        <v>331</v>
      </c>
      <c r="K38" s="6">
        <v>6</v>
      </c>
      <c r="L38" s="6">
        <v>1</v>
      </c>
      <c r="M38" s="6" t="s">
        <v>1177</v>
      </c>
      <c r="N38" s="6">
        <v>1</v>
      </c>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row>
    <row r="39" spans="1:42" x14ac:dyDescent="0.25">
      <c r="A39" s="6">
        <v>38</v>
      </c>
      <c r="B39" s="6" t="s">
        <v>271</v>
      </c>
      <c r="C39" s="6">
        <v>3.1</v>
      </c>
      <c r="D39" s="6" t="s">
        <v>253</v>
      </c>
      <c r="E39" s="13" t="s">
        <v>498</v>
      </c>
      <c r="F39" s="7">
        <f>ROUND(-1*(3/K39*L39*_xlfn.XLOOKUP(J39,'02效果表'!D:D,'02效果表'!E:E)+N39*_xlfn.XLOOKUP(M39,'02效果表'!D:D,'02效果表'!E:E)+P39*_xlfn.XLOOKUP(O39,'02效果表'!D:D,'02效果表'!E:E)+R39*_xlfn.XLOOKUP(Q39,'02效果表'!D:D,'02效果表'!E:E)+1/6*(T39*_xlfn.XLOOKUP(S39,'02效果表'!D:D,'02效果表'!E:E)+V39*_xlfn.XLOOKUP(U39,'02效果表'!D:D,'02效果表'!E:E)+X39*_xlfn.XLOOKUP(W39,'02效果表'!D:D,'02效果表'!E:E)+Z39*_xlfn.XLOOKUP(Y39,'02效果表'!D:D,'02效果表'!E:E)+AB39*_xlfn.XLOOKUP(AA39,'02效果表'!D:D,'02效果表'!E:E)+AD39*_xlfn.XLOOKUP(AC39,'02效果表'!D:D,'02效果表'!E:E)+AF39*_xlfn.XLOOKUP(AE39,'02效果表'!D:D,'02效果表'!E:E)+AH39*_xlfn.XLOOKUP(AG39,'02效果表'!D:D,'02效果表'!E:E)+AJ39*_xlfn.XLOOKUP(AI39,'02效果表'!D:D,'02效果表'!E:E)+AL39*_xlfn.XLOOKUP(AK39,'02效果表'!D:D,'02效果表'!E:E)+AN39*_xlfn.XLOOKUP(AM39,'02效果表'!D:D,'02效果表'!E:E)+AP39*_xlfn.XLOOKUP(AO39,'02效果表'!D:D,'02效果表'!E:E))),0)</f>
        <v>10</v>
      </c>
      <c r="G39" s="8">
        <v>1</v>
      </c>
      <c r="H39" s="6" t="s">
        <v>346</v>
      </c>
      <c r="I39" s="6">
        <v>7</v>
      </c>
      <c r="J39" s="6" t="s">
        <v>331</v>
      </c>
      <c r="K39" s="6">
        <v>6</v>
      </c>
      <c r="L39" s="6">
        <v>1</v>
      </c>
      <c r="M39" s="6" t="s">
        <v>499</v>
      </c>
      <c r="N39" s="6">
        <v>1</v>
      </c>
      <c r="O39" s="6"/>
      <c r="P39" s="6"/>
      <c r="Q39" s="6"/>
      <c r="R39" s="6"/>
      <c r="S39" s="6"/>
      <c r="T39" s="6"/>
      <c r="U39" s="6"/>
      <c r="V39" s="6"/>
      <c r="W39" s="6"/>
      <c r="X39" s="6"/>
      <c r="Y39" s="6"/>
      <c r="Z39" s="6"/>
      <c r="AA39" s="6"/>
      <c r="AB39" s="6"/>
      <c r="AC39" s="6"/>
      <c r="AD39" s="6"/>
      <c r="AE39" s="6"/>
      <c r="AF39" s="6"/>
      <c r="AG39" s="6"/>
      <c r="AH39" s="6"/>
      <c r="AI39" s="6"/>
      <c r="AJ39" s="6"/>
      <c r="AK39" s="6"/>
      <c r="AL39" s="6"/>
      <c r="AM39" s="6"/>
      <c r="AN39" s="6"/>
      <c r="AO39" s="6"/>
      <c r="AP39" s="6"/>
    </row>
    <row r="40" spans="1:42" x14ac:dyDescent="0.25">
      <c r="A40" s="6">
        <v>39</v>
      </c>
      <c r="B40" s="6" t="s">
        <v>271</v>
      </c>
      <c r="C40" s="6">
        <v>3.1</v>
      </c>
      <c r="D40" s="6" t="s">
        <v>253</v>
      </c>
      <c r="E40" s="13" t="s">
        <v>557</v>
      </c>
      <c r="F40" s="7">
        <f>ROUND(-1*(3/K40*L40*_xlfn.XLOOKUP(J40,'02效果表'!D:D,'02效果表'!E:E)+N40*_xlfn.XLOOKUP(M40,'02效果表'!D:D,'02效果表'!E:E)+P40*_xlfn.XLOOKUP(O40,'02效果表'!D:D,'02效果表'!E:E)+R40*_xlfn.XLOOKUP(Q40,'02效果表'!D:D,'02效果表'!E:E)+1/6*(T40*_xlfn.XLOOKUP(S40,'02效果表'!D:D,'02效果表'!E:E)+V40*_xlfn.XLOOKUP(U40,'02效果表'!D:D,'02效果表'!E:E)+X40*_xlfn.XLOOKUP(W40,'02效果表'!D:D,'02效果表'!E:E)+Z40*_xlfn.XLOOKUP(Y40,'02效果表'!D:D,'02效果表'!E:E)+AB40*_xlfn.XLOOKUP(AA40,'02效果表'!D:D,'02效果表'!E:E)+AD40*_xlfn.XLOOKUP(AC40,'02效果表'!D:D,'02效果表'!E:E)+AF40*_xlfn.XLOOKUP(AE40,'02效果表'!D:D,'02效果表'!E:E)+AH40*_xlfn.XLOOKUP(AG40,'02效果表'!D:D,'02效果表'!E:E)+AJ40*_xlfn.XLOOKUP(AI40,'02效果表'!D:D,'02效果表'!E:E)+AL40*_xlfn.XLOOKUP(AK40,'02效果表'!D:D,'02效果表'!E:E)+AN40*_xlfn.XLOOKUP(AM40,'02效果表'!D:D,'02效果表'!E:E)+AP40*_xlfn.XLOOKUP(AO40,'02效果表'!D:D,'02效果表'!E:E))),0)</f>
        <v>7</v>
      </c>
      <c r="G40" s="8">
        <v>1</v>
      </c>
      <c r="H40" s="6" t="s">
        <v>346</v>
      </c>
      <c r="I40" s="6">
        <v>9</v>
      </c>
      <c r="J40" s="6" t="s">
        <v>331</v>
      </c>
      <c r="K40" s="6">
        <v>6</v>
      </c>
      <c r="L40" s="6">
        <v>2</v>
      </c>
      <c r="M40" s="6" t="s">
        <v>558</v>
      </c>
      <c r="N40" s="6">
        <v>1</v>
      </c>
      <c r="O40" s="6" t="s">
        <v>356</v>
      </c>
      <c r="P40" s="6">
        <v>1</v>
      </c>
      <c r="Q40" s="6"/>
      <c r="R40" s="6"/>
      <c r="S40" s="6"/>
      <c r="T40" s="6"/>
      <c r="U40" s="6"/>
      <c r="V40" s="6"/>
      <c r="W40" s="6"/>
      <c r="X40" s="6"/>
      <c r="Y40" s="6"/>
      <c r="Z40" s="6"/>
      <c r="AA40" s="6"/>
      <c r="AB40" s="6"/>
      <c r="AC40" s="6"/>
      <c r="AD40" s="6"/>
      <c r="AE40" s="6"/>
      <c r="AF40" s="6"/>
      <c r="AG40" s="6"/>
      <c r="AH40" s="6"/>
      <c r="AI40" s="6"/>
      <c r="AJ40" s="6"/>
      <c r="AK40" s="6"/>
      <c r="AL40" s="6"/>
      <c r="AM40" s="6"/>
      <c r="AN40" s="6"/>
      <c r="AO40" s="6"/>
      <c r="AP40" s="6"/>
    </row>
    <row r="41" spans="1:42" x14ac:dyDescent="0.25">
      <c r="A41" s="6">
        <v>40</v>
      </c>
      <c r="B41" s="6" t="s">
        <v>271</v>
      </c>
      <c r="C41" s="6">
        <v>3.1</v>
      </c>
      <c r="D41" s="6" t="s">
        <v>253</v>
      </c>
      <c r="E41" s="13" t="s">
        <v>559</v>
      </c>
      <c r="F41" s="7">
        <f>ROUND(-1*(3/K41*L41*_xlfn.XLOOKUP(J41,'02效果表'!D:D,'02效果表'!E:E)+N41*_xlfn.XLOOKUP(M41,'02效果表'!D:D,'02效果表'!E:E)+P41*_xlfn.XLOOKUP(O41,'02效果表'!D:D,'02效果表'!E:E)+R41*_xlfn.XLOOKUP(Q41,'02效果表'!D:D,'02效果表'!E:E)+1/6*(T41*_xlfn.XLOOKUP(S41,'02效果表'!D:D,'02效果表'!E:E)+V41*_xlfn.XLOOKUP(U41,'02效果表'!D:D,'02效果表'!E:E)+X41*_xlfn.XLOOKUP(W41,'02效果表'!D:D,'02效果表'!E:E)+Z41*_xlfn.XLOOKUP(Y41,'02效果表'!D:D,'02效果表'!E:E)+AB41*_xlfn.XLOOKUP(AA41,'02效果表'!D:D,'02效果表'!E:E)+AD41*_xlfn.XLOOKUP(AC41,'02效果表'!D:D,'02效果表'!E:E)+AF41*_xlfn.XLOOKUP(AE41,'02效果表'!D:D,'02效果表'!E:E)+AH41*_xlfn.XLOOKUP(AG41,'02效果表'!D:D,'02效果表'!E:E)+AJ41*_xlfn.XLOOKUP(AI41,'02效果表'!D:D,'02效果表'!E:E)+AL41*_xlfn.XLOOKUP(AK41,'02效果表'!D:D,'02效果表'!E:E)+AN41*_xlfn.XLOOKUP(AM41,'02效果表'!D:D,'02效果表'!E:E)+AP41*_xlfn.XLOOKUP(AO41,'02效果表'!D:D,'02效果表'!E:E))),0)</f>
        <v>4</v>
      </c>
      <c r="G41" s="8">
        <v>1</v>
      </c>
      <c r="H41" s="6" t="s">
        <v>346</v>
      </c>
      <c r="I41" s="6">
        <v>9</v>
      </c>
      <c r="J41" s="6" t="s">
        <v>331</v>
      </c>
      <c r="K41" s="6">
        <v>6</v>
      </c>
      <c r="L41" s="6">
        <v>2</v>
      </c>
      <c r="M41" s="6" t="s">
        <v>1178</v>
      </c>
      <c r="N41" s="6">
        <v>1</v>
      </c>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row>
    <row r="42" spans="1:42" x14ac:dyDescent="0.25">
      <c r="A42" s="6">
        <v>41</v>
      </c>
      <c r="B42" s="6" t="s">
        <v>271</v>
      </c>
      <c r="C42" s="6">
        <v>3.1</v>
      </c>
      <c r="D42" s="6" t="s">
        <v>253</v>
      </c>
      <c r="E42" s="13" t="s">
        <v>561</v>
      </c>
      <c r="F42" s="7">
        <f>ROUND(-1*(3/K42*L42*_xlfn.XLOOKUP(J42,'02效果表'!D:D,'02效果表'!E:E)+N42*_xlfn.XLOOKUP(M42,'02效果表'!D:D,'02效果表'!E:E)+P42*_xlfn.XLOOKUP(O42,'02效果表'!D:D,'02效果表'!E:E)+R42*_xlfn.XLOOKUP(Q42,'02效果表'!D:D,'02效果表'!E:E)+1/6*(T42*_xlfn.XLOOKUP(S42,'02效果表'!D:D,'02效果表'!E:E)+V42*_xlfn.XLOOKUP(U42,'02效果表'!D:D,'02效果表'!E:E)+X42*_xlfn.XLOOKUP(W42,'02效果表'!D:D,'02效果表'!E:E)+Z42*_xlfn.XLOOKUP(Y42,'02效果表'!D:D,'02效果表'!E:E)+AB42*_xlfn.XLOOKUP(AA42,'02效果表'!D:D,'02效果表'!E:E)+AD42*_xlfn.XLOOKUP(AC42,'02效果表'!D:D,'02效果表'!E:E)+AF42*_xlfn.XLOOKUP(AE42,'02效果表'!D:D,'02效果表'!E:E)+AH42*_xlfn.XLOOKUP(AG42,'02效果表'!D:D,'02效果表'!E:E)+AJ42*_xlfn.XLOOKUP(AI42,'02效果表'!D:D,'02效果表'!E:E)+AL42*_xlfn.XLOOKUP(AK42,'02效果表'!D:D,'02效果表'!E:E)+AN42*_xlfn.XLOOKUP(AM42,'02效果表'!D:D,'02效果表'!E:E)+AP42*_xlfn.XLOOKUP(AO42,'02效果表'!D:D,'02效果表'!E:E))),0)</f>
        <v>3</v>
      </c>
      <c r="G42" s="8">
        <v>1</v>
      </c>
      <c r="H42" s="6" t="s">
        <v>346</v>
      </c>
      <c r="I42" s="6">
        <v>9</v>
      </c>
      <c r="J42" s="6" t="s">
        <v>331</v>
      </c>
      <c r="K42" s="6">
        <v>6</v>
      </c>
      <c r="L42" s="6">
        <v>3</v>
      </c>
      <c r="M42" s="6" t="s">
        <v>1179</v>
      </c>
      <c r="N42" s="6">
        <v>1</v>
      </c>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row>
    <row r="43" spans="1:42" x14ac:dyDescent="0.25">
      <c r="A43" s="6">
        <v>42</v>
      </c>
      <c r="B43" s="6" t="s">
        <v>271</v>
      </c>
      <c r="C43" s="6">
        <v>3.2</v>
      </c>
      <c r="D43" s="6" t="s">
        <v>253</v>
      </c>
      <c r="E43" s="13" t="s">
        <v>728</v>
      </c>
      <c r="F43" s="7">
        <f>ROUND(-1*(3/K43*L43*_xlfn.XLOOKUP(J43,'02效果表'!D:D,'02效果表'!E:E)+N43*_xlfn.XLOOKUP(M43,'02效果表'!D:D,'02效果表'!E:E)+P43*_xlfn.XLOOKUP(O43,'02效果表'!D:D,'02效果表'!E:E)+R43*_xlfn.XLOOKUP(Q43,'02效果表'!D:D,'02效果表'!E:E)+1/6*(T43*_xlfn.XLOOKUP(S43,'02效果表'!D:D,'02效果表'!E:E)+V43*_xlfn.XLOOKUP(U43,'02效果表'!D:D,'02效果表'!E:E)+X43*_xlfn.XLOOKUP(W43,'02效果表'!D:D,'02效果表'!E:E)+Z43*_xlfn.XLOOKUP(Y43,'02效果表'!D:D,'02效果表'!E:E)+AB43*_xlfn.XLOOKUP(AA43,'02效果表'!D:D,'02效果表'!E:E)+AD43*_xlfn.XLOOKUP(AC43,'02效果表'!D:D,'02效果表'!E:E)+AF43*_xlfn.XLOOKUP(AE43,'02效果表'!D:D,'02效果表'!E:E)+AH43*_xlfn.XLOOKUP(AG43,'02效果表'!D:D,'02效果表'!E:E)+AJ43*_xlfn.XLOOKUP(AI43,'02效果表'!D:D,'02效果表'!E:E)+AL43*_xlfn.XLOOKUP(AK43,'02效果表'!D:D,'02效果表'!E:E)+AN43*_xlfn.XLOOKUP(AM43,'02效果表'!D:D,'02效果表'!E:E)+AP43*_xlfn.XLOOKUP(AO43,'02效果表'!D:D,'02效果表'!E:E))),0)</f>
        <v>7</v>
      </c>
      <c r="G43" s="8">
        <v>1</v>
      </c>
      <c r="H43" s="6" t="s">
        <v>346</v>
      </c>
      <c r="I43" s="6">
        <v>110</v>
      </c>
      <c r="J43" s="6" t="s">
        <v>455</v>
      </c>
      <c r="K43" s="6">
        <v>5</v>
      </c>
      <c r="L43" s="6">
        <v>1</v>
      </c>
      <c r="M43" s="6" t="s">
        <v>735</v>
      </c>
      <c r="N43" s="6">
        <v>1</v>
      </c>
      <c r="O43" s="6" t="s">
        <v>356</v>
      </c>
      <c r="P43" s="6">
        <v>1</v>
      </c>
      <c r="Q43" s="6"/>
      <c r="R43" s="6"/>
      <c r="S43" s="6" t="s">
        <v>331</v>
      </c>
      <c r="T43" s="6">
        <v>2</v>
      </c>
      <c r="U43" s="6"/>
      <c r="V43" s="6"/>
      <c r="W43" s="6" t="s">
        <v>385</v>
      </c>
      <c r="X43" s="6">
        <v>0</v>
      </c>
      <c r="Y43" s="6"/>
      <c r="Z43" s="6"/>
      <c r="AA43" s="6" t="s">
        <v>331</v>
      </c>
      <c r="AB43" s="6">
        <v>1</v>
      </c>
      <c r="AC43" s="6"/>
      <c r="AD43" s="6"/>
      <c r="AE43" s="6" t="s">
        <v>331</v>
      </c>
      <c r="AF43" s="6">
        <v>1</v>
      </c>
      <c r="AG43" s="6"/>
      <c r="AH43" s="6"/>
      <c r="AI43" s="6" t="s">
        <v>331</v>
      </c>
      <c r="AJ43" s="6">
        <v>1</v>
      </c>
      <c r="AK43" s="6"/>
      <c r="AL43" s="6"/>
      <c r="AM43" s="6" t="s">
        <v>331</v>
      </c>
      <c r="AN43" s="6">
        <v>1</v>
      </c>
      <c r="AO43" s="6" t="s">
        <v>383</v>
      </c>
      <c r="AP43" s="6">
        <v>1</v>
      </c>
    </row>
    <row r="44" spans="1:42" x14ac:dyDescent="0.25">
      <c r="A44" s="6">
        <v>43</v>
      </c>
      <c r="B44" s="6" t="s">
        <v>271</v>
      </c>
      <c r="C44" s="6">
        <v>3.2</v>
      </c>
      <c r="D44" s="6" t="s">
        <v>253</v>
      </c>
      <c r="E44" s="13" t="s">
        <v>729</v>
      </c>
      <c r="F44" s="7">
        <f>ROUND(-1*(3/K44*L44*_xlfn.XLOOKUP(J44,'02效果表'!D:D,'02效果表'!E:E)+N44*_xlfn.XLOOKUP(M44,'02效果表'!D:D,'02效果表'!E:E)+P44*_xlfn.XLOOKUP(O44,'02效果表'!D:D,'02效果表'!E:E)+R44*_xlfn.XLOOKUP(Q44,'02效果表'!D:D,'02效果表'!E:E)+1/6*(T44*_xlfn.XLOOKUP(S44,'02效果表'!D:D,'02效果表'!E:E)+V44*_xlfn.XLOOKUP(U44,'02效果表'!D:D,'02效果表'!E:E)+X44*_xlfn.XLOOKUP(W44,'02效果表'!D:D,'02效果表'!E:E)+Z44*_xlfn.XLOOKUP(Y44,'02效果表'!D:D,'02效果表'!E:E)+AB44*_xlfn.XLOOKUP(AA44,'02效果表'!D:D,'02效果表'!E:E)+AD44*_xlfn.XLOOKUP(AC44,'02效果表'!D:D,'02效果表'!E:E)+AF44*_xlfn.XLOOKUP(AE44,'02效果表'!D:D,'02效果表'!E:E)+AH44*_xlfn.XLOOKUP(AG44,'02效果表'!D:D,'02效果表'!E:E)+AJ44*_xlfn.XLOOKUP(AI44,'02效果表'!D:D,'02效果表'!E:E)+AL44*_xlfn.XLOOKUP(AK44,'02效果表'!D:D,'02效果表'!E:E)+AN44*_xlfn.XLOOKUP(AM44,'02效果表'!D:D,'02效果表'!E:E)+AP44*_xlfn.XLOOKUP(AO44,'02效果表'!D:D,'02效果表'!E:E))),0)</f>
        <v>-3</v>
      </c>
      <c r="G44" s="8">
        <v>1</v>
      </c>
      <c r="H44" s="6" t="s">
        <v>346</v>
      </c>
      <c r="I44" s="6">
        <v>9999999</v>
      </c>
      <c r="J44" s="6" t="s">
        <v>731</v>
      </c>
      <c r="K44" s="6">
        <v>4</v>
      </c>
      <c r="L44" s="6">
        <v>1</v>
      </c>
      <c r="M44" s="6" t="s">
        <v>734</v>
      </c>
      <c r="N44" s="6">
        <v>1</v>
      </c>
      <c r="O44" s="6"/>
      <c r="P44" s="6"/>
      <c r="Q44" s="6"/>
      <c r="R44" s="6"/>
      <c r="S44" s="6" t="s">
        <v>737</v>
      </c>
      <c r="T44" s="6">
        <v>1</v>
      </c>
      <c r="U44" s="6"/>
      <c r="V44" s="6"/>
      <c r="W44" s="6" t="s">
        <v>737</v>
      </c>
      <c r="X44" s="6">
        <v>1</v>
      </c>
      <c r="Y44" s="6"/>
      <c r="Z44" s="6"/>
      <c r="AA44" s="6" t="s">
        <v>330</v>
      </c>
      <c r="AB44" s="6">
        <v>1</v>
      </c>
      <c r="AC44" s="6"/>
      <c r="AD44" s="6"/>
      <c r="AE44" s="6" t="s">
        <v>526</v>
      </c>
      <c r="AF44" s="6">
        <v>1</v>
      </c>
      <c r="AG44" s="6"/>
      <c r="AH44" s="6"/>
      <c r="AI44" s="6" t="s">
        <v>331</v>
      </c>
      <c r="AJ44" s="6">
        <v>1</v>
      </c>
      <c r="AK44" s="6"/>
      <c r="AL44" s="6"/>
      <c r="AM44" s="6" t="s">
        <v>737</v>
      </c>
      <c r="AN44" s="6">
        <v>1</v>
      </c>
      <c r="AO44" s="6"/>
      <c r="AP44" s="6"/>
    </row>
    <row r="45" spans="1:42" x14ac:dyDescent="0.25">
      <c r="A45" s="6">
        <v>44</v>
      </c>
      <c r="B45" s="6" t="s">
        <v>271</v>
      </c>
      <c r="C45" s="6">
        <v>3.2</v>
      </c>
      <c r="D45" s="6" t="s">
        <v>253</v>
      </c>
      <c r="E45" s="13" t="s">
        <v>730</v>
      </c>
      <c r="F45" s="7">
        <f>ROUND(-1*(3/K45*L45*_xlfn.XLOOKUP(J45,'02效果表'!D:D,'02效果表'!E:E)+N45*_xlfn.XLOOKUP(M45,'02效果表'!D:D,'02效果表'!E:E)+P45*_xlfn.XLOOKUP(O45,'02效果表'!D:D,'02效果表'!E:E)+R45*_xlfn.XLOOKUP(Q45,'02效果表'!D:D,'02效果表'!E:E)+1/6*(T45*_xlfn.XLOOKUP(S45,'02效果表'!D:D,'02效果表'!E:E)+V45*_xlfn.XLOOKUP(U45,'02效果表'!D:D,'02效果表'!E:E)+X45*_xlfn.XLOOKUP(W45,'02效果表'!D:D,'02效果表'!E:E)+Z45*_xlfn.XLOOKUP(Y45,'02效果表'!D:D,'02效果表'!E:E)+AB45*_xlfn.XLOOKUP(AA45,'02效果表'!D:D,'02效果表'!E:E)+AD45*_xlfn.XLOOKUP(AC45,'02效果表'!D:D,'02效果表'!E:E)+AF45*_xlfn.XLOOKUP(AE45,'02效果表'!D:D,'02效果表'!E:E)+AH45*_xlfn.XLOOKUP(AG45,'02效果表'!D:D,'02效果表'!E:E)+AJ45*_xlfn.XLOOKUP(AI45,'02效果表'!D:D,'02效果表'!E:E)+AL45*_xlfn.XLOOKUP(AK45,'02效果表'!D:D,'02效果表'!E:E)+AN45*_xlfn.XLOOKUP(AM45,'02效果表'!D:D,'02效果表'!E:E)+AP45*_xlfn.XLOOKUP(AO45,'02效果表'!D:D,'02效果表'!E:E))),0)</f>
        <v>-3</v>
      </c>
      <c r="G45" s="8">
        <v>1</v>
      </c>
      <c r="H45" s="6" t="s">
        <v>346</v>
      </c>
      <c r="I45" s="6">
        <v>9999999</v>
      </c>
      <c r="J45" s="6" t="s">
        <v>731</v>
      </c>
      <c r="K45" s="6">
        <v>4</v>
      </c>
      <c r="L45" s="6">
        <v>1</v>
      </c>
      <c r="M45" s="6" t="s">
        <v>734</v>
      </c>
      <c r="N45" s="6">
        <v>1</v>
      </c>
      <c r="O45" s="6"/>
      <c r="P45" s="6"/>
      <c r="Q45" s="6"/>
      <c r="R45" s="6"/>
      <c r="S45" s="6" t="s">
        <v>738</v>
      </c>
      <c r="T45" s="6">
        <v>2</v>
      </c>
      <c r="U45" s="6"/>
      <c r="V45" s="6"/>
      <c r="W45" s="6" t="s">
        <v>739</v>
      </c>
      <c r="X45" s="6"/>
      <c r="Y45" s="6"/>
      <c r="Z45" s="6"/>
      <c r="AA45" s="6" t="s">
        <v>526</v>
      </c>
      <c r="AB45" s="6">
        <v>1</v>
      </c>
      <c r="AC45" s="6"/>
      <c r="AD45" s="6"/>
      <c r="AE45" s="6" t="s">
        <v>331</v>
      </c>
      <c r="AF45" s="6">
        <v>1</v>
      </c>
      <c r="AG45" s="6"/>
      <c r="AH45" s="6"/>
      <c r="AI45" s="6" t="s">
        <v>738</v>
      </c>
      <c r="AJ45" s="6">
        <v>1</v>
      </c>
      <c r="AK45" s="6"/>
      <c r="AL45" s="6"/>
      <c r="AM45" s="6" t="s">
        <v>738</v>
      </c>
      <c r="AN45" s="6">
        <v>2</v>
      </c>
      <c r="AO45" s="6"/>
      <c r="AP45" s="6"/>
    </row>
    <row r="46" spans="1:42" s="3" customFormat="1" x14ac:dyDescent="0.25">
      <c r="A46" s="6">
        <v>45</v>
      </c>
      <c r="B46" s="6" t="s">
        <v>360</v>
      </c>
      <c r="C46" s="8">
        <v>1.1000000000000001</v>
      </c>
      <c r="D46" s="8" t="s">
        <v>326</v>
      </c>
      <c r="E46" s="13" t="s">
        <v>744</v>
      </c>
      <c r="F46" s="7">
        <f>ROUND(-1*(3/K46*L46*_xlfn.XLOOKUP(J46,'02效果表'!D:D,'02效果表'!E:E)+N46*_xlfn.XLOOKUP(M46,'02效果表'!D:D,'02效果表'!E:E)+P46*_xlfn.XLOOKUP(O46,'02效果表'!D:D,'02效果表'!E:E)+R46*_xlfn.XLOOKUP(Q46,'02效果表'!D:D,'02效果表'!E:E)+1/6*(T46*_xlfn.XLOOKUP(S46,'02效果表'!D:D,'02效果表'!E:E)+V46*_xlfn.XLOOKUP(U46,'02效果表'!D:D,'02效果表'!E:E)+X46*_xlfn.XLOOKUP(W46,'02效果表'!D:D,'02效果表'!E:E)+Z46*_xlfn.XLOOKUP(Y46,'02效果表'!D:D,'02效果表'!E:E)+AB46*_xlfn.XLOOKUP(AA46,'02效果表'!D:D,'02效果表'!E:E)+AD46*_xlfn.XLOOKUP(AC46,'02效果表'!D:D,'02效果表'!E:E)+AF46*_xlfn.XLOOKUP(AE46,'02效果表'!D:D,'02效果表'!E:E)+AH46*_xlfn.XLOOKUP(AG46,'02效果表'!D:D,'02效果表'!E:E)+AJ46*_xlfn.XLOOKUP(AI46,'02效果表'!D:D,'02效果表'!E:E)+AL46*_xlfn.XLOOKUP(AK46,'02效果表'!D:D,'02效果表'!E:E)+AN46*_xlfn.XLOOKUP(AM46,'02效果表'!D:D,'02效果表'!E:E)+AP46*_xlfn.XLOOKUP(AO46,'02效果表'!D:D,'02效果表'!E:E))),0)</f>
        <v>9</v>
      </c>
      <c r="G46" s="8">
        <v>1</v>
      </c>
      <c r="H46" s="8" t="s">
        <v>261</v>
      </c>
      <c r="I46" s="8">
        <v>100</v>
      </c>
      <c r="J46" s="8" t="s">
        <v>506</v>
      </c>
      <c r="K46" s="8">
        <v>6</v>
      </c>
      <c r="L46" s="8">
        <v>1</v>
      </c>
      <c r="M46" s="8" t="s">
        <v>745</v>
      </c>
      <c r="N46" s="8">
        <v>1</v>
      </c>
      <c r="O46" s="8"/>
      <c r="P46" s="8"/>
      <c r="Q46" s="8"/>
      <c r="R46" s="8"/>
      <c r="S46" s="8" t="s">
        <v>331</v>
      </c>
      <c r="T46" s="8">
        <v>3</v>
      </c>
      <c r="U46" s="8" t="s">
        <v>506</v>
      </c>
      <c r="V46" s="8">
        <v>1</v>
      </c>
      <c r="W46" s="8" t="s">
        <v>331</v>
      </c>
      <c r="X46" s="8">
        <v>3</v>
      </c>
      <c r="Y46" s="8" t="s">
        <v>506</v>
      </c>
      <c r="Z46" s="8">
        <v>1</v>
      </c>
      <c r="AA46" s="8" t="s">
        <v>331</v>
      </c>
      <c r="AB46" s="8">
        <v>4</v>
      </c>
      <c r="AC46" s="8"/>
      <c r="AD46" s="8"/>
      <c r="AE46" s="8" t="s">
        <v>331</v>
      </c>
      <c r="AF46" s="8">
        <v>5</v>
      </c>
      <c r="AG46" s="8"/>
      <c r="AH46" s="8"/>
      <c r="AI46" s="8" t="s">
        <v>385</v>
      </c>
      <c r="AJ46" s="8">
        <v>2</v>
      </c>
      <c r="AK46" s="8"/>
      <c r="AL46" s="8"/>
      <c r="AM46" s="8" t="s">
        <v>385</v>
      </c>
      <c r="AN46" s="8">
        <v>3</v>
      </c>
      <c r="AO46" s="8"/>
      <c r="AP46" s="8"/>
    </row>
    <row r="47" spans="1:42" x14ac:dyDescent="0.25">
      <c r="A47" s="6">
        <v>46</v>
      </c>
      <c r="B47" s="6" t="s">
        <v>360</v>
      </c>
      <c r="C47" s="6">
        <v>1.1000000000000001</v>
      </c>
      <c r="D47" s="6" t="s">
        <v>325</v>
      </c>
      <c r="E47" s="9" t="s">
        <v>378</v>
      </c>
      <c r="F47" s="7">
        <f>ROUND(-1*(3/K47*L47*_xlfn.XLOOKUP(J47,'02效果表'!D:D,'02效果表'!E:E)+N47*_xlfn.XLOOKUP(M47,'02效果表'!D:D,'02效果表'!E:E)+P47*_xlfn.XLOOKUP(O47,'02效果表'!D:D,'02效果表'!E:E)+R47*_xlfn.XLOOKUP(Q47,'02效果表'!D:D,'02效果表'!E:E)+1/6*(T47*_xlfn.XLOOKUP(S47,'02效果表'!D:D,'02效果表'!E:E)+V47*_xlfn.XLOOKUP(U47,'02效果表'!D:D,'02效果表'!E:E)+X47*_xlfn.XLOOKUP(W47,'02效果表'!D:D,'02效果表'!E:E)+Z47*_xlfn.XLOOKUP(Y47,'02效果表'!D:D,'02效果表'!E:E)+AB47*_xlfn.XLOOKUP(AA47,'02效果表'!D:D,'02效果表'!E:E)+AD47*_xlfn.XLOOKUP(AC47,'02效果表'!D:D,'02效果表'!E:E)+AF47*_xlfn.XLOOKUP(AE47,'02效果表'!D:D,'02效果表'!E:E)+AH47*_xlfn.XLOOKUP(AG47,'02效果表'!D:D,'02效果表'!E:E)+AJ47*_xlfn.XLOOKUP(AI47,'02效果表'!D:D,'02效果表'!E:E)+AL47*_xlfn.XLOOKUP(AK47,'02效果表'!D:D,'02效果表'!E:E)+AN47*_xlfn.XLOOKUP(AM47,'02效果表'!D:D,'02效果表'!E:E)+AP47*_xlfn.XLOOKUP(AO47,'02效果表'!D:D,'02效果表'!E:E))),0)</f>
        <v>4</v>
      </c>
      <c r="G47" s="6">
        <v>1</v>
      </c>
      <c r="H47" s="6" t="s">
        <v>380</v>
      </c>
      <c r="I47" s="6">
        <v>40</v>
      </c>
      <c r="J47" s="6" t="s">
        <v>331</v>
      </c>
      <c r="K47" s="6">
        <v>6</v>
      </c>
      <c r="L47" s="6">
        <v>3</v>
      </c>
      <c r="M47" s="6" t="s">
        <v>381</v>
      </c>
      <c r="N47" s="6">
        <v>2</v>
      </c>
      <c r="O47" s="6"/>
      <c r="P47" s="6"/>
      <c r="Q47" s="6"/>
      <c r="R47" s="6"/>
      <c r="S47" s="6"/>
      <c r="T47" s="6"/>
      <c r="U47" s="6"/>
      <c r="V47" s="6"/>
      <c r="W47" s="6"/>
      <c r="X47" s="6"/>
      <c r="Y47" s="6"/>
      <c r="Z47" s="6"/>
      <c r="AA47" s="6"/>
      <c r="AB47" s="6"/>
      <c r="AC47" s="6"/>
      <c r="AD47" s="6"/>
      <c r="AE47" s="6"/>
      <c r="AF47" s="6"/>
      <c r="AG47" s="6"/>
      <c r="AH47" s="6"/>
      <c r="AI47" s="6"/>
      <c r="AJ47" s="6"/>
      <c r="AK47" s="6"/>
      <c r="AL47" s="6"/>
      <c r="AM47" s="6"/>
      <c r="AN47" s="6"/>
      <c r="AO47" s="6"/>
      <c r="AP47" s="6"/>
    </row>
    <row r="48" spans="1:42" x14ac:dyDescent="0.25">
      <c r="A48" s="6">
        <v>47</v>
      </c>
      <c r="B48" s="6" t="s">
        <v>360</v>
      </c>
      <c r="C48" s="6">
        <v>1.1000000000000001</v>
      </c>
      <c r="D48" s="6" t="s">
        <v>325</v>
      </c>
      <c r="E48" s="9" t="s">
        <v>379</v>
      </c>
      <c r="F48" s="7">
        <f>ROUND(-1*(3/K48*L48*_xlfn.XLOOKUP(J48,'02效果表'!D:D,'02效果表'!E:E)+N48*_xlfn.XLOOKUP(M48,'02效果表'!D:D,'02效果表'!E:E)+P48*_xlfn.XLOOKUP(O48,'02效果表'!D:D,'02效果表'!E:E)+R48*_xlfn.XLOOKUP(Q48,'02效果表'!D:D,'02效果表'!E:E)+1/6*(T48*_xlfn.XLOOKUP(S48,'02效果表'!D:D,'02效果表'!E:E)+V48*_xlfn.XLOOKUP(U48,'02效果表'!D:D,'02效果表'!E:E)+X48*_xlfn.XLOOKUP(W48,'02效果表'!D:D,'02效果表'!E:E)+Z48*_xlfn.XLOOKUP(Y48,'02效果表'!D:D,'02效果表'!E:E)+AB48*_xlfn.XLOOKUP(AA48,'02效果表'!D:D,'02效果表'!E:E)+AD48*_xlfn.XLOOKUP(AC48,'02效果表'!D:D,'02效果表'!E:E)+AF48*_xlfn.XLOOKUP(AE48,'02效果表'!D:D,'02效果表'!E:E)+AH48*_xlfn.XLOOKUP(AG48,'02效果表'!D:D,'02效果表'!E:E)+AJ48*_xlfn.XLOOKUP(AI48,'02效果表'!D:D,'02效果表'!E:E)+AL48*_xlfn.XLOOKUP(AK48,'02效果表'!D:D,'02效果表'!E:E)+AN48*_xlfn.XLOOKUP(AM48,'02效果表'!D:D,'02效果表'!E:E)+AP48*_xlfn.XLOOKUP(AO48,'02效果表'!D:D,'02效果表'!E:E))),0)</f>
        <v>4</v>
      </c>
      <c r="G48" s="6">
        <v>1</v>
      </c>
      <c r="H48" s="6" t="s">
        <v>380</v>
      </c>
      <c r="I48" s="6">
        <v>40</v>
      </c>
      <c r="J48" s="6" t="s">
        <v>331</v>
      </c>
      <c r="K48" s="6">
        <v>6</v>
      </c>
      <c r="L48" s="6">
        <v>3</v>
      </c>
      <c r="M48" s="6" t="s">
        <v>381</v>
      </c>
      <c r="N48" s="6">
        <v>2</v>
      </c>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row>
    <row r="49" spans="1:42" x14ac:dyDescent="0.25">
      <c r="A49" s="6">
        <v>48</v>
      </c>
      <c r="B49" s="6" t="s">
        <v>360</v>
      </c>
      <c r="C49" s="6">
        <v>1.1000000000000001</v>
      </c>
      <c r="D49" s="6" t="s">
        <v>325</v>
      </c>
      <c r="E49" s="9" t="s">
        <v>382</v>
      </c>
      <c r="F49" s="7">
        <f>ROUND(-1*(3/K49*L49*_xlfn.XLOOKUP(J49,'02效果表'!D:D,'02效果表'!E:E)+N49*_xlfn.XLOOKUP(M49,'02效果表'!D:D,'02效果表'!E:E)+P49*_xlfn.XLOOKUP(O49,'02效果表'!D:D,'02效果表'!E:E)+R49*_xlfn.XLOOKUP(Q49,'02效果表'!D:D,'02效果表'!E:E)+1/6*(T49*_xlfn.XLOOKUP(S49,'02效果表'!D:D,'02效果表'!E:E)+V49*_xlfn.XLOOKUP(U49,'02效果表'!D:D,'02效果表'!E:E)+X49*_xlfn.XLOOKUP(W49,'02效果表'!D:D,'02效果表'!E:E)+Z49*_xlfn.XLOOKUP(Y49,'02效果表'!D:D,'02效果表'!E:E)+AB49*_xlfn.XLOOKUP(AA49,'02效果表'!D:D,'02效果表'!E:E)+AD49*_xlfn.XLOOKUP(AC49,'02效果表'!D:D,'02效果表'!E:E)+AF49*_xlfn.XLOOKUP(AE49,'02效果表'!D:D,'02效果表'!E:E)+AH49*_xlfn.XLOOKUP(AG49,'02效果表'!D:D,'02效果表'!E:E)+AJ49*_xlfn.XLOOKUP(AI49,'02效果表'!D:D,'02效果表'!E:E)+AL49*_xlfn.XLOOKUP(AK49,'02效果表'!D:D,'02效果表'!E:E)+AN49*_xlfn.XLOOKUP(AM49,'02效果表'!D:D,'02效果表'!E:E)+AP49*_xlfn.XLOOKUP(AO49,'02效果表'!D:D,'02效果表'!E:E))),0)</f>
        <v>4</v>
      </c>
      <c r="G49" s="6">
        <v>1</v>
      </c>
      <c r="H49" s="6" t="s">
        <v>380</v>
      </c>
      <c r="I49" s="6">
        <v>40</v>
      </c>
      <c r="J49" s="6" t="s">
        <v>331</v>
      </c>
      <c r="K49" s="6">
        <v>6</v>
      </c>
      <c r="L49" s="6">
        <v>3</v>
      </c>
      <c r="M49" s="6" t="s">
        <v>381</v>
      </c>
      <c r="N49" s="6">
        <v>2</v>
      </c>
      <c r="O49" s="6"/>
      <c r="P49" s="6"/>
      <c r="Q49" s="6"/>
      <c r="R49" s="6"/>
      <c r="S49" s="6"/>
      <c r="T49" s="6"/>
      <c r="U49" s="6"/>
      <c r="V49" s="6"/>
      <c r="W49" s="6"/>
      <c r="X49" s="6"/>
      <c r="Y49" s="6"/>
      <c r="Z49" s="6"/>
      <c r="AA49" s="6"/>
      <c r="AB49" s="6"/>
      <c r="AC49" s="6"/>
      <c r="AD49" s="6"/>
      <c r="AE49" s="6"/>
      <c r="AF49" s="6"/>
      <c r="AG49" s="6"/>
      <c r="AH49" s="6"/>
      <c r="AI49" s="6"/>
      <c r="AJ49" s="6"/>
      <c r="AK49" s="6"/>
      <c r="AL49" s="6"/>
      <c r="AM49" s="6"/>
      <c r="AN49" s="6"/>
      <c r="AO49" s="6"/>
      <c r="AP49" s="6"/>
    </row>
    <row r="50" spans="1:42" x14ac:dyDescent="0.25">
      <c r="A50" s="6">
        <v>49</v>
      </c>
      <c r="B50" s="6" t="s">
        <v>360</v>
      </c>
      <c r="C50" s="6">
        <v>1.2</v>
      </c>
      <c r="D50" s="6" t="s">
        <v>325</v>
      </c>
      <c r="E50" s="9" t="s">
        <v>504</v>
      </c>
      <c r="F50" s="7">
        <f>ROUND(-1*(3/K50*L50*_xlfn.XLOOKUP(J50,'02效果表'!D:D,'02效果表'!E:E)+N50*_xlfn.XLOOKUP(M50,'02效果表'!D:D,'02效果表'!E:E)+P50*_xlfn.XLOOKUP(O50,'02效果表'!D:D,'02效果表'!E:E)+R50*_xlfn.XLOOKUP(Q50,'02效果表'!D:D,'02效果表'!E:E)+1/6*(T50*_xlfn.XLOOKUP(S50,'02效果表'!D:D,'02效果表'!E:E)+V50*_xlfn.XLOOKUP(U50,'02效果表'!D:D,'02效果表'!E:E)+X50*_xlfn.XLOOKUP(W50,'02效果表'!D:D,'02效果表'!E:E)+Z50*_xlfn.XLOOKUP(Y50,'02效果表'!D:D,'02效果表'!E:E)+AB50*_xlfn.XLOOKUP(AA50,'02效果表'!D:D,'02效果表'!E:E)+AD50*_xlfn.XLOOKUP(AC50,'02效果表'!D:D,'02效果表'!E:E)+AF50*_xlfn.XLOOKUP(AE50,'02效果表'!D:D,'02效果表'!E:E)+AH50*_xlfn.XLOOKUP(AG50,'02效果表'!D:D,'02效果表'!E:E)+AJ50*_xlfn.XLOOKUP(AI50,'02效果表'!D:D,'02效果表'!E:E)+AL50*_xlfn.XLOOKUP(AK50,'02效果表'!D:D,'02效果表'!E:E)+AN50*_xlfn.XLOOKUP(AM50,'02效果表'!D:D,'02效果表'!E:E)+AP50*_xlfn.XLOOKUP(AO50,'02效果表'!D:D,'02效果表'!E:E))),0)</f>
        <v>2</v>
      </c>
      <c r="G50" s="6">
        <v>1</v>
      </c>
      <c r="H50" s="6" t="s">
        <v>380</v>
      </c>
      <c r="I50" s="6">
        <v>100</v>
      </c>
      <c r="J50" s="6" t="s">
        <v>331</v>
      </c>
      <c r="K50" s="6">
        <v>12</v>
      </c>
      <c r="L50" s="6">
        <v>5</v>
      </c>
      <c r="M50" s="6" t="s">
        <v>507</v>
      </c>
      <c r="N50" s="6">
        <v>1</v>
      </c>
      <c r="O50" s="6"/>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row>
    <row r="51" spans="1:42" x14ac:dyDescent="0.25">
      <c r="A51" s="6">
        <v>50</v>
      </c>
      <c r="B51" s="6" t="s">
        <v>360</v>
      </c>
      <c r="C51" s="6">
        <v>1.2</v>
      </c>
      <c r="D51" s="6" t="s">
        <v>325</v>
      </c>
      <c r="E51" s="9" t="s">
        <v>505</v>
      </c>
      <c r="F51" s="7">
        <f>ROUND(-1*(3/K51*L51*_xlfn.XLOOKUP(J51,'02效果表'!D:D,'02效果表'!E:E)+N51*_xlfn.XLOOKUP(M51,'02效果表'!D:D,'02效果表'!E:E)+P51*_xlfn.XLOOKUP(O51,'02效果表'!D:D,'02效果表'!E:E)+R51*_xlfn.XLOOKUP(Q51,'02效果表'!D:D,'02效果表'!E:E)+1/6*(T51*_xlfn.XLOOKUP(S51,'02效果表'!D:D,'02效果表'!E:E)+V51*_xlfn.XLOOKUP(U51,'02效果表'!D:D,'02效果表'!E:E)+X51*_xlfn.XLOOKUP(W51,'02效果表'!D:D,'02效果表'!E:E)+Z51*_xlfn.XLOOKUP(Y51,'02效果表'!D:D,'02效果表'!E:E)+AB51*_xlfn.XLOOKUP(AA51,'02效果表'!D:D,'02效果表'!E:E)+AD51*_xlfn.XLOOKUP(AC51,'02效果表'!D:D,'02效果表'!E:E)+AF51*_xlfn.XLOOKUP(AE51,'02效果表'!D:D,'02效果表'!E:E)+AH51*_xlfn.XLOOKUP(AG51,'02效果表'!D:D,'02效果表'!E:E)+AJ51*_xlfn.XLOOKUP(AI51,'02效果表'!D:D,'02效果表'!E:E)+AL51*_xlfn.XLOOKUP(AK51,'02效果表'!D:D,'02效果表'!E:E)+AN51*_xlfn.XLOOKUP(AM51,'02效果表'!D:D,'02效果表'!E:E)+AP51*_xlfn.XLOOKUP(AO51,'02效果表'!D:D,'02效果表'!E:E))),0)</f>
        <v>5</v>
      </c>
      <c r="G51" s="6">
        <v>2</v>
      </c>
      <c r="H51" s="6" t="s">
        <v>380</v>
      </c>
      <c r="I51" s="6">
        <v>11</v>
      </c>
      <c r="J51" s="6" t="s">
        <v>506</v>
      </c>
      <c r="K51" s="6">
        <v>12</v>
      </c>
      <c r="L51" s="6">
        <v>2</v>
      </c>
      <c r="M51" s="6" t="s">
        <v>508</v>
      </c>
      <c r="N51" s="6">
        <v>1</v>
      </c>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row>
    <row r="52" spans="1:42" s="3" customFormat="1" x14ac:dyDescent="0.25">
      <c r="A52" s="6">
        <v>51</v>
      </c>
      <c r="B52" s="6" t="s">
        <v>360</v>
      </c>
      <c r="C52" s="8">
        <v>2.1</v>
      </c>
      <c r="D52" s="8" t="s">
        <v>326</v>
      </c>
      <c r="E52" s="13" t="s">
        <v>513</v>
      </c>
      <c r="F52" s="7">
        <f>ROUND(-1*(3/K52*L52*_xlfn.XLOOKUP(J52,'02效果表'!D:D,'02效果表'!E:E)+N52*_xlfn.XLOOKUP(M52,'02效果表'!D:D,'02效果表'!E:E)+P52*_xlfn.XLOOKUP(O52,'02效果表'!D:D,'02效果表'!E:E)+R52*_xlfn.XLOOKUP(Q52,'02效果表'!D:D,'02效果表'!E:E)+1/6*(T52*_xlfn.XLOOKUP(S52,'02效果表'!D:D,'02效果表'!E:E)+V52*_xlfn.XLOOKUP(U52,'02效果表'!D:D,'02效果表'!E:E)+X52*_xlfn.XLOOKUP(W52,'02效果表'!D:D,'02效果表'!E:E)+Z52*_xlfn.XLOOKUP(Y52,'02效果表'!D:D,'02效果表'!E:E)+AB52*_xlfn.XLOOKUP(AA52,'02效果表'!D:D,'02效果表'!E:E)+AD52*_xlfn.XLOOKUP(AC52,'02效果表'!D:D,'02效果表'!E:E)+AF52*_xlfn.XLOOKUP(AE52,'02效果表'!D:D,'02效果表'!E:E)+AH52*_xlfn.XLOOKUP(AG52,'02效果表'!D:D,'02效果表'!E:E)+AJ52*_xlfn.XLOOKUP(AI52,'02效果表'!D:D,'02效果表'!E:E)+AL52*_xlfn.XLOOKUP(AK52,'02效果表'!D:D,'02效果表'!E:E)+AN52*_xlfn.XLOOKUP(AM52,'02效果表'!D:D,'02效果表'!E:E)+AP52*_xlfn.XLOOKUP(AO52,'02效果表'!D:D,'02效果表'!E:E))),0)</f>
        <v>17</v>
      </c>
      <c r="G52" s="8">
        <v>1</v>
      </c>
      <c r="H52" s="8" t="s">
        <v>261</v>
      </c>
      <c r="I52" s="8">
        <v>105</v>
      </c>
      <c r="J52" s="8" t="s">
        <v>506</v>
      </c>
      <c r="K52" s="8">
        <v>9</v>
      </c>
      <c r="L52" s="8">
        <v>1</v>
      </c>
      <c r="M52" s="8" t="s">
        <v>1190</v>
      </c>
      <c r="N52" s="8">
        <v>1</v>
      </c>
      <c r="O52" s="8" t="s">
        <v>512</v>
      </c>
      <c r="P52" s="8">
        <v>3</v>
      </c>
      <c r="Q52" s="8"/>
      <c r="R52" s="8"/>
      <c r="S52" s="8" t="s">
        <v>331</v>
      </c>
      <c r="T52" s="8">
        <v>2</v>
      </c>
      <c r="U52" s="8" t="s">
        <v>402</v>
      </c>
      <c r="V52" s="8">
        <v>1</v>
      </c>
      <c r="W52" s="8" t="s">
        <v>331</v>
      </c>
      <c r="X52" s="8">
        <v>2</v>
      </c>
      <c r="Y52" s="8" t="s">
        <v>402</v>
      </c>
      <c r="Z52" s="8">
        <v>2</v>
      </c>
      <c r="AA52" s="8" t="s">
        <v>331</v>
      </c>
      <c r="AB52" s="8">
        <v>3</v>
      </c>
      <c r="AC52" s="8"/>
      <c r="AD52" s="8"/>
      <c r="AE52" s="8" t="s">
        <v>320</v>
      </c>
      <c r="AF52" s="8">
        <v>2</v>
      </c>
      <c r="AG52" s="8"/>
      <c r="AH52" s="8"/>
      <c r="AI52" s="8" t="s">
        <v>400</v>
      </c>
      <c r="AJ52" s="8">
        <v>4</v>
      </c>
      <c r="AK52" s="8"/>
      <c r="AL52" s="8"/>
      <c r="AM52" s="8" t="s">
        <v>385</v>
      </c>
      <c r="AN52" s="8">
        <v>2</v>
      </c>
      <c r="AO52" s="8"/>
      <c r="AP52" s="8"/>
    </row>
    <row r="53" spans="1:42" x14ac:dyDescent="0.25">
      <c r="A53" s="6">
        <v>52</v>
      </c>
      <c r="B53" s="6" t="s">
        <v>360</v>
      </c>
      <c r="C53" s="6">
        <v>2.1</v>
      </c>
      <c r="D53" s="6" t="s">
        <v>325</v>
      </c>
      <c r="E53" s="9" t="s">
        <v>392</v>
      </c>
      <c r="F53" s="7">
        <f>ROUND(-1*(3/K53*L53*_xlfn.XLOOKUP(J53,'02效果表'!D:D,'02效果表'!E:E)+N53*_xlfn.XLOOKUP(M53,'02效果表'!D:D,'02效果表'!E:E)+P53*_xlfn.XLOOKUP(O53,'02效果表'!D:D,'02效果表'!E:E)+R53*_xlfn.XLOOKUP(Q53,'02效果表'!D:D,'02效果表'!E:E)+1/6*(T53*_xlfn.XLOOKUP(S53,'02效果表'!D:D,'02效果表'!E:E)+V53*_xlfn.XLOOKUP(U53,'02效果表'!D:D,'02效果表'!E:E)+X53*_xlfn.XLOOKUP(W53,'02效果表'!D:D,'02效果表'!E:E)+Z53*_xlfn.XLOOKUP(Y53,'02效果表'!D:D,'02效果表'!E:E)+AB53*_xlfn.XLOOKUP(AA53,'02效果表'!D:D,'02效果表'!E:E)+AD53*_xlfn.XLOOKUP(AC53,'02效果表'!D:D,'02效果表'!E:E)+AF53*_xlfn.XLOOKUP(AE53,'02效果表'!D:D,'02效果表'!E:E)+AH53*_xlfn.XLOOKUP(AG53,'02效果表'!D:D,'02效果表'!E:E)+AJ53*_xlfn.XLOOKUP(AI53,'02效果表'!D:D,'02效果表'!E:E)+AL53*_xlfn.XLOOKUP(AK53,'02效果表'!D:D,'02效果表'!E:E)+AN53*_xlfn.XLOOKUP(AM53,'02效果表'!D:D,'02效果表'!E:E)+AP53*_xlfn.XLOOKUP(AO53,'02效果表'!D:D,'02效果表'!E:E))),0)</f>
        <v>4</v>
      </c>
      <c r="G53" s="6">
        <v>1</v>
      </c>
      <c r="H53" s="6" t="s">
        <v>380</v>
      </c>
      <c r="I53" s="6">
        <v>195</v>
      </c>
      <c r="J53" s="6" t="s">
        <v>394</v>
      </c>
      <c r="K53" s="6">
        <v>10</v>
      </c>
      <c r="L53" s="6">
        <v>3</v>
      </c>
      <c r="M53" s="6" t="s">
        <v>395</v>
      </c>
      <c r="N53" s="6">
        <v>1</v>
      </c>
      <c r="O53" s="6"/>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row>
    <row r="54" spans="1:42" x14ac:dyDescent="0.25">
      <c r="A54" s="6">
        <v>53</v>
      </c>
      <c r="B54" s="6" t="s">
        <v>360</v>
      </c>
      <c r="C54" s="6">
        <v>2.1</v>
      </c>
      <c r="D54" s="6" t="s">
        <v>325</v>
      </c>
      <c r="E54" s="9" t="s">
        <v>393</v>
      </c>
      <c r="F54" s="7">
        <f>ROUND(-1*(3/K54*L54*_xlfn.XLOOKUP(J54,'02效果表'!D:D,'02效果表'!E:E)+N54*_xlfn.XLOOKUP(M54,'02效果表'!D:D,'02效果表'!E:E)+P54*_xlfn.XLOOKUP(O54,'02效果表'!D:D,'02效果表'!E:E)+R54*_xlfn.XLOOKUP(Q54,'02效果表'!D:D,'02效果表'!E:E)+1/6*(T54*_xlfn.XLOOKUP(S54,'02效果表'!D:D,'02效果表'!E:E)+V54*_xlfn.XLOOKUP(U54,'02效果表'!D:D,'02效果表'!E:E)+X54*_xlfn.XLOOKUP(W54,'02效果表'!D:D,'02效果表'!E:E)+Z54*_xlfn.XLOOKUP(Y54,'02效果表'!D:D,'02效果表'!E:E)+AB54*_xlfn.XLOOKUP(AA54,'02效果表'!D:D,'02效果表'!E:E)+AD54*_xlfn.XLOOKUP(AC54,'02效果表'!D:D,'02效果表'!E:E)+AF54*_xlfn.XLOOKUP(AE54,'02效果表'!D:D,'02效果表'!E:E)+AH54*_xlfn.XLOOKUP(AG54,'02效果表'!D:D,'02效果表'!E:E)+AJ54*_xlfn.XLOOKUP(AI54,'02效果表'!D:D,'02效果表'!E:E)+AL54*_xlfn.XLOOKUP(AK54,'02效果表'!D:D,'02效果表'!E:E)+AN54*_xlfn.XLOOKUP(AM54,'02效果表'!D:D,'02效果表'!E:E)+AP54*_xlfn.XLOOKUP(AO54,'02效果表'!D:D,'02效果表'!E:E))),0)</f>
        <v>7</v>
      </c>
      <c r="G54" s="6">
        <v>1</v>
      </c>
      <c r="H54" s="6" t="s">
        <v>380</v>
      </c>
      <c r="I54" s="6">
        <v>45</v>
      </c>
      <c r="J54" s="6" t="s">
        <v>331</v>
      </c>
      <c r="K54" s="6">
        <v>14</v>
      </c>
      <c r="L54" s="6">
        <v>3</v>
      </c>
      <c r="M54" s="6" t="s">
        <v>396</v>
      </c>
      <c r="N54" s="6">
        <v>2</v>
      </c>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row>
    <row r="55" spans="1:42" x14ac:dyDescent="0.25">
      <c r="A55" s="6">
        <v>54</v>
      </c>
      <c r="B55" s="6" t="s">
        <v>360</v>
      </c>
      <c r="C55" s="6">
        <v>3.1</v>
      </c>
      <c r="D55" s="6" t="s">
        <v>253</v>
      </c>
      <c r="E55" s="9" t="s">
        <v>406</v>
      </c>
      <c r="F55" s="7">
        <f>ROUND(-1*(3/K55*L55*_xlfn.XLOOKUP(J55,'02效果表'!D:D,'02效果表'!E:E)+N55*_xlfn.XLOOKUP(M55,'02效果表'!D:D,'02效果表'!E:E)+P55*_xlfn.XLOOKUP(O55,'02效果表'!D:D,'02效果表'!E:E)+R55*_xlfn.XLOOKUP(Q55,'02效果表'!D:D,'02效果表'!E:E)+1/6*(T55*_xlfn.XLOOKUP(S55,'02效果表'!D:D,'02效果表'!E:E)+V55*_xlfn.XLOOKUP(U55,'02效果表'!D:D,'02效果表'!E:E)+X55*_xlfn.XLOOKUP(W55,'02效果表'!D:D,'02效果表'!E:E)+Z55*_xlfn.XLOOKUP(Y55,'02效果表'!D:D,'02效果表'!E:E)+AB55*_xlfn.XLOOKUP(AA55,'02效果表'!D:D,'02效果表'!E:E)+AD55*_xlfn.XLOOKUP(AC55,'02效果表'!D:D,'02效果表'!E:E)+AF55*_xlfn.XLOOKUP(AE55,'02效果表'!D:D,'02效果表'!E:E)+AH55*_xlfn.XLOOKUP(AG55,'02效果表'!D:D,'02效果表'!E:E)+AJ55*_xlfn.XLOOKUP(AI55,'02效果表'!D:D,'02效果表'!E:E)+AL55*_xlfn.XLOOKUP(AK55,'02效果表'!D:D,'02效果表'!E:E)+AN55*_xlfn.XLOOKUP(AM55,'02效果表'!D:D,'02效果表'!E:E)+AP55*_xlfn.XLOOKUP(AO55,'02效果表'!D:D,'02效果表'!E:E))),0)</f>
        <v>7</v>
      </c>
      <c r="G55" s="6">
        <v>1</v>
      </c>
      <c r="H55" s="6" t="s">
        <v>346</v>
      </c>
      <c r="I55" s="6">
        <v>200</v>
      </c>
      <c r="J55" s="6" t="s">
        <v>407</v>
      </c>
      <c r="K55" s="6">
        <v>25</v>
      </c>
      <c r="L55" s="6">
        <v>6</v>
      </c>
      <c r="M55" s="6" t="s">
        <v>1190</v>
      </c>
      <c r="N55" s="6">
        <v>1</v>
      </c>
      <c r="O55" s="6" t="s">
        <v>409</v>
      </c>
      <c r="P55" s="6">
        <v>1</v>
      </c>
      <c r="Q55" s="6"/>
      <c r="R55" s="6"/>
      <c r="S55" s="6"/>
      <c r="T55" s="6"/>
      <c r="U55" s="6"/>
      <c r="V55" s="6"/>
      <c r="W55" s="6"/>
      <c r="X55" s="6"/>
      <c r="Y55" s="6"/>
      <c r="Z55" s="6"/>
      <c r="AA55" s="6"/>
      <c r="AB55" s="6"/>
      <c r="AC55" s="6"/>
      <c r="AD55" s="6"/>
      <c r="AE55" s="6"/>
      <c r="AF55" s="6"/>
      <c r="AG55" s="6"/>
      <c r="AH55" s="6"/>
      <c r="AI55" s="6"/>
      <c r="AJ55" s="6"/>
      <c r="AK55" s="6"/>
      <c r="AL55" s="6"/>
      <c r="AM55" s="6"/>
      <c r="AN55" s="6"/>
      <c r="AO55" s="6"/>
      <c r="AP55" s="6"/>
    </row>
    <row r="56" spans="1:42" x14ac:dyDescent="0.25">
      <c r="A56" s="6">
        <v>55</v>
      </c>
      <c r="B56" s="6" t="s">
        <v>360</v>
      </c>
      <c r="C56" s="6">
        <v>3.2</v>
      </c>
      <c r="D56" s="6" t="s">
        <v>253</v>
      </c>
      <c r="E56" s="9" t="s">
        <v>520</v>
      </c>
      <c r="F56" s="7">
        <f>ROUND(-1*(3/K56*L56*_xlfn.XLOOKUP(J56,'02效果表'!D:D,'02效果表'!E:E)+N56*_xlfn.XLOOKUP(M56,'02效果表'!D:D,'02效果表'!E:E)+P56*_xlfn.XLOOKUP(O56,'02效果表'!D:D,'02效果表'!E:E)+R56*_xlfn.XLOOKUP(Q56,'02效果表'!D:D,'02效果表'!E:E)+1/6*(T56*_xlfn.XLOOKUP(S56,'02效果表'!D:D,'02效果表'!E:E)+V56*_xlfn.XLOOKUP(U56,'02效果表'!D:D,'02效果表'!E:E)+X56*_xlfn.XLOOKUP(W56,'02效果表'!D:D,'02效果表'!E:E)+Z56*_xlfn.XLOOKUP(Y56,'02效果表'!D:D,'02效果表'!E:E)+AB56*_xlfn.XLOOKUP(AA56,'02效果表'!D:D,'02效果表'!E:E)+AD56*_xlfn.XLOOKUP(AC56,'02效果表'!D:D,'02效果表'!E:E)+AF56*_xlfn.XLOOKUP(AE56,'02效果表'!D:D,'02效果表'!E:E)+AH56*_xlfn.XLOOKUP(AG56,'02效果表'!D:D,'02效果表'!E:E)+AJ56*_xlfn.XLOOKUP(AI56,'02效果表'!D:D,'02效果表'!E:E)+AL56*_xlfn.XLOOKUP(AK56,'02效果表'!D:D,'02效果表'!E:E)+AN56*_xlfn.XLOOKUP(AM56,'02效果表'!D:D,'02效果表'!E:E)+AP56*_xlfn.XLOOKUP(AO56,'02效果表'!D:D,'02效果表'!E:E))),0)</f>
        <v>12</v>
      </c>
      <c r="G56" s="6">
        <v>1</v>
      </c>
      <c r="H56" s="6" t="s">
        <v>346</v>
      </c>
      <c r="I56" s="6">
        <v>200</v>
      </c>
      <c r="J56" s="6" t="s">
        <v>331</v>
      </c>
      <c r="K56" s="6">
        <v>7</v>
      </c>
      <c r="L56" s="6">
        <v>3</v>
      </c>
      <c r="M56" s="6" t="s">
        <v>522</v>
      </c>
      <c r="N56" s="6">
        <v>2</v>
      </c>
      <c r="O56" s="6" t="s">
        <v>409</v>
      </c>
      <c r="P56" s="6">
        <v>1</v>
      </c>
      <c r="Q56" s="6"/>
      <c r="R56" s="6"/>
      <c r="S56" s="6" t="s">
        <v>523</v>
      </c>
      <c r="T56" s="6">
        <v>1</v>
      </c>
      <c r="U56" s="6"/>
      <c r="V56" s="6"/>
      <c r="W56" s="6" t="s">
        <v>523</v>
      </c>
      <c r="X56" s="6">
        <v>1</v>
      </c>
      <c r="Y56" s="6"/>
      <c r="Z56" s="6"/>
      <c r="AA56" s="6" t="s">
        <v>331</v>
      </c>
      <c r="AB56" s="6">
        <v>3</v>
      </c>
      <c r="AC56" s="6" t="s">
        <v>525</v>
      </c>
      <c r="AD56" s="6">
        <v>1</v>
      </c>
      <c r="AE56" s="6" t="s">
        <v>331</v>
      </c>
      <c r="AF56" s="6">
        <v>3</v>
      </c>
      <c r="AG56" s="6" t="s">
        <v>525</v>
      </c>
      <c r="AH56" s="6">
        <v>1</v>
      </c>
      <c r="AI56" s="6" t="s">
        <v>524</v>
      </c>
      <c r="AJ56" s="6">
        <v>1</v>
      </c>
      <c r="AK56" s="6"/>
      <c r="AL56" s="6"/>
      <c r="AM56" s="6" t="s">
        <v>523</v>
      </c>
      <c r="AN56" s="6">
        <v>1</v>
      </c>
      <c r="AO56" s="6"/>
      <c r="AP56" s="6"/>
    </row>
    <row r="57" spans="1:42" x14ac:dyDescent="0.25">
      <c r="A57" s="6">
        <v>56</v>
      </c>
      <c r="B57" s="6" t="s">
        <v>360</v>
      </c>
      <c r="C57" s="6">
        <v>3.2</v>
      </c>
      <c r="D57" s="6" t="s">
        <v>253</v>
      </c>
      <c r="E57" s="9" t="s">
        <v>521</v>
      </c>
      <c r="F57" s="7">
        <f>ROUND(-1*(3/K57*L57*_xlfn.XLOOKUP(J57,'02效果表'!D:D,'02效果表'!E:E)+N57*_xlfn.XLOOKUP(M57,'02效果表'!D:D,'02效果表'!E:E)+P57*_xlfn.XLOOKUP(O57,'02效果表'!D:D,'02效果表'!E:E)+R57*_xlfn.XLOOKUP(Q57,'02效果表'!D:D,'02效果表'!E:E)+1/6*(T57*_xlfn.XLOOKUP(S57,'02效果表'!D:D,'02效果表'!E:E)+V57*_xlfn.XLOOKUP(U57,'02效果表'!D:D,'02效果表'!E:E)+X57*_xlfn.XLOOKUP(W57,'02效果表'!D:D,'02效果表'!E:E)+Z57*_xlfn.XLOOKUP(Y57,'02效果表'!D:D,'02效果表'!E:E)+AB57*_xlfn.XLOOKUP(AA57,'02效果表'!D:D,'02效果表'!E:E)+AD57*_xlfn.XLOOKUP(AC57,'02效果表'!D:D,'02效果表'!E:E)+AF57*_xlfn.XLOOKUP(AE57,'02效果表'!D:D,'02效果表'!E:E)+AH57*_xlfn.XLOOKUP(AG57,'02效果表'!D:D,'02效果表'!E:E)+AJ57*_xlfn.XLOOKUP(AI57,'02效果表'!D:D,'02效果表'!E:E)+AL57*_xlfn.XLOOKUP(AK57,'02效果表'!D:D,'02效果表'!E:E)+AN57*_xlfn.XLOOKUP(AM57,'02效果表'!D:D,'02效果表'!E:E)+AP57*_xlfn.XLOOKUP(AO57,'02效果表'!D:D,'02效果表'!E:E))),0)</f>
        <v>6</v>
      </c>
      <c r="G57" s="6">
        <v>2</v>
      </c>
      <c r="H57" s="6" t="s">
        <v>346</v>
      </c>
      <c r="I57" s="6">
        <v>10</v>
      </c>
      <c r="J57" s="6" t="s">
        <v>454</v>
      </c>
      <c r="K57" s="6">
        <v>6</v>
      </c>
      <c r="L57" s="6">
        <v>1</v>
      </c>
      <c r="M57" s="6"/>
      <c r="N57" s="6"/>
      <c r="O57" s="6"/>
      <c r="P57" s="6"/>
      <c r="Q57" s="6"/>
      <c r="R57" s="6"/>
      <c r="S57" s="6" t="s">
        <v>383</v>
      </c>
      <c r="T57" s="6">
        <v>1</v>
      </c>
      <c r="U57" s="6"/>
      <c r="V57" s="6"/>
      <c r="W57" s="6" t="s">
        <v>383</v>
      </c>
      <c r="X57" s="6">
        <v>2</v>
      </c>
      <c r="Y57" s="6"/>
      <c r="Z57" s="6"/>
      <c r="AA57" s="6" t="s">
        <v>330</v>
      </c>
      <c r="AB57" s="6">
        <v>1</v>
      </c>
      <c r="AC57" s="6"/>
      <c r="AD57" s="6"/>
      <c r="AE57" s="6" t="s">
        <v>330</v>
      </c>
      <c r="AF57" s="6">
        <v>1</v>
      </c>
      <c r="AG57" s="6"/>
      <c r="AH57" s="6"/>
      <c r="AI57" s="6" t="s">
        <v>526</v>
      </c>
      <c r="AJ57" s="6">
        <v>1</v>
      </c>
      <c r="AK57" s="6"/>
      <c r="AL57" s="6"/>
      <c r="AM57" s="6" t="s">
        <v>526</v>
      </c>
      <c r="AN57" s="6">
        <v>2</v>
      </c>
      <c r="AO57" s="6"/>
      <c r="AP57" s="6"/>
    </row>
    <row r="58" spans="1:42" x14ac:dyDescent="0.25">
      <c r="A58" s="6">
        <v>57</v>
      </c>
      <c r="B58" s="6" t="s">
        <v>898</v>
      </c>
      <c r="C58" s="6">
        <v>1.1000000000000001</v>
      </c>
      <c r="D58" s="6" t="s">
        <v>249</v>
      </c>
      <c r="E58" s="9" t="s">
        <v>1882</v>
      </c>
      <c r="F58" s="7"/>
      <c r="G58" s="6">
        <v>1</v>
      </c>
      <c r="H58" s="6" t="s">
        <v>262</v>
      </c>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row>
    <row r="59" spans="1:42" x14ac:dyDescent="0.25">
      <c r="A59" s="6">
        <v>58</v>
      </c>
      <c r="B59" s="6" t="s">
        <v>898</v>
      </c>
      <c r="C59" s="6">
        <v>1.1000000000000001</v>
      </c>
      <c r="D59" s="6" t="s">
        <v>249</v>
      </c>
      <c r="E59" s="9" t="s">
        <v>1883</v>
      </c>
      <c r="F59" s="7"/>
      <c r="G59" s="6">
        <v>1</v>
      </c>
      <c r="H59" s="6" t="s">
        <v>262</v>
      </c>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row>
    <row r="60" spans="1:42" x14ac:dyDescent="0.25">
      <c r="A60" s="6">
        <v>59</v>
      </c>
      <c r="B60" s="6" t="s">
        <v>898</v>
      </c>
      <c r="C60" s="6">
        <v>1.2</v>
      </c>
      <c r="D60" s="6" t="s">
        <v>249</v>
      </c>
      <c r="E60" s="9" t="s">
        <v>1884</v>
      </c>
      <c r="F60" s="7"/>
      <c r="G60" s="6">
        <v>1</v>
      </c>
      <c r="H60" s="6" t="s">
        <v>262</v>
      </c>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row>
    <row r="61" spans="1:42" x14ac:dyDescent="0.25">
      <c r="A61" s="6">
        <v>60</v>
      </c>
      <c r="B61" s="6" t="s">
        <v>898</v>
      </c>
      <c r="C61" s="6">
        <v>1.2</v>
      </c>
      <c r="D61" s="6" t="s">
        <v>249</v>
      </c>
      <c r="E61" s="9" t="s">
        <v>1885</v>
      </c>
      <c r="F61" s="7"/>
      <c r="G61" s="6">
        <v>1</v>
      </c>
      <c r="H61" s="6" t="s">
        <v>262</v>
      </c>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row>
    <row r="62" spans="1:42" x14ac:dyDescent="0.25">
      <c r="A62" s="6">
        <v>61</v>
      </c>
      <c r="B62" s="6" t="s">
        <v>898</v>
      </c>
      <c r="C62" s="6">
        <v>1.3</v>
      </c>
      <c r="D62" s="6" t="s">
        <v>249</v>
      </c>
      <c r="E62" s="9" t="s">
        <v>1886</v>
      </c>
      <c r="F62" s="7">
        <f>ROUND(-1*(3/K62*L62*_xlfn.XLOOKUP(J62,'02效果表'!D:D,'02效果表'!E:E)+N62*_xlfn.XLOOKUP(M62,'02效果表'!D:D,'02效果表'!E:E)+P62*_xlfn.XLOOKUP(O62,'02效果表'!D:D,'02效果表'!E:E)+R62*_xlfn.XLOOKUP(Q62,'02效果表'!D:D,'02效果表'!E:E)+1/6*(T62*_xlfn.XLOOKUP(S62,'02效果表'!D:D,'02效果表'!E:E)+V62*_xlfn.XLOOKUP(U62,'02效果表'!D:D,'02效果表'!E:E)+X62*_xlfn.XLOOKUP(W62,'02效果表'!D:D,'02效果表'!E:E)+Z62*_xlfn.XLOOKUP(Y62,'02效果表'!D:D,'02效果表'!E:E)+AB62*_xlfn.XLOOKUP(AA62,'02效果表'!D:D,'02效果表'!E:E)+AD62*_xlfn.XLOOKUP(AC62,'02效果表'!D:D,'02效果表'!E:E)+AF62*_xlfn.XLOOKUP(AE62,'02效果表'!D:D,'02效果表'!E:E)+AH62*_xlfn.XLOOKUP(AG62,'02效果表'!D:D,'02效果表'!E:E)+AJ62*_xlfn.XLOOKUP(AI62,'02效果表'!D:D,'02效果表'!E:E)+AL62*_xlfn.XLOOKUP(AK62,'02效果表'!D:D,'02效果表'!E:E)+AN62*_xlfn.XLOOKUP(AM62,'02效果表'!D:D,'02效果表'!E:E)+AP62*_xlfn.XLOOKUP(AO62,'02效果表'!D:D,'02效果表'!E:E))),0)</f>
        <v>8</v>
      </c>
      <c r="G62" s="6">
        <v>1</v>
      </c>
      <c r="H62" s="6" t="s">
        <v>262</v>
      </c>
      <c r="I62" s="6">
        <v>220</v>
      </c>
      <c r="J62" s="1" t="s">
        <v>1890</v>
      </c>
      <c r="K62" s="6">
        <v>6</v>
      </c>
      <c r="L62" s="6">
        <v>1</v>
      </c>
      <c r="M62" s="6" t="s">
        <v>1888</v>
      </c>
      <c r="N62" s="6">
        <v>25</v>
      </c>
      <c r="O62" s="6"/>
      <c r="P62" s="6"/>
      <c r="Q62" s="6"/>
      <c r="R62" s="6"/>
      <c r="S62" s="6" t="s">
        <v>1890</v>
      </c>
      <c r="T62" s="6">
        <v>1</v>
      </c>
      <c r="U62" s="6"/>
      <c r="V62" s="6"/>
      <c r="W62" s="6" t="s">
        <v>1891</v>
      </c>
      <c r="X62" s="6">
        <v>2</v>
      </c>
      <c r="Y62" s="6"/>
      <c r="Z62" s="6"/>
      <c r="AA62" s="6" t="s">
        <v>1891</v>
      </c>
      <c r="AB62" s="6">
        <v>1</v>
      </c>
      <c r="AC62" s="6" t="s">
        <v>1888</v>
      </c>
      <c r="AD62" s="6">
        <v>20</v>
      </c>
      <c r="AE62" s="6" t="s">
        <v>809</v>
      </c>
      <c r="AF62" s="6">
        <v>2</v>
      </c>
      <c r="AG62" s="6" t="s">
        <v>1888</v>
      </c>
      <c r="AH62" s="6">
        <v>15</v>
      </c>
      <c r="AI62" s="6" t="s">
        <v>809</v>
      </c>
      <c r="AJ62" s="6">
        <v>1</v>
      </c>
      <c r="AK62" s="6" t="s">
        <v>1888</v>
      </c>
      <c r="AL62" s="6">
        <v>10</v>
      </c>
      <c r="AM62" s="6" t="s">
        <v>809</v>
      </c>
      <c r="AN62" s="6">
        <v>1</v>
      </c>
      <c r="AO62" s="6" t="s">
        <v>579</v>
      </c>
      <c r="AP62" s="6">
        <v>5</v>
      </c>
    </row>
    <row r="63" spans="1:42" x14ac:dyDescent="0.25">
      <c r="A63" s="6">
        <v>62</v>
      </c>
      <c r="B63" s="6" t="s">
        <v>898</v>
      </c>
      <c r="C63" s="6">
        <v>1.3</v>
      </c>
      <c r="D63" s="6" t="s">
        <v>249</v>
      </c>
      <c r="E63" s="9" t="s">
        <v>1887</v>
      </c>
      <c r="F63" s="7"/>
      <c r="G63" s="6">
        <v>1</v>
      </c>
      <c r="H63" s="6" t="s">
        <v>262</v>
      </c>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row>
    <row r="64" spans="1:42" x14ac:dyDescent="0.25">
      <c r="A64" s="6">
        <v>63</v>
      </c>
      <c r="B64" s="6" t="s">
        <v>898</v>
      </c>
      <c r="C64" s="6">
        <v>1.1000000000000001</v>
      </c>
      <c r="D64" s="6" t="s">
        <v>253</v>
      </c>
      <c r="E64" s="9" t="s">
        <v>1881</v>
      </c>
      <c r="F64" s="7">
        <f>ROUND(-1*(3/K64*L64*_xlfn.XLOOKUP(J64,'02效果表'!D:D,'02效果表'!E:E)+N64*_xlfn.XLOOKUP(M64,'02效果表'!D:D,'02效果表'!E:E)+P64*_xlfn.XLOOKUP(O64,'02效果表'!D:D,'02效果表'!E:E)+R64*_xlfn.XLOOKUP(Q64,'02效果表'!D:D,'02效果表'!E:E)+1/6*(T64*_xlfn.XLOOKUP(S64,'02效果表'!D:D,'02效果表'!E:E)+V64*_xlfn.XLOOKUP(U64,'02效果表'!D:D,'02效果表'!E:E)+X64*_xlfn.XLOOKUP(W64,'02效果表'!D:D,'02效果表'!E:E)+Z64*_xlfn.XLOOKUP(Y64,'02效果表'!D:D,'02效果表'!E:E)+AB64*_xlfn.XLOOKUP(AA64,'02效果表'!D:D,'02效果表'!E:E)+AD64*_xlfn.XLOOKUP(AC64,'02效果表'!D:D,'02效果表'!E:E)+AF64*_xlfn.XLOOKUP(AE64,'02效果表'!D:D,'02效果表'!E:E)+AH64*_xlfn.XLOOKUP(AG64,'02效果表'!D:D,'02效果表'!E:E)+AJ64*_xlfn.XLOOKUP(AI64,'02效果表'!D:D,'02效果表'!E:E)+AL64*_xlfn.XLOOKUP(AK64,'02效果表'!D:D,'02效果表'!E:E)+AN64*_xlfn.XLOOKUP(AM64,'02效果表'!D:D,'02效果表'!E:E)+AP64*_xlfn.XLOOKUP(AO64,'02效果表'!D:D,'02效果表'!E:E))),0)</f>
        <v>9</v>
      </c>
      <c r="G64" s="6">
        <v>3</v>
      </c>
      <c r="H64" s="6" t="s">
        <v>267</v>
      </c>
      <c r="I64" s="6">
        <v>100</v>
      </c>
      <c r="J64" s="6" t="s">
        <v>97</v>
      </c>
      <c r="K64" s="6">
        <v>10</v>
      </c>
      <c r="L64" s="6">
        <v>2</v>
      </c>
      <c r="M64" s="6" t="s">
        <v>1894</v>
      </c>
      <c r="N64" s="6">
        <v>1</v>
      </c>
      <c r="O64" s="6"/>
      <c r="P64" s="6"/>
      <c r="Q64" s="6"/>
      <c r="R64" s="6"/>
      <c r="S64" s="6" t="s">
        <v>1896</v>
      </c>
      <c r="T64" s="6">
        <v>0</v>
      </c>
      <c r="U64" s="6" t="s">
        <v>263</v>
      </c>
      <c r="V64" s="6">
        <v>1</v>
      </c>
      <c r="W64" s="6" t="s">
        <v>385</v>
      </c>
      <c r="X64" s="6">
        <v>0</v>
      </c>
      <c r="Y64" s="6" t="s">
        <v>399</v>
      </c>
      <c r="Z64" s="6">
        <v>2</v>
      </c>
      <c r="AA64" s="6" t="s">
        <v>400</v>
      </c>
      <c r="AB64" s="6">
        <v>3</v>
      </c>
      <c r="AC64" s="6" t="s">
        <v>1897</v>
      </c>
      <c r="AD64" s="6">
        <v>5</v>
      </c>
      <c r="AE64" s="6" t="s">
        <v>97</v>
      </c>
      <c r="AF64" s="6">
        <v>0</v>
      </c>
      <c r="AG64" s="6" t="s">
        <v>458</v>
      </c>
      <c r="AH64" s="6">
        <v>1</v>
      </c>
      <c r="AI64" s="6" t="s">
        <v>1898</v>
      </c>
      <c r="AJ64" s="6">
        <v>1</v>
      </c>
      <c r="AK64" s="6"/>
      <c r="AL64" s="6"/>
      <c r="AM64" s="6" t="s">
        <v>1899</v>
      </c>
      <c r="AN64" s="6">
        <v>1</v>
      </c>
      <c r="AO64" s="6" t="s">
        <v>675</v>
      </c>
      <c r="AP64" s="6">
        <v>1</v>
      </c>
    </row>
    <row r="65" spans="1:42" x14ac:dyDescent="0.25">
      <c r="A65" s="6">
        <v>64</v>
      </c>
      <c r="B65" s="6" t="s">
        <v>898</v>
      </c>
      <c r="C65" s="6">
        <v>1.1000000000000001</v>
      </c>
      <c r="D65" s="6" t="s">
        <v>253</v>
      </c>
      <c r="E65" s="9" t="s">
        <v>1904</v>
      </c>
      <c r="F65" s="7">
        <f>ROUND(-1*(3/K65*L65*_xlfn.XLOOKUP(J65,'02效果表'!D:D,'02效果表'!E:E)+N65*_xlfn.XLOOKUP(M65,'02效果表'!D:D,'02效果表'!E:E)+P65*_xlfn.XLOOKUP(O65,'02效果表'!D:D,'02效果表'!E:E)+R65*_xlfn.XLOOKUP(Q65,'02效果表'!D:D,'02效果表'!E:E)+1/6*(T65*_xlfn.XLOOKUP(S65,'02效果表'!D:D,'02效果表'!E:E)+V65*_xlfn.XLOOKUP(U65,'02效果表'!D:D,'02效果表'!E:E)+X65*_xlfn.XLOOKUP(W65,'02效果表'!D:D,'02效果表'!E:E)+Z65*_xlfn.XLOOKUP(Y65,'02效果表'!D:D,'02效果表'!E:E)+AB65*_xlfn.XLOOKUP(AA65,'02效果表'!D:D,'02效果表'!E:E)+AD65*_xlfn.XLOOKUP(AC65,'02效果表'!D:D,'02效果表'!E:E)+AF65*_xlfn.XLOOKUP(AE65,'02效果表'!D:D,'02效果表'!E:E)+AH65*_xlfn.XLOOKUP(AG65,'02效果表'!D:D,'02效果表'!E:E)+AJ65*_xlfn.XLOOKUP(AI65,'02效果表'!D:D,'02效果表'!E:E)+AL65*_xlfn.XLOOKUP(AK65,'02效果表'!D:D,'02效果表'!E:E)+AN65*_xlfn.XLOOKUP(AM65,'02效果表'!D:D,'02效果表'!E:E)+AP65*_xlfn.XLOOKUP(AO65,'02效果表'!D:D,'02效果表'!E:E))),0)</f>
        <v>16</v>
      </c>
      <c r="G65" s="6">
        <v>3</v>
      </c>
      <c r="H65" s="6" t="s">
        <v>267</v>
      </c>
      <c r="I65" s="6">
        <v>9999999</v>
      </c>
      <c r="J65" s="6" t="s">
        <v>1905</v>
      </c>
      <c r="K65" s="6">
        <v>6</v>
      </c>
      <c r="L65" s="6">
        <v>1</v>
      </c>
      <c r="M65" s="6" t="s">
        <v>1906</v>
      </c>
      <c r="N65" s="6">
        <v>1</v>
      </c>
      <c r="O65" s="6" t="s">
        <v>356</v>
      </c>
      <c r="P65" s="6">
        <v>1</v>
      </c>
      <c r="Q65" s="6"/>
      <c r="R65" s="6"/>
      <c r="S65" s="6"/>
      <c r="T65" s="6"/>
      <c r="U65" s="6"/>
      <c r="V65" s="6"/>
      <c r="W65" s="6"/>
      <c r="X65" s="6"/>
      <c r="Y65" s="6"/>
      <c r="Z65" s="6"/>
      <c r="AA65" s="6"/>
      <c r="AB65" s="6"/>
      <c r="AC65" s="6"/>
      <c r="AD65" s="6"/>
      <c r="AE65" s="6"/>
      <c r="AF65" s="6"/>
      <c r="AG65" s="6"/>
      <c r="AH65" s="6"/>
      <c r="AI65" s="6"/>
      <c r="AJ65" s="6"/>
      <c r="AK65" s="6"/>
      <c r="AL65" s="6"/>
      <c r="AM65" s="6"/>
      <c r="AN65" s="6"/>
      <c r="AO65" s="6"/>
      <c r="AP65" s="6"/>
    </row>
    <row r="66" spans="1:42" x14ac:dyDescent="0.25">
      <c r="A66" s="6">
        <v>65</v>
      </c>
      <c r="B66" s="6" t="s">
        <v>898</v>
      </c>
      <c r="C66" s="6">
        <v>1.1000000000000001</v>
      </c>
      <c r="D66" s="6" t="s">
        <v>253</v>
      </c>
      <c r="E66" s="9" t="s">
        <v>1911</v>
      </c>
      <c r="F66" s="7">
        <f>ROUND(-1*(3/K66*L66*_xlfn.XLOOKUP(J66,'02效果表'!D:D,'02效果表'!E:E)+N66*_xlfn.XLOOKUP(M66,'02效果表'!D:D,'02效果表'!E:E)+P66*_xlfn.XLOOKUP(O66,'02效果表'!D:D,'02效果表'!E:E)+R66*_xlfn.XLOOKUP(Q66,'02效果表'!D:D,'02效果表'!E:E)+1/6*(T66*_xlfn.XLOOKUP(S66,'02效果表'!D:D,'02效果表'!E:E)+V66*_xlfn.XLOOKUP(U66,'02效果表'!D:D,'02效果表'!E:E)+X66*_xlfn.XLOOKUP(W66,'02效果表'!D:D,'02效果表'!E:E)+Z66*_xlfn.XLOOKUP(Y66,'02效果表'!D:D,'02效果表'!E:E)+AB66*_xlfn.XLOOKUP(AA66,'02效果表'!D:D,'02效果表'!E:E)+AD66*_xlfn.XLOOKUP(AC66,'02效果表'!D:D,'02效果表'!E:E)+AF66*_xlfn.XLOOKUP(AE66,'02效果表'!D:D,'02效果表'!E:E)+AH66*_xlfn.XLOOKUP(AG66,'02效果表'!D:D,'02效果表'!E:E)+AJ66*_xlfn.XLOOKUP(AI66,'02效果表'!D:D,'02效果表'!E:E)+AL66*_xlfn.XLOOKUP(AK66,'02效果表'!D:D,'02效果表'!E:E)+AN66*_xlfn.XLOOKUP(AM66,'02效果表'!D:D,'02效果表'!E:E)+AP66*_xlfn.XLOOKUP(AO66,'02效果表'!D:D,'02效果表'!E:E))),0)</f>
        <v>13</v>
      </c>
      <c r="G66" s="6">
        <v>3</v>
      </c>
      <c r="H66" s="6" t="s">
        <v>267</v>
      </c>
      <c r="I66" s="6">
        <v>400</v>
      </c>
      <c r="J66" s="6" t="s">
        <v>97</v>
      </c>
      <c r="K66" s="6">
        <v>12</v>
      </c>
      <c r="L66" s="6">
        <v>3</v>
      </c>
      <c r="M66" s="6" t="s">
        <v>1912</v>
      </c>
      <c r="N66" s="6">
        <v>4</v>
      </c>
      <c r="O66" s="6" t="s">
        <v>1913</v>
      </c>
      <c r="P66" s="6">
        <v>5</v>
      </c>
      <c r="Q66" s="6"/>
      <c r="R66" s="6"/>
      <c r="S66" s="6" t="s">
        <v>97</v>
      </c>
      <c r="T66" s="6">
        <v>12</v>
      </c>
      <c r="U66" s="6"/>
      <c r="V66" s="6"/>
      <c r="W66" s="6" t="s">
        <v>97</v>
      </c>
      <c r="X66" s="6">
        <v>6</v>
      </c>
      <c r="Y66" s="6"/>
      <c r="Z66" s="6"/>
      <c r="AA66" s="6" t="s">
        <v>97</v>
      </c>
      <c r="AB66" s="6">
        <v>5</v>
      </c>
      <c r="AC66" s="6"/>
      <c r="AD66" s="6"/>
      <c r="AE66" s="6" t="s">
        <v>97</v>
      </c>
      <c r="AF66" s="6">
        <v>5</v>
      </c>
      <c r="AG66" s="6"/>
      <c r="AH66" s="6"/>
      <c r="AI66" s="6" t="s">
        <v>400</v>
      </c>
      <c r="AJ66" s="6">
        <v>5</v>
      </c>
      <c r="AK66" s="6"/>
      <c r="AL66" s="6"/>
      <c r="AM66" s="6" t="s">
        <v>400</v>
      </c>
      <c r="AN66" s="6">
        <v>5</v>
      </c>
      <c r="AO66" s="6"/>
      <c r="AP66" s="6"/>
    </row>
    <row r="67" spans="1:42" x14ac:dyDescent="0.25">
      <c r="A67" s="6">
        <v>65</v>
      </c>
      <c r="B67" s="6" t="s">
        <v>898</v>
      </c>
      <c r="C67" s="6">
        <v>1.1000000000000001</v>
      </c>
      <c r="D67" s="6" t="s">
        <v>253</v>
      </c>
      <c r="E67" s="9" t="s">
        <v>1918</v>
      </c>
      <c r="F67" s="7">
        <f>ROUND(-1*(3/K67*L67*_xlfn.XLOOKUP(J67,'02效果表'!D:D,'02效果表'!E:E)+N67*_xlfn.XLOOKUP(M67,'02效果表'!D:D,'02效果表'!E:E)+P67*_xlfn.XLOOKUP(O67,'02效果表'!D:D,'02效果表'!E:E)+R67*_xlfn.XLOOKUP(Q67,'02效果表'!D:D,'02效果表'!E:E)+1/6*(T67*_xlfn.XLOOKUP(S67,'02效果表'!D:D,'02效果表'!E:E)+V67*_xlfn.XLOOKUP(U67,'02效果表'!D:D,'02效果表'!E:E)+X67*_xlfn.XLOOKUP(W67,'02效果表'!D:D,'02效果表'!E:E)+Z67*_xlfn.XLOOKUP(Y67,'02效果表'!D:D,'02效果表'!E:E)+AB67*_xlfn.XLOOKUP(AA67,'02效果表'!D:D,'02效果表'!E:E)+AD67*_xlfn.XLOOKUP(AC67,'02效果表'!D:D,'02效果表'!E:E)+AF67*_xlfn.XLOOKUP(AE67,'02效果表'!D:D,'02效果表'!E:E)+AH67*_xlfn.XLOOKUP(AG67,'02效果表'!D:D,'02效果表'!E:E)+AJ67*_xlfn.XLOOKUP(AI67,'02效果表'!D:D,'02效果表'!E:E)+AL67*_xlfn.XLOOKUP(AK67,'02效果表'!D:D,'02效果表'!E:E)+AN67*_xlfn.XLOOKUP(AM67,'02效果表'!D:D,'02效果表'!E:E)+AP67*_xlfn.XLOOKUP(AO67,'02效果表'!D:D,'02效果表'!E:E))),0)</f>
        <v>14</v>
      </c>
      <c r="G67" s="6">
        <v>3</v>
      </c>
      <c r="H67" s="6" t="s">
        <v>267</v>
      </c>
      <c r="I67" s="6">
        <v>400</v>
      </c>
      <c r="J67" s="6" t="s">
        <v>1919</v>
      </c>
      <c r="K67" s="6">
        <v>12</v>
      </c>
      <c r="L67" s="6">
        <v>1</v>
      </c>
      <c r="M67" s="6" t="s">
        <v>1912</v>
      </c>
      <c r="N67" s="6">
        <v>4</v>
      </c>
      <c r="O67" s="6" t="s">
        <v>1920</v>
      </c>
      <c r="P67" s="6">
        <v>70</v>
      </c>
      <c r="Q67" s="6"/>
      <c r="R67" s="6"/>
      <c r="S67" s="6" t="s">
        <v>97</v>
      </c>
      <c r="T67" s="6">
        <v>3</v>
      </c>
      <c r="U67" s="6" t="s">
        <v>237</v>
      </c>
      <c r="V67" s="6">
        <v>3</v>
      </c>
      <c r="W67" s="6" t="s">
        <v>97</v>
      </c>
      <c r="X67" s="6">
        <v>3</v>
      </c>
      <c r="Y67" s="6" t="s">
        <v>237</v>
      </c>
      <c r="Z67" s="6">
        <v>3</v>
      </c>
      <c r="AA67" s="6" t="s">
        <v>400</v>
      </c>
      <c r="AB67" s="6">
        <v>5</v>
      </c>
      <c r="AC67" s="6"/>
      <c r="AD67" s="6"/>
      <c r="AE67" s="6" t="s">
        <v>97</v>
      </c>
      <c r="AF67" s="6">
        <v>3</v>
      </c>
      <c r="AG67" s="6"/>
      <c r="AH67" s="6"/>
      <c r="AI67" s="6" t="s">
        <v>385</v>
      </c>
      <c r="AJ67" s="6">
        <v>1</v>
      </c>
      <c r="AK67" s="6"/>
      <c r="AL67" s="6"/>
      <c r="AM67" s="6" t="s">
        <v>385</v>
      </c>
      <c r="AN67" s="6">
        <v>2</v>
      </c>
      <c r="AO67" s="6"/>
      <c r="AP67" s="6"/>
    </row>
    <row r="75" spans="1:42" x14ac:dyDescent="0.25">
      <c r="D75" s="4"/>
      <c r="E75" s="4"/>
      <c r="F75" s="4"/>
      <c r="G75" s="4"/>
      <c r="H75" s="4"/>
    </row>
    <row r="76" spans="1:42" x14ac:dyDescent="0.25">
      <c r="D76" s="4"/>
      <c r="E76" s="4"/>
      <c r="F76" s="4"/>
      <c r="G76" s="4"/>
      <c r="H76" s="4"/>
    </row>
    <row r="79" spans="1:42" x14ac:dyDescent="0.25">
      <c r="D79" s="4"/>
      <c r="E79" s="4"/>
      <c r="F79" s="4"/>
      <c r="G79" s="4"/>
      <c r="H79" s="4"/>
    </row>
    <row r="80" spans="1:42" x14ac:dyDescent="0.25">
      <c r="D80" s="4"/>
      <c r="E80" s="4"/>
      <c r="F80" s="4"/>
      <c r="G80" s="4"/>
      <c r="H80" s="4"/>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568B2-7F0A-4486-AB69-F6CD832CD1C5}">
  <sheetPr codeName="Sheet9"/>
  <dimension ref="A1:F179"/>
  <sheetViews>
    <sheetView workbookViewId="0">
      <selection activeCell="F18" sqref="F18"/>
    </sheetView>
  </sheetViews>
  <sheetFormatPr defaultColWidth="12.77734375" defaultRowHeight="15.6" x14ac:dyDescent="0.25"/>
  <cols>
    <col min="1" max="5" width="12.77734375" style="1"/>
    <col min="6" max="6" width="211.44140625" style="2" bestFit="1" customWidth="1"/>
    <col min="7" max="16384" width="12.77734375" style="1"/>
  </cols>
  <sheetData>
    <row r="1" spans="1:6" x14ac:dyDescent="0.25">
      <c r="A1" s="6" t="s">
        <v>41</v>
      </c>
      <c r="B1" s="6" t="s">
        <v>44</v>
      </c>
      <c r="C1" s="6" t="s">
        <v>45</v>
      </c>
      <c r="D1" s="9" t="s">
        <v>138</v>
      </c>
      <c r="E1" s="7" t="s">
        <v>641</v>
      </c>
      <c r="F1" s="6" t="s">
        <v>46</v>
      </c>
    </row>
    <row r="2" spans="1:6" x14ac:dyDescent="0.25">
      <c r="A2" s="6">
        <v>1</v>
      </c>
      <c r="B2" s="6" t="s">
        <v>117</v>
      </c>
      <c r="C2" s="6" t="s">
        <v>135</v>
      </c>
      <c r="D2" s="9" t="s">
        <v>139</v>
      </c>
      <c r="E2" s="7">
        <v>3</v>
      </c>
      <c r="F2" s="11" t="s">
        <v>584</v>
      </c>
    </row>
    <row r="3" spans="1:6" x14ac:dyDescent="0.25">
      <c r="A3" s="6">
        <v>2</v>
      </c>
      <c r="B3" s="6" t="s">
        <v>117</v>
      </c>
      <c r="C3" s="6" t="s">
        <v>135</v>
      </c>
      <c r="D3" s="9" t="s">
        <v>140</v>
      </c>
      <c r="E3" s="7">
        <v>3</v>
      </c>
      <c r="F3" s="11" t="s">
        <v>585</v>
      </c>
    </row>
    <row r="4" spans="1:6" x14ac:dyDescent="0.25">
      <c r="A4" s="6">
        <v>3</v>
      </c>
      <c r="B4" s="6" t="s">
        <v>117</v>
      </c>
      <c r="C4" s="6" t="s">
        <v>135</v>
      </c>
      <c r="D4" s="9" t="s">
        <v>141</v>
      </c>
      <c r="E4" s="7">
        <v>5</v>
      </c>
      <c r="F4" s="11" t="s">
        <v>586</v>
      </c>
    </row>
    <row r="5" spans="1:6" x14ac:dyDescent="0.25">
      <c r="A5" s="6">
        <v>4</v>
      </c>
      <c r="B5" s="6" t="s">
        <v>117</v>
      </c>
      <c r="C5" s="6" t="s">
        <v>135</v>
      </c>
      <c r="D5" s="9" t="s">
        <v>142</v>
      </c>
      <c r="E5" s="7">
        <v>5</v>
      </c>
      <c r="F5" s="11" t="s">
        <v>587</v>
      </c>
    </row>
    <row r="6" spans="1:6" x14ac:dyDescent="0.25">
      <c r="A6" s="6">
        <v>5</v>
      </c>
      <c r="B6" s="6" t="s">
        <v>117</v>
      </c>
      <c r="C6" s="6" t="s">
        <v>135</v>
      </c>
      <c r="D6" s="9" t="s">
        <v>143</v>
      </c>
      <c r="E6" s="7">
        <v>6</v>
      </c>
      <c r="F6" s="11" t="s">
        <v>588</v>
      </c>
    </row>
    <row r="7" spans="1:6" x14ac:dyDescent="0.25">
      <c r="A7" s="6">
        <v>6</v>
      </c>
      <c r="B7" s="6" t="s">
        <v>117</v>
      </c>
      <c r="C7" s="6" t="s">
        <v>135</v>
      </c>
      <c r="D7" s="9" t="s">
        <v>144</v>
      </c>
      <c r="E7" s="7">
        <v>4</v>
      </c>
      <c r="F7" s="11" t="s">
        <v>589</v>
      </c>
    </row>
    <row r="8" spans="1:6" x14ac:dyDescent="0.25">
      <c r="A8" s="6">
        <v>7</v>
      </c>
      <c r="B8" s="6" t="s">
        <v>117</v>
      </c>
      <c r="C8" s="6" t="s">
        <v>135</v>
      </c>
      <c r="D8" s="9" t="s">
        <v>145</v>
      </c>
      <c r="E8" s="7">
        <v>5</v>
      </c>
      <c r="F8" s="11" t="s">
        <v>590</v>
      </c>
    </row>
    <row r="9" spans="1:6" x14ac:dyDescent="0.25">
      <c r="A9" s="6">
        <v>8</v>
      </c>
      <c r="B9" s="6" t="s">
        <v>117</v>
      </c>
      <c r="C9" s="6" t="s">
        <v>135</v>
      </c>
      <c r="D9" s="9" t="s">
        <v>146</v>
      </c>
      <c r="E9" s="7">
        <v>5</v>
      </c>
      <c r="F9" s="11" t="s">
        <v>591</v>
      </c>
    </row>
    <row r="10" spans="1:6" x14ac:dyDescent="0.25">
      <c r="A10" s="6">
        <v>9</v>
      </c>
      <c r="B10" s="6" t="s">
        <v>117</v>
      </c>
      <c r="C10" s="6" t="s">
        <v>135</v>
      </c>
      <c r="D10" s="9" t="s">
        <v>147</v>
      </c>
      <c r="E10" s="7">
        <v>2.5</v>
      </c>
      <c r="F10" s="11" t="s">
        <v>592</v>
      </c>
    </row>
    <row r="11" spans="1:6" x14ac:dyDescent="0.25">
      <c r="A11" s="6">
        <v>10</v>
      </c>
      <c r="B11" s="6" t="s">
        <v>117</v>
      </c>
      <c r="C11" s="6" t="s">
        <v>135</v>
      </c>
      <c r="D11" s="9" t="s">
        <v>148</v>
      </c>
      <c r="E11" s="7">
        <v>1</v>
      </c>
      <c r="F11" s="11" t="s">
        <v>593</v>
      </c>
    </row>
    <row r="12" spans="1:6" x14ac:dyDescent="0.25">
      <c r="A12" s="6">
        <v>11</v>
      </c>
      <c r="B12" s="6" t="s">
        <v>117</v>
      </c>
      <c r="C12" s="6" t="s">
        <v>135</v>
      </c>
      <c r="D12" s="9" t="s">
        <v>149</v>
      </c>
      <c r="E12" s="7">
        <v>0.15</v>
      </c>
      <c r="F12" s="11" t="s">
        <v>594</v>
      </c>
    </row>
    <row r="13" spans="1:6" x14ac:dyDescent="0.25">
      <c r="A13" s="6">
        <v>12</v>
      </c>
      <c r="B13" s="6" t="s">
        <v>117</v>
      </c>
      <c r="C13" s="6" t="s">
        <v>135</v>
      </c>
      <c r="D13" s="9" t="s">
        <v>150</v>
      </c>
      <c r="E13" s="7">
        <v>1.3</v>
      </c>
      <c r="F13" s="11" t="s">
        <v>595</v>
      </c>
    </row>
    <row r="14" spans="1:6" x14ac:dyDescent="0.25">
      <c r="A14" s="6">
        <v>13</v>
      </c>
      <c r="B14" s="6" t="s">
        <v>117</v>
      </c>
      <c r="C14" s="6" t="s">
        <v>135</v>
      </c>
      <c r="D14" s="9" t="s">
        <v>151</v>
      </c>
      <c r="E14" s="7">
        <v>8</v>
      </c>
      <c r="F14" s="11" t="s">
        <v>596</v>
      </c>
    </row>
    <row r="15" spans="1:6" x14ac:dyDescent="0.25">
      <c r="A15" s="6">
        <v>14</v>
      </c>
      <c r="B15" s="6" t="s">
        <v>117</v>
      </c>
      <c r="C15" s="6" t="s">
        <v>135</v>
      </c>
      <c r="D15" s="9" t="s">
        <v>152</v>
      </c>
      <c r="E15" s="7">
        <v>15</v>
      </c>
      <c r="F15" s="11" t="s">
        <v>597</v>
      </c>
    </row>
    <row r="16" spans="1:6" x14ac:dyDescent="0.25">
      <c r="A16" s="6">
        <v>15</v>
      </c>
      <c r="B16" s="6" t="s">
        <v>117</v>
      </c>
      <c r="C16" s="6" t="s">
        <v>135</v>
      </c>
      <c r="D16" s="9" t="s">
        <v>153</v>
      </c>
      <c r="E16" s="7">
        <v>2.5</v>
      </c>
      <c r="F16" s="11" t="s">
        <v>598</v>
      </c>
    </row>
    <row r="17" spans="1:6" x14ac:dyDescent="0.25">
      <c r="A17" s="6">
        <v>16</v>
      </c>
      <c r="B17" s="6" t="s">
        <v>117</v>
      </c>
      <c r="C17" s="6" t="s">
        <v>135</v>
      </c>
      <c r="D17" s="9" t="s">
        <v>154</v>
      </c>
      <c r="E17" s="7">
        <v>4</v>
      </c>
      <c r="F17" s="11" t="s">
        <v>599</v>
      </c>
    </row>
    <row r="18" spans="1:6" x14ac:dyDescent="0.25">
      <c r="A18" s="6">
        <v>17</v>
      </c>
      <c r="B18" s="6" t="s">
        <v>117</v>
      </c>
      <c r="C18" s="6" t="s">
        <v>135</v>
      </c>
      <c r="D18" s="9" t="s">
        <v>155</v>
      </c>
      <c r="E18" s="7">
        <v>10</v>
      </c>
      <c r="F18" s="11" t="s">
        <v>600</v>
      </c>
    </row>
    <row r="19" spans="1:6" x14ac:dyDescent="0.25">
      <c r="A19" s="6">
        <v>18</v>
      </c>
      <c r="B19" s="6" t="s">
        <v>117</v>
      </c>
      <c r="C19" s="6" t="s">
        <v>135</v>
      </c>
      <c r="D19" s="9" t="s">
        <v>156</v>
      </c>
      <c r="E19" s="7">
        <v>5</v>
      </c>
      <c r="F19" s="11" t="s">
        <v>601</v>
      </c>
    </row>
    <row r="20" spans="1:6" x14ac:dyDescent="0.25">
      <c r="A20" s="6">
        <v>19</v>
      </c>
      <c r="B20" s="6" t="s">
        <v>117</v>
      </c>
      <c r="C20" s="6" t="s">
        <v>135</v>
      </c>
      <c r="D20" s="9" t="s">
        <v>157</v>
      </c>
      <c r="E20" s="7">
        <v>6</v>
      </c>
      <c r="F20" s="11" t="s">
        <v>602</v>
      </c>
    </row>
    <row r="21" spans="1:6" x14ac:dyDescent="0.25">
      <c r="A21" s="6">
        <v>20</v>
      </c>
      <c r="B21" s="6" t="s">
        <v>117</v>
      </c>
      <c r="C21" s="6" t="s">
        <v>135</v>
      </c>
      <c r="D21" s="9" t="s">
        <v>158</v>
      </c>
      <c r="E21" s="7">
        <v>10</v>
      </c>
      <c r="F21" s="11" t="s">
        <v>603</v>
      </c>
    </row>
    <row r="22" spans="1:6" x14ac:dyDescent="0.25">
      <c r="A22" s="6">
        <v>21</v>
      </c>
      <c r="B22" s="6" t="s">
        <v>117</v>
      </c>
      <c r="C22" s="6" t="s">
        <v>135</v>
      </c>
      <c r="D22" s="9" t="s">
        <v>159</v>
      </c>
      <c r="E22" s="7">
        <v>2</v>
      </c>
      <c r="F22" s="11" t="s">
        <v>604</v>
      </c>
    </row>
    <row r="23" spans="1:6" x14ac:dyDescent="0.25">
      <c r="A23" s="6">
        <v>22</v>
      </c>
      <c r="B23" s="6" t="s">
        <v>117</v>
      </c>
      <c r="C23" s="6" t="s">
        <v>135</v>
      </c>
      <c r="D23" s="9" t="s">
        <v>160</v>
      </c>
      <c r="E23" s="7">
        <v>0.5</v>
      </c>
      <c r="F23" s="11" t="s">
        <v>605</v>
      </c>
    </row>
    <row r="24" spans="1:6" x14ac:dyDescent="0.25">
      <c r="A24" s="6">
        <v>23</v>
      </c>
      <c r="B24" s="6" t="s">
        <v>117</v>
      </c>
      <c r="C24" s="6" t="s">
        <v>135</v>
      </c>
      <c r="D24" s="9" t="s">
        <v>161</v>
      </c>
      <c r="E24" s="7">
        <v>10</v>
      </c>
      <c r="F24" s="11" t="s">
        <v>198</v>
      </c>
    </row>
    <row r="25" spans="1:6" x14ac:dyDescent="0.25">
      <c r="A25" s="6">
        <v>24</v>
      </c>
      <c r="B25" s="6" t="s">
        <v>117</v>
      </c>
      <c r="C25" s="6" t="s">
        <v>135</v>
      </c>
      <c r="D25" s="9" t="s">
        <v>162</v>
      </c>
      <c r="E25" s="7">
        <v>5</v>
      </c>
      <c r="F25" s="11" t="s">
        <v>606</v>
      </c>
    </row>
    <row r="26" spans="1:6" x14ac:dyDescent="0.25">
      <c r="A26" s="6">
        <v>25</v>
      </c>
      <c r="B26" s="6" t="s">
        <v>117</v>
      </c>
      <c r="C26" s="6" t="s">
        <v>135</v>
      </c>
      <c r="D26" s="9"/>
      <c r="E26" s="7"/>
      <c r="F26" s="11"/>
    </row>
    <row r="27" spans="1:6" x14ac:dyDescent="0.25">
      <c r="A27" s="6">
        <v>26</v>
      </c>
      <c r="B27" s="6" t="s">
        <v>117</v>
      </c>
      <c r="C27" s="6" t="s">
        <v>135</v>
      </c>
      <c r="D27" s="9"/>
      <c r="E27" s="7"/>
      <c r="F27" s="11"/>
    </row>
    <row r="28" spans="1:6" x14ac:dyDescent="0.25">
      <c r="A28" s="6">
        <v>27</v>
      </c>
      <c r="B28" s="6" t="s">
        <v>117</v>
      </c>
      <c r="C28" s="6" t="s">
        <v>135</v>
      </c>
      <c r="D28" s="9"/>
      <c r="E28" s="7"/>
      <c r="F28" s="11"/>
    </row>
    <row r="29" spans="1:6" x14ac:dyDescent="0.25">
      <c r="A29" s="6">
        <v>28</v>
      </c>
      <c r="B29" s="6" t="s">
        <v>117</v>
      </c>
      <c r="C29" s="6" t="s">
        <v>135</v>
      </c>
      <c r="D29" s="9"/>
      <c r="E29" s="7"/>
      <c r="F29" s="11"/>
    </row>
    <row r="30" spans="1:6" x14ac:dyDescent="0.25">
      <c r="A30" s="6">
        <v>29</v>
      </c>
      <c r="B30" s="6" t="s">
        <v>117</v>
      </c>
      <c r="C30" s="6" t="s">
        <v>135</v>
      </c>
      <c r="D30" s="9"/>
      <c r="E30" s="7"/>
      <c r="F30" s="11"/>
    </row>
    <row r="31" spans="1:6" x14ac:dyDescent="0.25">
      <c r="A31" s="6">
        <v>30</v>
      </c>
      <c r="B31" s="6" t="s">
        <v>117</v>
      </c>
      <c r="C31" s="6" t="s">
        <v>135</v>
      </c>
      <c r="D31" s="9"/>
      <c r="E31" s="7"/>
      <c r="F31" s="11"/>
    </row>
    <row r="32" spans="1:6" x14ac:dyDescent="0.25">
      <c r="A32" s="6">
        <v>31</v>
      </c>
      <c r="B32" s="6" t="s">
        <v>117</v>
      </c>
      <c r="C32" s="6" t="s">
        <v>135</v>
      </c>
      <c r="D32" s="9"/>
      <c r="E32" s="7"/>
      <c r="F32" s="11"/>
    </row>
    <row r="33" spans="1:6" x14ac:dyDescent="0.25">
      <c r="A33" s="6">
        <v>32</v>
      </c>
      <c r="B33" s="6" t="s">
        <v>117</v>
      </c>
      <c r="C33" s="6" t="s">
        <v>135</v>
      </c>
      <c r="D33" s="9"/>
      <c r="E33" s="7"/>
      <c r="F33" s="11"/>
    </row>
    <row r="34" spans="1:6" x14ac:dyDescent="0.25">
      <c r="A34" s="6">
        <v>33</v>
      </c>
      <c r="B34" s="6" t="s">
        <v>117</v>
      </c>
      <c r="C34" s="6" t="s">
        <v>135</v>
      </c>
      <c r="D34" s="9"/>
      <c r="E34" s="7"/>
      <c r="F34" s="11"/>
    </row>
    <row r="35" spans="1:6" x14ac:dyDescent="0.25">
      <c r="A35" s="6">
        <v>34</v>
      </c>
      <c r="B35" s="6" t="s">
        <v>117</v>
      </c>
      <c r="C35" s="6" t="s">
        <v>135</v>
      </c>
      <c r="D35" s="9"/>
      <c r="E35" s="7"/>
      <c r="F35" s="11"/>
    </row>
    <row r="36" spans="1:6" x14ac:dyDescent="0.25">
      <c r="A36" s="6">
        <v>35</v>
      </c>
      <c r="B36" s="6" t="s">
        <v>117</v>
      </c>
      <c r="C36" s="6" t="s">
        <v>135</v>
      </c>
      <c r="D36" s="9"/>
      <c r="E36" s="7"/>
      <c r="F36" s="11"/>
    </row>
    <row r="37" spans="1:6" x14ac:dyDescent="0.25">
      <c r="A37" s="6">
        <v>36</v>
      </c>
      <c r="B37" s="6" t="s">
        <v>117</v>
      </c>
      <c r="C37" s="6" t="s">
        <v>135</v>
      </c>
      <c r="D37" s="9"/>
      <c r="E37" s="7"/>
      <c r="F37" s="11"/>
    </row>
    <row r="38" spans="1:6" x14ac:dyDescent="0.25">
      <c r="A38" s="6">
        <v>37</v>
      </c>
      <c r="B38" s="6" t="s">
        <v>117</v>
      </c>
      <c r="C38" s="6" t="s">
        <v>135</v>
      </c>
      <c r="D38" s="9"/>
      <c r="E38" s="7"/>
      <c r="F38" s="11"/>
    </row>
    <row r="39" spans="1:6" x14ac:dyDescent="0.25">
      <c r="A39" s="6">
        <v>38</v>
      </c>
      <c r="B39" s="6" t="s">
        <v>117</v>
      </c>
      <c r="C39" s="6" t="s">
        <v>135</v>
      </c>
      <c r="D39" s="9"/>
      <c r="E39" s="7"/>
      <c r="F39" s="11"/>
    </row>
    <row r="40" spans="1:6" x14ac:dyDescent="0.25">
      <c r="A40" s="6">
        <v>39</v>
      </c>
      <c r="B40" s="6" t="s">
        <v>117</v>
      </c>
      <c r="C40" s="6" t="s">
        <v>135</v>
      </c>
      <c r="D40" s="9"/>
      <c r="E40" s="7"/>
      <c r="F40" s="11"/>
    </row>
    <row r="41" spans="1:6" x14ac:dyDescent="0.25">
      <c r="A41" s="6">
        <v>40</v>
      </c>
      <c r="B41" s="6" t="s">
        <v>117</v>
      </c>
      <c r="C41" s="6" t="s">
        <v>136</v>
      </c>
      <c r="D41" s="9" t="s">
        <v>163</v>
      </c>
      <c r="E41" s="7">
        <v>5</v>
      </c>
      <c r="F41" s="11" t="s">
        <v>607</v>
      </c>
    </row>
    <row r="42" spans="1:6" x14ac:dyDescent="0.25">
      <c r="A42" s="6">
        <v>41</v>
      </c>
      <c r="B42" s="6" t="s">
        <v>117</v>
      </c>
      <c r="C42" s="6" t="s">
        <v>136</v>
      </c>
      <c r="D42" s="9" t="s">
        <v>164</v>
      </c>
      <c r="E42" s="7">
        <v>10</v>
      </c>
      <c r="F42" s="11" t="s">
        <v>608</v>
      </c>
    </row>
    <row r="43" spans="1:6" x14ac:dyDescent="0.25">
      <c r="A43" s="6">
        <v>42</v>
      </c>
      <c r="B43" s="6" t="s">
        <v>117</v>
      </c>
      <c r="C43" s="6" t="s">
        <v>136</v>
      </c>
      <c r="D43" s="9" t="s">
        <v>165</v>
      </c>
      <c r="E43" s="7">
        <v>5</v>
      </c>
      <c r="F43" s="11" t="s">
        <v>1852</v>
      </c>
    </row>
    <row r="44" spans="1:6" x14ac:dyDescent="0.25">
      <c r="A44" s="6">
        <v>43</v>
      </c>
      <c r="B44" s="6" t="s">
        <v>117</v>
      </c>
      <c r="C44" s="6" t="s">
        <v>136</v>
      </c>
      <c r="D44" s="9" t="s">
        <v>166</v>
      </c>
      <c r="E44" s="7">
        <v>5</v>
      </c>
      <c r="F44" s="11" t="s">
        <v>609</v>
      </c>
    </row>
    <row r="45" spans="1:6" x14ac:dyDescent="0.25">
      <c r="A45" s="6">
        <v>44</v>
      </c>
      <c r="B45" s="6" t="s">
        <v>117</v>
      </c>
      <c r="C45" s="6" t="s">
        <v>136</v>
      </c>
      <c r="D45" s="9" t="s">
        <v>167</v>
      </c>
      <c r="E45" s="7">
        <v>3</v>
      </c>
      <c r="F45" s="11" t="s">
        <v>610</v>
      </c>
    </row>
    <row r="46" spans="1:6" x14ac:dyDescent="0.25">
      <c r="A46" s="6">
        <v>45</v>
      </c>
      <c r="B46" s="6" t="s">
        <v>117</v>
      </c>
      <c r="C46" s="6" t="s">
        <v>136</v>
      </c>
      <c r="D46" s="9" t="s">
        <v>168</v>
      </c>
      <c r="E46" s="7">
        <v>3</v>
      </c>
      <c r="F46" s="11" t="s">
        <v>611</v>
      </c>
    </row>
    <row r="47" spans="1:6" x14ac:dyDescent="0.25">
      <c r="A47" s="6">
        <v>46</v>
      </c>
      <c r="B47" s="6" t="s">
        <v>117</v>
      </c>
      <c r="C47" s="6" t="s">
        <v>136</v>
      </c>
      <c r="D47" s="9" t="s">
        <v>169</v>
      </c>
      <c r="E47" s="7">
        <v>3</v>
      </c>
      <c r="F47" s="11" t="s">
        <v>612</v>
      </c>
    </row>
    <row r="48" spans="1:6" x14ac:dyDescent="0.25">
      <c r="A48" s="6">
        <v>47</v>
      </c>
      <c r="B48" s="6" t="s">
        <v>117</v>
      </c>
      <c r="C48" s="6" t="s">
        <v>136</v>
      </c>
      <c r="D48" s="9" t="s">
        <v>170</v>
      </c>
      <c r="E48" s="7">
        <v>3</v>
      </c>
      <c r="F48" s="11" t="s">
        <v>613</v>
      </c>
    </row>
    <row r="49" spans="1:6" x14ac:dyDescent="0.25">
      <c r="A49" s="6">
        <v>48</v>
      </c>
      <c r="B49" s="6" t="s">
        <v>117</v>
      </c>
      <c r="C49" s="6" t="s">
        <v>136</v>
      </c>
      <c r="D49" s="9" t="s">
        <v>171</v>
      </c>
      <c r="E49" s="7">
        <v>3</v>
      </c>
      <c r="F49" s="11" t="s">
        <v>614</v>
      </c>
    </row>
    <row r="50" spans="1:6" x14ac:dyDescent="0.25">
      <c r="A50" s="6">
        <v>49</v>
      </c>
      <c r="B50" s="6" t="s">
        <v>117</v>
      </c>
      <c r="C50" s="6" t="s">
        <v>136</v>
      </c>
      <c r="D50" s="9" t="s">
        <v>172</v>
      </c>
      <c r="E50" s="7">
        <v>3</v>
      </c>
      <c r="F50" s="11" t="s">
        <v>615</v>
      </c>
    </row>
    <row r="51" spans="1:6" x14ac:dyDescent="0.25">
      <c r="A51" s="6">
        <v>50</v>
      </c>
      <c r="B51" s="6" t="s">
        <v>117</v>
      </c>
      <c r="C51" s="6" t="s">
        <v>136</v>
      </c>
      <c r="D51" s="9" t="s">
        <v>173</v>
      </c>
      <c r="E51" s="7">
        <v>3</v>
      </c>
      <c r="F51" s="11" t="s">
        <v>616</v>
      </c>
    </row>
    <row r="52" spans="1:6" x14ac:dyDescent="0.25">
      <c r="A52" s="6">
        <v>51</v>
      </c>
      <c r="B52" s="6" t="s">
        <v>117</v>
      </c>
      <c r="C52" s="6" t="s">
        <v>136</v>
      </c>
      <c r="D52" s="9" t="s">
        <v>174</v>
      </c>
      <c r="E52" s="7">
        <v>3</v>
      </c>
      <c r="F52" s="11" t="s">
        <v>617</v>
      </c>
    </row>
    <row r="53" spans="1:6" x14ac:dyDescent="0.25">
      <c r="A53" s="6">
        <v>52</v>
      </c>
      <c r="B53" s="6" t="s">
        <v>117</v>
      </c>
      <c r="C53" s="6" t="s">
        <v>136</v>
      </c>
      <c r="D53" s="9" t="s">
        <v>175</v>
      </c>
      <c r="E53" s="7">
        <v>3</v>
      </c>
      <c r="F53" s="11" t="s">
        <v>618</v>
      </c>
    </row>
    <row r="54" spans="1:6" x14ac:dyDescent="0.25">
      <c r="A54" s="6">
        <v>53</v>
      </c>
      <c r="B54" s="6" t="s">
        <v>117</v>
      </c>
      <c r="C54" s="6" t="s">
        <v>136</v>
      </c>
      <c r="D54" s="9" t="s">
        <v>176</v>
      </c>
      <c r="E54" s="7">
        <v>8</v>
      </c>
      <c r="F54" s="11" t="s">
        <v>619</v>
      </c>
    </row>
    <row r="55" spans="1:6" x14ac:dyDescent="0.25">
      <c r="A55" s="6">
        <v>54</v>
      </c>
      <c r="B55" s="6" t="s">
        <v>117</v>
      </c>
      <c r="C55" s="6" t="s">
        <v>136</v>
      </c>
      <c r="D55" s="9" t="s">
        <v>177</v>
      </c>
      <c r="E55" s="7">
        <v>20</v>
      </c>
      <c r="F55" s="11" t="s">
        <v>620</v>
      </c>
    </row>
    <row r="56" spans="1:6" x14ac:dyDescent="0.25">
      <c r="A56" s="6">
        <v>55</v>
      </c>
      <c r="B56" s="6" t="s">
        <v>117</v>
      </c>
      <c r="C56" s="6" t="s">
        <v>136</v>
      </c>
      <c r="D56" s="9"/>
      <c r="E56" s="7"/>
      <c r="F56" s="11"/>
    </row>
    <row r="57" spans="1:6" x14ac:dyDescent="0.25">
      <c r="A57" s="6">
        <v>56</v>
      </c>
      <c r="B57" s="6" t="s">
        <v>117</v>
      </c>
      <c r="C57" s="6" t="s">
        <v>136</v>
      </c>
      <c r="D57" s="9"/>
      <c r="E57" s="7"/>
      <c r="F57" s="11"/>
    </row>
    <row r="58" spans="1:6" x14ac:dyDescent="0.25">
      <c r="A58" s="6">
        <v>57</v>
      </c>
      <c r="B58" s="6" t="s">
        <v>117</v>
      </c>
      <c r="C58" s="6" t="s">
        <v>136</v>
      </c>
      <c r="D58" s="9"/>
      <c r="E58" s="7"/>
      <c r="F58" s="11"/>
    </row>
    <row r="59" spans="1:6" x14ac:dyDescent="0.25">
      <c r="A59" s="6">
        <v>58</v>
      </c>
      <c r="B59" s="6" t="s">
        <v>117</v>
      </c>
      <c r="C59" s="6" t="s">
        <v>136</v>
      </c>
      <c r="D59" s="9"/>
      <c r="E59" s="7"/>
      <c r="F59" s="11"/>
    </row>
    <row r="60" spans="1:6" x14ac:dyDescent="0.25">
      <c r="A60" s="6">
        <v>59</v>
      </c>
      <c r="B60" s="6" t="s">
        <v>117</v>
      </c>
      <c r="C60" s="6" t="s">
        <v>136</v>
      </c>
      <c r="D60" s="9"/>
      <c r="E60" s="7"/>
      <c r="F60" s="11"/>
    </row>
    <row r="61" spans="1:6" x14ac:dyDescent="0.25">
      <c r="A61" s="6">
        <v>60</v>
      </c>
      <c r="B61" s="6" t="s">
        <v>117</v>
      </c>
      <c r="C61" s="6" t="s">
        <v>136</v>
      </c>
      <c r="D61" s="9"/>
      <c r="E61" s="7"/>
      <c r="F61" s="11"/>
    </row>
    <row r="62" spans="1:6" x14ac:dyDescent="0.25">
      <c r="A62" s="6">
        <v>61</v>
      </c>
      <c r="B62" s="6" t="s">
        <v>117</v>
      </c>
      <c r="C62" s="6" t="s">
        <v>136</v>
      </c>
      <c r="D62" s="9"/>
      <c r="E62" s="7"/>
      <c r="F62" s="11"/>
    </row>
    <row r="63" spans="1:6" x14ac:dyDescent="0.25">
      <c r="A63" s="6">
        <v>62</v>
      </c>
      <c r="B63" s="6" t="s">
        <v>117</v>
      </c>
      <c r="C63" s="6" t="s">
        <v>136</v>
      </c>
      <c r="D63" s="9"/>
      <c r="E63" s="7"/>
      <c r="F63" s="11"/>
    </row>
    <row r="64" spans="1:6" x14ac:dyDescent="0.25">
      <c r="A64" s="6">
        <v>63</v>
      </c>
      <c r="B64" s="6" t="s">
        <v>117</v>
      </c>
      <c r="C64" s="6" t="s">
        <v>136</v>
      </c>
      <c r="D64" s="9"/>
      <c r="E64" s="7"/>
      <c r="F64" s="11"/>
    </row>
    <row r="65" spans="1:6" x14ac:dyDescent="0.25">
      <c r="A65" s="6">
        <v>64</v>
      </c>
      <c r="B65" s="6" t="s">
        <v>117</v>
      </c>
      <c r="C65" s="6" t="s">
        <v>137</v>
      </c>
      <c r="D65" s="9" t="s">
        <v>178</v>
      </c>
      <c r="E65" s="7">
        <v>10</v>
      </c>
      <c r="F65" s="11" t="s">
        <v>621</v>
      </c>
    </row>
    <row r="66" spans="1:6" x14ac:dyDescent="0.25">
      <c r="A66" s="6">
        <v>65</v>
      </c>
      <c r="B66" s="6" t="s">
        <v>117</v>
      </c>
      <c r="C66" s="6" t="s">
        <v>137</v>
      </c>
      <c r="D66" s="9"/>
      <c r="E66" s="7"/>
      <c r="F66" s="11"/>
    </row>
    <row r="67" spans="1:6" x14ac:dyDescent="0.25">
      <c r="A67" s="6">
        <v>66</v>
      </c>
      <c r="B67" s="6" t="s">
        <v>117</v>
      </c>
      <c r="C67" s="6" t="s">
        <v>137</v>
      </c>
      <c r="D67" s="9"/>
      <c r="E67" s="7"/>
      <c r="F67" s="11"/>
    </row>
    <row r="68" spans="1:6" x14ac:dyDescent="0.25">
      <c r="A68" s="6">
        <v>67</v>
      </c>
      <c r="B68" s="6" t="s">
        <v>117</v>
      </c>
      <c r="C68" s="6" t="s">
        <v>137</v>
      </c>
      <c r="D68" s="9"/>
      <c r="E68" s="7"/>
      <c r="F68" s="11"/>
    </row>
    <row r="69" spans="1:6" x14ac:dyDescent="0.25">
      <c r="A69" s="6">
        <v>68</v>
      </c>
      <c r="B69" s="6" t="s">
        <v>117</v>
      </c>
      <c r="C69" s="6" t="s">
        <v>137</v>
      </c>
      <c r="D69" s="9"/>
      <c r="E69" s="7"/>
      <c r="F69" s="11"/>
    </row>
    <row r="70" spans="1:6" x14ac:dyDescent="0.25">
      <c r="A70" s="6">
        <v>69</v>
      </c>
      <c r="B70" s="6" t="s">
        <v>117</v>
      </c>
      <c r="C70" s="6" t="s">
        <v>137</v>
      </c>
      <c r="D70" s="9"/>
      <c r="E70" s="7"/>
      <c r="F70" s="11"/>
    </row>
    <row r="71" spans="1:6" x14ac:dyDescent="0.25">
      <c r="A71" s="6">
        <v>70</v>
      </c>
      <c r="B71" s="6" t="s">
        <v>117</v>
      </c>
      <c r="C71" s="6" t="s">
        <v>137</v>
      </c>
      <c r="D71" s="9"/>
      <c r="E71" s="7"/>
      <c r="F71" s="11"/>
    </row>
    <row r="72" spans="1:6" x14ac:dyDescent="0.25">
      <c r="A72" s="6">
        <v>71</v>
      </c>
      <c r="B72" s="6" t="s">
        <v>117</v>
      </c>
      <c r="C72" s="6" t="s">
        <v>137</v>
      </c>
      <c r="D72" s="9"/>
      <c r="E72" s="7"/>
      <c r="F72" s="11"/>
    </row>
    <row r="73" spans="1:6" x14ac:dyDescent="0.25">
      <c r="A73" s="6">
        <v>72</v>
      </c>
      <c r="B73" s="6" t="s">
        <v>117</v>
      </c>
      <c r="C73" s="6" t="s">
        <v>137</v>
      </c>
      <c r="D73" s="9"/>
      <c r="E73" s="7"/>
      <c r="F73" s="11"/>
    </row>
    <row r="74" spans="1:6" x14ac:dyDescent="0.25">
      <c r="A74" s="6">
        <v>73</v>
      </c>
      <c r="B74" s="6" t="s">
        <v>117</v>
      </c>
      <c r="C74" s="6" t="s">
        <v>137</v>
      </c>
      <c r="D74" s="9"/>
      <c r="E74" s="7"/>
      <c r="F74" s="11"/>
    </row>
    <row r="75" spans="1:6" x14ac:dyDescent="0.25">
      <c r="A75" s="6">
        <v>74</v>
      </c>
      <c r="B75" s="6" t="s">
        <v>117</v>
      </c>
      <c r="C75" s="6" t="s">
        <v>137</v>
      </c>
      <c r="D75" s="9"/>
      <c r="E75" s="7"/>
      <c r="F75" s="11"/>
    </row>
    <row r="76" spans="1:6" x14ac:dyDescent="0.25">
      <c r="A76" s="6">
        <v>75</v>
      </c>
      <c r="B76" s="6" t="s">
        <v>117</v>
      </c>
      <c r="C76" s="6" t="s">
        <v>137</v>
      </c>
      <c r="D76" s="9"/>
      <c r="E76" s="7"/>
      <c r="F76" s="11"/>
    </row>
    <row r="77" spans="1:6" x14ac:dyDescent="0.25">
      <c r="A77" s="6">
        <v>76</v>
      </c>
      <c r="B77" s="6" t="s">
        <v>117</v>
      </c>
      <c r="C77" s="6" t="s">
        <v>137</v>
      </c>
      <c r="D77" s="9"/>
      <c r="E77" s="7"/>
      <c r="F77" s="11"/>
    </row>
    <row r="78" spans="1:6" x14ac:dyDescent="0.25">
      <c r="A78" s="6">
        <v>77</v>
      </c>
      <c r="B78" s="6" t="s">
        <v>115</v>
      </c>
      <c r="C78" s="6" t="s">
        <v>135</v>
      </c>
      <c r="D78" s="9" t="s">
        <v>179</v>
      </c>
      <c r="E78" s="7">
        <v>5</v>
      </c>
      <c r="F78" s="11" t="s">
        <v>622</v>
      </c>
    </row>
    <row r="79" spans="1:6" x14ac:dyDescent="0.25">
      <c r="A79" s="6">
        <v>78</v>
      </c>
      <c r="B79" s="6" t="s">
        <v>115</v>
      </c>
      <c r="C79" s="6" t="s">
        <v>135</v>
      </c>
      <c r="D79" s="9" t="s">
        <v>180</v>
      </c>
      <c r="E79" s="7">
        <v>5</v>
      </c>
      <c r="F79" s="11" t="s">
        <v>623</v>
      </c>
    </row>
    <row r="80" spans="1:6" x14ac:dyDescent="0.25">
      <c r="A80" s="6">
        <v>79</v>
      </c>
      <c r="B80" s="6" t="s">
        <v>115</v>
      </c>
      <c r="C80" s="6" t="s">
        <v>135</v>
      </c>
      <c r="D80" s="9" t="s">
        <v>181</v>
      </c>
      <c r="E80" s="7">
        <v>1</v>
      </c>
      <c r="F80" s="11" t="s">
        <v>624</v>
      </c>
    </row>
    <row r="81" spans="1:6" x14ac:dyDescent="0.25">
      <c r="A81" s="6">
        <v>80</v>
      </c>
      <c r="B81" s="6" t="s">
        <v>115</v>
      </c>
      <c r="C81" s="6" t="s">
        <v>135</v>
      </c>
      <c r="D81" s="9" t="s">
        <v>182</v>
      </c>
      <c r="E81" s="7">
        <v>5</v>
      </c>
      <c r="F81" s="11" t="s">
        <v>625</v>
      </c>
    </row>
    <row r="82" spans="1:6" x14ac:dyDescent="0.25">
      <c r="A82" s="6">
        <v>81</v>
      </c>
      <c r="B82" s="6" t="s">
        <v>115</v>
      </c>
      <c r="C82" s="6" t="s">
        <v>135</v>
      </c>
      <c r="D82" s="9" t="s">
        <v>183</v>
      </c>
      <c r="E82" s="7">
        <v>3</v>
      </c>
      <c r="F82" s="11" t="s">
        <v>626</v>
      </c>
    </row>
    <row r="83" spans="1:6" x14ac:dyDescent="0.25">
      <c r="A83" s="6">
        <v>82</v>
      </c>
      <c r="B83" s="6" t="s">
        <v>115</v>
      </c>
      <c r="C83" s="6" t="s">
        <v>135</v>
      </c>
      <c r="D83" s="9" t="s">
        <v>184</v>
      </c>
      <c r="E83" s="7">
        <v>3</v>
      </c>
      <c r="F83" s="11" t="s">
        <v>627</v>
      </c>
    </row>
    <row r="84" spans="1:6" x14ac:dyDescent="0.25">
      <c r="A84" s="6">
        <v>83</v>
      </c>
      <c r="B84" s="6" t="s">
        <v>115</v>
      </c>
      <c r="C84" s="6" t="s">
        <v>135</v>
      </c>
      <c r="D84" s="9"/>
      <c r="E84" s="7"/>
      <c r="F84" s="11"/>
    </row>
    <row r="85" spans="1:6" x14ac:dyDescent="0.25">
      <c r="A85" s="6">
        <v>84</v>
      </c>
      <c r="B85" s="6" t="s">
        <v>115</v>
      </c>
      <c r="C85" s="6" t="s">
        <v>135</v>
      </c>
      <c r="D85" s="9"/>
      <c r="E85" s="7"/>
      <c r="F85" s="11"/>
    </row>
    <row r="86" spans="1:6" x14ac:dyDescent="0.25">
      <c r="A86" s="6">
        <v>85</v>
      </c>
      <c r="B86" s="6" t="s">
        <v>115</v>
      </c>
      <c r="C86" s="6" t="s">
        <v>135</v>
      </c>
      <c r="D86" s="9"/>
      <c r="E86" s="7"/>
      <c r="F86" s="11"/>
    </row>
    <row r="87" spans="1:6" x14ac:dyDescent="0.25">
      <c r="A87" s="6">
        <v>86</v>
      </c>
      <c r="B87" s="6" t="s">
        <v>115</v>
      </c>
      <c r="C87" s="6" t="s">
        <v>135</v>
      </c>
      <c r="D87" s="9"/>
      <c r="E87" s="7"/>
      <c r="F87" s="11"/>
    </row>
    <row r="88" spans="1:6" x14ac:dyDescent="0.25">
      <c r="A88" s="6">
        <v>87</v>
      </c>
      <c r="B88" s="6" t="s">
        <v>115</v>
      </c>
      <c r="C88" s="6" t="s">
        <v>136</v>
      </c>
      <c r="D88" s="9" t="s">
        <v>185</v>
      </c>
      <c r="E88" s="7">
        <v>20</v>
      </c>
      <c r="F88" s="11" t="s">
        <v>628</v>
      </c>
    </row>
    <row r="89" spans="1:6" x14ac:dyDescent="0.25">
      <c r="A89" s="6">
        <v>88</v>
      </c>
      <c r="B89" s="6" t="s">
        <v>115</v>
      </c>
      <c r="C89" s="6" t="s">
        <v>136</v>
      </c>
      <c r="D89" s="9"/>
      <c r="E89" s="7"/>
      <c r="F89" s="11"/>
    </row>
    <row r="90" spans="1:6" x14ac:dyDescent="0.25">
      <c r="A90" s="6">
        <v>89</v>
      </c>
      <c r="B90" s="6" t="s">
        <v>115</v>
      </c>
      <c r="C90" s="6" t="s">
        <v>136</v>
      </c>
      <c r="D90" s="9"/>
      <c r="E90" s="7"/>
      <c r="F90" s="11"/>
    </row>
    <row r="91" spans="1:6" x14ac:dyDescent="0.25">
      <c r="A91" s="6">
        <v>90</v>
      </c>
      <c r="B91" s="6" t="s">
        <v>115</v>
      </c>
      <c r="C91" s="6" t="s">
        <v>136</v>
      </c>
      <c r="D91" s="9"/>
      <c r="E91" s="7"/>
      <c r="F91" s="11"/>
    </row>
    <row r="92" spans="1:6" x14ac:dyDescent="0.25">
      <c r="A92" s="6">
        <v>91</v>
      </c>
      <c r="B92" s="6" t="s">
        <v>116</v>
      </c>
      <c r="C92" s="6" t="s">
        <v>135</v>
      </c>
      <c r="D92" s="9" t="s">
        <v>186</v>
      </c>
      <c r="E92" s="7">
        <v>5</v>
      </c>
      <c r="F92" s="11" t="s">
        <v>629</v>
      </c>
    </row>
    <row r="93" spans="1:6" x14ac:dyDescent="0.25">
      <c r="A93" s="6">
        <v>92</v>
      </c>
      <c r="B93" s="6" t="s">
        <v>116</v>
      </c>
      <c r="C93" s="6" t="s">
        <v>135</v>
      </c>
      <c r="D93" s="9" t="s">
        <v>187</v>
      </c>
      <c r="E93" s="7"/>
      <c r="F93" s="11" t="s">
        <v>630</v>
      </c>
    </row>
    <row r="94" spans="1:6" x14ac:dyDescent="0.25">
      <c r="A94" s="6">
        <v>93</v>
      </c>
      <c r="B94" s="6" t="s">
        <v>116</v>
      </c>
      <c r="C94" s="6" t="s">
        <v>135</v>
      </c>
      <c r="D94" s="9" t="s">
        <v>188</v>
      </c>
      <c r="E94" s="7"/>
      <c r="F94" s="11" t="s">
        <v>1199</v>
      </c>
    </row>
    <row r="95" spans="1:6" x14ac:dyDescent="0.25">
      <c r="A95" s="6">
        <v>94</v>
      </c>
      <c r="B95" s="6" t="s">
        <v>116</v>
      </c>
      <c r="C95" s="6" t="s">
        <v>135</v>
      </c>
      <c r="D95" s="9" t="s">
        <v>189</v>
      </c>
      <c r="E95" s="7"/>
      <c r="F95" s="11" t="s">
        <v>631</v>
      </c>
    </row>
    <row r="96" spans="1:6" x14ac:dyDescent="0.25">
      <c r="A96" s="6">
        <v>95</v>
      </c>
      <c r="B96" s="6" t="s">
        <v>116</v>
      </c>
      <c r="C96" s="6" t="s">
        <v>135</v>
      </c>
      <c r="D96" s="9" t="s">
        <v>190</v>
      </c>
      <c r="E96" s="7"/>
      <c r="F96" s="11" t="s">
        <v>632</v>
      </c>
    </row>
    <row r="97" spans="1:6" x14ac:dyDescent="0.25">
      <c r="A97" s="6">
        <v>96</v>
      </c>
      <c r="B97" s="6" t="s">
        <v>116</v>
      </c>
      <c r="C97" s="6" t="s">
        <v>135</v>
      </c>
      <c r="D97" s="9"/>
      <c r="E97" s="7"/>
      <c r="F97" s="11"/>
    </row>
    <row r="98" spans="1:6" x14ac:dyDescent="0.25">
      <c r="A98" s="6">
        <v>97</v>
      </c>
      <c r="B98" s="6" t="s">
        <v>116</v>
      </c>
      <c r="C98" s="6" t="s">
        <v>135</v>
      </c>
      <c r="D98" s="9"/>
      <c r="E98" s="7"/>
      <c r="F98" s="11"/>
    </row>
    <row r="99" spans="1:6" x14ac:dyDescent="0.25">
      <c r="A99" s="6">
        <v>98</v>
      </c>
      <c r="B99" s="6" t="s">
        <v>116</v>
      </c>
      <c r="C99" s="6" t="s">
        <v>135</v>
      </c>
      <c r="D99" s="9"/>
      <c r="E99" s="7"/>
      <c r="F99" s="11"/>
    </row>
    <row r="100" spans="1:6" x14ac:dyDescent="0.25">
      <c r="A100" s="6">
        <v>99</v>
      </c>
      <c r="B100" s="6" t="s">
        <v>116</v>
      </c>
      <c r="C100" s="6" t="s">
        <v>135</v>
      </c>
      <c r="D100" s="9"/>
      <c r="E100" s="7"/>
      <c r="F100" s="11"/>
    </row>
    <row r="101" spans="1:6" x14ac:dyDescent="0.25">
      <c r="A101" s="6">
        <v>100</v>
      </c>
      <c r="B101" s="6" t="s">
        <v>116</v>
      </c>
      <c r="C101" s="6" t="s">
        <v>136</v>
      </c>
      <c r="D101" s="9" t="s">
        <v>191</v>
      </c>
      <c r="E101" s="7">
        <v>10</v>
      </c>
      <c r="F101" s="11" t="s">
        <v>633</v>
      </c>
    </row>
    <row r="102" spans="1:6" x14ac:dyDescent="0.25">
      <c r="A102" s="6">
        <v>101</v>
      </c>
      <c r="B102" s="6" t="s">
        <v>116</v>
      </c>
      <c r="C102" s="6" t="s">
        <v>136</v>
      </c>
      <c r="D102" s="9" t="s">
        <v>192</v>
      </c>
      <c r="E102" s="7">
        <v>3</v>
      </c>
      <c r="F102" s="11" t="s">
        <v>199</v>
      </c>
    </row>
    <row r="103" spans="1:6" x14ac:dyDescent="0.25">
      <c r="A103" s="6">
        <v>102</v>
      </c>
      <c r="B103" s="6" t="s">
        <v>116</v>
      </c>
      <c r="C103" s="6" t="s">
        <v>136</v>
      </c>
      <c r="D103" s="9"/>
      <c r="E103" s="7"/>
      <c r="F103" s="11"/>
    </row>
    <row r="104" spans="1:6" x14ac:dyDescent="0.25">
      <c r="A104" s="6">
        <v>103</v>
      </c>
      <c r="B104" s="6" t="s">
        <v>116</v>
      </c>
      <c r="C104" s="6" t="s">
        <v>136</v>
      </c>
      <c r="D104" s="9"/>
      <c r="E104" s="7"/>
      <c r="F104" s="11"/>
    </row>
    <row r="105" spans="1:6" x14ac:dyDescent="0.25">
      <c r="A105" s="6">
        <v>104</v>
      </c>
      <c r="B105" s="6" t="s">
        <v>116</v>
      </c>
      <c r="C105" s="6" t="s">
        <v>136</v>
      </c>
      <c r="D105" s="9"/>
      <c r="E105" s="7"/>
      <c r="F105" s="11"/>
    </row>
    <row r="106" spans="1:6" x14ac:dyDescent="0.25">
      <c r="A106" s="6">
        <v>105</v>
      </c>
      <c r="B106" s="6" t="s">
        <v>116</v>
      </c>
      <c r="C106" s="6" t="s">
        <v>136</v>
      </c>
      <c r="D106" s="9"/>
      <c r="E106" s="7"/>
      <c r="F106" s="11"/>
    </row>
    <row r="107" spans="1:6" x14ac:dyDescent="0.25">
      <c r="A107" s="6">
        <v>106</v>
      </c>
      <c r="B107" s="6" t="s">
        <v>131</v>
      </c>
      <c r="C107" s="6" t="s">
        <v>135</v>
      </c>
      <c r="D107" s="9" t="s">
        <v>193</v>
      </c>
      <c r="E107" s="7">
        <v>5</v>
      </c>
      <c r="F107" s="11" t="s">
        <v>634</v>
      </c>
    </row>
    <row r="108" spans="1:6" x14ac:dyDescent="0.25">
      <c r="A108" s="6">
        <v>107</v>
      </c>
      <c r="B108" s="6" t="s">
        <v>131</v>
      </c>
      <c r="C108" s="6" t="s">
        <v>135</v>
      </c>
      <c r="D108" s="9" t="s">
        <v>194</v>
      </c>
      <c r="E108" s="7">
        <v>10</v>
      </c>
      <c r="F108" s="11" t="s">
        <v>1853</v>
      </c>
    </row>
    <row r="109" spans="1:6" x14ac:dyDescent="0.25">
      <c r="A109" s="6">
        <v>108</v>
      </c>
      <c r="B109" s="6" t="s">
        <v>131</v>
      </c>
      <c r="C109" s="6" t="s">
        <v>135</v>
      </c>
      <c r="D109" s="9" t="s">
        <v>195</v>
      </c>
      <c r="E109" s="7">
        <v>5</v>
      </c>
      <c r="F109" s="11" t="s">
        <v>635</v>
      </c>
    </row>
    <row r="110" spans="1:6" x14ac:dyDescent="0.25">
      <c r="A110" s="6">
        <v>109</v>
      </c>
      <c r="B110" s="6" t="s">
        <v>131</v>
      </c>
      <c r="C110" s="6" t="s">
        <v>135</v>
      </c>
      <c r="D110" s="9" t="s">
        <v>196</v>
      </c>
      <c r="E110" s="7">
        <v>5</v>
      </c>
      <c r="F110" s="11" t="s">
        <v>636</v>
      </c>
    </row>
    <row r="111" spans="1:6" x14ac:dyDescent="0.25">
      <c r="A111" s="6">
        <v>110</v>
      </c>
      <c r="B111" s="6" t="s">
        <v>131</v>
      </c>
      <c r="C111" s="6" t="s">
        <v>135</v>
      </c>
      <c r="D111" s="9"/>
      <c r="E111" s="7"/>
      <c r="F111" s="11"/>
    </row>
    <row r="112" spans="1:6" x14ac:dyDescent="0.25">
      <c r="A112" s="6">
        <v>111</v>
      </c>
      <c r="B112" s="6" t="s">
        <v>131</v>
      </c>
      <c r="C112" s="6" t="s">
        <v>135</v>
      </c>
      <c r="D112" s="9"/>
      <c r="E112" s="7"/>
      <c r="F112" s="11"/>
    </row>
    <row r="113" spans="1:6" x14ac:dyDescent="0.25">
      <c r="A113" s="6">
        <v>112</v>
      </c>
      <c r="B113" s="6" t="s">
        <v>131</v>
      </c>
      <c r="C113" s="6" t="s">
        <v>135</v>
      </c>
      <c r="D113" s="9"/>
      <c r="E113" s="7"/>
      <c r="F113" s="11"/>
    </row>
    <row r="114" spans="1:6" x14ac:dyDescent="0.25">
      <c r="A114" s="6">
        <v>113</v>
      </c>
      <c r="B114" s="6" t="s">
        <v>131</v>
      </c>
      <c r="C114" s="6" t="s">
        <v>135</v>
      </c>
      <c r="D114" s="9"/>
      <c r="E114" s="7"/>
      <c r="F114" s="11"/>
    </row>
    <row r="115" spans="1:6" x14ac:dyDescent="0.25">
      <c r="A115" s="6">
        <v>114</v>
      </c>
      <c r="B115" s="6" t="s">
        <v>131</v>
      </c>
      <c r="C115" s="6" t="s">
        <v>135</v>
      </c>
      <c r="D115" s="9"/>
      <c r="E115" s="7"/>
      <c r="F115" s="11"/>
    </row>
    <row r="116" spans="1:6" x14ac:dyDescent="0.25">
      <c r="A116" s="6">
        <v>115</v>
      </c>
      <c r="B116" s="6" t="s">
        <v>131</v>
      </c>
      <c r="C116" s="6" t="s">
        <v>135</v>
      </c>
      <c r="D116" s="9"/>
      <c r="E116" s="7"/>
      <c r="F116" s="11"/>
    </row>
    <row r="117" spans="1:6" x14ac:dyDescent="0.25">
      <c r="A117" s="6">
        <v>116</v>
      </c>
      <c r="B117" s="6" t="s">
        <v>131</v>
      </c>
      <c r="C117" s="6" t="s">
        <v>135</v>
      </c>
      <c r="D117" s="9"/>
      <c r="E117" s="7"/>
      <c r="F117" s="11"/>
    </row>
    <row r="118" spans="1:6" x14ac:dyDescent="0.25">
      <c r="A118" s="6">
        <v>117</v>
      </c>
      <c r="B118" s="6" t="s">
        <v>131</v>
      </c>
      <c r="C118" s="6" t="s">
        <v>135</v>
      </c>
      <c r="D118" s="9"/>
      <c r="E118" s="7"/>
      <c r="F118" s="11"/>
    </row>
    <row r="119" spans="1:6" x14ac:dyDescent="0.25">
      <c r="A119" s="6">
        <v>118</v>
      </c>
      <c r="B119" s="6" t="s">
        <v>131</v>
      </c>
      <c r="C119" s="6" t="s">
        <v>136</v>
      </c>
      <c r="D119" s="9" t="s">
        <v>197</v>
      </c>
      <c r="E119" s="7">
        <v>10</v>
      </c>
      <c r="F119" s="11" t="s">
        <v>637</v>
      </c>
    </row>
    <row r="120" spans="1:6" x14ac:dyDescent="0.25">
      <c r="A120" s="6">
        <v>119</v>
      </c>
      <c r="B120" s="6" t="s">
        <v>131</v>
      </c>
      <c r="C120" s="6" t="s">
        <v>136</v>
      </c>
      <c r="D120" s="9"/>
      <c r="E120" s="7"/>
      <c r="F120" s="11"/>
    </row>
    <row r="121" spans="1:6" x14ac:dyDescent="0.25">
      <c r="A121" s="6">
        <v>120</v>
      </c>
      <c r="B121" s="6" t="s">
        <v>131</v>
      </c>
      <c r="C121" s="6" t="s">
        <v>136</v>
      </c>
      <c r="D121" s="9"/>
      <c r="E121" s="7"/>
      <c r="F121" s="11"/>
    </row>
    <row r="122" spans="1:6" x14ac:dyDescent="0.25">
      <c r="A122" s="6">
        <v>121</v>
      </c>
      <c r="B122" s="6" t="s">
        <v>131</v>
      </c>
      <c r="C122" s="6" t="s">
        <v>136</v>
      </c>
      <c r="D122" s="9"/>
      <c r="E122" s="7"/>
      <c r="F122" s="11"/>
    </row>
    <row r="123" spans="1:6" x14ac:dyDescent="0.25">
      <c r="A123" s="6">
        <v>122</v>
      </c>
      <c r="B123" s="6" t="s">
        <v>131</v>
      </c>
      <c r="C123" s="6" t="s">
        <v>136</v>
      </c>
      <c r="D123" s="9"/>
      <c r="E123" s="7"/>
      <c r="F123" s="11"/>
    </row>
    <row r="124" spans="1:6" x14ac:dyDescent="0.25">
      <c r="A124" s="6">
        <v>123</v>
      </c>
      <c r="B124" s="6" t="s">
        <v>132</v>
      </c>
      <c r="C124" s="6" t="s">
        <v>135</v>
      </c>
      <c r="D124" s="9" t="s">
        <v>1855</v>
      </c>
      <c r="E124" s="7">
        <v>3</v>
      </c>
      <c r="F124" s="11" t="s">
        <v>1856</v>
      </c>
    </row>
    <row r="125" spans="1:6" x14ac:dyDescent="0.25">
      <c r="A125" s="6">
        <v>124</v>
      </c>
      <c r="B125" s="6" t="s">
        <v>132</v>
      </c>
      <c r="C125" s="6" t="s">
        <v>135</v>
      </c>
      <c r="D125" s="9"/>
      <c r="E125" s="7"/>
      <c r="F125" s="11"/>
    </row>
    <row r="126" spans="1:6" x14ac:dyDescent="0.25">
      <c r="A126" s="6">
        <v>125</v>
      </c>
      <c r="B126" s="6" t="s">
        <v>132</v>
      </c>
      <c r="C126" s="6" t="s">
        <v>135</v>
      </c>
      <c r="D126" s="9"/>
      <c r="E126" s="7"/>
      <c r="F126" s="11"/>
    </row>
    <row r="127" spans="1:6" x14ac:dyDescent="0.25">
      <c r="A127" s="6">
        <v>126</v>
      </c>
      <c r="B127" s="6" t="s">
        <v>132</v>
      </c>
      <c r="C127" s="6" t="s">
        <v>135</v>
      </c>
      <c r="D127" s="9"/>
      <c r="E127" s="7"/>
      <c r="F127" s="11"/>
    </row>
    <row r="128" spans="1:6" x14ac:dyDescent="0.25">
      <c r="A128" s="6">
        <v>127</v>
      </c>
      <c r="B128" s="6" t="s">
        <v>132</v>
      </c>
      <c r="C128" s="6" t="s">
        <v>135</v>
      </c>
      <c r="D128" s="9"/>
      <c r="E128" s="7"/>
      <c r="F128" s="11"/>
    </row>
    <row r="129" spans="1:6" x14ac:dyDescent="0.25">
      <c r="A129" s="6">
        <v>128</v>
      </c>
      <c r="B129" s="6" t="s">
        <v>132</v>
      </c>
      <c r="C129" s="6" t="s">
        <v>135</v>
      </c>
      <c r="D129" s="9"/>
      <c r="E129" s="7"/>
      <c r="F129" s="11"/>
    </row>
    <row r="130" spans="1:6" x14ac:dyDescent="0.25">
      <c r="A130" s="6">
        <v>129</v>
      </c>
      <c r="B130" s="6" t="s">
        <v>132</v>
      </c>
      <c r="C130" s="6" t="s">
        <v>135</v>
      </c>
      <c r="D130" s="9"/>
      <c r="E130" s="7"/>
      <c r="F130" s="11"/>
    </row>
    <row r="131" spans="1:6" x14ac:dyDescent="0.25">
      <c r="A131" s="6">
        <v>130</v>
      </c>
      <c r="B131" s="6" t="s">
        <v>132</v>
      </c>
      <c r="C131" s="6" t="s">
        <v>135</v>
      </c>
      <c r="D131" s="9"/>
      <c r="E131" s="7"/>
      <c r="F131" s="11"/>
    </row>
    <row r="132" spans="1:6" x14ac:dyDescent="0.25">
      <c r="A132" s="6">
        <v>131</v>
      </c>
      <c r="B132" s="6" t="s">
        <v>132</v>
      </c>
      <c r="C132" s="6" t="s">
        <v>135</v>
      </c>
      <c r="D132" s="9"/>
      <c r="E132" s="7"/>
      <c r="F132" s="11"/>
    </row>
    <row r="133" spans="1:6" x14ac:dyDescent="0.25">
      <c r="A133" s="6">
        <v>132</v>
      </c>
      <c r="B133" s="6" t="s">
        <v>132</v>
      </c>
      <c r="C133" s="6" t="s">
        <v>135</v>
      </c>
      <c r="D133" s="9"/>
      <c r="E133" s="7"/>
      <c r="F133" s="11"/>
    </row>
    <row r="134" spans="1:6" x14ac:dyDescent="0.25">
      <c r="A134" s="6">
        <v>133</v>
      </c>
      <c r="B134" s="6" t="s">
        <v>132</v>
      </c>
      <c r="C134" s="6" t="s">
        <v>135</v>
      </c>
      <c r="D134" s="9"/>
      <c r="E134" s="7"/>
      <c r="F134" s="11"/>
    </row>
    <row r="135" spans="1:6" x14ac:dyDescent="0.25">
      <c r="A135" s="6">
        <v>134</v>
      </c>
      <c r="B135" s="6" t="s">
        <v>132</v>
      </c>
      <c r="C135" s="6" t="s">
        <v>135</v>
      </c>
      <c r="D135" s="9"/>
      <c r="E135" s="7"/>
      <c r="F135" s="11"/>
    </row>
    <row r="136" spans="1:6" x14ac:dyDescent="0.25">
      <c r="A136" s="6">
        <v>135</v>
      </c>
      <c r="B136" s="6" t="s">
        <v>132</v>
      </c>
      <c r="C136" s="6" t="s">
        <v>135</v>
      </c>
      <c r="D136" s="9"/>
      <c r="E136" s="7"/>
      <c r="F136" s="11"/>
    </row>
    <row r="137" spans="1:6" x14ac:dyDescent="0.25">
      <c r="A137" s="6">
        <v>136</v>
      </c>
      <c r="B137" s="6" t="s">
        <v>132</v>
      </c>
      <c r="C137" s="6" t="s">
        <v>135</v>
      </c>
      <c r="D137" s="9"/>
      <c r="E137" s="7"/>
      <c r="F137" s="11"/>
    </row>
    <row r="138" spans="1:6" x14ac:dyDescent="0.25">
      <c r="A138" s="6">
        <v>137</v>
      </c>
      <c r="B138" s="6" t="s">
        <v>132</v>
      </c>
      <c r="C138" s="6" t="s">
        <v>135</v>
      </c>
      <c r="D138" s="9"/>
      <c r="E138" s="7"/>
      <c r="F138" s="11"/>
    </row>
    <row r="139" spans="1:6" x14ac:dyDescent="0.25">
      <c r="A139" s="6">
        <v>138</v>
      </c>
      <c r="B139" s="6" t="s">
        <v>132</v>
      </c>
      <c r="C139" s="6" t="s">
        <v>136</v>
      </c>
      <c r="D139" s="9"/>
      <c r="E139" s="7"/>
      <c r="F139" s="11"/>
    </row>
    <row r="140" spans="1:6" x14ac:dyDescent="0.25">
      <c r="A140" s="6">
        <v>139</v>
      </c>
      <c r="B140" s="6" t="s">
        <v>132</v>
      </c>
      <c r="C140" s="6" t="s">
        <v>136</v>
      </c>
      <c r="D140" s="9"/>
      <c r="E140" s="7"/>
      <c r="F140" s="11"/>
    </row>
    <row r="141" spans="1:6" x14ac:dyDescent="0.25">
      <c r="A141" s="6">
        <v>140</v>
      </c>
      <c r="B141" s="6" t="s">
        <v>132</v>
      </c>
      <c r="C141" s="6" t="s">
        <v>136</v>
      </c>
      <c r="D141" s="9"/>
      <c r="E141" s="7"/>
      <c r="F141" s="11"/>
    </row>
    <row r="142" spans="1:6" x14ac:dyDescent="0.25">
      <c r="A142" s="6">
        <v>141</v>
      </c>
      <c r="B142" s="6" t="s">
        <v>132</v>
      </c>
      <c r="C142" s="6" t="s">
        <v>136</v>
      </c>
      <c r="D142" s="9"/>
      <c r="E142" s="7"/>
      <c r="F142" s="11"/>
    </row>
    <row r="143" spans="1:6" x14ac:dyDescent="0.25">
      <c r="A143" s="6">
        <v>142</v>
      </c>
      <c r="B143" s="6" t="s">
        <v>133</v>
      </c>
      <c r="C143" s="6" t="s">
        <v>135</v>
      </c>
      <c r="D143" s="9" t="s">
        <v>1857</v>
      </c>
      <c r="E143" s="7">
        <v>3</v>
      </c>
      <c r="F143" s="11" t="s">
        <v>1858</v>
      </c>
    </row>
    <row r="144" spans="1:6" x14ac:dyDescent="0.25">
      <c r="A144" s="6">
        <v>143</v>
      </c>
      <c r="B144" s="6" t="s">
        <v>133</v>
      </c>
      <c r="C144" s="6" t="s">
        <v>135</v>
      </c>
      <c r="D144" s="9"/>
      <c r="E144" s="7"/>
      <c r="F144" s="11"/>
    </row>
    <row r="145" spans="1:6" x14ac:dyDescent="0.25">
      <c r="A145" s="6">
        <v>144</v>
      </c>
      <c r="B145" s="6" t="s">
        <v>133</v>
      </c>
      <c r="C145" s="6" t="s">
        <v>135</v>
      </c>
      <c r="D145" s="9"/>
      <c r="E145" s="7"/>
      <c r="F145" s="11"/>
    </row>
    <row r="146" spans="1:6" x14ac:dyDescent="0.25">
      <c r="A146" s="6">
        <v>145</v>
      </c>
      <c r="B146" s="6" t="s">
        <v>133</v>
      </c>
      <c r="C146" s="6" t="s">
        <v>135</v>
      </c>
      <c r="D146" s="9"/>
      <c r="E146" s="7"/>
      <c r="F146" s="11"/>
    </row>
    <row r="147" spans="1:6" x14ac:dyDescent="0.25">
      <c r="A147" s="6">
        <v>146</v>
      </c>
      <c r="B147" s="6" t="s">
        <v>133</v>
      </c>
      <c r="C147" s="6" t="s">
        <v>135</v>
      </c>
      <c r="D147" s="9"/>
      <c r="E147" s="7"/>
      <c r="F147" s="11"/>
    </row>
    <row r="148" spans="1:6" x14ac:dyDescent="0.25">
      <c r="A148" s="6">
        <v>147</v>
      </c>
      <c r="B148" s="6" t="s">
        <v>133</v>
      </c>
      <c r="C148" s="6" t="s">
        <v>135</v>
      </c>
      <c r="D148" s="9"/>
      <c r="E148" s="7"/>
      <c r="F148" s="11"/>
    </row>
    <row r="149" spans="1:6" x14ac:dyDescent="0.25">
      <c r="A149" s="6">
        <v>148</v>
      </c>
      <c r="B149" s="6" t="s">
        <v>133</v>
      </c>
      <c r="C149" s="6" t="s">
        <v>135</v>
      </c>
      <c r="D149" s="9"/>
      <c r="E149" s="7"/>
      <c r="F149" s="11"/>
    </row>
    <row r="150" spans="1:6" x14ac:dyDescent="0.25">
      <c r="A150" s="6">
        <v>149</v>
      </c>
      <c r="B150" s="6" t="s">
        <v>133</v>
      </c>
      <c r="C150" s="6" t="s">
        <v>135</v>
      </c>
      <c r="D150" s="9"/>
      <c r="E150" s="7"/>
      <c r="F150" s="11"/>
    </row>
    <row r="151" spans="1:6" x14ac:dyDescent="0.25">
      <c r="A151" s="6">
        <v>150</v>
      </c>
      <c r="B151" s="6" t="s">
        <v>133</v>
      </c>
      <c r="C151" s="6" t="s">
        <v>135</v>
      </c>
      <c r="D151" s="9"/>
      <c r="E151" s="7"/>
      <c r="F151" s="11"/>
    </row>
    <row r="152" spans="1:6" x14ac:dyDescent="0.25">
      <c r="A152" s="6">
        <v>151</v>
      </c>
      <c r="B152" s="6" t="s">
        <v>133</v>
      </c>
      <c r="C152" s="6" t="s">
        <v>135</v>
      </c>
      <c r="D152" s="9"/>
      <c r="E152" s="7"/>
      <c r="F152" s="11"/>
    </row>
    <row r="153" spans="1:6" x14ac:dyDescent="0.25">
      <c r="A153" s="6">
        <v>152</v>
      </c>
      <c r="B153" s="6" t="s">
        <v>133</v>
      </c>
      <c r="C153" s="6" t="s">
        <v>135</v>
      </c>
      <c r="D153" s="9"/>
      <c r="E153" s="7"/>
      <c r="F153" s="11"/>
    </row>
    <row r="154" spans="1:6" x14ac:dyDescent="0.25">
      <c r="A154" s="6">
        <v>153</v>
      </c>
      <c r="B154" s="6" t="s">
        <v>133</v>
      </c>
      <c r="C154" s="6" t="s">
        <v>135</v>
      </c>
      <c r="D154" s="9"/>
      <c r="E154" s="7"/>
      <c r="F154" s="11"/>
    </row>
    <row r="155" spans="1:6" x14ac:dyDescent="0.25">
      <c r="A155" s="6">
        <v>154</v>
      </c>
      <c r="B155" s="6" t="s">
        <v>133</v>
      </c>
      <c r="C155" s="6" t="s">
        <v>135</v>
      </c>
      <c r="D155" s="9"/>
      <c r="E155" s="7"/>
      <c r="F155" s="11"/>
    </row>
    <row r="156" spans="1:6" x14ac:dyDescent="0.25">
      <c r="A156" s="6">
        <v>155</v>
      </c>
      <c r="B156" s="6" t="s">
        <v>133</v>
      </c>
      <c r="C156" s="6" t="s">
        <v>136</v>
      </c>
      <c r="D156" s="9"/>
      <c r="E156" s="7"/>
      <c r="F156" s="11"/>
    </row>
    <row r="157" spans="1:6" x14ac:dyDescent="0.25">
      <c r="A157" s="6">
        <v>156</v>
      </c>
      <c r="B157" s="6" t="s">
        <v>133</v>
      </c>
      <c r="C157" s="6" t="s">
        <v>136</v>
      </c>
      <c r="D157" s="9"/>
      <c r="E157" s="7"/>
      <c r="F157" s="11"/>
    </row>
    <row r="158" spans="1:6" x14ac:dyDescent="0.25">
      <c r="A158" s="6">
        <v>157</v>
      </c>
      <c r="B158" s="6" t="s">
        <v>133</v>
      </c>
      <c r="C158" s="6" t="s">
        <v>136</v>
      </c>
      <c r="D158" s="9"/>
      <c r="E158" s="7"/>
      <c r="F158" s="11"/>
    </row>
    <row r="159" spans="1:6" x14ac:dyDescent="0.25">
      <c r="A159" s="6">
        <v>158</v>
      </c>
      <c r="B159" s="6" t="s">
        <v>133</v>
      </c>
      <c r="C159" s="6" t="s">
        <v>136</v>
      </c>
      <c r="D159" s="9"/>
      <c r="E159" s="7"/>
      <c r="F159" s="11"/>
    </row>
    <row r="160" spans="1:6" x14ac:dyDescent="0.25">
      <c r="A160" s="6">
        <v>159</v>
      </c>
      <c r="B160" s="6" t="s">
        <v>133</v>
      </c>
      <c r="C160" s="6" t="s">
        <v>136</v>
      </c>
      <c r="D160" s="9"/>
      <c r="E160" s="7"/>
      <c r="F160" s="11"/>
    </row>
    <row r="161" spans="1:6" x14ac:dyDescent="0.25">
      <c r="A161" s="6">
        <v>160</v>
      </c>
      <c r="B161" s="6" t="s">
        <v>133</v>
      </c>
      <c r="C161" s="6" t="s">
        <v>136</v>
      </c>
      <c r="D161" s="9"/>
      <c r="E161" s="7"/>
      <c r="F161" s="11"/>
    </row>
    <row r="162" spans="1:6" x14ac:dyDescent="0.25">
      <c r="A162" s="6">
        <v>161</v>
      </c>
      <c r="B162" s="6" t="s">
        <v>134</v>
      </c>
      <c r="C162" s="6" t="s">
        <v>135</v>
      </c>
      <c r="D162" s="9" t="s">
        <v>1859</v>
      </c>
      <c r="E162" s="7">
        <v>2</v>
      </c>
      <c r="F162" s="11" t="s">
        <v>1860</v>
      </c>
    </row>
    <row r="163" spans="1:6" x14ac:dyDescent="0.25">
      <c r="A163" s="6">
        <v>162</v>
      </c>
      <c r="B163" s="6" t="s">
        <v>134</v>
      </c>
      <c r="C163" s="6" t="s">
        <v>135</v>
      </c>
      <c r="D163" s="9"/>
      <c r="E163" s="7"/>
      <c r="F163" s="11"/>
    </row>
    <row r="164" spans="1:6" x14ac:dyDescent="0.25">
      <c r="A164" s="6">
        <v>163</v>
      </c>
      <c r="B164" s="6" t="s">
        <v>134</v>
      </c>
      <c r="C164" s="6" t="s">
        <v>135</v>
      </c>
      <c r="D164" s="9"/>
      <c r="E164" s="7"/>
      <c r="F164" s="11"/>
    </row>
    <row r="165" spans="1:6" x14ac:dyDescent="0.25">
      <c r="A165" s="6">
        <v>164</v>
      </c>
      <c r="B165" s="6" t="s">
        <v>134</v>
      </c>
      <c r="C165" s="6" t="s">
        <v>135</v>
      </c>
      <c r="D165" s="9"/>
      <c r="E165" s="7"/>
      <c r="F165" s="11"/>
    </row>
    <row r="166" spans="1:6" x14ac:dyDescent="0.25">
      <c r="A166" s="6">
        <v>165</v>
      </c>
      <c r="B166" s="6" t="s">
        <v>134</v>
      </c>
      <c r="C166" s="6" t="s">
        <v>135</v>
      </c>
      <c r="D166" s="9"/>
      <c r="E166" s="7"/>
      <c r="F166" s="11"/>
    </row>
    <row r="167" spans="1:6" x14ac:dyDescent="0.25">
      <c r="A167" s="6">
        <v>166</v>
      </c>
      <c r="B167" s="6" t="s">
        <v>134</v>
      </c>
      <c r="C167" s="6" t="s">
        <v>135</v>
      </c>
      <c r="D167" s="9"/>
      <c r="E167" s="7"/>
      <c r="F167" s="11"/>
    </row>
    <row r="168" spans="1:6" x14ac:dyDescent="0.25">
      <c r="A168" s="6">
        <v>167</v>
      </c>
      <c r="B168" s="6" t="s">
        <v>134</v>
      </c>
      <c r="C168" s="6" t="s">
        <v>135</v>
      </c>
      <c r="D168" s="9"/>
      <c r="E168" s="7"/>
      <c r="F168" s="11"/>
    </row>
    <row r="169" spans="1:6" x14ac:dyDescent="0.25">
      <c r="A169" s="6">
        <v>168</v>
      </c>
      <c r="B169" s="6" t="s">
        <v>134</v>
      </c>
      <c r="C169" s="6" t="s">
        <v>135</v>
      </c>
      <c r="D169" s="9"/>
      <c r="E169" s="7"/>
      <c r="F169" s="11"/>
    </row>
    <row r="170" spans="1:6" x14ac:dyDescent="0.25">
      <c r="A170" s="6">
        <v>169</v>
      </c>
      <c r="B170" s="6" t="s">
        <v>134</v>
      </c>
      <c r="C170" s="6" t="s">
        <v>135</v>
      </c>
      <c r="D170" s="9"/>
      <c r="E170" s="7"/>
      <c r="F170" s="11"/>
    </row>
    <row r="171" spans="1:6" x14ac:dyDescent="0.25">
      <c r="A171" s="6">
        <v>170</v>
      </c>
      <c r="B171" s="6" t="s">
        <v>134</v>
      </c>
      <c r="C171" s="6" t="s">
        <v>135</v>
      </c>
      <c r="D171" s="9"/>
      <c r="E171" s="7"/>
      <c r="F171" s="11"/>
    </row>
    <row r="172" spans="1:6" x14ac:dyDescent="0.25">
      <c r="A172" s="6">
        <v>171</v>
      </c>
      <c r="B172" s="6" t="s">
        <v>134</v>
      </c>
      <c r="C172" s="6" t="s">
        <v>136</v>
      </c>
      <c r="D172" s="9"/>
      <c r="E172" s="7"/>
      <c r="F172" s="11"/>
    </row>
    <row r="173" spans="1:6" x14ac:dyDescent="0.25">
      <c r="A173" s="6">
        <v>172</v>
      </c>
      <c r="B173" s="6" t="s">
        <v>134</v>
      </c>
      <c r="C173" s="6" t="s">
        <v>136</v>
      </c>
      <c r="D173" s="9"/>
      <c r="E173" s="7"/>
      <c r="F173" s="11"/>
    </row>
    <row r="174" spans="1:6" x14ac:dyDescent="0.25">
      <c r="A174" s="6">
        <v>173</v>
      </c>
      <c r="B174" s="6" t="s">
        <v>134</v>
      </c>
      <c r="C174" s="6" t="s">
        <v>136</v>
      </c>
      <c r="D174" s="9"/>
      <c r="E174" s="7"/>
      <c r="F174" s="11"/>
    </row>
    <row r="175" spans="1:6" x14ac:dyDescent="0.25">
      <c r="A175" s="6">
        <v>174</v>
      </c>
      <c r="B175" s="6" t="s">
        <v>134</v>
      </c>
      <c r="C175" s="6" t="s">
        <v>136</v>
      </c>
      <c r="D175" s="9"/>
      <c r="E175" s="7"/>
      <c r="F175" s="11"/>
    </row>
    <row r="176" spans="1:6" x14ac:dyDescent="0.25">
      <c r="A176" s="6">
        <v>175</v>
      </c>
      <c r="B176" s="6" t="s">
        <v>134</v>
      </c>
      <c r="C176" s="6" t="s">
        <v>136</v>
      </c>
      <c r="D176" s="9"/>
      <c r="E176" s="7"/>
      <c r="F176" s="11"/>
    </row>
    <row r="177" spans="1:6" x14ac:dyDescent="0.25">
      <c r="A177" s="6">
        <v>176</v>
      </c>
      <c r="B177" s="6" t="s">
        <v>134</v>
      </c>
      <c r="C177" s="6" t="s">
        <v>136</v>
      </c>
      <c r="D177" s="9"/>
      <c r="E177" s="7"/>
      <c r="F177" s="11"/>
    </row>
    <row r="178" spans="1:6" x14ac:dyDescent="0.25">
      <c r="A178" s="6">
        <v>177</v>
      </c>
      <c r="B178" s="6" t="s">
        <v>134</v>
      </c>
      <c r="C178" s="6" t="s">
        <v>136</v>
      </c>
      <c r="D178" s="9"/>
      <c r="E178" s="7"/>
      <c r="F178" s="11"/>
    </row>
    <row r="179" spans="1:6" x14ac:dyDescent="0.25">
      <c r="A179" s="6">
        <v>178</v>
      </c>
      <c r="B179" s="6" t="s">
        <v>134</v>
      </c>
      <c r="C179" s="6" t="s">
        <v>136</v>
      </c>
      <c r="D179" s="9"/>
      <c r="E179" s="7"/>
      <c r="F179" s="11"/>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3046B-1511-458E-A7D6-D409F59A4A31}">
  <sheetPr codeName="Sheet10"/>
  <dimension ref="A1:G21"/>
  <sheetViews>
    <sheetView workbookViewId="0">
      <selection activeCell="D26" sqref="D26"/>
    </sheetView>
  </sheetViews>
  <sheetFormatPr defaultColWidth="12.77734375" defaultRowHeight="15.6" x14ac:dyDescent="0.25"/>
  <cols>
    <col min="1" max="1" width="12.77734375" style="1"/>
    <col min="2" max="2" width="17.109375" style="2" bestFit="1" customWidth="1"/>
    <col min="3" max="3" width="17.109375" style="2" customWidth="1"/>
    <col min="4" max="4" width="52.77734375" style="2" bestFit="1" customWidth="1"/>
    <col min="5" max="5" width="61.5546875" style="2" bestFit="1" customWidth="1"/>
    <col min="6" max="6" width="20.109375" style="2" bestFit="1" customWidth="1"/>
    <col min="7" max="7" width="18.5546875" style="2" customWidth="1"/>
    <col min="8" max="16384" width="12.77734375" style="2"/>
  </cols>
  <sheetData>
    <row r="1" spans="1:7" s="1" customFormat="1" x14ac:dyDescent="0.25">
      <c r="A1" s="6" t="s">
        <v>41</v>
      </c>
      <c r="B1" s="9" t="s">
        <v>43</v>
      </c>
      <c r="C1" s="7" t="s">
        <v>641</v>
      </c>
      <c r="D1" s="6" t="s">
        <v>35</v>
      </c>
      <c r="E1" s="6" t="s">
        <v>36</v>
      </c>
      <c r="F1" s="6" t="s">
        <v>37</v>
      </c>
      <c r="G1" s="6" t="s">
        <v>38</v>
      </c>
    </row>
    <row r="2" spans="1:7" x14ac:dyDescent="0.25">
      <c r="A2" s="6">
        <v>1</v>
      </c>
      <c r="B2" s="14" t="s">
        <v>239</v>
      </c>
      <c r="C2" s="7">
        <v>3</v>
      </c>
      <c r="D2" s="11" t="s">
        <v>240</v>
      </c>
      <c r="E2" s="11"/>
      <c r="F2" s="11"/>
      <c r="G2" s="11"/>
    </row>
    <row r="3" spans="1:7" x14ac:dyDescent="0.25">
      <c r="A3" s="6">
        <v>2</v>
      </c>
      <c r="B3" s="14" t="s">
        <v>391</v>
      </c>
      <c r="C3" s="7">
        <v>2</v>
      </c>
      <c r="D3" s="11" t="s">
        <v>390</v>
      </c>
      <c r="E3" s="11"/>
      <c r="F3" s="11"/>
      <c r="G3" s="11"/>
    </row>
    <row r="4" spans="1:7" x14ac:dyDescent="0.25">
      <c r="A4" s="6">
        <v>3</v>
      </c>
      <c r="B4" s="14" t="s">
        <v>277</v>
      </c>
      <c r="C4" s="7">
        <v>3</v>
      </c>
      <c r="D4" s="11" t="s">
        <v>341</v>
      </c>
      <c r="E4" s="11" t="s">
        <v>278</v>
      </c>
      <c r="F4" s="11"/>
      <c r="G4" s="11"/>
    </row>
    <row r="5" spans="1:7" x14ac:dyDescent="0.25">
      <c r="A5" s="6">
        <v>4</v>
      </c>
      <c r="B5" s="14" t="s">
        <v>340</v>
      </c>
      <c r="C5" s="7">
        <v>5</v>
      </c>
      <c r="D5" s="11" t="s">
        <v>1854</v>
      </c>
      <c r="E5" s="11" t="s">
        <v>691</v>
      </c>
      <c r="F5" s="11"/>
      <c r="G5" s="11"/>
    </row>
    <row r="6" spans="1:7" x14ac:dyDescent="0.25">
      <c r="A6" s="6">
        <v>5</v>
      </c>
      <c r="B6" s="14" t="s">
        <v>484</v>
      </c>
      <c r="C6" s="7">
        <v>3</v>
      </c>
      <c r="D6" s="11" t="s">
        <v>485</v>
      </c>
      <c r="E6" s="11"/>
      <c r="F6" s="11"/>
      <c r="G6" s="11"/>
    </row>
    <row r="7" spans="1:7" x14ac:dyDescent="0.25">
      <c r="A7" s="6">
        <v>6</v>
      </c>
      <c r="B7" s="14" t="s">
        <v>492</v>
      </c>
      <c r="C7" s="7">
        <v>3</v>
      </c>
      <c r="D7" s="11" t="s">
        <v>493</v>
      </c>
      <c r="E7" s="11" t="s">
        <v>494</v>
      </c>
      <c r="F7" s="11" t="s">
        <v>342</v>
      </c>
      <c r="G7" s="11"/>
    </row>
    <row r="8" spans="1:7" x14ac:dyDescent="0.25">
      <c r="A8" s="6">
        <v>7</v>
      </c>
      <c r="B8" s="14" t="s">
        <v>511</v>
      </c>
      <c r="C8" s="7">
        <v>3</v>
      </c>
      <c r="D8" s="11" t="s">
        <v>514</v>
      </c>
      <c r="E8" s="11"/>
      <c r="F8" s="11"/>
      <c r="G8" s="11"/>
    </row>
    <row r="9" spans="1:7" x14ac:dyDescent="0.25">
      <c r="A9" s="6">
        <v>8</v>
      </c>
      <c r="B9" s="14" t="s">
        <v>542</v>
      </c>
      <c r="C9" s="7">
        <v>3</v>
      </c>
      <c r="D9" s="11" t="s">
        <v>692</v>
      </c>
      <c r="E9" s="11" t="s">
        <v>543</v>
      </c>
      <c r="F9" s="11"/>
      <c r="G9" s="11"/>
    </row>
    <row r="10" spans="1:7" x14ac:dyDescent="0.25">
      <c r="A10" s="6">
        <v>9</v>
      </c>
      <c r="B10" s="14" t="s">
        <v>563</v>
      </c>
      <c r="C10" s="7">
        <v>5</v>
      </c>
      <c r="D10" s="11" t="s">
        <v>564</v>
      </c>
      <c r="E10" s="11" t="s">
        <v>1942</v>
      </c>
      <c r="F10" s="11"/>
      <c r="G10" s="11"/>
    </row>
    <row r="11" spans="1:7" x14ac:dyDescent="0.25">
      <c r="A11" s="6">
        <v>10</v>
      </c>
      <c r="B11" s="14" t="s">
        <v>669</v>
      </c>
      <c r="C11" s="7">
        <v>1</v>
      </c>
      <c r="D11" s="11" t="s">
        <v>846</v>
      </c>
      <c r="E11" s="11" t="s">
        <v>847</v>
      </c>
      <c r="F11" s="11" t="s">
        <v>848</v>
      </c>
      <c r="G11" s="11"/>
    </row>
    <row r="12" spans="1:7" x14ac:dyDescent="0.25">
      <c r="A12" s="6">
        <v>11</v>
      </c>
      <c r="B12" s="14" t="s">
        <v>687</v>
      </c>
      <c r="C12" s="7">
        <v>2</v>
      </c>
      <c r="D12" s="11" t="s">
        <v>688</v>
      </c>
      <c r="E12" s="11" t="s">
        <v>689</v>
      </c>
      <c r="F12" s="11"/>
      <c r="G12" s="11"/>
    </row>
    <row r="13" spans="1:7" x14ac:dyDescent="0.25">
      <c r="A13" s="6">
        <v>12</v>
      </c>
      <c r="B13" s="14" t="s">
        <v>722</v>
      </c>
      <c r="C13" s="7">
        <v>4</v>
      </c>
      <c r="D13" s="11" t="s">
        <v>723</v>
      </c>
      <c r="E13" s="11" t="s">
        <v>724</v>
      </c>
      <c r="F13" s="11"/>
      <c r="G13" s="11"/>
    </row>
    <row r="14" spans="1:7" x14ac:dyDescent="0.25">
      <c r="A14" s="6">
        <v>13</v>
      </c>
      <c r="B14" s="14" t="s">
        <v>785</v>
      </c>
      <c r="C14" s="7">
        <v>4</v>
      </c>
      <c r="D14" s="11" t="s">
        <v>786</v>
      </c>
      <c r="E14" s="11" t="s">
        <v>342</v>
      </c>
      <c r="F14" s="11"/>
      <c r="G14" s="11"/>
    </row>
    <row r="15" spans="1:7" x14ac:dyDescent="0.25">
      <c r="A15" s="6">
        <v>14</v>
      </c>
      <c r="B15" s="14" t="s">
        <v>799</v>
      </c>
      <c r="C15" s="7">
        <v>3</v>
      </c>
      <c r="D15" s="11" t="s">
        <v>1180</v>
      </c>
      <c r="E15" s="11" t="s">
        <v>1181</v>
      </c>
      <c r="F15" s="11" t="s">
        <v>342</v>
      </c>
      <c r="G15" s="11"/>
    </row>
    <row r="16" spans="1:7" x14ac:dyDescent="0.25">
      <c r="A16" s="6">
        <v>15</v>
      </c>
      <c r="B16" s="14" t="s">
        <v>815</v>
      </c>
      <c r="C16" s="7">
        <v>3</v>
      </c>
      <c r="D16" s="11" t="s">
        <v>816</v>
      </c>
      <c r="E16" s="11" t="s">
        <v>1200</v>
      </c>
      <c r="F16" s="11" t="s">
        <v>690</v>
      </c>
      <c r="G16" s="11"/>
    </row>
    <row r="17" spans="1:7" x14ac:dyDescent="0.25">
      <c r="A17" s="6">
        <v>16</v>
      </c>
      <c r="B17" s="14" t="s">
        <v>903</v>
      </c>
      <c r="C17" s="7">
        <v>1</v>
      </c>
      <c r="D17" s="11" t="s">
        <v>1182</v>
      </c>
      <c r="E17" s="11" t="s">
        <v>342</v>
      </c>
      <c r="F17" s="11"/>
      <c r="G17" s="11"/>
    </row>
    <row r="18" spans="1:7" x14ac:dyDescent="0.25">
      <c r="A18" s="6">
        <v>17</v>
      </c>
      <c r="B18" s="14" t="s">
        <v>1870</v>
      </c>
      <c r="C18" s="7">
        <v>5</v>
      </c>
      <c r="D18" s="11" t="s">
        <v>1871</v>
      </c>
      <c r="E18" s="11" t="s">
        <v>1872</v>
      </c>
      <c r="F18" s="11"/>
      <c r="G18" s="11"/>
    </row>
    <row r="19" spans="1:7" x14ac:dyDescent="0.25">
      <c r="A19" s="6">
        <v>18</v>
      </c>
      <c r="B19" s="14" t="s">
        <v>1874</v>
      </c>
      <c r="C19" s="7">
        <v>3</v>
      </c>
      <c r="D19" s="11" t="s">
        <v>1873</v>
      </c>
      <c r="E19" s="11"/>
      <c r="F19" s="11"/>
      <c r="G19" s="11"/>
    </row>
    <row r="20" spans="1:7" x14ac:dyDescent="0.25">
      <c r="A20" s="6">
        <v>19</v>
      </c>
      <c r="B20" s="14"/>
      <c r="C20" s="7"/>
      <c r="D20" s="11"/>
      <c r="E20" s="11"/>
      <c r="F20" s="11"/>
      <c r="G20" s="11"/>
    </row>
    <row r="21" spans="1:7" x14ac:dyDescent="0.25">
      <c r="A21" s="6">
        <v>20</v>
      </c>
      <c r="B21" s="14"/>
      <c r="C21" s="7"/>
      <c r="D21" s="11"/>
      <c r="E21" s="11"/>
      <c r="F21" s="11"/>
      <c r="G21" s="11"/>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FFB80-323D-496D-8AA7-BFACB8CD654B}">
  <sheetPr codeName="Sheet11"/>
  <dimension ref="B2:M37"/>
  <sheetViews>
    <sheetView workbookViewId="0">
      <selection activeCell="D13" sqref="D13"/>
    </sheetView>
  </sheetViews>
  <sheetFormatPr defaultColWidth="12.77734375" defaultRowHeight="15.6" x14ac:dyDescent="0.25"/>
  <cols>
    <col min="1" max="1" width="10" style="1" customWidth="1"/>
    <col min="2" max="7" width="12.77734375" style="1"/>
    <col min="8" max="11" width="16.77734375" style="1" customWidth="1"/>
    <col min="12" max="16384" width="12.77734375" style="1"/>
  </cols>
  <sheetData>
    <row r="2" spans="2:13" ht="16.2" x14ac:dyDescent="0.25">
      <c r="B2" s="20" t="s">
        <v>241</v>
      </c>
    </row>
    <row r="3" spans="2:13" x14ac:dyDescent="0.25">
      <c r="B3" s="6" t="s">
        <v>1990</v>
      </c>
      <c r="C3" s="6" t="s">
        <v>1966</v>
      </c>
      <c r="D3" s="6" t="s">
        <v>1970</v>
      </c>
      <c r="E3" s="6" t="s">
        <v>1967</v>
      </c>
      <c r="F3" s="6" t="s">
        <v>1968</v>
      </c>
      <c r="G3" s="6" t="s">
        <v>1969</v>
      </c>
      <c r="H3" s="6" t="s">
        <v>1233</v>
      </c>
      <c r="I3" s="6" t="s">
        <v>1971</v>
      </c>
      <c r="J3" s="6" t="s">
        <v>1972</v>
      </c>
      <c r="K3" s="6" t="s">
        <v>1973</v>
      </c>
      <c r="L3" s="6" t="s">
        <v>1974</v>
      </c>
      <c r="M3" s="6" t="s">
        <v>1976</v>
      </c>
    </row>
    <row r="4" spans="2:13" x14ac:dyDescent="0.25">
      <c r="B4" s="6">
        <v>1</v>
      </c>
      <c r="C4" s="6" t="s">
        <v>22</v>
      </c>
      <c r="D4" s="6">
        <v>1</v>
      </c>
      <c r="E4" s="6">
        <v>100</v>
      </c>
      <c r="F4" s="6">
        <v>1</v>
      </c>
      <c r="G4" s="6">
        <v>50</v>
      </c>
      <c r="H4" s="6">
        <v>1</v>
      </c>
      <c r="I4" s="6">
        <v>100</v>
      </c>
      <c r="J4" s="6">
        <v>200</v>
      </c>
      <c r="K4" s="6">
        <v>300</v>
      </c>
      <c r="L4" s="6">
        <v>400</v>
      </c>
      <c r="M4" s="6">
        <v>50</v>
      </c>
    </row>
    <row r="5" spans="2:13" x14ac:dyDescent="0.25">
      <c r="B5" s="6">
        <v>2</v>
      </c>
      <c r="C5" s="6" t="s">
        <v>28</v>
      </c>
      <c r="D5" s="6">
        <v>1</v>
      </c>
      <c r="E5" s="6">
        <f>E4+50</f>
        <v>150</v>
      </c>
      <c r="F5" s="6">
        <v>2</v>
      </c>
      <c r="G5" s="6">
        <f>G4+50</f>
        <v>100</v>
      </c>
      <c r="H5" s="6">
        <v>2</v>
      </c>
      <c r="I5" s="6">
        <f>I4+50</f>
        <v>150</v>
      </c>
      <c r="J5" s="6">
        <f t="shared" ref="J5:L8" si="0">J4+50</f>
        <v>250</v>
      </c>
      <c r="K5" s="6">
        <f t="shared" si="0"/>
        <v>350</v>
      </c>
      <c r="L5" s="6">
        <f t="shared" si="0"/>
        <v>450</v>
      </c>
      <c r="M5" s="6">
        <v>50</v>
      </c>
    </row>
    <row r="6" spans="2:13" x14ac:dyDescent="0.25">
      <c r="B6" s="6">
        <v>3</v>
      </c>
      <c r="C6" s="6" t="s">
        <v>244</v>
      </c>
      <c r="D6" s="6">
        <v>1</v>
      </c>
      <c r="E6" s="6">
        <f t="shared" ref="E6:I8" si="1">E5+50</f>
        <v>200</v>
      </c>
      <c r="F6" s="6">
        <v>3</v>
      </c>
      <c r="G6" s="6">
        <f t="shared" si="1"/>
        <v>150</v>
      </c>
      <c r="H6" s="6">
        <v>3</v>
      </c>
      <c r="I6" s="6">
        <f t="shared" si="1"/>
        <v>200</v>
      </c>
      <c r="J6" s="6">
        <f t="shared" si="0"/>
        <v>300</v>
      </c>
      <c r="K6" s="6">
        <f t="shared" si="0"/>
        <v>400</v>
      </c>
      <c r="L6" s="6">
        <f t="shared" si="0"/>
        <v>500</v>
      </c>
      <c r="M6" s="6">
        <v>50</v>
      </c>
    </row>
    <row r="7" spans="2:13" x14ac:dyDescent="0.25">
      <c r="B7" s="6">
        <v>4</v>
      </c>
      <c r="C7" s="6" t="s">
        <v>99</v>
      </c>
      <c r="D7" s="6">
        <v>1</v>
      </c>
      <c r="E7" s="6">
        <f t="shared" si="1"/>
        <v>250</v>
      </c>
      <c r="F7" s="6">
        <v>4</v>
      </c>
      <c r="G7" s="6">
        <f t="shared" si="1"/>
        <v>200</v>
      </c>
      <c r="H7" s="6">
        <v>4</v>
      </c>
      <c r="I7" s="6">
        <f t="shared" si="1"/>
        <v>250</v>
      </c>
      <c r="J7" s="6">
        <f t="shared" si="0"/>
        <v>350</v>
      </c>
      <c r="K7" s="6">
        <f t="shared" si="0"/>
        <v>450</v>
      </c>
      <c r="L7" s="6">
        <f t="shared" si="0"/>
        <v>550</v>
      </c>
      <c r="M7" s="6">
        <v>50</v>
      </c>
    </row>
    <row r="8" spans="2:13" x14ac:dyDescent="0.25">
      <c r="B8" s="6">
        <v>5</v>
      </c>
      <c r="C8" s="6" t="s">
        <v>28</v>
      </c>
      <c r="D8" s="6">
        <v>3</v>
      </c>
      <c r="E8" s="6">
        <f t="shared" si="1"/>
        <v>300</v>
      </c>
      <c r="F8" s="6">
        <v>5</v>
      </c>
      <c r="G8" s="6">
        <f t="shared" si="1"/>
        <v>250</v>
      </c>
      <c r="H8" s="6">
        <v>5</v>
      </c>
      <c r="I8" s="6">
        <f t="shared" si="1"/>
        <v>300</v>
      </c>
      <c r="J8" s="6">
        <f t="shared" si="0"/>
        <v>400</v>
      </c>
      <c r="K8" s="6">
        <f t="shared" si="0"/>
        <v>500</v>
      </c>
      <c r="L8" s="6">
        <f t="shared" si="0"/>
        <v>600</v>
      </c>
      <c r="M8" s="6">
        <v>50</v>
      </c>
    </row>
    <row r="9" spans="2:13" x14ac:dyDescent="0.25">
      <c r="B9" s="6" t="s">
        <v>1975</v>
      </c>
      <c r="C9" s="6" t="s">
        <v>1975</v>
      </c>
      <c r="D9" s="6" t="s">
        <v>1975</v>
      </c>
      <c r="E9" s="6" t="s">
        <v>1975</v>
      </c>
      <c r="F9" s="6" t="s">
        <v>1975</v>
      </c>
      <c r="G9" s="6" t="s">
        <v>1975</v>
      </c>
      <c r="H9" s="6" t="s">
        <v>1975</v>
      </c>
      <c r="I9" s="6" t="s">
        <v>1975</v>
      </c>
      <c r="J9" s="6" t="s">
        <v>1975</v>
      </c>
      <c r="K9" s="6" t="s">
        <v>1975</v>
      </c>
      <c r="L9" s="6" t="s">
        <v>1975</v>
      </c>
      <c r="M9" s="6" t="s">
        <v>1975</v>
      </c>
    </row>
    <row r="12" spans="2:13" ht="16.2" x14ac:dyDescent="0.25">
      <c r="B12" s="20" t="s">
        <v>242</v>
      </c>
    </row>
    <row r="13" spans="2:13" x14ac:dyDescent="0.25">
      <c r="B13" s="6" t="s">
        <v>1977</v>
      </c>
      <c r="C13" s="6" t="s">
        <v>1978</v>
      </c>
      <c r="D13" s="6" t="s">
        <v>243</v>
      </c>
    </row>
    <row r="14" spans="2:13" x14ac:dyDescent="0.25">
      <c r="B14" s="6">
        <v>150</v>
      </c>
      <c r="C14" s="6">
        <v>150</v>
      </c>
      <c r="D14" s="6">
        <v>50</v>
      </c>
    </row>
    <row r="17" spans="2:4" ht="16.2" x14ac:dyDescent="0.25">
      <c r="B17" s="20" t="s">
        <v>275</v>
      </c>
    </row>
    <row r="18" spans="2:4" x14ac:dyDescent="0.25">
      <c r="B18" s="6" t="s">
        <v>1979</v>
      </c>
      <c r="C18" s="6" t="s">
        <v>1980</v>
      </c>
      <c r="D18" s="6" t="s">
        <v>1976</v>
      </c>
    </row>
    <row r="19" spans="2:4" x14ac:dyDescent="0.25">
      <c r="B19" s="6">
        <v>300</v>
      </c>
      <c r="C19" s="6">
        <v>400</v>
      </c>
      <c r="D19" s="6">
        <v>50</v>
      </c>
    </row>
    <row r="22" spans="2:4" ht="16.2" x14ac:dyDescent="0.25">
      <c r="B22" s="20" t="s">
        <v>274</v>
      </c>
    </row>
    <row r="23" spans="2:4" x14ac:dyDescent="0.25">
      <c r="B23" s="6" t="s">
        <v>1981</v>
      </c>
      <c r="C23" s="11" t="s">
        <v>1987</v>
      </c>
    </row>
    <row r="24" spans="2:4" x14ac:dyDescent="0.25">
      <c r="B24" s="6" t="s">
        <v>1982</v>
      </c>
      <c r="C24" s="11" t="s">
        <v>2029</v>
      </c>
    </row>
    <row r="25" spans="2:4" x14ac:dyDescent="0.25">
      <c r="B25" s="6" t="s">
        <v>1983</v>
      </c>
      <c r="C25" s="11" t="s">
        <v>693</v>
      </c>
    </row>
    <row r="26" spans="2:4" x14ac:dyDescent="0.25">
      <c r="C26" s="2"/>
    </row>
    <row r="27" spans="2:4" x14ac:dyDescent="0.25">
      <c r="C27" s="2"/>
    </row>
    <row r="28" spans="2:4" ht="16.2" x14ac:dyDescent="0.25">
      <c r="B28" s="20" t="s">
        <v>1984</v>
      </c>
      <c r="C28" s="2"/>
    </row>
    <row r="29" spans="2:4" x14ac:dyDescent="0.25">
      <c r="B29" s="6" t="s">
        <v>1981</v>
      </c>
      <c r="C29" s="11" t="s">
        <v>1988</v>
      </c>
    </row>
    <row r="30" spans="2:4" x14ac:dyDescent="0.25">
      <c r="B30" s="6" t="s">
        <v>1982</v>
      </c>
      <c r="C30" s="11" t="s">
        <v>1987</v>
      </c>
    </row>
    <row r="31" spans="2:4" x14ac:dyDescent="0.25">
      <c r="B31" s="6" t="s">
        <v>1983</v>
      </c>
      <c r="C31" s="11" t="s">
        <v>1989</v>
      </c>
    </row>
    <row r="32" spans="2:4" x14ac:dyDescent="0.25">
      <c r="C32" s="2"/>
    </row>
    <row r="33" spans="2:3" x14ac:dyDescent="0.25">
      <c r="C33" s="2"/>
    </row>
    <row r="34" spans="2:3" ht="16.2" x14ac:dyDescent="0.25">
      <c r="B34" s="20" t="s">
        <v>1985</v>
      </c>
      <c r="C34" s="2"/>
    </row>
    <row r="35" spans="2:3" x14ac:dyDescent="0.25">
      <c r="B35" s="6" t="s">
        <v>1981</v>
      </c>
      <c r="C35" s="11" t="s">
        <v>1988</v>
      </c>
    </row>
    <row r="36" spans="2:3" x14ac:dyDescent="0.25">
      <c r="B36" s="6" t="s">
        <v>1982</v>
      </c>
      <c r="C36" s="11" t="s">
        <v>1986</v>
      </c>
    </row>
    <row r="37" spans="2:3" x14ac:dyDescent="0.25">
      <c r="B37" s="6" t="s">
        <v>1983</v>
      </c>
      <c r="C37" s="11" t="s">
        <v>1989</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51AC9-C9E3-470A-881B-95E49E0CC1E3}">
  <sheetPr codeName="Sheet12"/>
  <dimension ref="A1:E12"/>
  <sheetViews>
    <sheetView workbookViewId="0">
      <selection activeCell="A5" sqref="A5"/>
    </sheetView>
  </sheetViews>
  <sheetFormatPr defaultColWidth="12.77734375" defaultRowHeight="15.6" x14ac:dyDescent="0.25"/>
  <cols>
    <col min="1" max="3" width="12.77734375" style="1"/>
    <col min="4" max="4" width="64.5546875" style="1" customWidth="1"/>
    <col min="5" max="5" width="148.33203125" style="1" bestFit="1" customWidth="1"/>
    <col min="6" max="16384" width="12.77734375" style="1"/>
  </cols>
  <sheetData>
    <row r="1" spans="1:5" x14ac:dyDescent="0.25">
      <c r="A1" s="6" t="s">
        <v>41</v>
      </c>
      <c r="B1" s="6" t="s">
        <v>1993</v>
      </c>
      <c r="C1" s="9" t="s">
        <v>1991</v>
      </c>
      <c r="D1" s="6" t="s">
        <v>1992</v>
      </c>
      <c r="E1" s="6" t="s">
        <v>2264</v>
      </c>
    </row>
    <row r="2" spans="1:5" x14ac:dyDescent="0.25">
      <c r="A2" s="6">
        <v>1</v>
      </c>
      <c r="B2" s="6" t="s">
        <v>1994</v>
      </c>
      <c r="C2" s="9" t="s">
        <v>1995</v>
      </c>
      <c r="D2" s="6" t="s">
        <v>2009</v>
      </c>
      <c r="E2" s="11" t="s">
        <v>2267</v>
      </c>
    </row>
    <row r="3" spans="1:5" x14ac:dyDescent="0.25">
      <c r="A3" s="6">
        <v>2</v>
      </c>
      <c r="B3" s="6" t="s">
        <v>1994</v>
      </c>
      <c r="C3" s="9" t="s">
        <v>1996</v>
      </c>
      <c r="D3" s="6" t="s">
        <v>2010</v>
      </c>
      <c r="E3" s="11" t="s">
        <v>2268</v>
      </c>
    </row>
    <row r="4" spans="1:5" x14ac:dyDescent="0.25">
      <c r="A4" s="6">
        <v>3</v>
      </c>
      <c r="B4" s="6" t="s">
        <v>1994</v>
      </c>
      <c r="C4" s="9" t="s">
        <v>1997</v>
      </c>
      <c r="D4" s="6" t="s">
        <v>2011</v>
      </c>
      <c r="E4" s="11" t="s">
        <v>2269</v>
      </c>
    </row>
    <row r="5" spans="1:5" x14ac:dyDescent="0.25">
      <c r="A5" s="6">
        <v>4</v>
      </c>
      <c r="B5" s="6" t="s">
        <v>1994</v>
      </c>
      <c r="C5" s="9" t="s">
        <v>1998</v>
      </c>
      <c r="D5" s="6" t="s">
        <v>2012</v>
      </c>
      <c r="E5" s="11" t="s">
        <v>2270</v>
      </c>
    </row>
    <row r="6" spans="1:5" x14ac:dyDescent="0.25">
      <c r="A6" s="6">
        <v>5</v>
      </c>
      <c r="B6" s="6" t="s">
        <v>2001</v>
      </c>
      <c r="C6" s="9" t="s">
        <v>1999</v>
      </c>
      <c r="D6" s="6" t="s">
        <v>2013</v>
      </c>
      <c r="E6" s="11" t="s">
        <v>2265</v>
      </c>
    </row>
    <row r="7" spans="1:5" x14ac:dyDescent="0.25">
      <c r="A7" s="6">
        <v>6</v>
      </c>
      <c r="B7" s="6" t="s">
        <v>2001</v>
      </c>
      <c r="C7" s="9" t="s">
        <v>2000</v>
      </c>
      <c r="D7" s="6" t="s">
        <v>2014</v>
      </c>
      <c r="E7" s="11" t="s">
        <v>2265</v>
      </c>
    </row>
    <row r="8" spans="1:5" x14ac:dyDescent="0.25">
      <c r="A8" s="6">
        <v>7</v>
      </c>
      <c r="B8" s="6" t="s">
        <v>2006</v>
      </c>
      <c r="C8" s="9" t="s">
        <v>2002</v>
      </c>
      <c r="D8" s="6" t="s">
        <v>2266</v>
      </c>
      <c r="E8" s="11" t="s">
        <v>2273</v>
      </c>
    </row>
    <row r="9" spans="1:5" x14ac:dyDescent="0.25">
      <c r="A9" s="6">
        <v>8</v>
      </c>
      <c r="B9" s="6" t="s">
        <v>2007</v>
      </c>
      <c r="C9" s="9" t="s">
        <v>2003</v>
      </c>
      <c r="D9" s="6" t="s">
        <v>2015</v>
      </c>
      <c r="E9" s="11" t="s">
        <v>2273</v>
      </c>
    </row>
    <row r="10" spans="1:5" x14ac:dyDescent="0.25">
      <c r="A10" s="6">
        <v>9</v>
      </c>
      <c r="B10" s="6" t="s">
        <v>2008</v>
      </c>
      <c r="C10" s="9" t="s">
        <v>2004</v>
      </c>
      <c r="D10" s="6" t="s">
        <v>2016</v>
      </c>
      <c r="E10" s="11" t="s">
        <v>2273</v>
      </c>
    </row>
    <row r="11" spans="1:5" x14ac:dyDescent="0.25">
      <c r="A11" s="6">
        <v>10</v>
      </c>
      <c r="B11" s="6" t="s">
        <v>2019</v>
      </c>
      <c r="C11" s="9" t="s">
        <v>2018</v>
      </c>
      <c r="D11" s="6" t="s">
        <v>2020</v>
      </c>
      <c r="E11" s="11" t="s">
        <v>2272</v>
      </c>
    </row>
    <row r="12" spans="1:5" x14ac:dyDescent="0.25">
      <c r="A12" s="6">
        <v>11</v>
      </c>
      <c r="B12" s="6" t="s">
        <v>1994</v>
      </c>
      <c r="C12" s="9" t="s">
        <v>2005</v>
      </c>
      <c r="D12" s="6" t="s">
        <v>2017</v>
      </c>
      <c r="E12" s="11" t="s">
        <v>2271</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15E20-86EE-4035-8A88-73891E7A472B}">
  <sheetPr codeName="Sheet13"/>
  <dimension ref="B2:O40"/>
  <sheetViews>
    <sheetView workbookViewId="0">
      <selection activeCell="E6" sqref="E6"/>
    </sheetView>
  </sheetViews>
  <sheetFormatPr defaultColWidth="12.77734375" defaultRowHeight="15.6" x14ac:dyDescent="0.25"/>
  <cols>
    <col min="1" max="1" width="8.6640625" style="1" customWidth="1"/>
    <col min="2" max="16384" width="12.77734375" style="1"/>
  </cols>
  <sheetData>
    <row r="2" spans="2:15" ht="16.2" x14ac:dyDescent="0.25">
      <c r="B2" s="16" t="s">
        <v>2024</v>
      </c>
    </row>
    <row r="3" spans="2:15" x14ac:dyDescent="0.25">
      <c r="B3" s="6"/>
      <c r="C3" s="6" t="s">
        <v>39</v>
      </c>
      <c r="D3" s="6" t="s">
        <v>229</v>
      </c>
      <c r="E3" s="6" t="s">
        <v>230</v>
      </c>
      <c r="F3" s="6" t="s">
        <v>231</v>
      </c>
      <c r="G3" s="6" t="s">
        <v>1874</v>
      </c>
      <c r="H3" s="6" t="s">
        <v>135</v>
      </c>
      <c r="I3" s="6" t="s">
        <v>136</v>
      </c>
      <c r="J3" s="6" t="s">
        <v>2028</v>
      </c>
      <c r="K3" s="6" t="s">
        <v>2026</v>
      </c>
      <c r="L3" s="6" t="s">
        <v>251</v>
      </c>
      <c r="M3" s="6" t="s">
        <v>30</v>
      </c>
      <c r="N3" s="6" t="s">
        <v>2022</v>
      </c>
      <c r="O3" s="6" t="s">
        <v>2021</v>
      </c>
    </row>
    <row r="4" spans="2:15" x14ac:dyDescent="0.25">
      <c r="B4" s="6" t="s">
        <v>202</v>
      </c>
      <c r="C4" s="6">
        <v>20</v>
      </c>
      <c r="D4" s="6">
        <v>2</v>
      </c>
      <c r="E4" s="6">
        <v>2</v>
      </c>
      <c r="F4" s="6">
        <v>2</v>
      </c>
      <c r="G4" s="6">
        <v>0</v>
      </c>
      <c r="H4" s="6">
        <v>0</v>
      </c>
      <c r="I4" s="6">
        <v>0</v>
      </c>
      <c r="J4" s="6">
        <v>0</v>
      </c>
      <c r="K4" s="6">
        <v>0</v>
      </c>
      <c r="L4" s="6">
        <v>0</v>
      </c>
      <c r="M4" s="6">
        <v>0</v>
      </c>
      <c r="N4" s="6">
        <v>0</v>
      </c>
      <c r="O4" s="6">
        <v>0</v>
      </c>
    </row>
    <row r="5" spans="2:15" x14ac:dyDescent="0.25">
      <c r="B5" s="6" t="s">
        <v>225</v>
      </c>
      <c r="C5" s="6">
        <v>20</v>
      </c>
      <c r="D5" s="6">
        <v>2</v>
      </c>
      <c r="E5" s="6">
        <v>0</v>
      </c>
      <c r="F5" s="6">
        <v>0</v>
      </c>
      <c r="G5" s="6">
        <v>0</v>
      </c>
      <c r="H5" s="6">
        <v>0</v>
      </c>
      <c r="I5" s="6">
        <v>0</v>
      </c>
      <c r="J5" s="6">
        <v>0</v>
      </c>
      <c r="K5" s="6">
        <v>0</v>
      </c>
      <c r="L5" s="6">
        <v>0</v>
      </c>
      <c r="M5" s="6">
        <v>0</v>
      </c>
      <c r="N5" s="6">
        <v>0</v>
      </c>
      <c r="O5" s="6">
        <v>0</v>
      </c>
    </row>
    <row r="6" spans="2:15" x14ac:dyDescent="0.25">
      <c r="B6" s="6" t="s">
        <v>226</v>
      </c>
      <c r="C6" s="6">
        <v>20</v>
      </c>
      <c r="D6" s="6">
        <v>0</v>
      </c>
      <c r="E6" s="6">
        <v>2</v>
      </c>
      <c r="F6" s="6">
        <v>0</v>
      </c>
      <c r="G6" s="6">
        <v>0</v>
      </c>
      <c r="H6" s="6">
        <v>0</v>
      </c>
      <c r="I6" s="6">
        <v>0</v>
      </c>
      <c r="J6" s="6">
        <v>0</v>
      </c>
      <c r="K6" s="6">
        <v>0</v>
      </c>
      <c r="L6" s="6">
        <v>0</v>
      </c>
      <c r="M6" s="6">
        <v>0</v>
      </c>
      <c r="N6" s="6">
        <v>0</v>
      </c>
      <c r="O6" s="6">
        <v>0</v>
      </c>
    </row>
    <row r="7" spans="2:15" x14ac:dyDescent="0.25">
      <c r="B7" s="6" t="s">
        <v>227</v>
      </c>
      <c r="C7" s="6">
        <v>20</v>
      </c>
      <c r="D7" s="6">
        <v>0</v>
      </c>
      <c r="E7" s="6">
        <v>0</v>
      </c>
      <c r="F7" s="6">
        <v>2</v>
      </c>
      <c r="G7" s="6">
        <v>0</v>
      </c>
      <c r="H7" s="6">
        <v>0</v>
      </c>
      <c r="I7" s="6">
        <v>0</v>
      </c>
      <c r="J7" s="6">
        <v>0</v>
      </c>
      <c r="K7" s="6">
        <v>0</v>
      </c>
      <c r="L7" s="6">
        <v>0</v>
      </c>
      <c r="M7" s="6">
        <v>0</v>
      </c>
      <c r="N7" s="6">
        <v>0</v>
      </c>
      <c r="O7" s="6">
        <v>0</v>
      </c>
    </row>
    <row r="8" spans="2:15" x14ac:dyDescent="0.25">
      <c r="B8" s="6" t="s">
        <v>228</v>
      </c>
      <c r="C8" s="6">
        <v>0</v>
      </c>
      <c r="D8" s="6">
        <v>0</v>
      </c>
      <c r="E8" s="6">
        <v>0</v>
      </c>
      <c r="F8" s="6">
        <v>0</v>
      </c>
      <c r="G8" s="6">
        <v>1</v>
      </c>
      <c r="H8" s="6">
        <v>0</v>
      </c>
      <c r="I8" s="6">
        <v>0</v>
      </c>
      <c r="J8" s="6">
        <v>0</v>
      </c>
      <c r="K8" s="6">
        <v>0</v>
      </c>
      <c r="L8" s="6">
        <v>0</v>
      </c>
      <c r="M8" s="6">
        <v>0</v>
      </c>
      <c r="N8" s="6">
        <v>0</v>
      </c>
      <c r="O8" s="6">
        <v>0</v>
      </c>
    </row>
    <row r="9" spans="2:15" x14ac:dyDescent="0.25">
      <c r="B9" s="6" t="s">
        <v>203</v>
      </c>
      <c r="C9" s="6">
        <v>70</v>
      </c>
      <c r="D9" s="6">
        <v>2</v>
      </c>
      <c r="E9" s="6">
        <v>2</v>
      </c>
      <c r="F9" s="6">
        <v>2</v>
      </c>
      <c r="G9" s="6">
        <v>0</v>
      </c>
      <c r="H9" s="6">
        <v>0</v>
      </c>
      <c r="I9" s="6">
        <v>0</v>
      </c>
      <c r="J9" s="6">
        <v>0</v>
      </c>
      <c r="K9" s="6">
        <v>0</v>
      </c>
      <c r="L9" s="6">
        <v>0</v>
      </c>
      <c r="M9" s="6">
        <v>0</v>
      </c>
      <c r="N9" s="6">
        <v>0</v>
      </c>
      <c r="O9" s="6">
        <v>0</v>
      </c>
    </row>
    <row r="10" spans="2:15" x14ac:dyDescent="0.25">
      <c r="B10" s="6" t="s">
        <v>249</v>
      </c>
      <c r="C10" s="6">
        <v>150</v>
      </c>
      <c r="D10" s="6">
        <v>2</v>
      </c>
      <c r="E10" s="6">
        <v>2</v>
      </c>
      <c r="F10" s="6">
        <v>2</v>
      </c>
      <c r="G10" s="6">
        <v>0</v>
      </c>
      <c r="H10" s="6">
        <v>1</v>
      </c>
      <c r="I10" s="6">
        <v>0</v>
      </c>
      <c r="J10" s="6">
        <v>0</v>
      </c>
      <c r="K10" s="6">
        <v>0</v>
      </c>
      <c r="L10" s="6">
        <v>0</v>
      </c>
      <c r="M10" s="6">
        <v>0</v>
      </c>
      <c r="N10" s="6">
        <v>0</v>
      </c>
      <c r="O10" s="6">
        <v>0</v>
      </c>
    </row>
    <row r="11" spans="2:15" x14ac:dyDescent="0.25">
      <c r="B11" s="6" t="s">
        <v>253</v>
      </c>
      <c r="C11" s="6">
        <v>200</v>
      </c>
      <c r="D11" s="6">
        <v>0</v>
      </c>
      <c r="E11" s="6">
        <v>0</v>
      </c>
      <c r="F11" s="6">
        <v>0</v>
      </c>
      <c r="G11" s="6">
        <v>0</v>
      </c>
      <c r="H11" s="6">
        <v>0</v>
      </c>
      <c r="I11" s="6">
        <v>0</v>
      </c>
      <c r="J11" s="6">
        <v>1</v>
      </c>
      <c r="K11" s="6">
        <v>0</v>
      </c>
      <c r="L11" s="6">
        <v>0</v>
      </c>
      <c r="M11" s="6">
        <v>0</v>
      </c>
      <c r="N11" s="6">
        <v>0</v>
      </c>
      <c r="O11" s="6">
        <v>2</v>
      </c>
    </row>
    <row r="12" spans="2:15" x14ac:dyDescent="0.25">
      <c r="B12" s="9" t="s">
        <v>242</v>
      </c>
      <c r="C12" s="6">
        <v>0</v>
      </c>
      <c r="D12" s="6">
        <v>0</v>
      </c>
      <c r="E12" s="6">
        <v>0</v>
      </c>
      <c r="F12" s="6">
        <v>0</v>
      </c>
      <c r="G12" s="6">
        <v>0</v>
      </c>
      <c r="H12" s="6">
        <v>0</v>
      </c>
      <c r="I12" s="6">
        <v>0</v>
      </c>
      <c r="J12" s="6">
        <v>2</v>
      </c>
      <c r="K12" s="6">
        <v>2</v>
      </c>
      <c r="L12" s="6">
        <v>0</v>
      </c>
      <c r="M12" s="6">
        <v>0</v>
      </c>
      <c r="N12" s="6">
        <v>0</v>
      </c>
      <c r="O12" s="6">
        <v>0</v>
      </c>
    </row>
    <row r="13" spans="2:15" x14ac:dyDescent="0.25">
      <c r="B13" s="9" t="s">
        <v>241</v>
      </c>
      <c r="C13" s="6">
        <v>0</v>
      </c>
      <c r="D13" s="6">
        <v>0</v>
      </c>
      <c r="E13" s="6">
        <v>0</v>
      </c>
      <c r="F13" s="6">
        <v>0</v>
      </c>
      <c r="G13" s="6">
        <v>0</v>
      </c>
      <c r="H13" s="6">
        <v>0</v>
      </c>
      <c r="I13" s="6">
        <v>0</v>
      </c>
      <c r="J13" s="6">
        <v>0</v>
      </c>
      <c r="K13" s="6">
        <v>0</v>
      </c>
      <c r="L13" s="6">
        <v>2</v>
      </c>
      <c r="M13" s="6">
        <v>2</v>
      </c>
      <c r="N13" s="6">
        <v>6</v>
      </c>
      <c r="O13" s="6">
        <v>0</v>
      </c>
    </row>
    <row r="14" spans="2:15" x14ac:dyDescent="0.25">
      <c r="B14" s="9" t="s">
        <v>275</v>
      </c>
      <c r="C14" s="6">
        <v>0</v>
      </c>
      <c r="D14" s="6">
        <v>0</v>
      </c>
      <c r="E14" s="6">
        <v>0</v>
      </c>
      <c r="F14" s="6">
        <v>0</v>
      </c>
      <c r="G14" s="6">
        <v>2</v>
      </c>
      <c r="H14" s="6">
        <v>2</v>
      </c>
      <c r="I14" s="6">
        <v>0</v>
      </c>
      <c r="J14" s="6">
        <v>0</v>
      </c>
      <c r="K14" s="6">
        <v>0</v>
      </c>
      <c r="L14" s="6">
        <v>0</v>
      </c>
      <c r="M14" s="6">
        <v>0</v>
      </c>
      <c r="N14" s="6">
        <v>0</v>
      </c>
      <c r="O14" s="6">
        <v>0</v>
      </c>
    </row>
    <row r="15" spans="2:15" x14ac:dyDescent="0.25">
      <c r="B15" s="6" t="s">
        <v>238</v>
      </c>
      <c r="C15" s="6">
        <v>200</v>
      </c>
      <c r="D15" s="6">
        <v>2</v>
      </c>
      <c r="E15" s="6">
        <v>2</v>
      </c>
      <c r="F15" s="6">
        <v>2</v>
      </c>
      <c r="G15" s="6">
        <v>4</v>
      </c>
      <c r="H15" s="6">
        <v>2</v>
      </c>
      <c r="I15" s="6">
        <v>1</v>
      </c>
      <c r="J15" s="6">
        <v>1</v>
      </c>
      <c r="K15" s="6">
        <v>5</v>
      </c>
      <c r="L15" s="6">
        <v>1</v>
      </c>
      <c r="M15" s="6">
        <v>0</v>
      </c>
      <c r="N15" s="6">
        <v>1</v>
      </c>
      <c r="O15" s="6">
        <v>0</v>
      </c>
    </row>
    <row r="16" spans="2:15" x14ac:dyDescent="0.25">
      <c r="B16" s="9" t="s">
        <v>2023</v>
      </c>
      <c r="C16" s="6">
        <v>50</v>
      </c>
      <c r="D16" s="6">
        <v>0</v>
      </c>
      <c r="E16" s="6">
        <v>0</v>
      </c>
      <c r="F16" s="6">
        <v>0</v>
      </c>
      <c r="G16" s="6">
        <v>0</v>
      </c>
      <c r="H16" s="6">
        <v>2</v>
      </c>
      <c r="I16" s="6">
        <v>0</v>
      </c>
      <c r="J16" s="6">
        <v>0</v>
      </c>
      <c r="K16" s="6">
        <v>0</v>
      </c>
      <c r="L16" s="6">
        <v>0</v>
      </c>
      <c r="M16" s="6">
        <v>0</v>
      </c>
      <c r="N16" s="6">
        <v>0</v>
      </c>
      <c r="O16" s="6">
        <v>0</v>
      </c>
    </row>
    <row r="17" spans="2:15" x14ac:dyDescent="0.25">
      <c r="B17" s="9" t="s">
        <v>252</v>
      </c>
      <c r="C17" s="6">
        <v>100</v>
      </c>
      <c r="D17" s="6">
        <v>0</v>
      </c>
      <c r="E17" s="6">
        <v>0</v>
      </c>
      <c r="F17" s="6">
        <v>0</v>
      </c>
      <c r="G17" s="6">
        <v>0</v>
      </c>
      <c r="H17" s="6">
        <v>2</v>
      </c>
      <c r="I17" s="6">
        <v>0</v>
      </c>
      <c r="J17" s="6">
        <v>0</v>
      </c>
      <c r="K17" s="6">
        <v>0</v>
      </c>
      <c r="L17" s="6">
        <v>0</v>
      </c>
      <c r="M17" s="6">
        <v>0</v>
      </c>
      <c r="N17" s="6">
        <v>0</v>
      </c>
      <c r="O17" s="6">
        <v>1</v>
      </c>
    </row>
    <row r="18" spans="2:15" x14ac:dyDescent="0.25">
      <c r="B18" s="21" t="s">
        <v>251</v>
      </c>
      <c r="C18" s="6">
        <v>0</v>
      </c>
      <c r="D18" s="6">
        <v>0</v>
      </c>
      <c r="E18" s="6">
        <v>0</v>
      </c>
      <c r="F18" s="6">
        <v>0</v>
      </c>
      <c r="G18" s="6">
        <v>0</v>
      </c>
      <c r="H18" s="6">
        <v>0</v>
      </c>
      <c r="I18" s="6">
        <v>0</v>
      </c>
      <c r="J18" s="6">
        <v>0</v>
      </c>
      <c r="K18" s="6">
        <v>0</v>
      </c>
      <c r="L18" s="6">
        <v>2</v>
      </c>
      <c r="M18" s="6">
        <v>0</v>
      </c>
      <c r="N18" s="6">
        <v>0</v>
      </c>
      <c r="O18" s="6">
        <v>0</v>
      </c>
    </row>
    <row r="19" spans="2:15" x14ac:dyDescent="0.25">
      <c r="B19" s="6" t="s">
        <v>30</v>
      </c>
      <c r="C19" s="6">
        <v>0</v>
      </c>
      <c r="D19" s="6">
        <v>0</v>
      </c>
      <c r="E19" s="6">
        <v>0</v>
      </c>
      <c r="F19" s="6">
        <v>0</v>
      </c>
      <c r="G19" s="6">
        <v>0</v>
      </c>
      <c r="H19" s="6">
        <v>0</v>
      </c>
      <c r="I19" s="6">
        <v>0</v>
      </c>
      <c r="J19" s="6">
        <v>0</v>
      </c>
      <c r="K19" s="6">
        <v>0</v>
      </c>
      <c r="L19" s="6">
        <v>0</v>
      </c>
      <c r="M19" s="6">
        <v>1</v>
      </c>
      <c r="N19" s="6">
        <v>0</v>
      </c>
      <c r="O19" s="6">
        <v>0</v>
      </c>
    </row>
    <row r="20" spans="2:15" x14ac:dyDescent="0.25">
      <c r="B20" s="6" t="s">
        <v>2030</v>
      </c>
      <c r="C20" s="6">
        <f t="shared" ref="C20:O20" si="0">SUM(C4:C19)</f>
        <v>850</v>
      </c>
      <c r="D20" s="6">
        <f t="shared" si="0"/>
        <v>10</v>
      </c>
      <c r="E20" s="6">
        <f t="shared" si="0"/>
        <v>10</v>
      </c>
      <c r="F20" s="6">
        <f t="shared" si="0"/>
        <v>10</v>
      </c>
      <c r="G20" s="6">
        <f t="shared" si="0"/>
        <v>7</v>
      </c>
      <c r="H20" s="6">
        <f t="shared" si="0"/>
        <v>9</v>
      </c>
      <c r="I20" s="6">
        <f t="shared" si="0"/>
        <v>1</v>
      </c>
      <c r="J20" s="6">
        <f t="shared" si="0"/>
        <v>4</v>
      </c>
      <c r="K20" s="6">
        <f t="shared" si="0"/>
        <v>7</v>
      </c>
      <c r="L20" s="6">
        <f t="shared" si="0"/>
        <v>5</v>
      </c>
      <c r="M20" s="6">
        <f t="shared" si="0"/>
        <v>3</v>
      </c>
      <c r="N20" s="6">
        <f t="shared" si="0"/>
        <v>7</v>
      </c>
      <c r="O20" s="6">
        <f t="shared" si="0"/>
        <v>3</v>
      </c>
    </row>
    <row r="22" spans="2:15" ht="16.2" x14ac:dyDescent="0.25">
      <c r="B22" s="16" t="s">
        <v>2027</v>
      </c>
    </row>
    <row r="23" spans="2:15" x14ac:dyDescent="0.25">
      <c r="B23" s="6"/>
      <c r="C23" s="6" t="s">
        <v>39</v>
      </c>
      <c r="D23" s="6" t="s">
        <v>229</v>
      </c>
      <c r="E23" s="6" t="s">
        <v>230</v>
      </c>
      <c r="F23" s="6" t="s">
        <v>231</v>
      </c>
      <c r="G23" s="6" t="s">
        <v>1874</v>
      </c>
      <c r="H23" s="6" t="s">
        <v>135</v>
      </c>
      <c r="I23" s="6" t="s">
        <v>136</v>
      </c>
      <c r="J23" s="6" t="s">
        <v>2025</v>
      </c>
      <c r="K23" s="6" t="s">
        <v>2026</v>
      </c>
      <c r="L23" s="6" t="s">
        <v>251</v>
      </c>
      <c r="M23" s="6" t="s">
        <v>30</v>
      </c>
      <c r="N23" s="6" t="s">
        <v>2022</v>
      </c>
      <c r="O23" s="6" t="s">
        <v>2021</v>
      </c>
    </row>
    <row r="24" spans="2:15" x14ac:dyDescent="0.25">
      <c r="B24" s="6" t="s">
        <v>202</v>
      </c>
      <c r="C24" s="6">
        <v>0</v>
      </c>
      <c r="D24" s="6">
        <v>0</v>
      </c>
      <c r="E24" s="6">
        <v>0</v>
      </c>
      <c r="F24" s="6">
        <v>0</v>
      </c>
      <c r="G24" s="6">
        <v>0</v>
      </c>
      <c r="H24" s="6">
        <v>0</v>
      </c>
      <c r="I24" s="6">
        <v>0</v>
      </c>
      <c r="J24" s="6">
        <v>0</v>
      </c>
      <c r="K24" s="6">
        <v>0</v>
      </c>
      <c r="L24" s="6">
        <v>0</v>
      </c>
      <c r="M24" s="6">
        <v>0</v>
      </c>
      <c r="N24" s="6">
        <v>0</v>
      </c>
      <c r="O24" s="6">
        <v>0</v>
      </c>
    </row>
    <row r="25" spans="2:15" x14ac:dyDescent="0.25">
      <c r="B25" s="6" t="s">
        <v>225</v>
      </c>
      <c r="C25" s="6">
        <v>0</v>
      </c>
      <c r="D25" s="6">
        <v>0</v>
      </c>
      <c r="E25" s="6">
        <v>0</v>
      </c>
      <c r="F25" s="6">
        <v>0</v>
      </c>
      <c r="G25" s="6">
        <v>0</v>
      </c>
      <c r="H25" s="6">
        <v>0</v>
      </c>
      <c r="I25" s="6">
        <v>0</v>
      </c>
      <c r="J25" s="6">
        <v>0</v>
      </c>
      <c r="K25" s="6">
        <v>0</v>
      </c>
      <c r="L25" s="6">
        <v>0</v>
      </c>
      <c r="M25" s="6">
        <v>0</v>
      </c>
      <c r="N25" s="6">
        <v>0</v>
      </c>
      <c r="O25" s="6">
        <v>0</v>
      </c>
    </row>
    <row r="26" spans="2:15" x14ac:dyDescent="0.25">
      <c r="B26" s="6" t="s">
        <v>226</v>
      </c>
      <c r="C26" s="6">
        <v>0</v>
      </c>
      <c r="D26" s="6">
        <v>0</v>
      </c>
      <c r="E26" s="6">
        <v>0</v>
      </c>
      <c r="F26" s="6">
        <v>0</v>
      </c>
      <c r="G26" s="6">
        <v>0</v>
      </c>
      <c r="H26" s="6">
        <v>0</v>
      </c>
      <c r="I26" s="6">
        <v>0</v>
      </c>
      <c r="J26" s="6">
        <v>0</v>
      </c>
      <c r="K26" s="6">
        <v>0</v>
      </c>
      <c r="L26" s="6">
        <v>0</v>
      </c>
      <c r="M26" s="6">
        <v>0</v>
      </c>
      <c r="N26" s="6">
        <v>0</v>
      </c>
      <c r="O26" s="6">
        <v>0</v>
      </c>
    </row>
    <row r="27" spans="2:15" x14ac:dyDescent="0.25">
      <c r="B27" s="6" t="s">
        <v>227</v>
      </c>
      <c r="C27" s="6">
        <v>0</v>
      </c>
      <c r="D27" s="6">
        <v>0</v>
      </c>
      <c r="E27" s="6">
        <v>0</v>
      </c>
      <c r="F27" s="6">
        <v>0</v>
      </c>
      <c r="G27" s="6">
        <v>0</v>
      </c>
      <c r="H27" s="6">
        <v>0</v>
      </c>
      <c r="I27" s="6">
        <v>0</v>
      </c>
      <c r="J27" s="6">
        <v>0</v>
      </c>
      <c r="K27" s="6">
        <v>0</v>
      </c>
      <c r="L27" s="6">
        <v>0</v>
      </c>
      <c r="M27" s="6">
        <v>0</v>
      </c>
      <c r="N27" s="6">
        <v>0</v>
      </c>
      <c r="O27" s="6">
        <v>0</v>
      </c>
    </row>
    <row r="28" spans="2:15" x14ac:dyDescent="0.25">
      <c r="B28" s="6" t="s">
        <v>228</v>
      </c>
      <c r="C28" s="6">
        <v>0</v>
      </c>
      <c r="D28" s="6">
        <v>0</v>
      </c>
      <c r="E28" s="6">
        <v>0</v>
      </c>
      <c r="F28" s="6">
        <v>0</v>
      </c>
      <c r="G28" s="6">
        <v>0</v>
      </c>
      <c r="H28" s="6">
        <v>0</v>
      </c>
      <c r="I28" s="6">
        <v>0</v>
      </c>
      <c r="J28" s="6">
        <v>0</v>
      </c>
      <c r="K28" s="6">
        <v>0</v>
      </c>
      <c r="L28" s="6">
        <v>0</v>
      </c>
      <c r="M28" s="6">
        <v>0</v>
      </c>
      <c r="N28" s="6">
        <v>0</v>
      </c>
      <c r="O28" s="6">
        <v>0</v>
      </c>
    </row>
    <row r="29" spans="2:15" x14ac:dyDescent="0.25">
      <c r="B29" s="6" t="s">
        <v>203</v>
      </c>
      <c r="C29" s="6">
        <v>0</v>
      </c>
      <c r="D29" s="6">
        <v>0</v>
      </c>
      <c r="E29" s="6">
        <v>0</v>
      </c>
      <c r="F29" s="6">
        <v>0</v>
      </c>
      <c r="G29" s="6">
        <v>0</v>
      </c>
      <c r="H29" s="6">
        <v>0</v>
      </c>
      <c r="I29" s="6">
        <v>0</v>
      </c>
      <c r="J29" s="6">
        <v>0</v>
      </c>
      <c r="K29" s="6">
        <v>0</v>
      </c>
      <c r="L29" s="6">
        <v>0</v>
      </c>
      <c r="M29" s="6">
        <v>0</v>
      </c>
      <c r="N29" s="6">
        <v>0</v>
      </c>
      <c r="O29" s="6">
        <v>0</v>
      </c>
    </row>
    <row r="30" spans="2:15" x14ac:dyDescent="0.25">
      <c r="B30" s="6" t="s">
        <v>249</v>
      </c>
      <c r="C30" s="6">
        <v>0</v>
      </c>
      <c r="D30" s="6">
        <v>0</v>
      </c>
      <c r="E30" s="6">
        <v>0</v>
      </c>
      <c r="F30" s="6">
        <v>0</v>
      </c>
      <c r="G30" s="6">
        <v>0</v>
      </c>
      <c r="H30" s="6">
        <v>0</v>
      </c>
      <c r="I30" s="6">
        <v>0</v>
      </c>
      <c r="J30" s="6">
        <v>0</v>
      </c>
      <c r="K30" s="6">
        <v>0</v>
      </c>
      <c r="L30" s="6">
        <v>0</v>
      </c>
      <c r="M30" s="6">
        <v>0</v>
      </c>
      <c r="N30" s="6">
        <v>0</v>
      </c>
      <c r="O30" s="6">
        <v>0</v>
      </c>
    </row>
    <row r="31" spans="2:15" x14ac:dyDescent="0.25">
      <c r="B31" s="6" t="s">
        <v>253</v>
      </c>
      <c r="C31" s="6">
        <v>0</v>
      </c>
      <c r="D31" s="6">
        <v>0</v>
      </c>
      <c r="E31" s="6">
        <v>0</v>
      </c>
      <c r="F31" s="6">
        <v>0</v>
      </c>
      <c r="G31" s="6">
        <v>0</v>
      </c>
      <c r="H31" s="6">
        <v>0</v>
      </c>
      <c r="I31" s="6">
        <v>0</v>
      </c>
      <c r="J31" s="6">
        <v>0</v>
      </c>
      <c r="K31" s="6">
        <v>0</v>
      </c>
      <c r="L31" s="6">
        <v>0</v>
      </c>
      <c r="M31" s="6">
        <v>0</v>
      </c>
      <c r="N31" s="6">
        <v>0</v>
      </c>
      <c r="O31" s="6">
        <v>0</v>
      </c>
    </row>
    <row r="32" spans="2:15" x14ac:dyDescent="0.25">
      <c r="B32" s="9" t="s">
        <v>242</v>
      </c>
      <c r="C32" s="6">
        <v>150</v>
      </c>
      <c r="D32" s="6">
        <v>0</v>
      </c>
      <c r="E32" s="6">
        <v>0</v>
      </c>
      <c r="F32" s="6">
        <v>0</v>
      </c>
      <c r="G32" s="6">
        <v>0</v>
      </c>
      <c r="H32" s="6">
        <v>0</v>
      </c>
      <c r="I32" s="6">
        <v>0</v>
      </c>
      <c r="J32" s="6">
        <v>0</v>
      </c>
      <c r="K32" s="6">
        <v>0</v>
      </c>
      <c r="L32" s="6">
        <v>0</v>
      </c>
      <c r="M32" s="6">
        <v>0</v>
      </c>
      <c r="N32" s="6">
        <v>0</v>
      </c>
      <c r="O32" s="6">
        <v>0</v>
      </c>
    </row>
    <row r="33" spans="2:15" x14ac:dyDescent="0.25">
      <c r="B33" s="9" t="s">
        <v>241</v>
      </c>
      <c r="C33" s="6">
        <v>150</v>
      </c>
      <c r="D33" s="6">
        <v>0</v>
      </c>
      <c r="E33" s="6">
        <v>0</v>
      </c>
      <c r="F33" s="6">
        <v>0</v>
      </c>
      <c r="G33" s="6">
        <v>0</v>
      </c>
      <c r="H33" s="6">
        <v>0</v>
      </c>
      <c r="I33" s="6">
        <v>0</v>
      </c>
      <c r="J33" s="6">
        <v>0</v>
      </c>
      <c r="K33" s="6">
        <v>0</v>
      </c>
      <c r="L33" s="6">
        <v>0</v>
      </c>
      <c r="M33" s="6">
        <v>0</v>
      </c>
      <c r="N33" s="6">
        <v>0</v>
      </c>
      <c r="O33" s="6">
        <v>0</v>
      </c>
    </row>
    <row r="34" spans="2:15" x14ac:dyDescent="0.25">
      <c r="B34" s="9" t="s">
        <v>275</v>
      </c>
      <c r="C34" s="6">
        <v>300</v>
      </c>
      <c r="D34" s="6">
        <v>0</v>
      </c>
      <c r="E34" s="6">
        <v>0</v>
      </c>
      <c r="F34" s="6">
        <v>0</v>
      </c>
      <c r="G34" s="6">
        <v>0</v>
      </c>
      <c r="H34" s="6">
        <v>0</v>
      </c>
      <c r="I34" s="6">
        <v>0</v>
      </c>
      <c r="J34" s="6">
        <v>0</v>
      </c>
      <c r="K34" s="6">
        <v>0</v>
      </c>
      <c r="L34" s="6">
        <v>0</v>
      </c>
      <c r="M34" s="6">
        <v>0</v>
      </c>
      <c r="N34" s="6">
        <v>0</v>
      </c>
      <c r="O34" s="6">
        <v>0</v>
      </c>
    </row>
    <row r="35" spans="2:15" x14ac:dyDescent="0.25">
      <c r="B35" s="6" t="s">
        <v>238</v>
      </c>
      <c r="C35" s="6">
        <v>0</v>
      </c>
      <c r="D35" s="6">
        <v>0</v>
      </c>
      <c r="E35" s="6">
        <v>0</v>
      </c>
      <c r="F35" s="6">
        <v>0</v>
      </c>
      <c r="G35" s="6">
        <v>0</v>
      </c>
      <c r="H35" s="6">
        <v>0</v>
      </c>
      <c r="I35" s="6">
        <v>0</v>
      </c>
      <c r="J35" s="6">
        <v>0</v>
      </c>
      <c r="K35" s="6">
        <v>0</v>
      </c>
      <c r="L35" s="6">
        <v>0</v>
      </c>
      <c r="M35" s="6">
        <v>0</v>
      </c>
      <c r="N35" s="6">
        <v>0</v>
      </c>
      <c r="O35" s="6">
        <v>0</v>
      </c>
    </row>
    <row r="36" spans="2:15" x14ac:dyDescent="0.25">
      <c r="B36" s="9" t="s">
        <v>2023</v>
      </c>
      <c r="C36" s="6">
        <v>0</v>
      </c>
      <c r="D36" s="6">
        <v>0</v>
      </c>
      <c r="E36" s="6">
        <v>0</v>
      </c>
      <c r="F36" s="6">
        <v>0</v>
      </c>
      <c r="G36" s="6">
        <v>0</v>
      </c>
      <c r="H36" s="6">
        <v>0</v>
      </c>
      <c r="I36" s="6">
        <v>0</v>
      </c>
      <c r="J36" s="6">
        <v>0</v>
      </c>
      <c r="K36" s="6">
        <v>0</v>
      </c>
      <c r="L36" s="6">
        <v>4</v>
      </c>
      <c r="M36" s="6">
        <v>0</v>
      </c>
      <c r="N36" s="6">
        <v>0</v>
      </c>
      <c r="O36" s="6">
        <v>1</v>
      </c>
    </row>
    <row r="37" spans="2:15" x14ac:dyDescent="0.25">
      <c r="B37" s="9" t="s">
        <v>252</v>
      </c>
      <c r="C37" s="6">
        <v>0</v>
      </c>
      <c r="D37" s="6">
        <v>0</v>
      </c>
      <c r="E37" s="6">
        <v>0</v>
      </c>
      <c r="F37" s="6">
        <v>0</v>
      </c>
      <c r="G37" s="6">
        <v>0</v>
      </c>
      <c r="H37" s="6">
        <v>0</v>
      </c>
      <c r="I37" s="6">
        <v>0</v>
      </c>
      <c r="J37" s="6">
        <v>0</v>
      </c>
      <c r="K37" s="6">
        <v>0</v>
      </c>
      <c r="L37" s="6">
        <v>0</v>
      </c>
      <c r="M37" s="6">
        <v>0</v>
      </c>
      <c r="N37" s="6">
        <v>0</v>
      </c>
      <c r="O37" s="6">
        <v>1</v>
      </c>
    </row>
    <row r="38" spans="2:15" x14ac:dyDescent="0.25">
      <c r="B38" s="21" t="s">
        <v>251</v>
      </c>
      <c r="C38" s="6">
        <v>0</v>
      </c>
      <c r="D38" s="6">
        <v>0</v>
      </c>
      <c r="E38" s="6">
        <v>0</v>
      </c>
      <c r="F38" s="6">
        <v>0</v>
      </c>
      <c r="G38" s="6">
        <v>0</v>
      </c>
      <c r="H38" s="6">
        <v>0</v>
      </c>
      <c r="I38" s="6">
        <v>0</v>
      </c>
      <c r="J38" s="6">
        <v>0</v>
      </c>
      <c r="K38" s="6">
        <v>0</v>
      </c>
      <c r="L38" s="6">
        <v>0</v>
      </c>
      <c r="M38" s="6">
        <v>0</v>
      </c>
      <c r="N38" s="6">
        <v>0</v>
      </c>
      <c r="O38" s="6">
        <v>0</v>
      </c>
    </row>
    <row r="39" spans="2:15" x14ac:dyDescent="0.25">
      <c r="B39" s="6" t="s">
        <v>30</v>
      </c>
      <c r="C39" s="6">
        <v>0</v>
      </c>
      <c r="D39" s="6">
        <v>0</v>
      </c>
      <c r="E39" s="6">
        <v>0</v>
      </c>
      <c r="F39" s="6">
        <v>0</v>
      </c>
      <c r="G39" s="6">
        <v>0</v>
      </c>
      <c r="H39" s="6">
        <v>0</v>
      </c>
      <c r="I39" s="6">
        <v>0</v>
      </c>
      <c r="J39" s="6">
        <v>0</v>
      </c>
      <c r="K39" s="6">
        <v>0</v>
      </c>
      <c r="L39" s="6">
        <v>0</v>
      </c>
      <c r="M39" s="6">
        <v>0</v>
      </c>
      <c r="N39" s="6">
        <v>0</v>
      </c>
      <c r="O39" s="6">
        <v>0</v>
      </c>
    </row>
    <row r="40" spans="2:15" x14ac:dyDescent="0.25">
      <c r="B40" s="6" t="s">
        <v>2030</v>
      </c>
      <c r="C40" s="6">
        <f t="shared" ref="C40:O40" si="1">SUM(C24:C39)</f>
        <v>600</v>
      </c>
      <c r="D40" s="6">
        <f t="shared" si="1"/>
        <v>0</v>
      </c>
      <c r="E40" s="6">
        <f t="shared" si="1"/>
        <v>0</v>
      </c>
      <c r="F40" s="6">
        <f t="shared" si="1"/>
        <v>0</v>
      </c>
      <c r="G40" s="6">
        <f t="shared" si="1"/>
        <v>0</v>
      </c>
      <c r="H40" s="6">
        <f t="shared" si="1"/>
        <v>0</v>
      </c>
      <c r="I40" s="6">
        <f t="shared" si="1"/>
        <v>0</v>
      </c>
      <c r="J40" s="6">
        <f t="shared" si="1"/>
        <v>0</v>
      </c>
      <c r="K40" s="6">
        <f t="shared" si="1"/>
        <v>0</v>
      </c>
      <c r="L40" s="6">
        <f t="shared" si="1"/>
        <v>4</v>
      </c>
      <c r="M40" s="6">
        <f t="shared" si="1"/>
        <v>0</v>
      </c>
      <c r="N40" s="6">
        <f t="shared" si="1"/>
        <v>0</v>
      </c>
      <c r="O40" s="6">
        <f t="shared" si="1"/>
        <v>2</v>
      </c>
    </row>
  </sheetData>
  <phoneticPr fontId="1" type="noConversion"/>
  <conditionalFormatting sqref="C4:C20">
    <cfRule type="dataBar" priority="54">
      <dataBar>
        <cfvo type="num" val="0"/>
        <cfvo type="max"/>
        <color rgb="FFC00000"/>
      </dataBar>
      <extLst>
        <ext xmlns:x14="http://schemas.microsoft.com/office/spreadsheetml/2009/9/main" uri="{B025F937-C7B1-47D3-B67F-A62EFF666E3E}">
          <x14:id>{EFA741B5-D541-46D5-8633-9FDACBF73C05}</x14:id>
        </ext>
      </extLst>
    </cfRule>
  </conditionalFormatting>
  <conditionalFormatting sqref="D4:D20">
    <cfRule type="dataBar" priority="26">
      <dataBar>
        <cfvo type="num" val="0"/>
        <cfvo type="max"/>
        <color rgb="FFC00000"/>
      </dataBar>
      <extLst>
        <ext xmlns:x14="http://schemas.microsoft.com/office/spreadsheetml/2009/9/main" uri="{B025F937-C7B1-47D3-B67F-A62EFF666E3E}">
          <x14:id>{4909E659-8C30-4B96-B007-8967F49EDFE6}</x14:id>
        </ext>
      </extLst>
    </cfRule>
  </conditionalFormatting>
  <conditionalFormatting sqref="E4:E20">
    <cfRule type="dataBar" priority="25">
      <dataBar>
        <cfvo type="num" val="0"/>
        <cfvo type="max"/>
        <color rgb="FFC00000"/>
      </dataBar>
      <extLst>
        <ext xmlns:x14="http://schemas.microsoft.com/office/spreadsheetml/2009/9/main" uri="{B025F937-C7B1-47D3-B67F-A62EFF666E3E}">
          <x14:id>{602E53E6-C51D-4710-BEE6-9E4825CAFF0E}</x14:id>
        </ext>
      </extLst>
    </cfRule>
  </conditionalFormatting>
  <conditionalFormatting sqref="F4:F20">
    <cfRule type="dataBar" priority="24">
      <dataBar>
        <cfvo type="num" val="0"/>
        <cfvo type="max"/>
        <color rgb="FFC00000"/>
      </dataBar>
      <extLst>
        <ext xmlns:x14="http://schemas.microsoft.com/office/spreadsheetml/2009/9/main" uri="{B025F937-C7B1-47D3-B67F-A62EFF666E3E}">
          <x14:id>{7D3B5347-39FD-4C78-8857-614B16E20D86}</x14:id>
        </ext>
      </extLst>
    </cfRule>
  </conditionalFormatting>
  <conditionalFormatting sqref="G4:G20">
    <cfRule type="dataBar" priority="23">
      <dataBar>
        <cfvo type="num" val="0"/>
        <cfvo type="max"/>
        <color rgb="FFC00000"/>
      </dataBar>
      <extLst>
        <ext xmlns:x14="http://schemas.microsoft.com/office/spreadsheetml/2009/9/main" uri="{B025F937-C7B1-47D3-B67F-A62EFF666E3E}">
          <x14:id>{4A63A1FC-25CD-4171-A9FC-87D59BE218BC}</x14:id>
        </ext>
      </extLst>
    </cfRule>
  </conditionalFormatting>
  <conditionalFormatting sqref="H4:H20">
    <cfRule type="dataBar" priority="22">
      <dataBar>
        <cfvo type="num" val="0"/>
        <cfvo type="max"/>
        <color rgb="FFC00000"/>
      </dataBar>
      <extLst>
        <ext xmlns:x14="http://schemas.microsoft.com/office/spreadsheetml/2009/9/main" uri="{B025F937-C7B1-47D3-B67F-A62EFF666E3E}">
          <x14:id>{9510C46F-87A2-4FBC-BE1C-F6B8B467F5FD}</x14:id>
        </ext>
      </extLst>
    </cfRule>
  </conditionalFormatting>
  <conditionalFormatting sqref="I4:I20">
    <cfRule type="dataBar" priority="21">
      <dataBar>
        <cfvo type="num" val="0"/>
        <cfvo type="max"/>
        <color rgb="FFC00000"/>
      </dataBar>
      <extLst>
        <ext xmlns:x14="http://schemas.microsoft.com/office/spreadsheetml/2009/9/main" uri="{B025F937-C7B1-47D3-B67F-A62EFF666E3E}">
          <x14:id>{BB582960-001D-44FF-9794-3E9EC2385733}</x14:id>
        </ext>
      </extLst>
    </cfRule>
  </conditionalFormatting>
  <conditionalFormatting sqref="J4:J20">
    <cfRule type="dataBar" priority="20">
      <dataBar>
        <cfvo type="num" val="0"/>
        <cfvo type="max"/>
        <color rgb="FFC00000"/>
      </dataBar>
      <extLst>
        <ext xmlns:x14="http://schemas.microsoft.com/office/spreadsheetml/2009/9/main" uri="{B025F937-C7B1-47D3-B67F-A62EFF666E3E}">
          <x14:id>{331F3BFB-B618-49F7-9823-CF7E5B645971}</x14:id>
        </ext>
      </extLst>
    </cfRule>
  </conditionalFormatting>
  <conditionalFormatting sqref="K4:K20">
    <cfRule type="dataBar" priority="19">
      <dataBar>
        <cfvo type="num" val="0"/>
        <cfvo type="max"/>
        <color rgb="FFC00000"/>
      </dataBar>
      <extLst>
        <ext xmlns:x14="http://schemas.microsoft.com/office/spreadsheetml/2009/9/main" uri="{B025F937-C7B1-47D3-B67F-A62EFF666E3E}">
          <x14:id>{36EE356C-0CFA-488C-BA57-42D3E09D901B}</x14:id>
        </ext>
      </extLst>
    </cfRule>
  </conditionalFormatting>
  <conditionalFormatting sqref="L4:L20">
    <cfRule type="dataBar" priority="18">
      <dataBar>
        <cfvo type="num" val="0"/>
        <cfvo type="max"/>
        <color rgb="FFC00000"/>
      </dataBar>
      <extLst>
        <ext xmlns:x14="http://schemas.microsoft.com/office/spreadsheetml/2009/9/main" uri="{B025F937-C7B1-47D3-B67F-A62EFF666E3E}">
          <x14:id>{F3B7436E-899C-4817-A9D4-4CE9E33411DD}</x14:id>
        </ext>
      </extLst>
    </cfRule>
  </conditionalFormatting>
  <conditionalFormatting sqref="M4:M20">
    <cfRule type="dataBar" priority="17">
      <dataBar>
        <cfvo type="num" val="0"/>
        <cfvo type="max"/>
        <color rgb="FFC00000"/>
      </dataBar>
      <extLst>
        <ext xmlns:x14="http://schemas.microsoft.com/office/spreadsheetml/2009/9/main" uri="{B025F937-C7B1-47D3-B67F-A62EFF666E3E}">
          <x14:id>{BF2D4592-6308-4D1E-A3D0-C3431991DAB8}</x14:id>
        </ext>
      </extLst>
    </cfRule>
  </conditionalFormatting>
  <conditionalFormatting sqref="N4:N20">
    <cfRule type="dataBar" priority="16">
      <dataBar>
        <cfvo type="num" val="0"/>
        <cfvo type="max"/>
        <color rgb="FFC00000"/>
      </dataBar>
      <extLst>
        <ext xmlns:x14="http://schemas.microsoft.com/office/spreadsheetml/2009/9/main" uri="{B025F937-C7B1-47D3-B67F-A62EFF666E3E}">
          <x14:id>{C420F9E3-A166-451C-91AC-4F619F03215B}</x14:id>
        </ext>
      </extLst>
    </cfRule>
  </conditionalFormatting>
  <conditionalFormatting sqref="O4:O20">
    <cfRule type="dataBar" priority="15">
      <dataBar>
        <cfvo type="num" val="0"/>
        <cfvo type="max"/>
        <color rgb="FFC00000"/>
      </dataBar>
      <extLst>
        <ext xmlns:x14="http://schemas.microsoft.com/office/spreadsheetml/2009/9/main" uri="{B025F937-C7B1-47D3-B67F-A62EFF666E3E}">
          <x14:id>{9DE57DFA-88D9-43F5-B030-283367F7B65E}</x14:id>
        </ext>
      </extLst>
    </cfRule>
  </conditionalFormatting>
  <conditionalFormatting sqref="C24:C40">
    <cfRule type="dataBar" priority="13">
      <dataBar>
        <cfvo type="num" val="0"/>
        <cfvo type="max"/>
        <color rgb="FFC00000"/>
      </dataBar>
      <extLst>
        <ext xmlns:x14="http://schemas.microsoft.com/office/spreadsheetml/2009/9/main" uri="{B025F937-C7B1-47D3-B67F-A62EFF666E3E}">
          <x14:id>{7A0A09F2-E2E6-4281-B745-0BF5DDFCC573}</x14:id>
        </ext>
      </extLst>
    </cfRule>
  </conditionalFormatting>
  <conditionalFormatting sqref="D24:D40">
    <cfRule type="dataBar" priority="12">
      <dataBar>
        <cfvo type="num" val="0"/>
        <cfvo type="max"/>
        <color rgb="FFC00000"/>
      </dataBar>
      <extLst>
        <ext xmlns:x14="http://schemas.microsoft.com/office/spreadsheetml/2009/9/main" uri="{B025F937-C7B1-47D3-B67F-A62EFF666E3E}">
          <x14:id>{81278CE4-CC5A-4D4C-AE7D-552D7A186307}</x14:id>
        </ext>
      </extLst>
    </cfRule>
  </conditionalFormatting>
  <conditionalFormatting sqref="E24:E40">
    <cfRule type="dataBar" priority="11">
      <dataBar>
        <cfvo type="num" val="0"/>
        <cfvo type="max"/>
        <color rgb="FFC00000"/>
      </dataBar>
      <extLst>
        <ext xmlns:x14="http://schemas.microsoft.com/office/spreadsheetml/2009/9/main" uri="{B025F937-C7B1-47D3-B67F-A62EFF666E3E}">
          <x14:id>{3FB31361-9362-490F-B92B-11AD809086FD}</x14:id>
        </ext>
      </extLst>
    </cfRule>
  </conditionalFormatting>
  <conditionalFormatting sqref="F24:F40">
    <cfRule type="dataBar" priority="10">
      <dataBar>
        <cfvo type="num" val="0"/>
        <cfvo type="max"/>
        <color rgb="FFC00000"/>
      </dataBar>
      <extLst>
        <ext xmlns:x14="http://schemas.microsoft.com/office/spreadsheetml/2009/9/main" uri="{B025F937-C7B1-47D3-B67F-A62EFF666E3E}">
          <x14:id>{320C8F31-6620-463C-89F8-BBF8FFCEE978}</x14:id>
        </ext>
      </extLst>
    </cfRule>
  </conditionalFormatting>
  <conditionalFormatting sqref="G24:G40">
    <cfRule type="dataBar" priority="9">
      <dataBar>
        <cfvo type="num" val="0"/>
        <cfvo type="max"/>
        <color rgb="FFC00000"/>
      </dataBar>
      <extLst>
        <ext xmlns:x14="http://schemas.microsoft.com/office/spreadsheetml/2009/9/main" uri="{B025F937-C7B1-47D3-B67F-A62EFF666E3E}">
          <x14:id>{84BFF509-8D23-4DA8-9097-1E229DD6D85D}</x14:id>
        </ext>
      </extLst>
    </cfRule>
  </conditionalFormatting>
  <conditionalFormatting sqref="H24:H40">
    <cfRule type="dataBar" priority="8">
      <dataBar>
        <cfvo type="num" val="0"/>
        <cfvo type="max"/>
        <color rgb="FFC00000"/>
      </dataBar>
      <extLst>
        <ext xmlns:x14="http://schemas.microsoft.com/office/spreadsheetml/2009/9/main" uri="{B025F937-C7B1-47D3-B67F-A62EFF666E3E}">
          <x14:id>{C5EB227E-40B9-40DD-82DD-985C66C60FB1}</x14:id>
        </ext>
      </extLst>
    </cfRule>
  </conditionalFormatting>
  <conditionalFormatting sqref="I24:I40">
    <cfRule type="dataBar" priority="7">
      <dataBar>
        <cfvo type="num" val="0"/>
        <cfvo type="max"/>
        <color rgb="FFC00000"/>
      </dataBar>
      <extLst>
        <ext xmlns:x14="http://schemas.microsoft.com/office/spreadsheetml/2009/9/main" uri="{B025F937-C7B1-47D3-B67F-A62EFF666E3E}">
          <x14:id>{B68BCC66-307C-47D3-A051-F7CC118146FE}</x14:id>
        </ext>
      </extLst>
    </cfRule>
  </conditionalFormatting>
  <conditionalFormatting sqref="J24:J40">
    <cfRule type="dataBar" priority="6">
      <dataBar>
        <cfvo type="num" val="0"/>
        <cfvo type="max"/>
        <color rgb="FFC00000"/>
      </dataBar>
      <extLst>
        <ext xmlns:x14="http://schemas.microsoft.com/office/spreadsheetml/2009/9/main" uri="{B025F937-C7B1-47D3-B67F-A62EFF666E3E}">
          <x14:id>{A9E3BBF7-56A9-413F-A672-C989BFFFA80E}</x14:id>
        </ext>
      </extLst>
    </cfRule>
  </conditionalFormatting>
  <conditionalFormatting sqref="K24:K40">
    <cfRule type="dataBar" priority="5">
      <dataBar>
        <cfvo type="num" val="0"/>
        <cfvo type="max"/>
        <color rgb="FFC00000"/>
      </dataBar>
      <extLst>
        <ext xmlns:x14="http://schemas.microsoft.com/office/spreadsheetml/2009/9/main" uri="{B025F937-C7B1-47D3-B67F-A62EFF666E3E}">
          <x14:id>{861D10E4-B18A-4E1A-A01E-ABC8477EF71F}</x14:id>
        </ext>
      </extLst>
    </cfRule>
  </conditionalFormatting>
  <conditionalFormatting sqref="L24:L40">
    <cfRule type="dataBar" priority="4">
      <dataBar>
        <cfvo type="num" val="0"/>
        <cfvo type="max"/>
        <color rgb="FFC00000"/>
      </dataBar>
      <extLst>
        <ext xmlns:x14="http://schemas.microsoft.com/office/spreadsheetml/2009/9/main" uri="{B025F937-C7B1-47D3-B67F-A62EFF666E3E}">
          <x14:id>{D25DA450-0C7C-4D3B-9AD6-9042B7D365DB}</x14:id>
        </ext>
      </extLst>
    </cfRule>
  </conditionalFormatting>
  <conditionalFormatting sqref="M24:M40">
    <cfRule type="dataBar" priority="3">
      <dataBar>
        <cfvo type="num" val="0"/>
        <cfvo type="max"/>
        <color rgb="FFC00000"/>
      </dataBar>
      <extLst>
        <ext xmlns:x14="http://schemas.microsoft.com/office/spreadsheetml/2009/9/main" uri="{B025F937-C7B1-47D3-B67F-A62EFF666E3E}">
          <x14:id>{E2F32E5A-6063-4440-BD5F-B86AE91A4EEA}</x14:id>
        </ext>
      </extLst>
    </cfRule>
  </conditionalFormatting>
  <conditionalFormatting sqref="N24:N40">
    <cfRule type="dataBar" priority="2">
      <dataBar>
        <cfvo type="num" val="0"/>
        <cfvo type="max"/>
        <color rgb="FFC00000"/>
      </dataBar>
      <extLst>
        <ext xmlns:x14="http://schemas.microsoft.com/office/spreadsheetml/2009/9/main" uri="{B025F937-C7B1-47D3-B67F-A62EFF666E3E}">
          <x14:id>{3F39B060-88E6-4544-9A65-7EA1C9379510}</x14:id>
        </ext>
      </extLst>
    </cfRule>
  </conditionalFormatting>
  <conditionalFormatting sqref="O24:O40">
    <cfRule type="dataBar" priority="1">
      <dataBar>
        <cfvo type="num" val="0"/>
        <cfvo type="max"/>
        <color rgb="FFC00000"/>
      </dataBar>
      <extLst>
        <ext xmlns:x14="http://schemas.microsoft.com/office/spreadsheetml/2009/9/main" uri="{B025F937-C7B1-47D3-B67F-A62EFF666E3E}">
          <x14:id>{38E98720-CBF3-42C8-B4B7-F794CBC8E4FB}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EFA741B5-D541-46D5-8633-9FDACBF73C05}">
            <x14:dataBar minLength="0" maxLength="100">
              <x14:cfvo type="num">
                <xm:f>0</xm:f>
              </x14:cfvo>
              <x14:cfvo type="max"/>
              <x14:negativeFillColor rgb="FFFF0000"/>
              <x14:axisColor rgb="FF000000"/>
            </x14:dataBar>
          </x14:cfRule>
          <xm:sqref>C4:C20</xm:sqref>
        </x14:conditionalFormatting>
        <x14:conditionalFormatting xmlns:xm="http://schemas.microsoft.com/office/excel/2006/main">
          <x14:cfRule type="dataBar" id="{4909E659-8C30-4B96-B007-8967F49EDFE6}">
            <x14:dataBar minLength="0" maxLength="100">
              <x14:cfvo type="num">
                <xm:f>0</xm:f>
              </x14:cfvo>
              <x14:cfvo type="max"/>
              <x14:negativeFillColor rgb="FFFF0000"/>
              <x14:axisColor rgb="FF000000"/>
            </x14:dataBar>
          </x14:cfRule>
          <xm:sqref>D4:D20</xm:sqref>
        </x14:conditionalFormatting>
        <x14:conditionalFormatting xmlns:xm="http://schemas.microsoft.com/office/excel/2006/main">
          <x14:cfRule type="dataBar" id="{602E53E6-C51D-4710-BEE6-9E4825CAFF0E}">
            <x14:dataBar minLength="0" maxLength="100">
              <x14:cfvo type="num">
                <xm:f>0</xm:f>
              </x14:cfvo>
              <x14:cfvo type="max"/>
              <x14:negativeFillColor rgb="FFFF0000"/>
              <x14:axisColor rgb="FF000000"/>
            </x14:dataBar>
          </x14:cfRule>
          <xm:sqref>E4:E20</xm:sqref>
        </x14:conditionalFormatting>
        <x14:conditionalFormatting xmlns:xm="http://schemas.microsoft.com/office/excel/2006/main">
          <x14:cfRule type="dataBar" id="{7D3B5347-39FD-4C78-8857-614B16E20D86}">
            <x14:dataBar minLength="0" maxLength="100">
              <x14:cfvo type="num">
                <xm:f>0</xm:f>
              </x14:cfvo>
              <x14:cfvo type="max"/>
              <x14:negativeFillColor rgb="FFFF0000"/>
              <x14:axisColor rgb="FF000000"/>
            </x14:dataBar>
          </x14:cfRule>
          <xm:sqref>F4:F20</xm:sqref>
        </x14:conditionalFormatting>
        <x14:conditionalFormatting xmlns:xm="http://schemas.microsoft.com/office/excel/2006/main">
          <x14:cfRule type="dataBar" id="{4A63A1FC-25CD-4171-A9FC-87D59BE218BC}">
            <x14:dataBar minLength="0" maxLength="100">
              <x14:cfvo type="num">
                <xm:f>0</xm:f>
              </x14:cfvo>
              <x14:cfvo type="max"/>
              <x14:negativeFillColor rgb="FFFF0000"/>
              <x14:axisColor rgb="FF000000"/>
            </x14:dataBar>
          </x14:cfRule>
          <xm:sqref>G4:G20</xm:sqref>
        </x14:conditionalFormatting>
        <x14:conditionalFormatting xmlns:xm="http://schemas.microsoft.com/office/excel/2006/main">
          <x14:cfRule type="dataBar" id="{9510C46F-87A2-4FBC-BE1C-F6B8B467F5FD}">
            <x14:dataBar minLength="0" maxLength="100">
              <x14:cfvo type="num">
                <xm:f>0</xm:f>
              </x14:cfvo>
              <x14:cfvo type="max"/>
              <x14:negativeFillColor rgb="FFFF0000"/>
              <x14:axisColor rgb="FF000000"/>
            </x14:dataBar>
          </x14:cfRule>
          <xm:sqref>H4:H20</xm:sqref>
        </x14:conditionalFormatting>
        <x14:conditionalFormatting xmlns:xm="http://schemas.microsoft.com/office/excel/2006/main">
          <x14:cfRule type="dataBar" id="{BB582960-001D-44FF-9794-3E9EC2385733}">
            <x14:dataBar minLength="0" maxLength="100">
              <x14:cfvo type="num">
                <xm:f>0</xm:f>
              </x14:cfvo>
              <x14:cfvo type="max"/>
              <x14:negativeFillColor rgb="FFFF0000"/>
              <x14:axisColor rgb="FF000000"/>
            </x14:dataBar>
          </x14:cfRule>
          <xm:sqref>I4:I20</xm:sqref>
        </x14:conditionalFormatting>
        <x14:conditionalFormatting xmlns:xm="http://schemas.microsoft.com/office/excel/2006/main">
          <x14:cfRule type="dataBar" id="{331F3BFB-B618-49F7-9823-CF7E5B645971}">
            <x14:dataBar minLength="0" maxLength="100">
              <x14:cfvo type="num">
                <xm:f>0</xm:f>
              </x14:cfvo>
              <x14:cfvo type="max"/>
              <x14:negativeFillColor rgb="FFFF0000"/>
              <x14:axisColor rgb="FF000000"/>
            </x14:dataBar>
          </x14:cfRule>
          <xm:sqref>J4:J20</xm:sqref>
        </x14:conditionalFormatting>
        <x14:conditionalFormatting xmlns:xm="http://schemas.microsoft.com/office/excel/2006/main">
          <x14:cfRule type="dataBar" id="{36EE356C-0CFA-488C-BA57-42D3E09D901B}">
            <x14:dataBar minLength="0" maxLength="100">
              <x14:cfvo type="num">
                <xm:f>0</xm:f>
              </x14:cfvo>
              <x14:cfvo type="max"/>
              <x14:negativeFillColor rgb="FFFF0000"/>
              <x14:axisColor rgb="FF000000"/>
            </x14:dataBar>
          </x14:cfRule>
          <xm:sqref>K4:K20</xm:sqref>
        </x14:conditionalFormatting>
        <x14:conditionalFormatting xmlns:xm="http://schemas.microsoft.com/office/excel/2006/main">
          <x14:cfRule type="dataBar" id="{F3B7436E-899C-4817-A9D4-4CE9E33411DD}">
            <x14:dataBar minLength="0" maxLength="100">
              <x14:cfvo type="num">
                <xm:f>0</xm:f>
              </x14:cfvo>
              <x14:cfvo type="max"/>
              <x14:negativeFillColor rgb="FFFF0000"/>
              <x14:axisColor rgb="FF000000"/>
            </x14:dataBar>
          </x14:cfRule>
          <xm:sqref>L4:L20</xm:sqref>
        </x14:conditionalFormatting>
        <x14:conditionalFormatting xmlns:xm="http://schemas.microsoft.com/office/excel/2006/main">
          <x14:cfRule type="dataBar" id="{BF2D4592-6308-4D1E-A3D0-C3431991DAB8}">
            <x14:dataBar minLength="0" maxLength="100">
              <x14:cfvo type="num">
                <xm:f>0</xm:f>
              </x14:cfvo>
              <x14:cfvo type="max"/>
              <x14:negativeFillColor rgb="FFFF0000"/>
              <x14:axisColor rgb="FF000000"/>
            </x14:dataBar>
          </x14:cfRule>
          <xm:sqref>M4:M20</xm:sqref>
        </x14:conditionalFormatting>
        <x14:conditionalFormatting xmlns:xm="http://schemas.microsoft.com/office/excel/2006/main">
          <x14:cfRule type="dataBar" id="{C420F9E3-A166-451C-91AC-4F619F03215B}">
            <x14:dataBar minLength="0" maxLength="100">
              <x14:cfvo type="num">
                <xm:f>0</xm:f>
              </x14:cfvo>
              <x14:cfvo type="max"/>
              <x14:negativeFillColor rgb="FFFF0000"/>
              <x14:axisColor rgb="FF000000"/>
            </x14:dataBar>
          </x14:cfRule>
          <xm:sqref>N4:N20</xm:sqref>
        </x14:conditionalFormatting>
        <x14:conditionalFormatting xmlns:xm="http://schemas.microsoft.com/office/excel/2006/main">
          <x14:cfRule type="dataBar" id="{9DE57DFA-88D9-43F5-B030-283367F7B65E}">
            <x14:dataBar minLength="0" maxLength="100">
              <x14:cfvo type="num">
                <xm:f>0</xm:f>
              </x14:cfvo>
              <x14:cfvo type="max"/>
              <x14:negativeFillColor rgb="FFFF0000"/>
              <x14:axisColor rgb="FF000000"/>
            </x14:dataBar>
          </x14:cfRule>
          <xm:sqref>O4:O20</xm:sqref>
        </x14:conditionalFormatting>
        <x14:conditionalFormatting xmlns:xm="http://schemas.microsoft.com/office/excel/2006/main">
          <x14:cfRule type="dataBar" id="{7A0A09F2-E2E6-4281-B745-0BF5DDFCC573}">
            <x14:dataBar minLength="0" maxLength="100">
              <x14:cfvo type="num">
                <xm:f>0</xm:f>
              </x14:cfvo>
              <x14:cfvo type="max"/>
              <x14:negativeFillColor rgb="FFFF0000"/>
              <x14:axisColor rgb="FF000000"/>
            </x14:dataBar>
          </x14:cfRule>
          <xm:sqref>C24:C40</xm:sqref>
        </x14:conditionalFormatting>
        <x14:conditionalFormatting xmlns:xm="http://schemas.microsoft.com/office/excel/2006/main">
          <x14:cfRule type="dataBar" id="{81278CE4-CC5A-4D4C-AE7D-552D7A186307}">
            <x14:dataBar minLength="0" maxLength="100">
              <x14:cfvo type="num">
                <xm:f>0</xm:f>
              </x14:cfvo>
              <x14:cfvo type="max"/>
              <x14:negativeFillColor rgb="FFFF0000"/>
              <x14:axisColor rgb="FF000000"/>
            </x14:dataBar>
          </x14:cfRule>
          <xm:sqref>D24:D40</xm:sqref>
        </x14:conditionalFormatting>
        <x14:conditionalFormatting xmlns:xm="http://schemas.microsoft.com/office/excel/2006/main">
          <x14:cfRule type="dataBar" id="{3FB31361-9362-490F-B92B-11AD809086FD}">
            <x14:dataBar minLength="0" maxLength="100">
              <x14:cfvo type="num">
                <xm:f>0</xm:f>
              </x14:cfvo>
              <x14:cfvo type="max"/>
              <x14:negativeFillColor rgb="FFFF0000"/>
              <x14:axisColor rgb="FF000000"/>
            </x14:dataBar>
          </x14:cfRule>
          <xm:sqref>E24:E40</xm:sqref>
        </x14:conditionalFormatting>
        <x14:conditionalFormatting xmlns:xm="http://schemas.microsoft.com/office/excel/2006/main">
          <x14:cfRule type="dataBar" id="{320C8F31-6620-463C-89F8-BBF8FFCEE978}">
            <x14:dataBar minLength="0" maxLength="100">
              <x14:cfvo type="num">
                <xm:f>0</xm:f>
              </x14:cfvo>
              <x14:cfvo type="max"/>
              <x14:negativeFillColor rgb="FFFF0000"/>
              <x14:axisColor rgb="FF000000"/>
            </x14:dataBar>
          </x14:cfRule>
          <xm:sqref>F24:F40</xm:sqref>
        </x14:conditionalFormatting>
        <x14:conditionalFormatting xmlns:xm="http://schemas.microsoft.com/office/excel/2006/main">
          <x14:cfRule type="dataBar" id="{84BFF509-8D23-4DA8-9097-1E229DD6D85D}">
            <x14:dataBar minLength="0" maxLength="100">
              <x14:cfvo type="num">
                <xm:f>0</xm:f>
              </x14:cfvo>
              <x14:cfvo type="max"/>
              <x14:negativeFillColor rgb="FFFF0000"/>
              <x14:axisColor rgb="FF000000"/>
            </x14:dataBar>
          </x14:cfRule>
          <xm:sqref>G24:G40</xm:sqref>
        </x14:conditionalFormatting>
        <x14:conditionalFormatting xmlns:xm="http://schemas.microsoft.com/office/excel/2006/main">
          <x14:cfRule type="dataBar" id="{C5EB227E-40B9-40DD-82DD-985C66C60FB1}">
            <x14:dataBar minLength="0" maxLength="100">
              <x14:cfvo type="num">
                <xm:f>0</xm:f>
              </x14:cfvo>
              <x14:cfvo type="max"/>
              <x14:negativeFillColor rgb="FFFF0000"/>
              <x14:axisColor rgb="FF000000"/>
            </x14:dataBar>
          </x14:cfRule>
          <xm:sqref>H24:H40</xm:sqref>
        </x14:conditionalFormatting>
        <x14:conditionalFormatting xmlns:xm="http://schemas.microsoft.com/office/excel/2006/main">
          <x14:cfRule type="dataBar" id="{B68BCC66-307C-47D3-A051-F7CC118146FE}">
            <x14:dataBar minLength="0" maxLength="100">
              <x14:cfvo type="num">
                <xm:f>0</xm:f>
              </x14:cfvo>
              <x14:cfvo type="max"/>
              <x14:negativeFillColor rgb="FFFF0000"/>
              <x14:axisColor rgb="FF000000"/>
            </x14:dataBar>
          </x14:cfRule>
          <xm:sqref>I24:I40</xm:sqref>
        </x14:conditionalFormatting>
        <x14:conditionalFormatting xmlns:xm="http://schemas.microsoft.com/office/excel/2006/main">
          <x14:cfRule type="dataBar" id="{A9E3BBF7-56A9-413F-A672-C989BFFFA80E}">
            <x14:dataBar minLength="0" maxLength="100">
              <x14:cfvo type="num">
                <xm:f>0</xm:f>
              </x14:cfvo>
              <x14:cfvo type="max"/>
              <x14:negativeFillColor rgb="FFFF0000"/>
              <x14:axisColor rgb="FF000000"/>
            </x14:dataBar>
          </x14:cfRule>
          <xm:sqref>J24:J40</xm:sqref>
        </x14:conditionalFormatting>
        <x14:conditionalFormatting xmlns:xm="http://schemas.microsoft.com/office/excel/2006/main">
          <x14:cfRule type="dataBar" id="{861D10E4-B18A-4E1A-A01E-ABC8477EF71F}">
            <x14:dataBar minLength="0" maxLength="100">
              <x14:cfvo type="num">
                <xm:f>0</xm:f>
              </x14:cfvo>
              <x14:cfvo type="max"/>
              <x14:negativeFillColor rgb="FFFF0000"/>
              <x14:axisColor rgb="FF000000"/>
            </x14:dataBar>
          </x14:cfRule>
          <xm:sqref>K24:K40</xm:sqref>
        </x14:conditionalFormatting>
        <x14:conditionalFormatting xmlns:xm="http://schemas.microsoft.com/office/excel/2006/main">
          <x14:cfRule type="dataBar" id="{D25DA450-0C7C-4D3B-9AD6-9042B7D365DB}">
            <x14:dataBar minLength="0" maxLength="100">
              <x14:cfvo type="num">
                <xm:f>0</xm:f>
              </x14:cfvo>
              <x14:cfvo type="max"/>
              <x14:negativeFillColor rgb="FFFF0000"/>
              <x14:axisColor rgb="FF000000"/>
            </x14:dataBar>
          </x14:cfRule>
          <xm:sqref>L24:L40</xm:sqref>
        </x14:conditionalFormatting>
        <x14:conditionalFormatting xmlns:xm="http://schemas.microsoft.com/office/excel/2006/main">
          <x14:cfRule type="dataBar" id="{E2F32E5A-6063-4440-BD5F-B86AE91A4EEA}">
            <x14:dataBar minLength="0" maxLength="100">
              <x14:cfvo type="num">
                <xm:f>0</xm:f>
              </x14:cfvo>
              <x14:cfvo type="max"/>
              <x14:negativeFillColor rgb="FFFF0000"/>
              <x14:axisColor rgb="FF000000"/>
            </x14:dataBar>
          </x14:cfRule>
          <xm:sqref>M24:M40</xm:sqref>
        </x14:conditionalFormatting>
        <x14:conditionalFormatting xmlns:xm="http://schemas.microsoft.com/office/excel/2006/main">
          <x14:cfRule type="dataBar" id="{3F39B060-88E6-4544-9A65-7EA1C9379510}">
            <x14:dataBar minLength="0" maxLength="100">
              <x14:cfvo type="num">
                <xm:f>0</xm:f>
              </x14:cfvo>
              <x14:cfvo type="max"/>
              <x14:negativeFillColor rgb="FFFF0000"/>
              <x14:axisColor rgb="FF000000"/>
            </x14:dataBar>
          </x14:cfRule>
          <xm:sqref>N24:N40</xm:sqref>
        </x14:conditionalFormatting>
        <x14:conditionalFormatting xmlns:xm="http://schemas.microsoft.com/office/excel/2006/main">
          <x14:cfRule type="dataBar" id="{38E98720-CBF3-42C8-B4B7-F794CBC8E4FB}">
            <x14:dataBar minLength="0" maxLength="100">
              <x14:cfvo type="num">
                <xm:f>0</xm:f>
              </x14:cfvo>
              <x14:cfvo type="max"/>
              <x14:negativeFillColor rgb="FFFF0000"/>
              <x14:axisColor rgb="FF000000"/>
            </x14:dataBar>
          </x14:cfRule>
          <xm:sqref>O24:O40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A6867-8C4C-4814-BDBE-6606EB08D51B}">
  <sheetPr codeName="Sheet14"/>
  <dimension ref="B2:L59"/>
  <sheetViews>
    <sheetView workbookViewId="0">
      <selection activeCell="L29" sqref="L29"/>
    </sheetView>
  </sheetViews>
  <sheetFormatPr defaultRowHeight="15.6" x14ac:dyDescent="0.25"/>
  <cols>
    <col min="1" max="10" width="8.88671875" style="1"/>
    <col min="11" max="11" width="10" style="1" bestFit="1" customWidth="1"/>
    <col min="12" max="16384" width="8.88671875" style="1"/>
  </cols>
  <sheetData>
    <row r="2" spans="2:12" ht="16.2" x14ac:dyDescent="0.25">
      <c r="B2" s="20" t="s">
        <v>2280</v>
      </c>
      <c r="H2" s="20" t="s">
        <v>2282</v>
      </c>
    </row>
    <row r="3" spans="2:12" x14ac:dyDescent="0.25">
      <c r="B3" s="6" t="s">
        <v>41</v>
      </c>
      <c r="C3" s="6" t="s">
        <v>10</v>
      </c>
      <c r="D3" s="6" t="s">
        <v>11</v>
      </c>
      <c r="E3" s="6" t="s">
        <v>2279</v>
      </c>
      <c r="F3" s="6" t="s">
        <v>2281</v>
      </c>
      <c r="H3" s="6" t="s">
        <v>41</v>
      </c>
      <c r="I3" s="6" t="s">
        <v>2076</v>
      </c>
      <c r="J3" s="6" t="s">
        <v>11</v>
      </c>
      <c r="K3" s="6" t="s">
        <v>2279</v>
      </c>
      <c r="L3" s="6" t="s">
        <v>2281</v>
      </c>
    </row>
    <row r="4" spans="2:12" x14ac:dyDescent="0.25">
      <c r="B4" s="6">
        <v>1</v>
      </c>
      <c r="C4" s="6" t="s">
        <v>117</v>
      </c>
      <c r="D4" s="6" t="s">
        <v>2275</v>
      </c>
      <c r="E4" s="6">
        <f>COUNTIFS('02骰子表'!C:C,D4,'02骰子表'!B:B,C4)</f>
        <v>17</v>
      </c>
      <c r="F4" s="6">
        <f>E4-$E$25</f>
        <v>-2</v>
      </c>
      <c r="H4" s="6">
        <v>1</v>
      </c>
      <c r="I4" s="6" t="s">
        <v>2277</v>
      </c>
      <c r="J4" s="6" t="s">
        <v>202</v>
      </c>
      <c r="K4" s="6">
        <f>COUNTIFS('02关卡表'!E:E,J4,'02关卡表'!B:B,I4)+COUNTIFS('02关卡表'!G:G,J4,'02关卡表'!B:B,I4)+COUNTIFS('02关卡表'!I:I,J4,'02关卡表'!B:B,I4)+COUNTIFS('02关卡表'!K:K,J4,'02关卡表'!B:B,I4)+COUNTIFS('02关卡表'!M:M,J4,'02关卡表'!B:B,I4)</f>
        <v>1</v>
      </c>
      <c r="L4" s="6">
        <f>K4-$K$46</f>
        <v>-1</v>
      </c>
    </row>
    <row r="5" spans="2:12" x14ac:dyDescent="0.25">
      <c r="B5" s="6">
        <v>2</v>
      </c>
      <c r="C5" s="6" t="s">
        <v>117</v>
      </c>
      <c r="D5" s="6" t="s">
        <v>2276</v>
      </c>
      <c r="E5" s="6">
        <f>COUNTIFS('02骰子表'!C:C,D5,'02骰子表'!B:B,C5)</f>
        <v>25</v>
      </c>
      <c r="F5" s="6">
        <f>E5-$E$26</f>
        <v>-7</v>
      </c>
      <c r="H5" s="6">
        <v>2</v>
      </c>
      <c r="I5" s="6" t="s">
        <v>2277</v>
      </c>
      <c r="J5" s="6" t="s">
        <v>225</v>
      </c>
      <c r="K5" s="6">
        <f>COUNTIFS('02关卡表'!E:E,J5,'02关卡表'!B:B,I5)+COUNTIFS('02关卡表'!G:G,J5,'02关卡表'!B:B,I5)+COUNTIFS('02关卡表'!I:I,J5,'02关卡表'!B:B,I5)+COUNTIFS('02关卡表'!K:K,J5,'02关卡表'!B:B,I5)+COUNTIFS('02关卡表'!M:M,J5,'02关卡表'!B:B,I5)</f>
        <v>2</v>
      </c>
      <c r="L5" s="6">
        <f>K5-$K$47</f>
        <v>0</v>
      </c>
    </row>
    <row r="6" spans="2:12" x14ac:dyDescent="0.25">
      <c r="B6" s="6">
        <v>3</v>
      </c>
      <c r="C6" s="6" t="s">
        <v>117</v>
      </c>
      <c r="D6" s="6" t="s">
        <v>2274</v>
      </c>
      <c r="E6" s="6">
        <f>COUNTIFS('02骰子表'!C:C,D6,'02骰子表'!B:B,C6)</f>
        <v>20</v>
      </c>
      <c r="F6" s="6">
        <f>E6-$E$27</f>
        <v>-9</v>
      </c>
      <c r="H6" s="6">
        <v>3</v>
      </c>
      <c r="I6" s="6" t="s">
        <v>2277</v>
      </c>
      <c r="J6" s="6" t="s">
        <v>226</v>
      </c>
      <c r="K6" s="6">
        <f>COUNTIFS('02关卡表'!E:E,J6,'02关卡表'!B:B,I6)+COUNTIFS('02关卡表'!G:G,J6,'02关卡表'!B:B,I6)+COUNTIFS('02关卡表'!I:I,J6,'02关卡表'!B:B,I6)+COUNTIFS('02关卡表'!K:K,J6,'02关卡表'!B:B,I6)+COUNTIFS('02关卡表'!M:M,J6,'02关卡表'!B:B,I6)</f>
        <v>2</v>
      </c>
      <c r="L6" s="6">
        <f>K6-$K$48</f>
        <v>0</v>
      </c>
    </row>
    <row r="7" spans="2:12" x14ac:dyDescent="0.25">
      <c r="B7" s="6">
        <v>4</v>
      </c>
      <c r="C7" s="6" t="s">
        <v>115</v>
      </c>
      <c r="D7" s="6" t="s">
        <v>2275</v>
      </c>
      <c r="E7" s="6">
        <f>COUNTIFS('02骰子表'!C:C,D7,'02骰子表'!B:B,C7)</f>
        <v>14</v>
      </c>
      <c r="F7" s="6">
        <f t="shared" ref="F7" si="0">E7-$E$25</f>
        <v>-5</v>
      </c>
      <c r="H7" s="6">
        <v>4</v>
      </c>
      <c r="I7" s="6" t="s">
        <v>2277</v>
      </c>
      <c r="J7" s="6" t="s">
        <v>227</v>
      </c>
      <c r="K7" s="6">
        <f>COUNTIFS('02关卡表'!E:E,J7,'02关卡表'!B:B,I7)+COUNTIFS('02关卡表'!G:G,J7,'02关卡表'!B:B,I7)+COUNTIFS('02关卡表'!I:I,J7,'02关卡表'!B:B,I7)+COUNTIFS('02关卡表'!K:K,J7,'02关卡表'!B:B,I7)+COUNTIFS('02关卡表'!M:M,J7,'02关卡表'!B:B,I7)</f>
        <v>1</v>
      </c>
      <c r="L7" s="6">
        <f>K7-$K$49</f>
        <v>-2</v>
      </c>
    </row>
    <row r="8" spans="2:12" x14ac:dyDescent="0.25">
      <c r="B8" s="6">
        <v>5</v>
      </c>
      <c r="C8" s="6" t="s">
        <v>115</v>
      </c>
      <c r="D8" s="6" t="s">
        <v>2276</v>
      </c>
      <c r="E8" s="6">
        <f>COUNTIFS('02骰子表'!C:C,D8,'02骰子表'!B:B,C8)</f>
        <v>29</v>
      </c>
      <c r="F8" s="6">
        <f t="shared" ref="F8" si="1">E8-$E$26</f>
        <v>-3</v>
      </c>
      <c r="H8" s="6">
        <v>5</v>
      </c>
      <c r="I8" s="6" t="s">
        <v>2277</v>
      </c>
      <c r="J8" s="6" t="s">
        <v>203</v>
      </c>
      <c r="K8" s="6">
        <f>COUNTIFS('02关卡表'!E:E,J8,'02关卡表'!B:B,I8)+COUNTIFS('02关卡表'!G:G,J8,'02关卡表'!B:B,I8)+COUNTIFS('02关卡表'!I:I,J8,'02关卡表'!B:B,I8)+COUNTIFS('02关卡表'!K:K,J8,'02关卡表'!B:B,I8)+COUNTIFS('02关卡表'!M:M,J8,'02关卡表'!B:B,I8)</f>
        <v>3</v>
      </c>
      <c r="L8" s="6">
        <f>K8-$K$50</f>
        <v>1</v>
      </c>
    </row>
    <row r="9" spans="2:12" x14ac:dyDescent="0.25">
      <c r="B9" s="6">
        <v>6</v>
      </c>
      <c r="C9" s="6" t="s">
        <v>115</v>
      </c>
      <c r="D9" s="6" t="s">
        <v>2274</v>
      </c>
      <c r="E9" s="6">
        <f>COUNTIFS('02骰子表'!C:C,D9,'02骰子表'!B:B,C9)</f>
        <v>33</v>
      </c>
      <c r="F9" s="6">
        <f t="shared" ref="F9" si="2">E9-$E$27</f>
        <v>4</v>
      </c>
      <c r="H9" s="6">
        <v>6</v>
      </c>
      <c r="I9" s="6" t="s">
        <v>2277</v>
      </c>
      <c r="J9" s="6" t="s">
        <v>249</v>
      </c>
      <c r="K9" s="6">
        <f>COUNTIFS('02关卡表'!E:E,J9,'02关卡表'!B:B,I9)+COUNTIFS('02关卡表'!G:G,J9,'02关卡表'!B:B,I9)+COUNTIFS('02关卡表'!I:I,J9,'02关卡表'!B:B,I9)+COUNTIFS('02关卡表'!K:K,J9,'02关卡表'!B:B,I9)+COUNTIFS('02关卡表'!M:M,J9,'02关卡表'!B:B,I9)</f>
        <v>1</v>
      </c>
      <c r="L9" s="6">
        <f>K9-$K$51</f>
        <v>0</v>
      </c>
    </row>
    <row r="10" spans="2:12" x14ac:dyDescent="0.25">
      <c r="B10" s="6">
        <v>7</v>
      </c>
      <c r="C10" s="6" t="s">
        <v>4</v>
      </c>
      <c r="D10" s="6" t="s">
        <v>2275</v>
      </c>
      <c r="E10" s="6">
        <f>COUNTIFS('02骰子表'!C:C,D10,'02骰子表'!B:B,C10)</f>
        <v>12</v>
      </c>
      <c r="F10" s="6">
        <f t="shared" ref="F10" si="3">E10-$E$25</f>
        <v>-7</v>
      </c>
      <c r="H10" s="6">
        <v>7</v>
      </c>
      <c r="I10" s="6" t="s">
        <v>2277</v>
      </c>
      <c r="J10" s="6" t="s">
        <v>253</v>
      </c>
      <c r="K10" s="6">
        <f>COUNTIFS('02关卡表'!E:E,J10,'02关卡表'!B:B,I10)+COUNTIFS('02关卡表'!G:G,J10,'02关卡表'!B:B,I10)+COUNTIFS('02关卡表'!I:I,J10,'02关卡表'!B:B,I10)+COUNTIFS('02关卡表'!K:K,J10,'02关卡表'!B:B,I10)+COUNTIFS('02关卡表'!M:M,J10,'02关卡表'!B:B,I10)</f>
        <v>1</v>
      </c>
      <c r="L10" s="6">
        <f>K10-$K$52</f>
        <v>0</v>
      </c>
    </row>
    <row r="11" spans="2:12" x14ac:dyDescent="0.25">
      <c r="B11" s="6">
        <v>8</v>
      </c>
      <c r="C11" s="6" t="s">
        <v>4</v>
      </c>
      <c r="D11" s="6" t="s">
        <v>2276</v>
      </c>
      <c r="E11" s="6">
        <f>COUNTIFS('02骰子表'!C:C,D11,'02骰子表'!B:B,C11)</f>
        <v>31</v>
      </c>
      <c r="F11" s="6">
        <f t="shared" ref="F11" si="4">E11-$E$26</f>
        <v>-1</v>
      </c>
      <c r="H11" s="6">
        <v>8</v>
      </c>
      <c r="I11" s="6" t="s">
        <v>2277</v>
      </c>
      <c r="J11" s="6" t="s">
        <v>241</v>
      </c>
      <c r="K11" s="6">
        <f>COUNTIFS('02关卡表'!E:E,J11,'02关卡表'!B:B,I11)+COUNTIFS('02关卡表'!G:G,J11,'02关卡表'!B:B,I11)+COUNTIFS('02关卡表'!I:I,J11,'02关卡表'!B:B,I11)+COUNTIFS('02关卡表'!K:K,J11,'02关卡表'!B:B,I11)+COUNTIFS('02关卡表'!M:M,J11,'02关卡表'!B:B,I11)</f>
        <v>1</v>
      </c>
      <c r="L11" s="6">
        <f>K11-$K$53</f>
        <v>-1</v>
      </c>
    </row>
    <row r="12" spans="2:12" x14ac:dyDescent="0.25">
      <c r="B12" s="6">
        <v>9</v>
      </c>
      <c r="C12" s="6" t="s">
        <v>4</v>
      </c>
      <c r="D12" s="6" t="s">
        <v>2274</v>
      </c>
      <c r="E12" s="6">
        <f>COUNTIFS('02骰子表'!C:C,D12,'02骰子表'!B:B,C12)</f>
        <v>33</v>
      </c>
      <c r="F12" s="6">
        <f t="shared" ref="F12" si="5">E12-$E$27</f>
        <v>4</v>
      </c>
      <c r="H12" s="6">
        <v>9</v>
      </c>
      <c r="I12" s="6" t="s">
        <v>2277</v>
      </c>
      <c r="J12" s="6" t="s">
        <v>242</v>
      </c>
      <c r="K12" s="6">
        <f>COUNTIFS('02关卡表'!E:E,J12,'02关卡表'!B:B,I12)+COUNTIFS('02关卡表'!G:G,J12,'02关卡表'!B:B,I12)+COUNTIFS('02关卡表'!I:I,J12,'02关卡表'!B:B,I12)+COUNTIFS('02关卡表'!K:K,J12,'02关卡表'!B:B,I12)+COUNTIFS('02关卡表'!M:M,J12,'02关卡表'!B:B,I12)</f>
        <v>2</v>
      </c>
      <c r="L12" s="6">
        <f>K12-$K$54</f>
        <v>0</v>
      </c>
    </row>
    <row r="13" spans="2:12" x14ac:dyDescent="0.25">
      <c r="B13" s="6">
        <v>10</v>
      </c>
      <c r="C13" s="6" t="s">
        <v>5</v>
      </c>
      <c r="D13" s="6" t="s">
        <v>2275</v>
      </c>
      <c r="E13" s="6">
        <f>COUNTIFS('02骰子表'!C:C,D13,'02骰子表'!B:B,C13)</f>
        <v>21</v>
      </c>
      <c r="F13" s="6">
        <f t="shared" ref="F13" si="6">E13-$E$25</f>
        <v>2</v>
      </c>
      <c r="H13" s="6">
        <v>10</v>
      </c>
      <c r="I13" s="6" t="s">
        <v>2277</v>
      </c>
      <c r="J13" s="6" t="s">
        <v>275</v>
      </c>
      <c r="K13" s="6">
        <f>COUNTIFS('02关卡表'!E:E,J13,'02关卡表'!B:B,I13)+COUNTIFS('02关卡表'!G:G,J13,'02关卡表'!B:B,I13)+COUNTIFS('02关卡表'!I:I,J13,'02关卡表'!B:B,I13)+COUNTIFS('02关卡表'!K:K,J13,'02关卡表'!B:B,I13)+COUNTIFS('02关卡表'!M:M,J13,'02关卡表'!B:B,I13)</f>
        <v>0</v>
      </c>
      <c r="L13" s="6">
        <f>K13-$K$55</f>
        <v>-1</v>
      </c>
    </row>
    <row r="14" spans="2:12" x14ac:dyDescent="0.25">
      <c r="B14" s="6">
        <v>11</v>
      </c>
      <c r="C14" s="6" t="s">
        <v>5</v>
      </c>
      <c r="D14" s="6" t="s">
        <v>2276</v>
      </c>
      <c r="E14" s="6">
        <f>COUNTIFS('02骰子表'!C:C,D14,'02骰子表'!B:B,C14)</f>
        <v>35</v>
      </c>
      <c r="F14" s="6">
        <f t="shared" ref="F14" si="7">E14-$E$26</f>
        <v>3</v>
      </c>
      <c r="H14" s="6">
        <v>11</v>
      </c>
      <c r="I14" s="6" t="s">
        <v>2277</v>
      </c>
      <c r="J14" s="6" t="s">
        <v>2023</v>
      </c>
      <c r="K14" s="6">
        <f>COUNTIFS('02关卡表'!E:E,J14,'02关卡表'!B:B,I14)+COUNTIFS('02关卡表'!G:G,J14,'02关卡表'!B:B,I14)+COUNTIFS('02关卡表'!I:I,J14,'02关卡表'!B:B,I14)+COUNTIFS('02关卡表'!K:K,J14,'02关卡表'!B:B,I14)+COUNTIFS('02关卡表'!M:M,J14,'02关卡表'!B:B,I14)</f>
        <v>0</v>
      </c>
      <c r="L14" s="6">
        <f>K14-$K$56</f>
        <v>0</v>
      </c>
    </row>
    <row r="15" spans="2:12" x14ac:dyDescent="0.25">
      <c r="B15" s="6">
        <v>12</v>
      </c>
      <c r="C15" s="6" t="s">
        <v>5</v>
      </c>
      <c r="D15" s="6" t="s">
        <v>2274</v>
      </c>
      <c r="E15" s="6">
        <f>COUNTIFS('02骰子表'!C:C,D15,'02骰子表'!B:B,C15)</f>
        <v>28</v>
      </c>
      <c r="F15" s="6">
        <f t="shared" ref="F15" si="8">E15-$E$27</f>
        <v>-1</v>
      </c>
      <c r="H15" s="6">
        <v>12</v>
      </c>
      <c r="I15" s="6" t="s">
        <v>2277</v>
      </c>
      <c r="J15" s="6" t="s">
        <v>30</v>
      </c>
      <c r="K15" s="6">
        <f>COUNTIFS('02关卡表'!E:E,J15,'02关卡表'!B:B,I15)+COUNTIFS('02关卡表'!G:G,J15,'02关卡表'!B:B,I15)+COUNTIFS('02关卡表'!I:I,J15,'02关卡表'!B:B,I15)+COUNTIFS('02关卡表'!K:K,J15,'02关卡表'!B:B,I15)+COUNTIFS('02关卡表'!M:M,J15,'02关卡表'!B:B,I15)</f>
        <v>1</v>
      </c>
      <c r="L15" s="6">
        <f>K15-$K$57</f>
        <v>0</v>
      </c>
    </row>
    <row r="16" spans="2:12" x14ac:dyDescent="0.25">
      <c r="B16" s="6">
        <v>13</v>
      </c>
      <c r="C16" s="6" t="s">
        <v>6</v>
      </c>
      <c r="D16" s="6" t="s">
        <v>2275</v>
      </c>
      <c r="E16" s="6">
        <f>COUNTIFS('02骰子表'!C:C,D16,'02骰子表'!B:B,C16)</f>
        <v>23</v>
      </c>
      <c r="F16" s="6">
        <f t="shared" ref="F16" si="9">E16-$E$25</f>
        <v>4</v>
      </c>
      <c r="H16" s="6">
        <v>13</v>
      </c>
      <c r="I16" s="6" t="s">
        <v>2277</v>
      </c>
      <c r="J16" s="6" t="s">
        <v>251</v>
      </c>
      <c r="K16" s="6">
        <f>COUNTIFS('02关卡表'!E:E,J16,'02关卡表'!B:B,I16)+COUNTIFS('02关卡表'!G:G,J16,'02关卡表'!B:B,I16)+COUNTIFS('02关卡表'!I:I,J16,'02关卡表'!B:B,I16)+COUNTIFS('02关卡表'!K:K,J16,'02关卡表'!B:B,I16)+COUNTIFS('02关卡表'!M:M,J16,'02关卡表'!B:B,I16)</f>
        <v>1</v>
      </c>
      <c r="L16" s="6">
        <f>K16-$K$58</f>
        <v>0</v>
      </c>
    </row>
    <row r="17" spans="2:12" x14ac:dyDescent="0.25">
      <c r="B17" s="6">
        <v>14</v>
      </c>
      <c r="C17" s="6" t="s">
        <v>6</v>
      </c>
      <c r="D17" s="6" t="s">
        <v>2276</v>
      </c>
      <c r="E17" s="6">
        <f>COUNTIFS('02骰子表'!C:C,D17,'02骰子表'!B:B,C17)</f>
        <v>35</v>
      </c>
      <c r="F17" s="6">
        <f t="shared" ref="F17" si="10">E17-$E$26</f>
        <v>3</v>
      </c>
      <c r="H17" s="6">
        <v>14</v>
      </c>
      <c r="I17" s="6" t="s">
        <v>2277</v>
      </c>
      <c r="J17" s="6" t="s">
        <v>252</v>
      </c>
      <c r="K17" s="6">
        <f>COUNTIFS('02关卡表'!E:E,J17,'02关卡表'!B:B,I17)+COUNTIFS('02关卡表'!G:G,J17,'02关卡表'!B:B,I17)+COUNTIFS('02关卡表'!I:I,J17,'02关卡表'!B:B,I17)+COUNTIFS('02关卡表'!K:K,J17,'02关卡表'!B:B,I17)+COUNTIFS('02关卡表'!M:M,J17,'02关卡表'!B:B,I17)</f>
        <v>1</v>
      </c>
      <c r="L17" s="6">
        <f>K17-$K$59</f>
        <v>0</v>
      </c>
    </row>
    <row r="18" spans="2:12" x14ac:dyDescent="0.25">
      <c r="B18" s="6">
        <v>15</v>
      </c>
      <c r="C18" s="6" t="s">
        <v>6</v>
      </c>
      <c r="D18" s="6" t="s">
        <v>2274</v>
      </c>
      <c r="E18" s="6">
        <f>COUNTIFS('02骰子表'!C:C,D18,'02骰子表'!B:B,C18)</f>
        <v>27</v>
      </c>
      <c r="F18" s="6">
        <f t="shared" ref="F18" si="11">E18-$E$27</f>
        <v>-2</v>
      </c>
      <c r="H18" s="6">
        <v>15</v>
      </c>
      <c r="I18" s="6" t="s">
        <v>2278</v>
      </c>
      <c r="J18" s="6" t="s">
        <v>202</v>
      </c>
      <c r="K18" s="6">
        <f>COUNTIFS('02关卡表'!E:E,J18,'02关卡表'!B:B,I18)+COUNTIFS('02关卡表'!G:G,J18,'02关卡表'!B:B,I18)+COUNTIFS('02关卡表'!I:I,J18,'02关卡表'!B:B,I18)+COUNTIFS('02关卡表'!K:K,J18,'02关卡表'!B:B,I18)+COUNTIFS('02关卡表'!M:M,J18,'02关卡表'!B:B,I18)</f>
        <v>2</v>
      </c>
      <c r="L18" s="6">
        <f t="shared" ref="L18" si="12">K18-$K$46</f>
        <v>0</v>
      </c>
    </row>
    <row r="19" spans="2:12" x14ac:dyDescent="0.25">
      <c r="B19" s="6">
        <v>16</v>
      </c>
      <c r="C19" s="6" t="s">
        <v>7</v>
      </c>
      <c r="D19" s="6" t="s">
        <v>2275</v>
      </c>
      <c r="E19" s="6">
        <f>COUNTIFS('02骰子表'!C:C,D19,'02骰子表'!B:B,C19)</f>
        <v>19</v>
      </c>
      <c r="F19" s="6">
        <f t="shared" ref="F19" si="13">E19-$E$25</f>
        <v>0</v>
      </c>
      <c r="H19" s="6">
        <v>16</v>
      </c>
      <c r="I19" s="6" t="s">
        <v>2278</v>
      </c>
      <c r="J19" s="6" t="s">
        <v>225</v>
      </c>
      <c r="K19" s="6">
        <f>COUNTIFS('02关卡表'!E:E,J19,'02关卡表'!B:B,I19)+COUNTIFS('02关卡表'!G:G,J19,'02关卡表'!B:B,I19)+COUNTIFS('02关卡表'!I:I,J19,'02关卡表'!B:B,I19)+COUNTIFS('02关卡表'!K:K,J19,'02关卡表'!B:B,I19)+COUNTIFS('02关卡表'!M:M,J19,'02关卡表'!B:B,I19)</f>
        <v>1</v>
      </c>
      <c r="L19" s="6">
        <f t="shared" ref="L19" si="14">K19-$K$47</f>
        <v>-1</v>
      </c>
    </row>
    <row r="20" spans="2:12" x14ac:dyDescent="0.25">
      <c r="B20" s="6">
        <v>17</v>
      </c>
      <c r="C20" s="6" t="s">
        <v>7</v>
      </c>
      <c r="D20" s="6" t="s">
        <v>2276</v>
      </c>
      <c r="E20" s="6">
        <f>COUNTIFS('02骰子表'!C:C,D20,'02骰子表'!B:B,C20)</f>
        <v>31</v>
      </c>
      <c r="F20" s="6">
        <f t="shared" ref="F20" si="15">E20-$E$26</f>
        <v>-1</v>
      </c>
      <c r="H20" s="6">
        <v>17</v>
      </c>
      <c r="I20" s="6" t="s">
        <v>2278</v>
      </c>
      <c r="J20" s="6" t="s">
        <v>226</v>
      </c>
      <c r="K20" s="6">
        <f>COUNTIFS('02关卡表'!E:E,J20,'02关卡表'!B:B,I20)+COUNTIFS('02关卡表'!G:G,J20,'02关卡表'!B:B,I20)+COUNTIFS('02关卡表'!I:I,J20,'02关卡表'!B:B,I20)+COUNTIFS('02关卡表'!K:K,J20,'02关卡表'!B:B,I20)+COUNTIFS('02关卡表'!M:M,J20,'02关卡表'!B:B,I20)</f>
        <v>3</v>
      </c>
      <c r="L20" s="6">
        <f t="shared" ref="L20" si="16">K20-$K$48</f>
        <v>1</v>
      </c>
    </row>
    <row r="21" spans="2:12" x14ac:dyDescent="0.25">
      <c r="B21" s="6">
        <v>18</v>
      </c>
      <c r="C21" s="6" t="s">
        <v>7</v>
      </c>
      <c r="D21" s="6" t="s">
        <v>2274</v>
      </c>
      <c r="E21" s="6">
        <f>COUNTIFS('02骰子表'!C:C,D21,'02骰子表'!B:B,C21)</f>
        <v>32</v>
      </c>
      <c r="F21" s="6">
        <f t="shared" ref="F21" si="17">E21-$E$27</f>
        <v>3</v>
      </c>
      <c r="H21" s="6">
        <v>18</v>
      </c>
      <c r="I21" s="6" t="s">
        <v>2278</v>
      </c>
      <c r="J21" s="6" t="s">
        <v>227</v>
      </c>
      <c r="K21" s="6">
        <f>COUNTIFS('02关卡表'!E:E,J21,'02关卡表'!B:B,I21)+COUNTIFS('02关卡表'!G:G,J21,'02关卡表'!B:B,I21)+COUNTIFS('02关卡表'!I:I,J21,'02关卡表'!B:B,I21)+COUNTIFS('02关卡表'!K:K,J21,'02关卡表'!B:B,I21)+COUNTIFS('02关卡表'!M:M,J21,'02关卡表'!B:B,I21)</f>
        <v>4</v>
      </c>
      <c r="L21" s="6">
        <f t="shared" ref="L21" si="18">K21-$K$49</f>
        <v>1</v>
      </c>
    </row>
    <row r="22" spans="2:12" x14ac:dyDescent="0.25">
      <c r="B22" s="6">
        <v>19</v>
      </c>
      <c r="C22" s="6" t="s">
        <v>8</v>
      </c>
      <c r="D22" s="6" t="s">
        <v>2275</v>
      </c>
      <c r="E22" s="6">
        <f>COUNTIFS('02骰子表'!C:C,D22,'02骰子表'!B:B,C22)</f>
        <v>26</v>
      </c>
      <c r="F22" s="6">
        <f t="shared" ref="F22" si="19">E22-$E$25</f>
        <v>7</v>
      </c>
      <c r="H22" s="6">
        <v>19</v>
      </c>
      <c r="I22" s="6" t="s">
        <v>2278</v>
      </c>
      <c r="J22" s="6" t="s">
        <v>203</v>
      </c>
      <c r="K22" s="6">
        <f>COUNTIFS('02关卡表'!E:E,J22,'02关卡表'!B:B,I22)+COUNTIFS('02关卡表'!G:G,J22,'02关卡表'!B:B,I22)+COUNTIFS('02关卡表'!I:I,J22,'02关卡表'!B:B,I22)+COUNTIFS('02关卡表'!K:K,J22,'02关卡表'!B:B,I22)+COUNTIFS('02关卡表'!M:M,J22,'02关卡表'!B:B,I22)</f>
        <v>2</v>
      </c>
      <c r="L22" s="6">
        <f t="shared" ref="L22" si="20">K22-$K$50</f>
        <v>0</v>
      </c>
    </row>
    <row r="23" spans="2:12" x14ac:dyDescent="0.25">
      <c r="B23" s="6">
        <v>20</v>
      </c>
      <c r="C23" s="6" t="s">
        <v>8</v>
      </c>
      <c r="D23" s="6" t="s">
        <v>2276</v>
      </c>
      <c r="E23" s="6">
        <f>COUNTIFS('02骰子表'!C:C,D23,'02骰子表'!B:B,C23)</f>
        <v>37</v>
      </c>
      <c r="F23" s="6">
        <f t="shared" ref="F23" si="21">E23-$E$26</f>
        <v>5</v>
      </c>
      <c r="H23" s="6">
        <v>20</v>
      </c>
      <c r="I23" s="6" t="s">
        <v>2278</v>
      </c>
      <c r="J23" s="6" t="s">
        <v>249</v>
      </c>
      <c r="K23" s="6">
        <f>COUNTIFS('02关卡表'!E:E,J23,'02关卡表'!B:B,I23)+COUNTIFS('02关卡表'!G:G,J23,'02关卡表'!B:B,I23)+COUNTIFS('02关卡表'!I:I,J23,'02关卡表'!B:B,I23)+COUNTIFS('02关卡表'!K:K,J23,'02关卡表'!B:B,I23)+COUNTIFS('02关卡表'!M:M,J23,'02关卡表'!B:B,I23)</f>
        <v>1</v>
      </c>
      <c r="L23" s="6">
        <f t="shared" ref="L23" si="22">K23-$K$51</f>
        <v>0</v>
      </c>
    </row>
    <row r="24" spans="2:12" x14ac:dyDescent="0.25">
      <c r="B24" s="6">
        <v>21</v>
      </c>
      <c r="C24" s="6" t="s">
        <v>8</v>
      </c>
      <c r="D24" s="6" t="s">
        <v>2274</v>
      </c>
      <c r="E24" s="6">
        <f>COUNTIFS('02骰子表'!C:C,D24,'02骰子表'!B:B,C24)</f>
        <v>29</v>
      </c>
      <c r="F24" s="6">
        <f t="shared" ref="F24" si="23">E24-$E$27</f>
        <v>0</v>
      </c>
      <c r="H24" s="6">
        <v>21</v>
      </c>
      <c r="I24" s="6" t="s">
        <v>2278</v>
      </c>
      <c r="J24" s="6" t="s">
        <v>253</v>
      </c>
      <c r="K24" s="6">
        <f>COUNTIFS('02关卡表'!E:E,J24,'02关卡表'!B:B,I24)+COUNTIFS('02关卡表'!G:G,J24,'02关卡表'!B:B,I24)+COUNTIFS('02关卡表'!I:I,J24,'02关卡表'!B:B,I24)+COUNTIFS('02关卡表'!K:K,J24,'02关卡表'!B:B,I24)+COUNTIFS('02关卡表'!M:M,J24,'02关卡表'!B:B,I24)</f>
        <v>1</v>
      </c>
      <c r="L24" s="6">
        <f t="shared" ref="L24" si="24">K24-$K$52</f>
        <v>0</v>
      </c>
    </row>
    <row r="25" spans="2:12" x14ac:dyDescent="0.25">
      <c r="B25" s="6">
        <v>22</v>
      </c>
      <c r="C25" s="6" t="s">
        <v>2283</v>
      </c>
      <c r="D25" s="6" t="s">
        <v>2275</v>
      </c>
      <c r="E25" s="6">
        <f>ROUND((E4+E7+E10+E13+E16+E19+E22)*1/7,0)</f>
        <v>19</v>
      </c>
      <c r="F25" s="6">
        <f t="shared" ref="F25" si="25">E25-$E$25</f>
        <v>0</v>
      </c>
      <c r="H25" s="6">
        <v>22</v>
      </c>
      <c r="I25" s="6" t="s">
        <v>2278</v>
      </c>
      <c r="J25" s="6" t="s">
        <v>241</v>
      </c>
      <c r="K25" s="6">
        <f>COUNTIFS('02关卡表'!E:E,J25,'02关卡表'!B:B,I25)+COUNTIFS('02关卡表'!G:G,J25,'02关卡表'!B:B,I25)+COUNTIFS('02关卡表'!I:I,J25,'02关卡表'!B:B,I25)+COUNTIFS('02关卡表'!K:K,J25,'02关卡表'!B:B,I25)+COUNTIFS('02关卡表'!M:M,J25,'02关卡表'!B:B,I25)</f>
        <v>2</v>
      </c>
      <c r="L25" s="6">
        <f t="shared" ref="L25" si="26">K25-$K$53</f>
        <v>0</v>
      </c>
    </row>
    <row r="26" spans="2:12" x14ac:dyDescent="0.25">
      <c r="B26" s="6">
        <v>23</v>
      </c>
      <c r="C26" s="6" t="s">
        <v>2283</v>
      </c>
      <c r="D26" s="6" t="s">
        <v>2276</v>
      </c>
      <c r="E26" s="6">
        <f t="shared" ref="E26:E27" si="27">ROUND((E5+E8+E11+E14+E17+E20+E23)*1/7,0)</f>
        <v>32</v>
      </c>
      <c r="F26" s="6">
        <f t="shared" ref="F26" si="28">E26-$E$26</f>
        <v>0</v>
      </c>
      <c r="H26" s="6">
        <v>23</v>
      </c>
      <c r="I26" s="6" t="s">
        <v>2278</v>
      </c>
      <c r="J26" s="6" t="s">
        <v>242</v>
      </c>
      <c r="K26" s="6">
        <f>COUNTIFS('02关卡表'!E:E,J26,'02关卡表'!B:B,I26)+COUNTIFS('02关卡表'!G:G,J26,'02关卡表'!B:B,I26)+COUNTIFS('02关卡表'!I:I,J26,'02关卡表'!B:B,I26)+COUNTIFS('02关卡表'!K:K,J26,'02关卡表'!B:B,I26)+COUNTIFS('02关卡表'!M:M,J26,'02关卡表'!B:B,I26)</f>
        <v>2</v>
      </c>
      <c r="L26" s="6">
        <f t="shared" ref="L26" si="29">K26-$K$54</f>
        <v>0</v>
      </c>
    </row>
    <row r="27" spans="2:12" x14ac:dyDescent="0.25">
      <c r="B27" s="6">
        <v>24</v>
      </c>
      <c r="C27" s="6" t="s">
        <v>2283</v>
      </c>
      <c r="D27" s="6" t="s">
        <v>2274</v>
      </c>
      <c r="E27" s="6">
        <f t="shared" si="27"/>
        <v>29</v>
      </c>
      <c r="F27" s="6">
        <f t="shared" ref="F27" si="30">E27-$E$27</f>
        <v>0</v>
      </c>
      <c r="H27" s="6">
        <v>24</v>
      </c>
      <c r="I27" s="6" t="s">
        <v>2278</v>
      </c>
      <c r="J27" s="6" t="s">
        <v>275</v>
      </c>
      <c r="K27" s="6">
        <f>COUNTIFS('02关卡表'!E:E,J27,'02关卡表'!B:B,I27)+COUNTIFS('02关卡表'!G:G,J27,'02关卡表'!B:B,I27)+COUNTIFS('02关卡表'!I:I,J27,'02关卡表'!B:B,I27)+COUNTIFS('02关卡表'!K:K,J27,'02关卡表'!B:B,I27)+COUNTIFS('02关卡表'!M:M,J27,'02关卡表'!B:B,I27)</f>
        <v>1</v>
      </c>
      <c r="L27" s="6">
        <f t="shared" ref="L27" si="31">K27-$K$55</f>
        <v>0</v>
      </c>
    </row>
    <row r="28" spans="2:12" x14ac:dyDescent="0.25">
      <c r="H28" s="6">
        <v>25</v>
      </c>
      <c r="I28" s="6" t="s">
        <v>2278</v>
      </c>
      <c r="J28" s="6" t="s">
        <v>2023</v>
      </c>
      <c r="K28" s="6">
        <f>COUNTIFS('02关卡表'!E:E,J28,'02关卡表'!B:B,I28)+COUNTIFS('02关卡表'!G:G,J28,'02关卡表'!B:B,I28)+COUNTIFS('02关卡表'!I:I,J28,'02关卡表'!B:B,I28)+COUNTIFS('02关卡表'!K:K,J28,'02关卡表'!B:B,I28)+COUNTIFS('02关卡表'!M:M,J28,'02关卡表'!B:B,I28)</f>
        <v>0</v>
      </c>
      <c r="L28" s="6">
        <f t="shared" ref="L28" si="32">K28-$K$56</f>
        <v>0</v>
      </c>
    </row>
    <row r="29" spans="2:12" x14ac:dyDescent="0.25">
      <c r="H29" s="6">
        <v>26</v>
      </c>
      <c r="I29" s="6" t="s">
        <v>2278</v>
      </c>
      <c r="J29" s="6" t="s">
        <v>30</v>
      </c>
      <c r="K29" s="6">
        <f>COUNTIFS('02关卡表'!E:E,J29,'02关卡表'!B:B,I29)+COUNTIFS('02关卡表'!G:G,J29,'02关卡表'!B:B,I29)+COUNTIFS('02关卡表'!I:I,J29,'02关卡表'!B:B,I29)+COUNTIFS('02关卡表'!K:K,J29,'02关卡表'!B:B,I29)+COUNTIFS('02关卡表'!M:M,J29,'02关卡表'!B:B,I29)</f>
        <v>0</v>
      </c>
      <c r="L29" s="6">
        <f t="shared" ref="L29" si="33">K29-$K$57</f>
        <v>-1</v>
      </c>
    </row>
    <row r="30" spans="2:12" x14ac:dyDescent="0.25">
      <c r="H30" s="6">
        <v>27</v>
      </c>
      <c r="I30" s="6" t="s">
        <v>2278</v>
      </c>
      <c r="J30" s="6" t="s">
        <v>251</v>
      </c>
      <c r="K30" s="6">
        <f>COUNTIFS('02关卡表'!E:E,J30,'02关卡表'!B:B,I30)+COUNTIFS('02关卡表'!G:G,J30,'02关卡表'!B:B,I30)+COUNTIFS('02关卡表'!I:I,J30,'02关卡表'!B:B,I30)+COUNTIFS('02关卡表'!K:K,J30,'02关卡表'!B:B,I30)+COUNTIFS('02关卡表'!M:M,J30,'02关卡表'!B:B,I30)</f>
        <v>1</v>
      </c>
      <c r="L30" s="6">
        <f t="shared" ref="L30" si="34">K30-$K$58</f>
        <v>0</v>
      </c>
    </row>
    <row r="31" spans="2:12" x14ac:dyDescent="0.25">
      <c r="H31" s="6">
        <v>28</v>
      </c>
      <c r="I31" s="6" t="s">
        <v>2278</v>
      </c>
      <c r="J31" s="6" t="s">
        <v>252</v>
      </c>
      <c r="K31" s="6">
        <f>COUNTIFS('02关卡表'!E:E,J31,'02关卡表'!B:B,I31)+COUNTIFS('02关卡表'!G:G,J31,'02关卡表'!B:B,I31)+COUNTIFS('02关卡表'!I:I,J31,'02关卡表'!B:B,I31)+COUNTIFS('02关卡表'!K:K,J31,'02关卡表'!B:B,I31)+COUNTIFS('02关卡表'!M:M,J31,'02关卡表'!B:B,I31)</f>
        <v>1</v>
      </c>
      <c r="L31" s="6">
        <f t="shared" ref="L31" si="35">K31-$K$59</f>
        <v>0</v>
      </c>
    </row>
    <row r="32" spans="2:12" x14ac:dyDescent="0.25">
      <c r="H32" s="6">
        <v>29</v>
      </c>
      <c r="I32" s="6" t="s">
        <v>360</v>
      </c>
      <c r="J32" s="6" t="s">
        <v>202</v>
      </c>
      <c r="K32" s="6">
        <f>COUNTIFS('02关卡表'!E:E,J32,'02关卡表'!B:B,I32)+COUNTIFS('02关卡表'!G:G,J32,'02关卡表'!B:B,I32)+COUNTIFS('02关卡表'!I:I,J32,'02关卡表'!B:B,I32)+COUNTIFS('02关卡表'!K:K,J32,'02关卡表'!B:B,I32)+COUNTIFS('02关卡表'!M:M,J32,'02关卡表'!B:B,I32)</f>
        <v>3</v>
      </c>
      <c r="L32" s="6">
        <f t="shared" ref="L32" si="36">K32-$K$46</f>
        <v>1</v>
      </c>
    </row>
    <row r="33" spans="8:12" x14ac:dyDescent="0.25">
      <c r="H33" s="6">
        <v>30</v>
      </c>
      <c r="I33" s="6" t="s">
        <v>360</v>
      </c>
      <c r="J33" s="6" t="s">
        <v>225</v>
      </c>
      <c r="K33" s="6">
        <f>COUNTIFS('02关卡表'!E:E,J33,'02关卡表'!B:B,I33)+COUNTIFS('02关卡表'!G:G,J33,'02关卡表'!B:B,I33)+COUNTIFS('02关卡表'!I:I,J33,'02关卡表'!B:B,I33)+COUNTIFS('02关卡表'!K:K,J33,'02关卡表'!B:B,I33)+COUNTIFS('02关卡表'!M:M,J33,'02关卡表'!B:B,I33)</f>
        <v>3</v>
      </c>
      <c r="L33" s="6">
        <f t="shared" ref="L33" si="37">K33-$K$47</f>
        <v>1</v>
      </c>
    </row>
    <row r="34" spans="8:12" x14ac:dyDescent="0.25">
      <c r="H34" s="6">
        <v>31</v>
      </c>
      <c r="I34" s="6" t="s">
        <v>360</v>
      </c>
      <c r="J34" s="6" t="s">
        <v>226</v>
      </c>
      <c r="K34" s="6">
        <f>COUNTIFS('02关卡表'!E:E,J34,'02关卡表'!B:B,I34)+COUNTIFS('02关卡表'!G:G,J34,'02关卡表'!B:B,I34)+COUNTIFS('02关卡表'!I:I,J34,'02关卡表'!B:B,I34)+COUNTIFS('02关卡表'!K:K,J34,'02关卡表'!B:B,I34)+COUNTIFS('02关卡表'!M:M,J34,'02关卡表'!B:B,I34)</f>
        <v>1</v>
      </c>
      <c r="L34" s="6">
        <f t="shared" ref="L34" si="38">K34-$K$48</f>
        <v>-1</v>
      </c>
    </row>
    <row r="35" spans="8:12" x14ac:dyDescent="0.25">
      <c r="H35" s="6">
        <v>32</v>
      </c>
      <c r="I35" s="6" t="s">
        <v>360</v>
      </c>
      <c r="J35" s="6" t="s">
        <v>227</v>
      </c>
      <c r="K35" s="6">
        <f>COUNTIFS('02关卡表'!E:E,J35,'02关卡表'!B:B,I35)+COUNTIFS('02关卡表'!G:G,J35,'02关卡表'!B:B,I35)+COUNTIFS('02关卡表'!I:I,J35,'02关卡表'!B:B,I35)+COUNTIFS('02关卡表'!K:K,J35,'02关卡表'!B:B,I35)+COUNTIFS('02关卡表'!M:M,J35,'02关卡表'!B:B,I35)</f>
        <v>3</v>
      </c>
      <c r="L35" s="6">
        <f t="shared" ref="L35" si="39">K35-$K$49</f>
        <v>0</v>
      </c>
    </row>
    <row r="36" spans="8:12" x14ac:dyDescent="0.25">
      <c r="H36" s="6">
        <v>33</v>
      </c>
      <c r="I36" s="6" t="s">
        <v>360</v>
      </c>
      <c r="J36" s="6" t="s">
        <v>203</v>
      </c>
      <c r="K36" s="6">
        <f>COUNTIFS('02关卡表'!E:E,J36,'02关卡表'!B:B,I36)+COUNTIFS('02关卡表'!G:G,J36,'02关卡表'!B:B,I36)+COUNTIFS('02关卡表'!I:I,J36,'02关卡表'!B:B,I36)+COUNTIFS('02关卡表'!K:K,J36,'02关卡表'!B:B,I36)+COUNTIFS('02关卡表'!M:M,J36,'02关卡表'!B:B,I36)</f>
        <v>2</v>
      </c>
      <c r="L36" s="6">
        <f t="shared" ref="L36" si="40">K36-$K$50</f>
        <v>0</v>
      </c>
    </row>
    <row r="37" spans="8:12" x14ac:dyDescent="0.25">
      <c r="H37" s="6">
        <v>34</v>
      </c>
      <c r="I37" s="6" t="s">
        <v>360</v>
      </c>
      <c r="J37" s="6" t="s">
        <v>249</v>
      </c>
      <c r="K37" s="6">
        <f>COUNTIFS('02关卡表'!E:E,J37,'02关卡表'!B:B,I37)+COUNTIFS('02关卡表'!G:G,J37,'02关卡表'!B:B,I37)+COUNTIFS('02关卡表'!I:I,J37,'02关卡表'!B:B,I37)+COUNTIFS('02关卡表'!K:K,J37,'02关卡表'!B:B,I37)+COUNTIFS('02关卡表'!M:M,J37,'02关卡表'!B:B,I37)</f>
        <v>2</v>
      </c>
      <c r="L37" s="6">
        <f t="shared" ref="L37" si="41">K37-$K$51</f>
        <v>1</v>
      </c>
    </row>
    <row r="38" spans="8:12" x14ac:dyDescent="0.25">
      <c r="H38" s="6">
        <v>35</v>
      </c>
      <c r="I38" s="6" t="s">
        <v>360</v>
      </c>
      <c r="J38" s="6" t="s">
        <v>253</v>
      </c>
      <c r="K38" s="6">
        <f>COUNTIFS('02关卡表'!E:E,J38,'02关卡表'!B:B,I38)+COUNTIFS('02关卡表'!G:G,J38,'02关卡表'!B:B,I38)+COUNTIFS('02关卡表'!I:I,J38,'02关卡表'!B:B,I38)+COUNTIFS('02关卡表'!K:K,J38,'02关卡表'!B:B,I38)+COUNTIFS('02关卡表'!M:M,J38,'02关卡表'!B:B,I38)</f>
        <v>1</v>
      </c>
      <c r="L38" s="6">
        <f t="shared" ref="L38" si="42">K38-$K$52</f>
        <v>0</v>
      </c>
    </row>
    <row r="39" spans="8:12" x14ac:dyDescent="0.25">
      <c r="H39" s="6">
        <v>36</v>
      </c>
      <c r="I39" s="6" t="s">
        <v>360</v>
      </c>
      <c r="J39" s="6" t="s">
        <v>241</v>
      </c>
      <c r="K39" s="6">
        <f>COUNTIFS('02关卡表'!E:E,J39,'02关卡表'!B:B,I39)+COUNTIFS('02关卡表'!G:G,J39,'02关卡表'!B:B,I39)+COUNTIFS('02关卡表'!I:I,J39,'02关卡表'!B:B,I39)+COUNTIFS('02关卡表'!K:K,J39,'02关卡表'!B:B,I39)+COUNTIFS('02关卡表'!M:M,J39,'02关卡表'!B:B,I39)</f>
        <v>2</v>
      </c>
      <c r="L39" s="6">
        <f t="shared" ref="L39" si="43">K39-$K$53</f>
        <v>0</v>
      </c>
    </row>
    <row r="40" spans="8:12" x14ac:dyDescent="0.25">
      <c r="H40" s="6">
        <v>37</v>
      </c>
      <c r="I40" s="6" t="s">
        <v>360</v>
      </c>
      <c r="J40" s="6" t="s">
        <v>242</v>
      </c>
      <c r="K40" s="6">
        <f>COUNTIFS('02关卡表'!E:E,J40,'02关卡表'!B:B,I40)+COUNTIFS('02关卡表'!G:G,J40,'02关卡表'!B:B,I40)+COUNTIFS('02关卡表'!I:I,J40,'02关卡表'!B:B,I40)+COUNTIFS('02关卡表'!K:K,J40,'02关卡表'!B:B,I40)+COUNTIFS('02关卡表'!M:M,J40,'02关卡表'!B:B,I40)</f>
        <v>3</v>
      </c>
      <c r="L40" s="6">
        <f t="shared" ref="L40" si="44">K40-$K$54</f>
        <v>1</v>
      </c>
    </row>
    <row r="41" spans="8:12" x14ac:dyDescent="0.25">
      <c r="H41" s="6">
        <v>38</v>
      </c>
      <c r="I41" s="6" t="s">
        <v>360</v>
      </c>
      <c r="J41" s="6" t="s">
        <v>275</v>
      </c>
      <c r="K41" s="6">
        <f>COUNTIFS('02关卡表'!E:E,J41,'02关卡表'!B:B,I41)+COUNTIFS('02关卡表'!G:G,J41,'02关卡表'!B:B,I41)+COUNTIFS('02关卡表'!I:I,J41,'02关卡表'!B:B,I41)+COUNTIFS('02关卡表'!K:K,J41,'02关卡表'!B:B,I41)+COUNTIFS('02关卡表'!M:M,J41,'02关卡表'!B:B,I41)</f>
        <v>1</v>
      </c>
      <c r="L41" s="6">
        <f t="shared" ref="L41" si="45">K41-$K$55</f>
        <v>0</v>
      </c>
    </row>
    <row r="42" spans="8:12" x14ac:dyDescent="0.25">
      <c r="H42" s="6">
        <v>39</v>
      </c>
      <c r="I42" s="6" t="s">
        <v>360</v>
      </c>
      <c r="J42" s="6" t="s">
        <v>2023</v>
      </c>
      <c r="K42" s="6">
        <f>COUNTIFS('02关卡表'!E:E,J42,'02关卡表'!B:B,I42)+COUNTIFS('02关卡表'!G:G,J42,'02关卡表'!B:B,I42)+COUNTIFS('02关卡表'!I:I,J42,'02关卡表'!B:B,I42)+COUNTIFS('02关卡表'!K:K,J42,'02关卡表'!B:B,I42)+COUNTIFS('02关卡表'!M:M,J42,'02关卡表'!B:B,I42)</f>
        <v>0</v>
      </c>
      <c r="L42" s="6">
        <f t="shared" ref="L42" si="46">K42-$K$56</f>
        <v>0</v>
      </c>
    </row>
    <row r="43" spans="8:12" x14ac:dyDescent="0.25">
      <c r="H43" s="6">
        <v>40</v>
      </c>
      <c r="I43" s="6" t="s">
        <v>360</v>
      </c>
      <c r="J43" s="6" t="s">
        <v>30</v>
      </c>
      <c r="K43" s="6">
        <f>COUNTIFS('02关卡表'!E:E,J43,'02关卡表'!B:B,I43)+COUNTIFS('02关卡表'!G:G,J43,'02关卡表'!B:B,I43)+COUNTIFS('02关卡表'!I:I,J43,'02关卡表'!B:B,I43)+COUNTIFS('02关卡表'!K:K,J43,'02关卡表'!B:B,I43)+COUNTIFS('02关卡表'!M:M,J43,'02关卡表'!B:B,I43)</f>
        <v>1</v>
      </c>
      <c r="L43" s="6">
        <f t="shared" ref="L43" si="47">K43-$K$57</f>
        <v>0</v>
      </c>
    </row>
    <row r="44" spans="8:12" x14ac:dyDescent="0.25">
      <c r="H44" s="6">
        <v>41</v>
      </c>
      <c r="I44" s="6" t="s">
        <v>360</v>
      </c>
      <c r="J44" s="6" t="s">
        <v>251</v>
      </c>
      <c r="K44" s="6">
        <f>COUNTIFS('02关卡表'!E:E,J44,'02关卡表'!B:B,I44)+COUNTIFS('02关卡表'!G:G,J44,'02关卡表'!B:B,I44)+COUNTIFS('02关卡表'!I:I,J44,'02关卡表'!B:B,I44)+COUNTIFS('02关卡表'!K:K,J44,'02关卡表'!B:B,I44)+COUNTIFS('02关卡表'!M:M,J44,'02关卡表'!B:B,I44)</f>
        <v>1</v>
      </c>
      <c r="L44" s="6">
        <f t="shared" ref="L44" si="48">K44-$K$58</f>
        <v>0</v>
      </c>
    </row>
    <row r="45" spans="8:12" x14ac:dyDescent="0.25">
      <c r="H45" s="6">
        <v>42</v>
      </c>
      <c r="I45" s="6" t="s">
        <v>360</v>
      </c>
      <c r="J45" s="6" t="s">
        <v>252</v>
      </c>
      <c r="K45" s="6">
        <f>COUNTIFS('02关卡表'!E:E,J45,'02关卡表'!B:B,I45)+COUNTIFS('02关卡表'!G:G,J45,'02关卡表'!B:B,I45)+COUNTIFS('02关卡表'!I:I,J45,'02关卡表'!B:B,I45)+COUNTIFS('02关卡表'!K:K,J45,'02关卡表'!B:B,I45)+COUNTIFS('02关卡表'!M:M,J45,'02关卡表'!B:B,I45)</f>
        <v>1</v>
      </c>
      <c r="L45" s="6">
        <f t="shared" ref="L45" si="49">K45-$K$59</f>
        <v>0</v>
      </c>
    </row>
    <row r="46" spans="8:12" x14ac:dyDescent="0.25">
      <c r="H46" s="6">
        <v>43</v>
      </c>
      <c r="I46" s="6" t="s">
        <v>2283</v>
      </c>
      <c r="J46" s="6" t="s">
        <v>202</v>
      </c>
      <c r="K46" s="6">
        <f>ROUND((K4+K18+K32)*1/3,0)</f>
        <v>2</v>
      </c>
      <c r="L46" s="6">
        <f t="shared" ref="L46" si="50">K46-$K$46</f>
        <v>0</v>
      </c>
    </row>
    <row r="47" spans="8:12" x14ac:dyDescent="0.25">
      <c r="H47" s="6">
        <v>44</v>
      </c>
      <c r="I47" s="6" t="s">
        <v>2283</v>
      </c>
      <c r="J47" s="6" t="s">
        <v>225</v>
      </c>
      <c r="K47" s="6">
        <f t="shared" ref="K47:K59" si="51">ROUND((K5+K19+K33)*1/3,0)</f>
        <v>2</v>
      </c>
      <c r="L47" s="6">
        <f t="shared" ref="L47" si="52">K47-$K$47</f>
        <v>0</v>
      </c>
    </row>
    <row r="48" spans="8:12" x14ac:dyDescent="0.25">
      <c r="H48" s="6">
        <v>45</v>
      </c>
      <c r="I48" s="6" t="s">
        <v>2283</v>
      </c>
      <c r="J48" s="6" t="s">
        <v>226</v>
      </c>
      <c r="K48" s="6">
        <f t="shared" si="51"/>
        <v>2</v>
      </c>
      <c r="L48" s="6">
        <f t="shared" ref="L48" si="53">K48-$K$48</f>
        <v>0</v>
      </c>
    </row>
    <row r="49" spans="8:12" x14ac:dyDescent="0.25">
      <c r="H49" s="6">
        <v>46</v>
      </c>
      <c r="I49" s="6" t="s">
        <v>2283</v>
      </c>
      <c r="J49" s="6" t="s">
        <v>227</v>
      </c>
      <c r="K49" s="6">
        <f t="shared" si="51"/>
        <v>3</v>
      </c>
      <c r="L49" s="6">
        <f t="shared" ref="L49" si="54">K49-$K$49</f>
        <v>0</v>
      </c>
    </row>
    <row r="50" spans="8:12" x14ac:dyDescent="0.25">
      <c r="H50" s="6">
        <v>47</v>
      </c>
      <c r="I50" s="6" t="s">
        <v>2283</v>
      </c>
      <c r="J50" s="6" t="s">
        <v>203</v>
      </c>
      <c r="K50" s="6">
        <f t="shared" si="51"/>
        <v>2</v>
      </c>
      <c r="L50" s="6">
        <f t="shared" ref="L50" si="55">K50-$K$50</f>
        <v>0</v>
      </c>
    </row>
    <row r="51" spans="8:12" x14ac:dyDescent="0.25">
      <c r="H51" s="6">
        <v>48</v>
      </c>
      <c r="I51" s="6" t="s">
        <v>2283</v>
      </c>
      <c r="J51" s="6" t="s">
        <v>249</v>
      </c>
      <c r="K51" s="6">
        <f t="shared" si="51"/>
        <v>1</v>
      </c>
      <c r="L51" s="6">
        <f t="shared" ref="L51" si="56">K51-$K$51</f>
        <v>0</v>
      </c>
    </row>
    <row r="52" spans="8:12" x14ac:dyDescent="0.25">
      <c r="H52" s="6">
        <v>49</v>
      </c>
      <c r="I52" s="6" t="s">
        <v>2283</v>
      </c>
      <c r="J52" s="6" t="s">
        <v>253</v>
      </c>
      <c r="K52" s="6">
        <f t="shared" si="51"/>
        <v>1</v>
      </c>
      <c r="L52" s="6">
        <f t="shared" ref="L52" si="57">K52-$K$52</f>
        <v>0</v>
      </c>
    </row>
    <row r="53" spans="8:12" x14ac:dyDescent="0.25">
      <c r="H53" s="6">
        <v>50</v>
      </c>
      <c r="I53" s="6" t="s">
        <v>2283</v>
      </c>
      <c r="J53" s="6" t="s">
        <v>241</v>
      </c>
      <c r="K53" s="6">
        <f t="shared" si="51"/>
        <v>2</v>
      </c>
      <c r="L53" s="6">
        <f t="shared" ref="L53" si="58">K53-$K$53</f>
        <v>0</v>
      </c>
    </row>
    <row r="54" spans="8:12" x14ac:dyDescent="0.25">
      <c r="H54" s="6">
        <v>51</v>
      </c>
      <c r="I54" s="6" t="s">
        <v>2283</v>
      </c>
      <c r="J54" s="6" t="s">
        <v>242</v>
      </c>
      <c r="K54" s="6">
        <f t="shared" si="51"/>
        <v>2</v>
      </c>
      <c r="L54" s="6">
        <f t="shared" ref="L54" si="59">K54-$K$54</f>
        <v>0</v>
      </c>
    </row>
    <row r="55" spans="8:12" x14ac:dyDescent="0.25">
      <c r="H55" s="6">
        <v>52</v>
      </c>
      <c r="I55" s="6" t="s">
        <v>2283</v>
      </c>
      <c r="J55" s="6" t="s">
        <v>275</v>
      </c>
      <c r="K55" s="6">
        <f t="shared" si="51"/>
        <v>1</v>
      </c>
      <c r="L55" s="6">
        <f t="shared" ref="L55" si="60">K55-$K$55</f>
        <v>0</v>
      </c>
    </row>
    <row r="56" spans="8:12" x14ac:dyDescent="0.25">
      <c r="H56" s="6">
        <v>53</v>
      </c>
      <c r="I56" s="6" t="s">
        <v>2283</v>
      </c>
      <c r="J56" s="6" t="s">
        <v>2023</v>
      </c>
      <c r="K56" s="6">
        <f t="shared" si="51"/>
        <v>0</v>
      </c>
      <c r="L56" s="6">
        <f t="shared" ref="L56" si="61">K56-$K$56</f>
        <v>0</v>
      </c>
    </row>
    <row r="57" spans="8:12" x14ac:dyDescent="0.25">
      <c r="H57" s="6">
        <v>54</v>
      </c>
      <c r="I57" s="6" t="s">
        <v>2283</v>
      </c>
      <c r="J57" s="6" t="s">
        <v>30</v>
      </c>
      <c r="K57" s="6">
        <f t="shared" si="51"/>
        <v>1</v>
      </c>
      <c r="L57" s="6">
        <f t="shared" ref="L57" si="62">K57-$K$57</f>
        <v>0</v>
      </c>
    </row>
    <row r="58" spans="8:12" x14ac:dyDescent="0.25">
      <c r="H58" s="6">
        <v>55</v>
      </c>
      <c r="I58" s="6" t="s">
        <v>2283</v>
      </c>
      <c r="J58" s="6" t="s">
        <v>251</v>
      </c>
      <c r="K58" s="6">
        <f t="shared" si="51"/>
        <v>1</v>
      </c>
      <c r="L58" s="6">
        <f t="shared" ref="L58" si="63">K58-$K$58</f>
        <v>0</v>
      </c>
    </row>
    <row r="59" spans="8:12" x14ac:dyDescent="0.25">
      <c r="H59" s="6">
        <v>56</v>
      </c>
      <c r="I59" s="6" t="s">
        <v>2283</v>
      </c>
      <c r="J59" s="6" t="s">
        <v>252</v>
      </c>
      <c r="K59" s="6">
        <f t="shared" si="51"/>
        <v>1</v>
      </c>
      <c r="L59" s="6">
        <f t="shared" ref="L59" si="64">K59-$K$59</f>
        <v>0</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3BFDE-E63C-4CFD-8910-81A0B7F7CC77}">
  <sheetPr codeName="Sheet15"/>
  <dimension ref="B2:U133"/>
  <sheetViews>
    <sheetView workbookViewId="0">
      <selection activeCell="K12" sqref="K12"/>
    </sheetView>
  </sheetViews>
  <sheetFormatPr defaultColWidth="12.77734375" defaultRowHeight="15.6" x14ac:dyDescent="0.25"/>
  <cols>
    <col min="1" max="1" width="10" style="1" customWidth="1"/>
    <col min="2" max="16384" width="12.77734375" style="1"/>
  </cols>
  <sheetData>
    <row r="2" spans="2:21" ht="16.2" x14ac:dyDescent="0.25">
      <c r="B2" s="20" t="s">
        <v>1943</v>
      </c>
    </row>
    <row r="3" spans="2:21" x14ac:dyDescent="0.25">
      <c r="B3" s="6" t="s">
        <v>41</v>
      </c>
      <c r="C3" s="6" t="s">
        <v>10</v>
      </c>
      <c r="D3" s="6" t="s">
        <v>1944</v>
      </c>
      <c r="E3" s="6" t="s">
        <v>211</v>
      </c>
      <c r="F3" s="6" t="s">
        <v>473</v>
      </c>
      <c r="G3" s="6" t="s">
        <v>1945</v>
      </c>
      <c r="H3" s="6" t="s">
        <v>211</v>
      </c>
      <c r="I3" s="6" t="s">
        <v>473</v>
      </c>
      <c r="J3" s="6" t="s">
        <v>1946</v>
      </c>
      <c r="K3" s="6" t="s">
        <v>211</v>
      </c>
      <c r="L3" s="6" t="s">
        <v>473</v>
      </c>
      <c r="M3" s="6" t="s">
        <v>1947</v>
      </c>
      <c r="N3" s="6" t="s">
        <v>211</v>
      </c>
      <c r="O3" s="6" t="s">
        <v>473</v>
      </c>
      <c r="P3" s="6" t="s">
        <v>1948</v>
      </c>
      <c r="Q3" s="6" t="s">
        <v>211</v>
      </c>
      <c r="R3" s="6" t="s">
        <v>473</v>
      </c>
      <c r="S3" s="6" t="s">
        <v>1949</v>
      </c>
      <c r="T3" s="6" t="s">
        <v>211</v>
      </c>
      <c r="U3" s="6" t="s">
        <v>473</v>
      </c>
    </row>
    <row r="4" spans="2:21" x14ac:dyDescent="0.25">
      <c r="B4" s="6">
        <v>1</v>
      </c>
      <c r="C4" s="6" t="s">
        <v>3</v>
      </c>
      <c r="D4" s="6" t="s">
        <v>579</v>
      </c>
      <c r="E4" s="6">
        <v>3</v>
      </c>
      <c r="F4" s="6">
        <v>5</v>
      </c>
      <c r="G4" s="6" t="s">
        <v>1950</v>
      </c>
      <c r="H4" s="6">
        <v>1</v>
      </c>
      <c r="I4" s="6">
        <v>4</v>
      </c>
      <c r="J4" s="6" t="s">
        <v>338</v>
      </c>
      <c r="K4" s="6">
        <v>2</v>
      </c>
      <c r="L4" s="6">
        <v>3</v>
      </c>
      <c r="M4" s="6" t="s">
        <v>32</v>
      </c>
      <c r="N4" s="6">
        <v>2</v>
      </c>
      <c r="O4" s="6">
        <v>2</v>
      </c>
      <c r="P4" s="6" t="s">
        <v>388</v>
      </c>
      <c r="Q4" s="6">
        <v>2</v>
      </c>
      <c r="R4" s="6">
        <v>1</v>
      </c>
      <c r="S4" s="6" t="s">
        <v>1951</v>
      </c>
      <c r="T4" s="6">
        <v>3</v>
      </c>
      <c r="U4" s="6">
        <v>0</v>
      </c>
    </row>
    <row r="5" spans="2:21" x14ac:dyDescent="0.25">
      <c r="B5" s="6">
        <v>2</v>
      </c>
      <c r="C5" s="6" t="s">
        <v>4</v>
      </c>
      <c r="D5" s="6"/>
      <c r="E5" s="6"/>
      <c r="F5" s="6"/>
      <c r="G5" s="6"/>
      <c r="H5" s="6"/>
      <c r="I5" s="6"/>
      <c r="J5" s="6"/>
      <c r="K5" s="6"/>
      <c r="L5" s="6"/>
      <c r="M5" s="6"/>
      <c r="N5" s="6"/>
      <c r="O5" s="6"/>
      <c r="P5" s="6"/>
      <c r="Q5" s="6"/>
      <c r="R5" s="6"/>
      <c r="S5" s="6"/>
      <c r="T5" s="6"/>
      <c r="U5" s="6"/>
    </row>
    <row r="6" spans="2:21" x14ac:dyDescent="0.25">
      <c r="B6" s="6">
        <v>3</v>
      </c>
      <c r="C6" s="6" t="s">
        <v>5</v>
      </c>
      <c r="D6" s="6"/>
      <c r="E6" s="6"/>
      <c r="F6" s="6"/>
      <c r="G6" s="6"/>
      <c r="H6" s="6"/>
      <c r="I6" s="6"/>
      <c r="J6" s="6"/>
      <c r="K6" s="6"/>
      <c r="L6" s="6"/>
      <c r="M6" s="6"/>
      <c r="N6" s="6"/>
      <c r="O6" s="6"/>
      <c r="P6" s="6"/>
      <c r="Q6" s="6"/>
      <c r="R6" s="6"/>
      <c r="S6" s="6"/>
      <c r="T6" s="6"/>
      <c r="U6" s="6"/>
    </row>
    <row r="7" spans="2:21" x14ac:dyDescent="0.25">
      <c r="B7" s="6">
        <v>4</v>
      </c>
      <c r="C7" s="6" t="s">
        <v>6</v>
      </c>
      <c r="D7" s="6"/>
      <c r="E7" s="6"/>
      <c r="F7" s="6"/>
      <c r="G7" s="6"/>
      <c r="H7" s="6"/>
      <c r="I7" s="6"/>
      <c r="J7" s="6" t="s">
        <v>2141</v>
      </c>
      <c r="K7" s="6">
        <v>4</v>
      </c>
      <c r="L7" s="6">
        <v>5</v>
      </c>
      <c r="M7" s="6" t="s">
        <v>2140</v>
      </c>
      <c r="N7" s="6">
        <v>1</v>
      </c>
      <c r="O7" s="6">
        <v>4</v>
      </c>
      <c r="P7" s="6" t="s">
        <v>2139</v>
      </c>
      <c r="Q7" s="6">
        <v>4</v>
      </c>
      <c r="R7" s="6">
        <v>2</v>
      </c>
      <c r="S7" s="6" t="s">
        <v>2138</v>
      </c>
      <c r="T7" s="6">
        <v>1</v>
      </c>
      <c r="U7" s="6">
        <v>0</v>
      </c>
    </row>
    <row r="8" spans="2:21" x14ac:dyDescent="0.25">
      <c r="B8" s="6">
        <v>5</v>
      </c>
      <c r="C8" s="6" t="s">
        <v>7</v>
      </c>
      <c r="D8" s="6"/>
      <c r="E8" s="6"/>
      <c r="F8" s="6"/>
      <c r="G8" s="6"/>
      <c r="H8" s="6"/>
      <c r="I8" s="6"/>
      <c r="J8" s="6"/>
      <c r="K8" s="6"/>
      <c r="L8" s="6"/>
      <c r="M8" s="6"/>
      <c r="N8" s="6"/>
      <c r="O8" s="6"/>
      <c r="P8" s="6"/>
      <c r="Q8" s="6"/>
      <c r="R8" s="6"/>
      <c r="S8" s="6"/>
      <c r="T8" s="6"/>
      <c r="U8" s="6"/>
    </row>
    <row r="9" spans="2:21" x14ac:dyDescent="0.25">
      <c r="B9" s="6">
        <v>6</v>
      </c>
      <c r="C9" s="6" t="s">
        <v>8</v>
      </c>
      <c r="D9" s="6"/>
      <c r="E9" s="6"/>
      <c r="F9" s="6"/>
      <c r="G9" s="6"/>
      <c r="H9" s="6"/>
      <c r="I9" s="6"/>
      <c r="J9" s="6"/>
      <c r="K9" s="6"/>
      <c r="L9" s="6"/>
      <c r="M9" s="6"/>
      <c r="N9" s="6"/>
      <c r="O9" s="6"/>
      <c r="P9" s="6"/>
      <c r="Q9" s="6"/>
      <c r="R9" s="6"/>
      <c r="S9" s="6"/>
      <c r="T9" s="6"/>
      <c r="U9" s="6"/>
    </row>
    <row r="11" spans="2:21" ht="16.2" x14ac:dyDescent="0.25">
      <c r="B11" s="20" t="s">
        <v>1955</v>
      </c>
    </row>
    <row r="12" spans="2:21" ht="16.2" x14ac:dyDescent="0.25">
      <c r="B12" s="16" t="s">
        <v>1960</v>
      </c>
      <c r="C12" s="20" t="s">
        <v>1956</v>
      </c>
    </row>
    <row r="13" spans="2:21" ht="16.2" x14ac:dyDescent="0.25">
      <c r="B13" s="16" t="s">
        <v>1961</v>
      </c>
      <c r="C13" s="20" t="s">
        <v>1957</v>
      </c>
    </row>
    <row r="14" spans="2:21" ht="16.2" x14ac:dyDescent="0.25">
      <c r="B14" s="16" t="s">
        <v>1962</v>
      </c>
      <c r="C14" s="20" t="s">
        <v>1958</v>
      </c>
    </row>
    <row r="15" spans="2:21" ht="16.2" x14ac:dyDescent="0.25">
      <c r="B15" s="16" t="s">
        <v>1963</v>
      </c>
      <c r="C15" s="20" t="s">
        <v>1959</v>
      </c>
    </row>
    <row r="16" spans="2:21" ht="16.2" x14ac:dyDescent="0.25">
      <c r="B16" s="16" t="s">
        <v>1964</v>
      </c>
      <c r="C16" s="20" t="s">
        <v>1965</v>
      </c>
    </row>
    <row r="18" spans="2:5" ht="16.2" x14ac:dyDescent="0.25">
      <c r="B18" s="20" t="s">
        <v>2084</v>
      </c>
    </row>
    <row r="19" spans="2:5" ht="16.2" x14ac:dyDescent="0.25">
      <c r="B19" s="20" t="s">
        <v>2188</v>
      </c>
    </row>
    <row r="20" spans="2:5" x14ac:dyDescent="0.25">
      <c r="B20" s="6" t="s">
        <v>41</v>
      </c>
      <c r="C20" s="6" t="s">
        <v>1952</v>
      </c>
      <c r="D20" s="6" t="s">
        <v>2126</v>
      </c>
      <c r="E20" s="6" t="s">
        <v>1953</v>
      </c>
    </row>
    <row r="21" spans="2:5" x14ac:dyDescent="0.25">
      <c r="B21" s="6">
        <v>1</v>
      </c>
      <c r="C21" s="6" t="s">
        <v>2085</v>
      </c>
      <c r="D21" s="6" t="s">
        <v>2127</v>
      </c>
      <c r="E21" s="11" t="s">
        <v>2142</v>
      </c>
    </row>
    <row r="22" spans="2:5" x14ac:dyDescent="0.25">
      <c r="B22" s="6">
        <v>2</v>
      </c>
      <c r="C22" s="6" t="s">
        <v>1954</v>
      </c>
      <c r="D22" s="6" t="s">
        <v>2127</v>
      </c>
      <c r="E22" s="11" t="s">
        <v>2143</v>
      </c>
    </row>
    <row r="23" spans="2:5" x14ac:dyDescent="0.25">
      <c r="B23" s="6">
        <v>3</v>
      </c>
      <c r="C23" s="6" t="s">
        <v>2086</v>
      </c>
      <c r="D23" s="6" t="s">
        <v>2127</v>
      </c>
      <c r="E23" s="11" t="s">
        <v>2144</v>
      </c>
    </row>
    <row r="24" spans="2:5" x14ac:dyDescent="0.25">
      <c r="B24" s="6">
        <v>4</v>
      </c>
      <c r="C24" s="6" t="s">
        <v>2087</v>
      </c>
      <c r="D24" s="6" t="s">
        <v>2127</v>
      </c>
      <c r="E24" s="11" t="s">
        <v>2145</v>
      </c>
    </row>
    <row r="25" spans="2:5" x14ac:dyDescent="0.25">
      <c r="B25" s="6">
        <v>5</v>
      </c>
      <c r="C25" s="6" t="s">
        <v>2088</v>
      </c>
      <c r="D25" s="6" t="s">
        <v>2127</v>
      </c>
      <c r="E25" s="11" t="s">
        <v>2146</v>
      </c>
    </row>
    <row r="26" spans="2:5" x14ac:dyDescent="0.25">
      <c r="B26" s="6">
        <v>6</v>
      </c>
      <c r="C26" s="6" t="s">
        <v>2089</v>
      </c>
      <c r="D26" s="6" t="s">
        <v>2127</v>
      </c>
      <c r="E26" s="11" t="s">
        <v>2147</v>
      </c>
    </row>
    <row r="27" spans="2:5" x14ac:dyDescent="0.25">
      <c r="B27" s="6">
        <v>7</v>
      </c>
      <c r="C27" s="6" t="s">
        <v>2090</v>
      </c>
      <c r="D27" s="6" t="s">
        <v>2127</v>
      </c>
      <c r="E27" s="11" t="s">
        <v>2148</v>
      </c>
    </row>
    <row r="28" spans="2:5" x14ac:dyDescent="0.25">
      <c r="B28" s="6">
        <v>8</v>
      </c>
      <c r="C28" s="6" t="s">
        <v>2091</v>
      </c>
      <c r="D28" s="6" t="s">
        <v>2127</v>
      </c>
      <c r="E28" s="11" t="s">
        <v>2149</v>
      </c>
    </row>
    <row r="29" spans="2:5" x14ac:dyDescent="0.25">
      <c r="B29" s="6">
        <v>9</v>
      </c>
      <c r="C29" s="6" t="s">
        <v>2092</v>
      </c>
      <c r="D29" s="6" t="s">
        <v>2127</v>
      </c>
      <c r="E29" s="11" t="s">
        <v>2150</v>
      </c>
    </row>
    <row r="30" spans="2:5" x14ac:dyDescent="0.25">
      <c r="B30" s="6">
        <v>10</v>
      </c>
      <c r="C30" s="6" t="s">
        <v>2093</v>
      </c>
      <c r="D30" s="6" t="s">
        <v>2127</v>
      </c>
      <c r="E30" s="11" t="s">
        <v>2151</v>
      </c>
    </row>
    <row r="31" spans="2:5" x14ac:dyDescent="0.25">
      <c r="B31" s="6">
        <v>11</v>
      </c>
      <c r="C31" s="6" t="s">
        <v>2094</v>
      </c>
      <c r="D31" s="6" t="s">
        <v>2127</v>
      </c>
      <c r="E31" s="11" t="s">
        <v>2152</v>
      </c>
    </row>
    <row r="32" spans="2:5" x14ac:dyDescent="0.25">
      <c r="B32" s="6">
        <v>12</v>
      </c>
      <c r="C32" s="6" t="s">
        <v>2095</v>
      </c>
      <c r="D32" s="6" t="s">
        <v>2127</v>
      </c>
      <c r="E32" s="11" t="s">
        <v>2153</v>
      </c>
    </row>
    <row r="33" spans="2:5" x14ac:dyDescent="0.25">
      <c r="B33" s="6">
        <v>13</v>
      </c>
      <c r="C33" s="6" t="s">
        <v>2096</v>
      </c>
      <c r="D33" s="6" t="s">
        <v>2127</v>
      </c>
      <c r="E33" s="11" t="s">
        <v>2154</v>
      </c>
    </row>
    <row r="34" spans="2:5" x14ac:dyDescent="0.25">
      <c r="B34" s="6">
        <v>14</v>
      </c>
      <c r="C34" s="6" t="s">
        <v>2097</v>
      </c>
      <c r="D34" s="6" t="s">
        <v>2127</v>
      </c>
      <c r="E34" s="11" t="s">
        <v>2155</v>
      </c>
    </row>
    <row r="35" spans="2:5" x14ac:dyDescent="0.25">
      <c r="B35" s="6">
        <v>15</v>
      </c>
      <c r="C35" s="6" t="s">
        <v>2098</v>
      </c>
      <c r="D35" s="6" t="s">
        <v>2128</v>
      </c>
      <c r="E35" s="11" t="s">
        <v>2156</v>
      </c>
    </row>
    <row r="36" spans="2:5" x14ac:dyDescent="0.25">
      <c r="B36" s="6">
        <v>16</v>
      </c>
      <c r="C36" s="6" t="s">
        <v>2099</v>
      </c>
      <c r="D36" s="6" t="s">
        <v>2128</v>
      </c>
      <c r="E36" s="11" t="s">
        <v>2157</v>
      </c>
    </row>
    <row r="37" spans="2:5" x14ac:dyDescent="0.25">
      <c r="B37" s="6">
        <v>17</v>
      </c>
      <c r="C37" s="6" t="s">
        <v>2100</v>
      </c>
      <c r="D37" s="6" t="s">
        <v>2128</v>
      </c>
      <c r="E37" s="11" t="s">
        <v>2158</v>
      </c>
    </row>
    <row r="38" spans="2:5" x14ac:dyDescent="0.25">
      <c r="B38" s="6">
        <v>18</v>
      </c>
      <c r="C38" s="6" t="s">
        <v>2101</v>
      </c>
      <c r="D38" s="6" t="s">
        <v>2128</v>
      </c>
      <c r="E38" s="11" t="s">
        <v>2159</v>
      </c>
    </row>
    <row r="39" spans="2:5" x14ac:dyDescent="0.25">
      <c r="B39" s="6">
        <v>19</v>
      </c>
      <c r="C39" s="6" t="s">
        <v>2102</v>
      </c>
      <c r="D39" s="6" t="s">
        <v>2128</v>
      </c>
      <c r="E39" s="11" t="s">
        <v>2160</v>
      </c>
    </row>
    <row r="40" spans="2:5" x14ac:dyDescent="0.25">
      <c r="B40" s="6">
        <v>20</v>
      </c>
      <c r="C40" s="6" t="s">
        <v>2103</v>
      </c>
      <c r="D40" s="6" t="s">
        <v>2128</v>
      </c>
      <c r="E40" s="11" t="s">
        <v>2161</v>
      </c>
    </row>
    <row r="41" spans="2:5" x14ac:dyDescent="0.25">
      <c r="B41" s="6">
        <v>21</v>
      </c>
      <c r="C41" s="6" t="s">
        <v>2104</v>
      </c>
      <c r="D41" s="6" t="s">
        <v>2128</v>
      </c>
      <c r="E41" s="11" t="s">
        <v>2162</v>
      </c>
    </row>
    <row r="42" spans="2:5" x14ac:dyDescent="0.25">
      <c r="B42" s="6">
        <v>22</v>
      </c>
      <c r="C42" s="6" t="s">
        <v>2105</v>
      </c>
      <c r="D42" s="6" t="s">
        <v>2128</v>
      </c>
      <c r="E42" s="11" t="s">
        <v>2163</v>
      </c>
    </row>
    <row r="43" spans="2:5" x14ac:dyDescent="0.25">
      <c r="B43" s="6">
        <v>23</v>
      </c>
      <c r="C43" s="6" t="s">
        <v>2106</v>
      </c>
      <c r="D43" s="6" t="s">
        <v>2128</v>
      </c>
      <c r="E43" s="11" t="s">
        <v>2164</v>
      </c>
    </row>
    <row r="44" spans="2:5" x14ac:dyDescent="0.25">
      <c r="B44" s="6">
        <v>24</v>
      </c>
      <c r="C44" s="6" t="s">
        <v>2107</v>
      </c>
      <c r="D44" s="6" t="s">
        <v>2128</v>
      </c>
      <c r="E44" s="11" t="s">
        <v>2165</v>
      </c>
    </row>
    <row r="45" spans="2:5" x14ac:dyDescent="0.25">
      <c r="B45" s="6">
        <v>25</v>
      </c>
      <c r="C45" s="6" t="s">
        <v>2168</v>
      </c>
      <c r="D45" s="6" t="s">
        <v>2128</v>
      </c>
      <c r="E45" s="11" t="s">
        <v>2166</v>
      </c>
    </row>
    <row r="46" spans="2:5" x14ac:dyDescent="0.25">
      <c r="B46" s="6">
        <v>26</v>
      </c>
      <c r="C46" s="6" t="s">
        <v>2169</v>
      </c>
      <c r="D46" s="6" t="s">
        <v>2128</v>
      </c>
      <c r="E46" s="11" t="s">
        <v>2167</v>
      </c>
    </row>
    <row r="47" spans="2:5" x14ac:dyDescent="0.25">
      <c r="B47" s="6">
        <v>27</v>
      </c>
      <c r="C47" s="6" t="s">
        <v>2108</v>
      </c>
      <c r="D47" s="6" t="s">
        <v>2128</v>
      </c>
      <c r="E47" s="11" t="s">
        <v>2170</v>
      </c>
    </row>
    <row r="48" spans="2:5" x14ac:dyDescent="0.25">
      <c r="B48" s="6">
        <v>28</v>
      </c>
      <c r="C48" s="6" t="s">
        <v>2109</v>
      </c>
      <c r="D48" s="6" t="s">
        <v>2128</v>
      </c>
      <c r="E48" s="11" t="s">
        <v>2171</v>
      </c>
    </row>
    <row r="49" spans="2:5" x14ac:dyDescent="0.25">
      <c r="B49" s="6">
        <v>29</v>
      </c>
      <c r="C49" s="6" t="s">
        <v>2110</v>
      </c>
      <c r="D49" s="6" t="s">
        <v>2128</v>
      </c>
      <c r="E49" s="11" t="s">
        <v>2172</v>
      </c>
    </row>
    <row r="50" spans="2:5" x14ac:dyDescent="0.25">
      <c r="B50" s="6">
        <v>30</v>
      </c>
      <c r="C50" s="6" t="s">
        <v>2111</v>
      </c>
      <c r="D50" s="6" t="s">
        <v>2128</v>
      </c>
      <c r="E50" s="11" t="s">
        <v>2173</v>
      </c>
    </row>
    <row r="51" spans="2:5" x14ac:dyDescent="0.25">
      <c r="B51" s="6">
        <v>31</v>
      </c>
      <c r="C51" s="6" t="s">
        <v>2112</v>
      </c>
      <c r="D51" s="6" t="s">
        <v>2128</v>
      </c>
      <c r="E51" s="11" t="s">
        <v>2174</v>
      </c>
    </row>
    <row r="52" spans="2:5" x14ac:dyDescent="0.25">
      <c r="B52" s="6">
        <v>32</v>
      </c>
      <c r="C52" s="6" t="s">
        <v>2113</v>
      </c>
      <c r="D52" s="6" t="s">
        <v>2128</v>
      </c>
      <c r="E52" s="11" t="s">
        <v>2175</v>
      </c>
    </row>
    <row r="53" spans="2:5" x14ac:dyDescent="0.25">
      <c r="B53" s="6">
        <v>33</v>
      </c>
      <c r="C53" s="6" t="s">
        <v>2114</v>
      </c>
      <c r="D53" s="6" t="s">
        <v>2128</v>
      </c>
      <c r="E53" s="11" t="s">
        <v>2176</v>
      </c>
    </row>
    <row r="54" spans="2:5" x14ac:dyDescent="0.25">
      <c r="B54" s="6">
        <v>34</v>
      </c>
      <c r="C54" s="6" t="s">
        <v>2115</v>
      </c>
      <c r="D54" s="6" t="s">
        <v>2129</v>
      </c>
      <c r="E54" s="11" t="s">
        <v>2177</v>
      </c>
    </row>
    <row r="55" spans="2:5" x14ac:dyDescent="0.25">
      <c r="B55" s="6">
        <v>35</v>
      </c>
      <c r="C55" s="6" t="s">
        <v>2116</v>
      </c>
      <c r="D55" s="6" t="s">
        <v>2129</v>
      </c>
      <c r="E55" s="11" t="s">
        <v>2178</v>
      </c>
    </row>
    <row r="56" spans="2:5" x14ac:dyDescent="0.25">
      <c r="B56" s="6">
        <v>36</v>
      </c>
      <c r="C56" s="6" t="s">
        <v>2117</v>
      </c>
      <c r="D56" s="6" t="s">
        <v>2129</v>
      </c>
      <c r="E56" s="11" t="s">
        <v>2179</v>
      </c>
    </row>
    <row r="57" spans="2:5" x14ac:dyDescent="0.25">
      <c r="B57" s="6">
        <v>37</v>
      </c>
      <c r="C57" s="6" t="s">
        <v>2118</v>
      </c>
      <c r="D57" s="6" t="s">
        <v>2129</v>
      </c>
      <c r="E57" s="11" t="s">
        <v>2180</v>
      </c>
    </row>
    <row r="58" spans="2:5" x14ac:dyDescent="0.25">
      <c r="B58" s="6">
        <v>38</v>
      </c>
      <c r="C58" s="6" t="s">
        <v>2119</v>
      </c>
      <c r="D58" s="6" t="s">
        <v>2129</v>
      </c>
      <c r="E58" s="11" t="s">
        <v>2181</v>
      </c>
    </row>
    <row r="59" spans="2:5" x14ac:dyDescent="0.25">
      <c r="B59" s="6">
        <v>39</v>
      </c>
      <c r="C59" s="6" t="s">
        <v>2120</v>
      </c>
      <c r="D59" s="6" t="s">
        <v>2129</v>
      </c>
      <c r="E59" s="11" t="s">
        <v>2182</v>
      </c>
    </row>
    <row r="60" spans="2:5" x14ac:dyDescent="0.25">
      <c r="B60" s="6">
        <v>40</v>
      </c>
      <c r="C60" s="6" t="s">
        <v>2121</v>
      </c>
      <c r="D60" s="6" t="s">
        <v>2129</v>
      </c>
      <c r="E60" s="11" t="s">
        <v>2183</v>
      </c>
    </row>
    <row r="61" spans="2:5" x14ac:dyDescent="0.25">
      <c r="B61" s="6">
        <v>41</v>
      </c>
      <c r="C61" s="6" t="s">
        <v>2122</v>
      </c>
      <c r="D61" s="6" t="s">
        <v>2129</v>
      </c>
      <c r="E61" s="11" t="s">
        <v>2184</v>
      </c>
    </row>
    <row r="62" spans="2:5" x14ac:dyDescent="0.25">
      <c r="B62" s="6">
        <v>42</v>
      </c>
      <c r="C62" s="6" t="s">
        <v>2123</v>
      </c>
      <c r="D62" s="6" t="s">
        <v>2129</v>
      </c>
      <c r="E62" s="11" t="s">
        <v>2185</v>
      </c>
    </row>
    <row r="63" spans="2:5" x14ac:dyDescent="0.25">
      <c r="B63" s="6">
        <v>43</v>
      </c>
      <c r="C63" s="6" t="s">
        <v>2124</v>
      </c>
      <c r="D63" s="6" t="s">
        <v>2129</v>
      </c>
      <c r="E63" s="11" t="s">
        <v>2186</v>
      </c>
    </row>
    <row r="64" spans="2:5" x14ac:dyDescent="0.25">
      <c r="B64" s="6">
        <v>44</v>
      </c>
      <c r="C64" s="6" t="s">
        <v>2125</v>
      </c>
      <c r="D64" s="6" t="s">
        <v>2129</v>
      </c>
      <c r="E64" s="11" t="s">
        <v>2187</v>
      </c>
    </row>
    <row r="66" spans="2:16" ht="16.2" x14ac:dyDescent="0.25">
      <c r="B66" s="20" t="s">
        <v>2189</v>
      </c>
    </row>
    <row r="67" spans="2:16" x14ac:dyDescent="0.25">
      <c r="B67" s="6" t="s">
        <v>41</v>
      </c>
      <c r="C67" s="6" t="s">
        <v>2130</v>
      </c>
      <c r="D67" s="6" t="s">
        <v>2137</v>
      </c>
      <c r="E67" s="6" t="s">
        <v>2131</v>
      </c>
      <c r="F67" s="6" t="s">
        <v>2137</v>
      </c>
      <c r="G67" s="6" t="s">
        <v>2132</v>
      </c>
      <c r="H67" s="6" t="s">
        <v>2137</v>
      </c>
      <c r="I67" s="6" t="s">
        <v>2133</v>
      </c>
      <c r="J67" s="6" t="s">
        <v>2137</v>
      </c>
      <c r="K67" s="6" t="s">
        <v>2134</v>
      </c>
      <c r="L67" s="6" t="s">
        <v>2137</v>
      </c>
      <c r="M67" s="6" t="s">
        <v>2135</v>
      </c>
      <c r="N67" s="6" t="s">
        <v>2137</v>
      </c>
      <c r="O67" s="6" t="s">
        <v>2136</v>
      </c>
      <c r="P67" s="6" t="s">
        <v>2137</v>
      </c>
    </row>
    <row r="68" spans="2:16" x14ac:dyDescent="0.25">
      <c r="B68" s="6">
        <v>1</v>
      </c>
      <c r="C68" s="6" t="s">
        <v>2196</v>
      </c>
      <c r="D68" s="6" t="s">
        <v>2197</v>
      </c>
      <c r="E68" s="6" t="s">
        <v>2196</v>
      </c>
      <c r="F68" s="6" t="s">
        <v>2197</v>
      </c>
      <c r="G68" s="6" t="s">
        <v>2196</v>
      </c>
      <c r="H68" s="6" t="s">
        <v>2197</v>
      </c>
      <c r="I68" s="6" t="s">
        <v>2196</v>
      </c>
      <c r="J68" s="6" t="s">
        <v>2197</v>
      </c>
      <c r="K68" s="6" t="s">
        <v>2196</v>
      </c>
      <c r="L68" s="6" t="s">
        <v>2197</v>
      </c>
      <c r="M68" s="6" t="s">
        <v>2196</v>
      </c>
      <c r="N68" s="6" t="s">
        <v>2197</v>
      </c>
      <c r="O68" s="6" t="s">
        <v>2196</v>
      </c>
      <c r="P68" s="6" t="s">
        <v>2197</v>
      </c>
    </row>
    <row r="69" spans="2:16" x14ac:dyDescent="0.25">
      <c r="B69" s="6">
        <v>2</v>
      </c>
      <c r="C69" s="6" t="s">
        <v>2198</v>
      </c>
      <c r="D69" s="6">
        <v>3</v>
      </c>
      <c r="E69" s="6" t="s">
        <v>2198</v>
      </c>
      <c r="F69" s="6">
        <v>3</v>
      </c>
      <c r="G69" s="6" t="s">
        <v>2198</v>
      </c>
      <c r="H69" s="6">
        <v>3</v>
      </c>
      <c r="I69" s="6" t="s">
        <v>2198</v>
      </c>
      <c r="J69" s="6">
        <v>3</v>
      </c>
      <c r="K69" s="6" t="s">
        <v>2198</v>
      </c>
      <c r="L69" s="6">
        <v>3</v>
      </c>
      <c r="M69" s="6" t="s">
        <v>2198</v>
      </c>
      <c r="N69" s="6">
        <v>3</v>
      </c>
      <c r="O69" s="6" t="s">
        <v>2198</v>
      </c>
      <c r="P69" s="6">
        <v>3</v>
      </c>
    </row>
    <row r="70" spans="2:16" x14ac:dyDescent="0.25">
      <c r="B70" s="6">
        <v>3</v>
      </c>
      <c r="C70" s="6" t="s">
        <v>2199</v>
      </c>
      <c r="D70" s="6">
        <v>6</v>
      </c>
      <c r="E70" s="6" t="s">
        <v>2199</v>
      </c>
      <c r="F70" s="6">
        <v>5</v>
      </c>
      <c r="G70" s="6" t="s">
        <v>2199</v>
      </c>
      <c r="H70" s="6">
        <v>4</v>
      </c>
      <c r="I70" s="6" t="s">
        <v>2231</v>
      </c>
      <c r="J70" s="6">
        <v>4</v>
      </c>
      <c r="K70" s="6" t="s">
        <v>2199</v>
      </c>
      <c r="L70" s="6">
        <v>2</v>
      </c>
      <c r="M70" s="6" t="s">
        <v>2199</v>
      </c>
      <c r="N70" s="6">
        <v>1</v>
      </c>
      <c r="O70" s="6" t="s">
        <v>2231</v>
      </c>
      <c r="P70" s="6">
        <v>6</v>
      </c>
    </row>
    <row r="71" spans="2:16" x14ac:dyDescent="0.25">
      <c r="B71" s="6">
        <v>4</v>
      </c>
      <c r="C71" s="6" t="s">
        <v>2200</v>
      </c>
      <c r="D71" s="6">
        <v>3</v>
      </c>
      <c r="E71" s="6" t="s">
        <v>2231</v>
      </c>
      <c r="F71" s="6">
        <v>8</v>
      </c>
      <c r="G71" s="6" t="s">
        <v>2231</v>
      </c>
      <c r="H71" s="6">
        <v>6</v>
      </c>
      <c r="I71" s="6" t="s">
        <v>2249</v>
      </c>
      <c r="J71" s="6">
        <v>3</v>
      </c>
      <c r="K71" s="6" t="s">
        <v>2200</v>
      </c>
      <c r="L71" s="6">
        <v>1</v>
      </c>
      <c r="M71" s="6" t="s">
        <v>2256</v>
      </c>
      <c r="N71" s="6">
        <v>3</v>
      </c>
      <c r="O71" s="6" t="s">
        <v>2200</v>
      </c>
      <c r="P71" s="6">
        <v>2</v>
      </c>
    </row>
    <row r="72" spans="2:16" x14ac:dyDescent="0.25">
      <c r="B72" s="6">
        <v>5</v>
      </c>
      <c r="C72" s="6" t="s">
        <v>2201</v>
      </c>
      <c r="D72" s="6">
        <v>12</v>
      </c>
      <c r="E72" s="6" t="s">
        <v>2138</v>
      </c>
      <c r="F72" s="6">
        <v>1</v>
      </c>
      <c r="G72" s="6" t="s">
        <v>2200</v>
      </c>
      <c r="H72" s="6">
        <v>2</v>
      </c>
      <c r="I72" s="6" t="s">
        <v>2212</v>
      </c>
      <c r="J72" s="6">
        <v>3</v>
      </c>
      <c r="K72" s="6" t="s">
        <v>2256</v>
      </c>
      <c r="L72" s="6">
        <v>3</v>
      </c>
      <c r="M72" s="6" t="s">
        <v>2249</v>
      </c>
      <c r="N72" s="6">
        <v>2</v>
      </c>
      <c r="O72" s="6" t="s">
        <v>2138</v>
      </c>
      <c r="P72" s="6">
        <v>1</v>
      </c>
    </row>
    <row r="73" spans="2:16" x14ac:dyDescent="0.25">
      <c r="B73" s="6">
        <v>6</v>
      </c>
      <c r="C73" s="6" t="s">
        <v>2138</v>
      </c>
      <c r="D73" s="6">
        <v>1</v>
      </c>
      <c r="E73" s="6" t="s">
        <v>2202</v>
      </c>
      <c r="F73" s="6">
        <v>1</v>
      </c>
      <c r="G73" s="6" t="s">
        <v>2212</v>
      </c>
      <c r="H73" s="6">
        <v>3</v>
      </c>
      <c r="I73" s="6" t="s">
        <v>2141</v>
      </c>
      <c r="J73" s="6">
        <v>2</v>
      </c>
      <c r="K73" s="6" t="s">
        <v>2249</v>
      </c>
      <c r="L73" s="6">
        <v>2</v>
      </c>
      <c r="M73" s="6" t="s">
        <v>2212</v>
      </c>
      <c r="N73" s="6">
        <v>2</v>
      </c>
      <c r="O73" s="6" t="s">
        <v>2202</v>
      </c>
      <c r="P73" s="6">
        <v>1</v>
      </c>
    </row>
    <row r="74" spans="2:16" x14ac:dyDescent="0.25">
      <c r="B74" s="6">
        <v>7</v>
      </c>
      <c r="C74" s="6" t="s">
        <v>2202</v>
      </c>
      <c r="D74" s="6">
        <v>1</v>
      </c>
      <c r="E74" s="6" t="s">
        <v>2203</v>
      </c>
      <c r="F74" s="6">
        <v>1</v>
      </c>
      <c r="G74" s="6" t="s">
        <v>2141</v>
      </c>
      <c r="H74" s="6">
        <v>3</v>
      </c>
      <c r="I74" s="6" t="s">
        <v>2238</v>
      </c>
      <c r="J74" s="6">
        <v>3</v>
      </c>
      <c r="K74" s="6" t="s">
        <v>2212</v>
      </c>
      <c r="L74" s="6">
        <v>2</v>
      </c>
      <c r="M74" s="6" t="s">
        <v>2141</v>
      </c>
      <c r="N74" s="6">
        <v>1</v>
      </c>
      <c r="O74" s="6" t="s">
        <v>2203</v>
      </c>
      <c r="P74" s="6">
        <v>1</v>
      </c>
    </row>
    <row r="75" spans="2:16" x14ac:dyDescent="0.25">
      <c r="B75" s="6">
        <v>8</v>
      </c>
      <c r="C75" s="6" t="s">
        <v>2203</v>
      </c>
      <c r="D75" s="6">
        <v>1</v>
      </c>
      <c r="E75" s="6" t="s">
        <v>2204</v>
      </c>
      <c r="F75" s="6">
        <v>1</v>
      </c>
      <c r="G75" s="6" t="s">
        <v>2237</v>
      </c>
      <c r="H75" s="6">
        <v>1</v>
      </c>
      <c r="I75" s="6" t="s">
        <v>2239</v>
      </c>
      <c r="J75" s="6">
        <v>4</v>
      </c>
      <c r="K75" s="6" t="s">
        <v>2141</v>
      </c>
      <c r="L75" s="6">
        <v>1</v>
      </c>
      <c r="M75" s="6" t="s">
        <v>2215</v>
      </c>
      <c r="N75" s="6">
        <v>3</v>
      </c>
      <c r="O75" s="6" t="s">
        <v>2204</v>
      </c>
      <c r="P75" s="6">
        <v>1</v>
      </c>
    </row>
    <row r="76" spans="2:16" x14ac:dyDescent="0.25">
      <c r="B76" s="6">
        <v>9</v>
      </c>
      <c r="C76" s="6" t="s">
        <v>2204</v>
      </c>
      <c r="D76" s="6">
        <v>2</v>
      </c>
      <c r="E76" s="6" t="s">
        <v>2205</v>
      </c>
      <c r="F76" s="6">
        <v>1</v>
      </c>
      <c r="G76" s="6" t="s">
        <v>2215</v>
      </c>
      <c r="H76" s="6">
        <v>5</v>
      </c>
      <c r="I76" s="6" t="s">
        <v>2250</v>
      </c>
      <c r="J76" s="6">
        <v>1</v>
      </c>
      <c r="K76" s="6" t="s">
        <v>2215</v>
      </c>
      <c r="L76" s="6">
        <v>4</v>
      </c>
      <c r="M76" s="6" t="s">
        <v>2218</v>
      </c>
      <c r="N76" s="6">
        <v>1</v>
      </c>
      <c r="O76" s="6" t="s">
        <v>2205</v>
      </c>
      <c r="P76" s="6">
        <v>1</v>
      </c>
    </row>
    <row r="77" spans="2:16" x14ac:dyDescent="0.25">
      <c r="B77" s="6">
        <v>10</v>
      </c>
      <c r="C77" s="6" t="s">
        <v>2205</v>
      </c>
      <c r="D77" s="6">
        <v>2</v>
      </c>
      <c r="E77" s="6" t="s">
        <v>2206</v>
      </c>
      <c r="F77" s="6">
        <v>1</v>
      </c>
      <c r="G77" s="6" t="s">
        <v>2216</v>
      </c>
      <c r="H77" s="6">
        <v>3</v>
      </c>
      <c r="I77" s="6" t="s">
        <v>2240</v>
      </c>
      <c r="J77" s="6">
        <v>3</v>
      </c>
      <c r="K77" s="6" t="s">
        <v>2216</v>
      </c>
      <c r="L77" s="6">
        <v>2</v>
      </c>
      <c r="M77" s="6" t="s">
        <v>2258</v>
      </c>
      <c r="N77" s="6">
        <v>3</v>
      </c>
      <c r="O77" s="6" t="s">
        <v>2206</v>
      </c>
      <c r="P77" s="6">
        <v>1</v>
      </c>
    </row>
    <row r="78" spans="2:16" x14ac:dyDescent="0.25">
      <c r="B78" s="6">
        <v>11</v>
      </c>
      <c r="C78" s="6" t="s">
        <v>2206</v>
      </c>
      <c r="D78" s="6">
        <v>2</v>
      </c>
      <c r="E78" s="6" t="s">
        <v>2207</v>
      </c>
      <c r="F78" s="6">
        <v>1</v>
      </c>
      <c r="G78" s="6" t="s">
        <v>2238</v>
      </c>
      <c r="H78" s="6">
        <v>4</v>
      </c>
      <c r="I78" s="6" t="s">
        <v>2219</v>
      </c>
      <c r="J78" s="6">
        <v>1</v>
      </c>
      <c r="K78" s="6" t="s">
        <v>2238</v>
      </c>
      <c r="L78" s="6">
        <v>2</v>
      </c>
      <c r="M78" s="6" t="s">
        <v>2259</v>
      </c>
      <c r="N78" s="6">
        <v>1</v>
      </c>
      <c r="O78" s="6" t="s">
        <v>2207</v>
      </c>
      <c r="P78" s="6">
        <v>1</v>
      </c>
    </row>
    <row r="79" spans="2:16" x14ac:dyDescent="0.25">
      <c r="B79" s="6">
        <v>12</v>
      </c>
      <c r="C79" s="6" t="s">
        <v>2207</v>
      </c>
      <c r="D79" s="6">
        <v>2</v>
      </c>
      <c r="E79" s="6" t="s">
        <v>2211</v>
      </c>
      <c r="F79" s="6">
        <v>1</v>
      </c>
      <c r="G79" s="6" t="s">
        <v>2239</v>
      </c>
      <c r="H79" s="6">
        <v>5</v>
      </c>
      <c r="I79" s="6" t="s">
        <v>2241</v>
      </c>
      <c r="J79" s="6">
        <v>2</v>
      </c>
      <c r="K79" s="6" t="s">
        <v>2239</v>
      </c>
      <c r="L79" s="6">
        <v>3</v>
      </c>
      <c r="M79" s="6" t="s">
        <v>2250</v>
      </c>
      <c r="N79" s="6">
        <v>2</v>
      </c>
      <c r="O79" s="6" t="s">
        <v>2208</v>
      </c>
      <c r="P79" s="6">
        <v>1</v>
      </c>
    </row>
    <row r="80" spans="2:16" x14ac:dyDescent="0.25">
      <c r="B80" s="6">
        <v>13</v>
      </c>
      <c r="C80" s="6" t="s">
        <v>2208</v>
      </c>
      <c r="D80" s="6">
        <v>1</v>
      </c>
      <c r="E80" s="6" t="s">
        <v>2212</v>
      </c>
      <c r="F80" s="6">
        <v>4</v>
      </c>
      <c r="G80" s="6" t="s">
        <v>2218</v>
      </c>
      <c r="H80" s="6">
        <v>3</v>
      </c>
      <c r="I80" s="6" t="s">
        <v>2242</v>
      </c>
      <c r="J80" s="6">
        <v>4</v>
      </c>
      <c r="K80" s="6" t="s">
        <v>2242</v>
      </c>
      <c r="L80" s="6">
        <v>3</v>
      </c>
      <c r="M80" s="6" t="s">
        <v>2240</v>
      </c>
      <c r="N80" s="6">
        <v>2</v>
      </c>
      <c r="O80" s="6" t="s">
        <v>2256</v>
      </c>
      <c r="P80" s="6">
        <v>2</v>
      </c>
    </row>
    <row r="81" spans="2:16" x14ac:dyDescent="0.25">
      <c r="B81" s="6">
        <v>14</v>
      </c>
      <c r="C81" s="6" t="s">
        <v>2209</v>
      </c>
      <c r="D81" s="6">
        <v>1</v>
      </c>
      <c r="E81" s="6" t="s">
        <v>2141</v>
      </c>
      <c r="F81" s="6">
        <v>4</v>
      </c>
      <c r="G81" s="6" t="s">
        <v>2240</v>
      </c>
      <c r="H81" s="6">
        <v>4</v>
      </c>
      <c r="I81" s="6" t="s">
        <v>2243</v>
      </c>
      <c r="J81" s="6">
        <v>3</v>
      </c>
      <c r="K81" s="6" t="s">
        <v>2257</v>
      </c>
      <c r="L81" s="6">
        <v>7</v>
      </c>
      <c r="M81" s="6" t="s">
        <v>2241</v>
      </c>
      <c r="N81" s="6">
        <v>1</v>
      </c>
      <c r="O81" s="6" t="s">
        <v>2211</v>
      </c>
      <c r="P81" s="6">
        <v>1</v>
      </c>
    </row>
    <row r="82" spans="2:16" x14ac:dyDescent="0.25">
      <c r="B82" s="6">
        <v>15</v>
      </c>
      <c r="C82" s="6" t="s">
        <v>2210</v>
      </c>
      <c r="D82" s="6">
        <v>1</v>
      </c>
      <c r="E82" s="6" t="s">
        <v>2213</v>
      </c>
      <c r="F82" s="6">
        <v>2</v>
      </c>
      <c r="G82" s="6" t="s">
        <v>2219</v>
      </c>
      <c r="H82" s="6">
        <v>2</v>
      </c>
      <c r="I82" s="6" t="s">
        <v>2244</v>
      </c>
      <c r="J82" s="6">
        <v>1</v>
      </c>
      <c r="K82" s="6" t="s">
        <v>2244</v>
      </c>
      <c r="L82" s="6">
        <v>1</v>
      </c>
      <c r="M82" s="6" t="s">
        <v>2243</v>
      </c>
      <c r="N82" s="6">
        <v>2</v>
      </c>
      <c r="O82" s="6" t="s">
        <v>2212</v>
      </c>
      <c r="P82" s="6">
        <v>4</v>
      </c>
    </row>
    <row r="83" spans="2:16" x14ac:dyDescent="0.25">
      <c r="B83" s="6">
        <v>16</v>
      </c>
      <c r="C83" s="6" t="s">
        <v>2211</v>
      </c>
      <c r="D83" s="6">
        <v>2</v>
      </c>
      <c r="E83" s="6" t="s">
        <v>2214</v>
      </c>
      <c r="F83" s="6">
        <v>1</v>
      </c>
      <c r="G83" s="6" t="s">
        <v>2241</v>
      </c>
      <c r="H83" s="6">
        <v>3</v>
      </c>
      <c r="I83" s="6" t="s">
        <v>2251</v>
      </c>
      <c r="J83" s="6">
        <v>2</v>
      </c>
      <c r="K83" s="6" t="s">
        <v>2221</v>
      </c>
      <c r="L83" s="6">
        <v>1</v>
      </c>
      <c r="M83" s="6" t="s">
        <v>2257</v>
      </c>
      <c r="N83" s="6">
        <v>6</v>
      </c>
      <c r="O83" s="6" t="s">
        <v>2141</v>
      </c>
      <c r="P83" s="6">
        <v>1</v>
      </c>
    </row>
    <row r="84" spans="2:16" x14ac:dyDescent="0.25">
      <c r="B84" s="6">
        <v>17</v>
      </c>
      <c r="C84" s="6" t="s">
        <v>2212</v>
      </c>
      <c r="D84" s="6">
        <v>5</v>
      </c>
      <c r="E84" s="6" t="s">
        <v>2215</v>
      </c>
      <c r="F84" s="6">
        <v>7</v>
      </c>
      <c r="G84" s="6" t="s">
        <v>2242</v>
      </c>
      <c r="H84" s="6">
        <v>5</v>
      </c>
      <c r="I84" s="6" t="s">
        <v>2245</v>
      </c>
      <c r="J84" s="6">
        <v>1</v>
      </c>
      <c r="K84" s="6" t="s">
        <v>2251</v>
      </c>
      <c r="L84" s="6">
        <v>1</v>
      </c>
      <c r="M84" s="6" t="s">
        <v>2244</v>
      </c>
      <c r="N84" s="6">
        <v>1</v>
      </c>
      <c r="O84" s="6" t="s">
        <v>2237</v>
      </c>
      <c r="P84" s="6">
        <v>1</v>
      </c>
    </row>
    <row r="85" spans="2:16" x14ac:dyDescent="0.25">
      <c r="B85" s="6">
        <v>18</v>
      </c>
      <c r="C85" s="6" t="s">
        <v>2141</v>
      </c>
      <c r="D85" s="6">
        <v>5</v>
      </c>
      <c r="E85" s="6" t="s">
        <v>2232</v>
      </c>
      <c r="F85" s="6">
        <v>3</v>
      </c>
      <c r="G85" s="6" t="s">
        <v>2243</v>
      </c>
      <c r="H85" s="6">
        <v>4</v>
      </c>
      <c r="I85" s="6" t="s">
        <v>2252</v>
      </c>
      <c r="J85" s="6">
        <v>3</v>
      </c>
      <c r="K85" s="6" t="s">
        <v>2252</v>
      </c>
      <c r="L85" s="6">
        <v>2</v>
      </c>
      <c r="M85" s="6" t="s">
        <v>2251</v>
      </c>
      <c r="N85" s="6">
        <v>1</v>
      </c>
      <c r="O85" s="6" t="s">
        <v>2216</v>
      </c>
      <c r="P85" s="6">
        <v>3</v>
      </c>
    </row>
    <row r="86" spans="2:16" x14ac:dyDescent="0.25">
      <c r="B86" s="6">
        <v>19</v>
      </c>
      <c r="C86" s="6" t="s">
        <v>2213</v>
      </c>
      <c r="D86" s="6">
        <v>2</v>
      </c>
      <c r="E86" s="6" t="s">
        <v>2233</v>
      </c>
      <c r="F86" s="6">
        <v>1</v>
      </c>
      <c r="G86" s="6" t="s">
        <v>2244</v>
      </c>
      <c r="H86" s="6">
        <v>1</v>
      </c>
      <c r="I86" s="6" t="s">
        <v>2246</v>
      </c>
      <c r="J86" s="6">
        <v>1</v>
      </c>
      <c r="K86" s="6" t="s">
        <v>2255</v>
      </c>
      <c r="L86" s="6">
        <v>2</v>
      </c>
      <c r="M86" s="6" t="s">
        <v>2252</v>
      </c>
      <c r="N86" s="6">
        <v>1</v>
      </c>
      <c r="O86" s="6" t="s">
        <v>2217</v>
      </c>
      <c r="P86" s="6">
        <v>15</v>
      </c>
    </row>
    <row r="87" spans="2:16" x14ac:dyDescent="0.25">
      <c r="B87" s="6">
        <v>20</v>
      </c>
      <c r="C87" s="6" t="s">
        <v>2214</v>
      </c>
      <c r="D87" s="6">
        <v>1</v>
      </c>
      <c r="E87" s="6" t="s">
        <v>2222</v>
      </c>
      <c r="F87" s="6">
        <v>1</v>
      </c>
      <c r="G87" s="6" t="s">
        <v>2221</v>
      </c>
      <c r="H87" s="6">
        <v>2</v>
      </c>
      <c r="I87" s="6" t="s">
        <v>2235</v>
      </c>
      <c r="J87" s="6">
        <v>25</v>
      </c>
      <c r="K87" s="6"/>
      <c r="L87" s="6"/>
      <c r="M87" s="6" t="s">
        <v>2255</v>
      </c>
      <c r="N87" s="6">
        <v>1</v>
      </c>
      <c r="O87" s="6" t="s">
        <v>2258</v>
      </c>
      <c r="P87" s="6">
        <v>3</v>
      </c>
    </row>
    <row r="88" spans="2:16" x14ac:dyDescent="0.25">
      <c r="B88" s="6">
        <v>21</v>
      </c>
      <c r="C88" s="6" t="s">
        <v>2215</v>
      </c>
      <c r="D88" s="6">
        <v>8</v>
      </c>
      <c r="E88" s="6" t="s">
        <v>2234</v>
      </c>
      <c r="F88" s="6">
        <v>1</v>
      </c>
      <c r="G88" s="6" t="s">
        <v>2222</v>
      </c>
      <c r="H88" s="6">
        <v>1</v>
      </c>
      <c r="I88" s="6" t="s">
        <v>2247</v>
      </c>
      <c r="J88" s="6">
        <v>1</v>
      </c>
      <c r="K88" s="6"/>
      <c r="L88" s="6"/>
      <c r="M88" s="6"/>
      <c r="N88" s="6"/>
      <c r="O88" s="6" t="s">
        <v>2250</v>
      </c>
      <c r="P88" s="6">
        <v>1</v>
      </c>
    </row>
    <row r="89" spans="2:16" x14ac:dyDescent="0.25">
      <c r="B89" s="6">
        <v>22</v>
      </c>
      <c r="C89" s="6" t="s">
        <v>2216</v>
      </c>
      <c r="D89" s="6">
        <v>5</v>
      </c>
      <c r="E89" s="6" t="s">
        <v>2235</v>
      </c>
      <c r="F89" s="6">
        <v>25</v>
      </c>
      <c r="G89" s="6" t="s">
        <v>2245</v>
      </c>
      <c r="H89" s="6">
        <v>1</v>
      </c>
      <c r="I89" s="6" t="s">
        <v>2253</v>
      </c>
      <c r="J89" s="6">
        <v>4</v>
      </c>
      <c r="K89" s="6"/>
      <c r="L89" s="6"/>
      <c r="M89" s="6"/>
      <c r="N89" s="6"/>
      <c r="O89" s="6" t="s">
        <v>2242</v>
      </c>
      <c r="P89" s="6">
        <v>4</v>
      </c>
    </row>
    <row r="90" spans="2:16" x14ac:dyDescent="0.25">
      <c r="B90" s="6">
        <v>23</v>
      </c>
      <c r="C90" s="6" t="s">
        <v>2217</v>
      </c>
      <c r="D90" s="6">
        <v>20</v>
      </c>
      <c r="E90" s="6" t="s">
        <v>2227</v>
      </c>
      <c r="F90" s="6">
        <v>1</v>
      </c>
      <c r="G90" s="6" t="s">
        <v>2246</v>
      </c>
      <c r="H90" s="6">
        <v>1</v>
      </c>
      <c r="I90" s="6" t="s">
        <v>2254</v>
      </c>
      <c r="J90" s="6">
        <v>10</v>
      </c>
      <c r="K90" s="6"/>
      <c r="L90" s="6"/>
      <c r="M90" s="6"/>
      <c r="N90" s="6"/>
      <c r="O90" s="6" t="s">
        <v>2220</v>
      </c>
      <c r="P90" s="6">
        <v>1</v>
      </c>
    </row>
    <row r="91" spans="2:16" x14ac:dyDescent="0.25">
      <c r="B91" s="6">
        <v>24</v>
      </c>
      <c r="C91" s="6" t="s">
        <v>2218</v>
      </c>
      <c r="D91" s="6">
        <v>5</v>
      </c>
      <c r="E91" s="6" t="s">
        <v>2236</v>
      </c>
      <c r="F91" s="6">
        <v>1</v>
      </c>
      <c r="G91" s="6" t="s">
        <v>2235</v>
      </c>
      <c r="H91" s="6">
        <v>25</v>
      </c>
      <c r="I91" s="6" t="s">
        <v>2255</v>
      </c>
      <c r="J91" s="6">
        <v>3</v>
      </c>
      <c r="K91" s="6"/>
      <c r="L91" s="6"/>
      <c r="M91" s="6"/>
      <c r="N91" s="6"/>
      <c r="O91" s="6" t="s">
        <v>2257</v>
      </c>
      <c r="P91" s="6">
        <v>5</v>
      </c>
    </row>
    <row r="92" spans="2:16" x14ac:dyDescent="0.25">
      <c r="B92" s="6">
        <v>25</v>
      </c>
      <c r="C92" s="6" t="s">
        <v>2219</v>
      </c>
      <c r="D92" s="6">
        <v>3</v>
      </c>
      <c r="E92" s="6" t="s">
        <v>2228</v>
      </c>
      <c r="F92" s="6">
        <v>1</v>
      </c>
      <c r="G92" s="6" t="s">
        <v>2247</v>
      </c>
      <c r="H92" s="6">
        <v>1</v>
      </c>
      <c r="I92" s="6" t="s">
        <v>2248</v>
      </c>
      <c r="J92" s="6">
        <v>3</v>
      </c>
      <c r="K92" s="6"/>
      <c r="L92" s="6"/>
      <c r="M92" s="6"/>
      <c r="N92" s="6"/>
      <c r="O92" s="6" t="s">
        <v>2244</v>
      </c>
      <c r="P92" s="6">
        <v>1</v>
      </c>
    </row>
    <row r="93" spans="2:16" x14ac:dyDescent="0.25">
      <c r="B93" s="6">
        <v>26</v>
      </c>
      <c r="C93" s="6" t="s">
        <v>2220</v>
      </c>
      <c r="D93" s="6">
        <v>1</v>
      </c>
      <c r="E93" s="6"/>
      <c r="F93" s="6"/>
      <c r="G93" s="6" t="s">
        <v>2227</v>
      </c>
      <c r="H93" s="6">
        <v>1</v>
      </c>
      <c r="I93" s="6" t="s">
        <v>2229</v>
      </c>
      <c r="J93" s="6">
        <v>2</v>
      </c>
      <c r="K93" s="6"/>
      <c r="L93" s="6"/>
      <c r="M93" s="6"/>
      <c r="N93" s="6"/>
      <c r="O93" s="6" t="s">
        <v>2221</v>
      </c>
      <c r="P93" s="6">
        <v>2</v>
      </c>
    </row>
    <row r="94" spans="2:16" x14ac:dyDescent="0.25">
      <c r="B94" s="6">
        <v>27</v>
      </c>
      <c r="C94" s="6" t="s">
        <v>2221</v>
      </c>
      <c r="D94" s="6">
        <v>3</v>
      </c>
      <c r="E94" s="6"/>
      <c r="F94" s="6"/>
      <c r="G94" s="6" t="s">
        <v>2236</v>
      </c>
      <c r="H94" s="6">
        <v>1</v>
      </c>
      <c r="I94" s="6" t="s">
        <v>2230</v>
      </c>
      <c r="J94" s="6">
        <v>4</v>
      </c>
      <c r="K94" s="6"/>
      <c r="L94" s="6"/>
      <c r="M94" s="6"/>
      <c r="N94" s="6"/>
      <c r="O94" s="6" t="s">
        <v>2251</v>
      </c>
      <c r="P94" s="6">
        <v>1</v>
      </c>
    </row>
    <row r="95" spans="2:16" x14ac:dyDescent="0.25">
      <c r="B95" s="6">
        <v>28</v>
      </c>
      <c r="C95" s="6" t="s">
        <v>2222</v>
      </c>
      <c r="D95" s="6">
        <v>1</v>
      </c>
      <c r="E95" s="6"/>
      <c r="F95" s="6"/>
      <c r="G95" s="6" t="s">
        <v>2248</v>
      </c>
      <c r="H95" s="6">
        <v>4</v>
      </c>
      <c r="I95" s="6"/>
      <c r="J95" s="6"/>
      <c r="K95" s="6"/>
      <c r="L95" s="6"/>
      <c r="M95" s="6"/>
      <c r="N95" s="6"/>
      <c r="O95" s="6" t="s">
        <v>2235</v>
      </c>
      <c r="P95" s="6">
        <v>25</v>
      </c>
    </row>
    <row r="96" spans="2:16" x14ac:dyDescent="0.25">
      <c r="B96" s="6">
        <v>29</v>
      </c>
      <c r="C96" s="6" t="s">
        <v>2223</v>
      </c>
      <c r="D96" s="6">
        <v>1</v>
      </c>
      <c r="E96" s="6"/>
      <c r="F96" s="6"/>
      <c r="G96" s="6"/>
      <c r="H96" s="6"/>
      <c r="I96" s="6"/>
      <c r="J96" s="6"/>
      <c r="K96" s="6"/>
      <c r="L96" s="6"/>
      <c r="M96" s="6"/>
      <c r="N96" s="6"/>
      <c r="O96" s="6" t="s">
        <v>2255</v>
      </c>
      <c r="P96" s="6">
        <v>1</v>
      </c>
    </row>
    <row r="97" spans="2:16" x14ac:dyDescent="0.25">
      <c r="B97" s="6">
        <v>30</v>
      </c>
      <c r="C97" s="6" t="s">
        <v>2224</v>
      </c>
      <c r="D97" s="6">
        <v>1</v>
      </c>
      <c r="E97" s="6"/>
      <c r="F97" s="6"/>
      <c r="G97" s="6"/>
      <c r="H97" s="6"/>
      <c r="I97" s="6"/>
      <c r="J97" s="6"/>
      <c r="K97" s="6"/>
      <c r="L97" s="6"/>
      <c r="M97" s="6"/>
      <c r="N97" s="6"/>
      <c r="O97" s="6" t="s">
        <v>2229</v>
      </c>
      <c r="P97" s="6">
        <v>1</v>
      </c>
    </row>
    <row r="98" spans="2:16" x14ac:dyDescent="0.25">
      <c r="B98" s="6">
        <v>31</v>
      </c>
      <c r="C98" s="6" t="s">
        <v>2225</v>
      </c>
      <c r="D98" s="6">
        <v>10</v>
      </c>
      <c r="E98" s="6"/>
      <c r="F98" s="6"/>
      <c r="G98" s="6"/>
      <c r="H98" s="6"/>
      <c r="I98" s="6"/>
      <c r="J98" s="6"/>
      <c r="K98" s="6"/>
      <c r="L98" s="6"/>
      <c r="M98" s="6"/>
      <c r="N98" s="6"/>
      <c r="O98" s="6"/>
      <c r="P98" s="6"/>
    </row>
    <row r="99" spans="2:16" x14ac:dyDescent="0.25">
      <c r="B99" s="6">
        <v>32</v>
      </c>
      <c r="C99" s="6" t="s">
        <v>2226</v>
      </c>
      <c r="D99" s="6">
        <v>1</v>
      </c>
      <c r="E99" s="6"/>
      <c r="F99" s="6"/>
      <c r="G99" s="6"/>
      <c r="H99" s="6"/>
      <c r="I99" s="6"/>
      <c r="J99" s="6"/>
      <c r="K99" s="6"/>
      <c r="L99" s="6"/>
      <c r="M99" s="6"/>
      <c r="N99" s="6"/>
      <c r="O99" s="6"/>
      <c r="P99" s="6"/>
    </row>
    <row r="100" spans="2:16" x14ac:dyDescent="0.25">
      <c r="B100" s="6">
        <v>33</v>
      </c>
      <c r="C100" s="6" t="s">
        <v>2227</v>
      </c>
      <c r="D100" s="6">
        <v>1</v>
      </c>
      <c r="E100" s="6"/>
      <c r="F100" s="6"/>
      <c r="G100" s="6"/>
      <c r="H100" s="6"/>
      <c r="I100" s="6"/>
      <c r="J100" s="6"/>
      <c r="K100" s="6"/>
      <c r="L100" s="6"/>
      <c r="M100" s="6"/>
      <c r="N100" s="6"/>
      <c r="O100" s="6"/>
      <c r="P100" s="6"/>
    </row>
    <row r="101" spans="2:16" x14ac:dyDescent="0.25">
      <c r="B101" s="6">
        <v>34</v>
      </c>
      <c r="C101" s="6" t="s">
        <v>2228</v>
      </c>
      <c r="D101" s="6">
        <v>2</v>
      </c>
      <c r="E101" s="6"/>
      <c r="F101" s="6"/>
      <c r="G101" s="6"/>
      <c r="H101" s="6"/>
      <c r="I101" s="6"/>
      <c r="J101" s="6"/>
      <c r="K101" s="6"/>
      <c r="L101" s="6"/>
      <c r="M101" s="6"/>
      <c r="N101" s="6"/>
      <c r="O101" s="6"/>
      <c r="P101" s="6"/>
    </row>
    <row r="102" spans="2:16" x14ac:dyDescent="0.25">
      <c r="B102" s="6">
        <v>35</v>
      </c>
      <c r="C102" s="6" t="s">
        <v>2229</v>
      </c>
      <c r="D102" s="6">
        <v>3</v>
      </c>
      <c r="E102" s="6"/>
      <c r="F102" s="6"/>
      <c r="G102" s="6"/>
      <c r="H102" s="6"/>
      <c r="I102" s="6"/>
      <c r="J102" s="6"/>
      <c r="K102" s="6"/>
      <c r="L102" s="6"/>
      <c r="M102" s="6"/>
      <c r="N102" s="6"/>
      <c r="O102" s="6"/>
      <c r="P102" s="6"/>
    </row>
    <row r="103" spans="2:16" x14ac:dyDescent="0.25">
      <c r="B103" s="6">
        <v>36</v>
      </c>
      <c r="C103" s="6" t="s">
        <v>2230</v>
      </c>
      <c r="D103" s="6">
        <v>7</v>
      </c>
      <c r="E103" s="6"/>
      <c r="F103" s="6"/>
      <c r="G103" s="6"/>
      <c r="H103" s="6"/>
      <c r="I103" s="6"/>
      <c r="J103" s="6"/>
      <c r="K103" s="6"/>
      <c r="L103" s="6"/>
      <c r="M103" s="6"/>
      <c r="N103" s="6"/>
      <c r="O103" s="6"/>
      <c r="P103" s="6"/>
    </row>
    <row r="105" spans="2:16" ht="16.2" x14ac:dyDescent="0.25">
      <c r="B105" s="20" t="s">
        <v>2190</v>
      </c>
    </row>
    <row r="106" spans="2:16" x14ac:dyDescent="0.25">
      <c r="B106" s="6" t="s">
        <v>41</v>
      </c>
      <c r="C106" s="6" t="s">
        <v>2130</v>
      </c>
      <c r="D106" s="6" t="s">
        <v>2137</v>
      </c>
      <c r="E106" s="6" t="s">
        <v>2131</v>
      </c>
      <c r="F106" s="6" t="s">
        <v>2137</v>
      </c>
      <c r="G106" s="6" t="s">
        <v>2132</v>
      </c>
      <c r="H106" s="6" t="s">
        <v>2137</v>
      </c>
      <c r="I106" s="6" t="s">
        <v>2133</v>
      </c>
      <c r="J106" s="6" t="s">
        <v>2137</v>
      </c>
      <c r="K106" s="6" t="s">
        <v>2134</v>
      </c>
      <c r="L106" s="6" t="s">
        <v>2137</v>
      </c>
      <c r="M106" s="6" t="s">
        <v>2135</v>
      </c>
      <c r="N106" s="6" t="s">
        <v>2137</v>
      </c>
      <c r="O106" s="6" t="s">
        <v>2136</v>
      </c>
      <c r="P106" s="6" t="s">
        <v>2137</v>
      </c>
    </row>
    <row r="107" spans="2:16" x14ac:dyDescent="0.25">
      <c r="B107" s="6">
        <v>1</v>
      </c>
      <c r="C107" s="6" t="s">
        <v>2195</v>
      </c>
      <c r="D107" s="6" t="s">
        <v>2195</v>
      </c>
      <c r="E107" s="6" t="s">
        <v>2195</v>
      </c>
      <c r="F107" s="6" t="s">
        <v>2195</v>
      </c>
      <c r="G107" s="6" t="s">
        <v>2195</v>
      </c>
      <c r="H107" s="6" t="s">
        <v>2195</v>
      </c>
      <c r="I107" s="6" t="s">
        <v>2195</v>
      </c>
      <c r="J107" s="6" t="s">
        <v>2195</v>
      </c>
      <c r="K107" s="6" t="s">
        <v>2195</v>
      </c>
      <c r="L107" s="6" t="s">
        <v>2195</v>
      </c>
      <c r="M107" s="6" t="s">
        <v>2195</v>
      </c>
      <c r="N107" s="6" t="s">
        <v>2195</v>
      </c>
      <c r="O107" s="6" t="s">
        <v>2195</v>
      </c>
      <c r="P107" s="6" t="s">
        <v>2195</v>
      </c>
    </row>
    <row r="108" spans="2:16" x14ac:dyDescent="0.25">
      <c r="B108" s="6">
        <v>2</v>
      </c>
      <c r="C108" s="6"/>
      <c r="D108" s="6"/>
      <c r="E108" s="6"/>
      <c r="F108" s="6"/>
      <c r="G108" s="6"/>
      <c r="H108" s="6"/>
      <c r="I108" s="6"/>
      <c r="J108" s="6"/>
      <c r="K108" s="6"/>
      <c r="L108" s="6"/>
      <c r="M108" s="6"/>
      <c r="N108" s="6"/>
      <c r="O108" s="6"/>
      <c r="P108" s="6"/>
    </row>
    <row r="109" spans="2:16" x14ac:dyDescent="0.25">
      <c r="B109" s="6">
        <v>3</v>
      </c>
      <c r="C109" s="6"/>
      <c r="D109" s="6"/>
      <c r="E109" s="6"/>
      <c r="F109" s="6"/>
      <c r="G109" s="6"/>
      <c r="H109" s="6"/>
      <c r="I109" s="6"/>
      <c r="J109" s="6"/>
      <c r="K109" s="6"/>
      <c r="L109" s="6"/>
      <c r="M109" s="6"/>
      <c r="N109" s="6"/>
      <c r="O109" s="6"/>
      <c r="P109" s="6"/>
    </row>
    <row r="111" spans="2:16" ht="16.2" x14ac:dyDescent="0.25">
      <c r="B111" s="20" t="s">
        <v>2191</v>
      </c>
    </row>
    <row r="112" spans="2:16" x14ac:dyDescent="0.25">
      <c r="B112" s="6" t="s">
        <v>41</v>
      </c>
      <c r="C112" s="6" t="s">
        <v>2130</v>
      </c>
      <c r="D112" s="6" t="s">
        <v>2137</v>
      </c>
      <c r="E112" s="6" t="s">
        <v>2131</v>
      </c>
      <c r="F112" s="6" t="s">
        <v>2137</v>
      </c>
      <c r="G112" s="6" t="s">
        <v>2132</v>
      </c>
      <c r="H112" s="6" t="s">
        <v>2137</v>
      </c>
      <c r="I112" s="6" t="s">
        <v>2133</v>
      </c>
      <c r="J112" s="6" t="s">
        <v>2137</v>
      </c>
      <c r="K112" s="6" t="s">
        <v>2134</v>
      </c>
      <c r="L112" s="6" t="s">
        <v>2137</v>
      </c>
      <c r="M112" s="6" t="s">
        <v>2135</v>
      </c>
      <c r="N112" s="6" t="s">
        <v>2137</v>
      </c>
      <c r="O112" s="6" t="s">
        <v>2136</v>
      </c>
      <c r="P112" s="6" t="s">
        <v>2137</v>
      </c>
    </row>
    <row r="113" spans="2:16" x14ac:dyDescent="0.25">
      <c r="B113" s="6">
        <v>1</v>
      </c>
      <c r="C113" s="6" t="s">
        <v>2195</v>
      </c>
      <c r="D113" s="6" t="s">
        <v>2195</v>
      </c>
      <c r="E113" s="6" t="s">
        <v>2195</v>
      </c>
      <c r="F113" s="6" t="s">
        <v>2195</v>
      </c>
      <c r="G113" s="6" t="s">
        <v>2195</v>
      </c>
      <c r="H113" s="6" t="s">
        <v>2195</v>
      </c>
      <c r="I113" s="6" t="s">
        <v>2195</v>
      </c>
      <c r="J113" s="6" t="s">
        <v>2195</v>
      </c>
      <c r="K113" s="6" t="s">
        <v>2195</v>
      </c>
      <c r="L113" s="6" t="s">
        <v>2195</v>
      </c>
      <c r="M113" s="6" t="s">
        <v>2195</v>
      </c>
      <c r="N113" s="6" t="s">
        <v>2195</v>
      </c>
      <c r="O113" s="6" t="s">
        <v>2195</v>
      </c>
      <c r="P113" s="6" t="s">
        <v>2195</v>
      </c>
    </row>
    <row r="114" spans="2:16" x14ac:dyDescent="0.25">
      <c r="B114" s="6">
        <v>2</v>
      </c>
      <c r="C114" s="6"/>
      <c r="D114" s="6"/>
      <c r="E114" s="6"/>
      <c r="F114" s="6"/>
      <c r="G114" s="6"/>
      <c r="H114" s="6"/>
      <c r="I114" s="6"/>
      <c r="J114" s="6"/>
      <c r="K114" s="6"/>
      <c r="L114" s="6"/>
      <c r="M114" s="6"/>
      <c r="N114" s="6"/>
      <c r="O114" s="6"/>
      <c r="P114" s="6"/>
    </row>
    <row r="115" spans="2:16" x14ac:dyDescent="0.25">
      <c r="B115" s="6">
        <v>3</v>
      </c>
      <c r="C115" s="6"/>
      <c r="D115" s="6"/>
      <c r="E115" s="6"/>
      <c r="F115" s="6"/>
      <c r="G115" s="6"/>
      <c r="H115" s="6"/>
      <c r="I115" s="6"/>
      <c r="J115" s="6"/>
      <c r="K115" s="6"/>
      <c r="L115" s="6"/>
      <c r="M115" s="6"/>
      <c r="N115" s="6"/>
      <c r="O115" s="6"/>
      <c r="P115" s="6"/>
    </row>
    <row r="117" spans="2:16" ht="16.2" x14ac:dyDescent="0.25">
      <c r="B117" s="20" t="s">
        <v>2192</v>
      </c>
    </row>
    <row r="118" spans="2:16" x14ac:dyDescent="0.25">
      <c r="B118" s="6" t="s">
        <v>41</v>
      </c>
      <c r="C118" s="6" t="s">
        <v>2130</v>
      </c>
      <c r="D118" s="6" t="s">
        <v>2137</v>
      </c>
      <c r="E118" s="6" t="s">
        <v>2131</v>
      </c>
      <c r="F118" s="6" t="s">
        <v>2137</v>
      </c>
      <c r="G118" s="6" t="s">
        <v>2132</v>
      </c>
      <c r="H118" s="6" t="s">
        <v>2137</v>
      </c>
      <c r="I118" s="6" t="s">
        <v>2133</v>
      </c>
      <c r="J118" s="6" t="s">
        <v>2137</v>
      </c>
      <c r="K118" s="6" t="s">
        <v>2134</v>
      </c>
      <c r="L118" s="6" t="s">
        <v>2137</v>
      </c>
      <c r="M118" s="6" t="s">
        <v>2135</v>
      </c>
      <c r="N118" s="6" t="s">
        <v>2137</v>
      </c>
      <c r="O118" s="6" t="s">
        <v>2136</v>
      </c>
      <c r="P118" s="6" t="s">
        <v>2137</v>
      </c>
    </row>
    <row r="119" spans="2:16" x14ac:dyDescent="0.25">
      <c r="B119" s="6">
        <v>1</v>
      </c>
      <c r="C119" s="6" t="s">
        <v>2195</v>
      </c>
      <c r="D119" s="6" t="s">
        <v>2195</v>
      </c>
      <c r="E119" s="6" t="s">
        <v>2195</v>
      </c>
      <c r="F119" s="6" t="s">
        <v>2195</v>
      </c>
      <c r="G119" s="6" t="s">
        <v>2195</v>
      </c>
      <c r="H119" s="6" t="s">
        <v>2195</v>
      </c>
      <c r="I119" s="6" t="s">
        <v>2195</v>
      </c>
      <c r="J119" s="6" t="s">
        <v>2195</v>
      </c>
      <c r="K119" s="6" t="s">
        <v>2195</v>
      </c>
      <c r="L119" s="6" t="s">
        <v>2195</v>
      </c>
      <c r="M119" s="6" t="s">
        <v>2195</v>
      </c>
      <c r="N119" s="6" t="s">
        <v>2195</v>
      </c>
      <c r="O119" s="6" t="s">
        <v>2195</v>
      </c>
      <c r="P119" s="6" t="s">
        <v>2195</v>
      </c>
    </row>
    <row r="120" spans="2:16" x14ac:dyDescent="0.25">
      <c r="B120" s="6">
        <v>2</v>
      </c>
      <c r="C120" s="6"/>
      <c r="D120" s="6"/>
      <c r="E120" s="6"/>
      <c r="F120" s="6"/>
      <c r="G120" s="6"/>
      <c r="H120" s="6"/>
      <c r="I120" s="6"/>
      <c r="J120" s="6"/>
      <c r="K120" s="6"/>
      <c r="L120" s="6"/>
      <c r="M120" s="6"/>
      <c r="N120" s="6"/>
      <c r="O120" s="6"/>
      <c r="P120" s="6"/>
    </row>
    <row r="121" spans="2:16" x14ac:dyDescent="0.25">
      <c r="B121" s="6">
        <v>3</v>
      </c>
      <c r="C121" s="6"/>
      <c r="D121" s="6"/>
      <c r="E121" s="6"/>
      <c r="F121" s="6"/>
      <c r="G121" s="6"/>
      <c r="H121" s="6"/>
      <c r="I121" s="6"/>
      <c r="J121" s="6"/>
      <c r="K121" s="6"/>
      <c r="L121" s="6"/>
      <c r="M121" s="6"/>
      <c r="N121" s="6"/>
      <c r="O121" s="6"/>
      <c r="P121" s="6"/>
    </row>
    <row r="123" spans="2:16" ht="16.2" x14ac:dyDescent="0.25">
      <c r="B123" s="20" t="s">
        <v>2193</v>
      </c>
    </row>
    <row r="124" spans="2:16" x14ac:dyDescent="0.25">
      <c r="B124" s="6" t="s">
        <v>41</v>
      </c>
      <c r="C124" s="6" t="s">
        <v>2130</v>
      </c>
      <c r="D124" s="6" t="s">
        <v>2137</v>
      </c>
      <c r="E124" s="6" t="s">
        <v>2131</v>
      </c>
      <c r="F124" s="6" t="s">
        <v>2137</v>
      </c>
      <c r="G124" s="6" t="s">
        <v>2132</v>
      </c>
      <c r="H124" s="6" t="s">
        <v>2137</v>
      </c>
      <c r="I124" s="6" t="s">
        <v>2133</v>
      </c>
      <c r="J124" s="6" t="s">
        <v>2137</v>
      </c>
      <c r="K124" s="6" t="s">
        <v>2134</v>
      </c>
      <c r="L124" s="6" t="s">
        <v>2137</v>
      </c>
      <c r="M124" s="6" t="s">
        <v>2135</v>
      </c>
      <c r="N124" s="6" t="s">
        <v>2137</v>
      </c>
      <c r="O124" s="6" t="s">
        <v>2136</v>
      </c>
      <c r="P124" s="6" t="s">
        <v>2137</v>
      </c>
    </row>
    <row r="125" spans="2:16" x14ac:dyDescent="0.25">
      <c r="B125" s="6">
        <v>1</v>
      </c>
      <c r="C125" s="6" t="s">
        <v>2195</v>
      </c>
      <c r="D125" s="6" t="s">
        <v>2195</v>
      </c>
      <c r="E125" s="6" t="s">
        <v>2195</v>
      </c>
      <c r="F125" s="6" t="s">
        <v>2195</v>
      </c>
      <c r="G125" s="6" t="s">
        <v>2195</v>
      </c>
      <c r="H125" s="6" t="s">
        <v>2195</v>
      </c>
      <c r="I125" s="6" t="s">
        <v>2195</v>
      </c>
      <c r="J125" s="6" t="s">
        <v>2195</v>
      </c>
      <c r="K125" s="6" t="s">
        <v>2195</v>
      </c>
      <c r="L125" s="6" t="s">
        <v>2195</v>
      </c>
      <c r="M125" s="6" t="s">
        <v>2195</v>
      </c>
      <c r="N125" s="6" t="s">
        <v>2195</v>
      </c>
      <c r="O125" s="6" t="s">
        <v>2195</v>
      </c>
      <c r="P125" s="6" t="s">
        <v>2195</v>
      </c>
    </row>
    <row r="126" spans="2:16" x14ac:dyDescent="0.25">
      <c r="B126" s="6">
        <v>2</v>
      </c>
      <c r="C126" s="6"/>
      <c r="D126" s="6"/>
      <c r="E126" s="6"/>
      <c r="F126" s="6"/>
      <c r="G126" s="6"/>
      <c r="H126" s="6"/>
      <c r="I126" s="6"/>
      <c r="J126" s="6"/>
      <c r="K126" s="6"/>
      <c r="L126" s="6"/>
      <c r="M126" s="6"/>
      <c r="N126" s="6"/>
      <c r="O126" s="6"/>
      <c r="P126" s="6"/>
    </row>
    <row r="127" spans="2:16" x14ac:dyDescent="0.25">
      <c r="B127" s="6">
        <v>3</v>
      </c>
      <c r="C127" s="6"/>
      <c r="D127" s="6"/>
      <c r="E127" s="6"/>
      <c r="F127" s="6"/>
      <c r="G127" s="6"/>
      <c r="H127" s="6"/>
      <c r="I127" s="6"/>
      <c r="J127" s="6"/>
      <c r="K127" s="6"/>
      <c r="L127" s="6"/>
      <c r="M127" s="6"/>
      <c r="N127" s="6"/>
      <c r="O127" s="6"/>
      <c r="P127" s="6"/>
    </row>
    <row r="129" spans="2:16" ht="16.2" x14ac:dyDescent="0.25">
      <c r="B129" s="20" t="s">
        <v>2194</v>
      </c>
    </row>
    <row r="130" spans="2:16" x14ac:dyDescent="0.25">
      <c r="B130" s="6" t="s">
        <v>41</v>
      </c>
      <c r="C130" s="6" t="s">
        <v>2130</v>
      </c>
      <c r="D130" s="6" t="s">
        <v>2137</v>
      </c>
      <c r="E130" s="6" t="s">
        <v>2131</v>
      </c>
      <c r="F130" s="6" t="s">
        <v>2137</v>
      </c>
      <c r="G130" s="6" t="s">
        <v>2132</v>
      </c>
      <c r="H130" s="6" t="s">
        <v>2137</v>
      </c>
      <c r="I130" s="6" t="s">
        <v>2133</v>
      </c>
      <c r="J130" s="6" t="s">
        <v>2137</v>
      </c>
      <c r="K130" s="6" t="s">
        <v>2134</v>
      </c>
      <c r="L130" s="6" t="s">
        <v>2137</v>
      </c>
      <c r="M130" s="6" t="s">
        <v>2135</v>
      </c>
      <c r="N130" s="6" t="s">
        <v>2137</v>
      </c>
      <c r="O130" s="6" t="s">
        <v>2136</v>
      </c>
      <c r="P130" s="6" t="s">
        <v>2137</v>
      </c>
    </row>
    <row r="131" spans="2:16" x14ac:dyDescent="0.25">
      <c r="B131" s="6">
        <v>1</v>
      </c>
      <c r="C131" s="6" t="s">
        <v>2195</v>
      </c>
      <c r="D131" s="6" t="s">
        <v>2195</v>
      </c>
      <c r="E131" s="6" t="s">
        <v>2195</v>
      </c>
      <c r="F131" s="6" t="s">
        <v>2195</v>
      </c>
      <c r="G131" s="6" t="s">
        <v>2195</v>
      </c>
      <c r="H131" s="6" t="s">
        <v>2195</v>
      </c>
      <c r="I131" s="6" t="s">
        <v>2195</v>
      </c>
      <c r="J131" s="6" t="s">
        <v>2195</v>
      </c>
      <c r="K131" s="6" t="s">
        <v>2195</v>
      </c>
      <c r="L131" s="6" t="s">
        <v>2195</v>
      </c>
      <c r="M131" s="6" t="s">
        <v>2195</v>
      </c>
      <c r="N131" s="6" t="s">
        <v>2195</v>
      </c>
      <c r="O131" s="6" t="s">
        <v>2195</v>
      </c>
      <c r="P131" s="6" t="s">
        <v>2195</v>
      </c>
    </row>
    <row r="132" spans="2:16" x14ac:dyDescent="0.25">
      <c r="B132" s="6">
        <v>2</v>
      </c>
      <c r="C132" s="6"/>
      <c r="D132" s="6"/>
      <c r="E132" s="6"/>
      <c r="F132" s="6"/>
      <c r="G132" s="6"/>
      <c r="H132" s="6"/>
      <c r="I132" s="6"/>
      <c r="J132" s="6"/>
      <c r="K132" s="6"/>
      <c r="L132" s="6"/>
      <c r="M132" s="6"/>
      <c r="N132" s="6"/>
      <c r="O132" s="6"/>
      <c r="P132" s="6"/>
    </row>
    <row r="133" spans="2:16" x14ac:dyDescent="0.25">
      <c r="B133" s="6">
        <v>3</v>
      </c>
      <c r="C133" s="6"/>
      <c r="D133" s="6"/>
      <c r="E133" s="6"/>
      <c r="F133" s="6"/>
      <c r="G133" s="6"/>
      <c r="H133" s="6"/>
      <c r="I133" s="6"/>
      <c r="J133" s="6"/>
      <c r="K133" s="6"/>
      <c r="L133" s="6"/>
      <c r="M133" s="6"/>
      <c r="N133" s="6"/>
      <c r="O133" s="6"/>
      <c r="P133" s="6"/>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15</vt:i4>
      </vt:variant>
    </vt:vector>
  </HeadingPairs>
  <TitlesOfParts>
    <vt:vector size="15" baseType="lpstr">
      <vt:lpstr>总览表</vt:lpstr>
      <vt:lpstr>02设定表</vt:lpstr>
      <vt:lpstr>02角色表</vt:lpstr>
      <vt:lpstr>02守卫表</vt:lpstr>
      <vt:lpstr>02骰子表</vt:lpstr>
      <vt:lpstr>02效果表</vt:lpstr>
      <vt:lpstr>02关卡表</vt:lpstr>
      <vt:lpstr>02怪物表</vt:lpstr>
      <vt:lpstr>02祝福表</vt:lpstr>
      <vt:lpstr>02事件表</vt:lpstr>
      <vt:lpstr>02商店表</vt:lpstr>
      <vt:lpstr>02池子表</vt:lpstr>
      <vt:lpstr>02产耗表</vt:lpstr>
      <vt:lpstr>02统计表</vt:lpstr>
      <vt:lpstr>02玩法表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阿 朱</dc:creator>
  <cp:lastModifiedBy>阿 朱</cp:lastModifiedBy>
  <cp:lastPrinted>2024-11-15T21:34:22Z</cp:lastPrinted>
  <dcterms:created xsi:type="dcterms:W3CDTF">2024-11-01T09:38:47Z</dcterms:created>
  <dcterms:modified xsi:type="dcterms:W3CDTF">2024-12-24T13:16:36Z</dcterms:modified>
</cp:coreProperties>
</file>