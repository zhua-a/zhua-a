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98763\Desktop\"/>
    </mc:Choice>
  </mc:AlternateContent>
  <xr:revisionPtr revIDLastSave="0" documentId="13_ncr:1_{BBD54E37-7C7F-4173-861C-2E8BBCEAC53F}" xr6:coauthVersionLast="47" xr6:coauthVersionMax="47" xr10:uidLastSave="{00000000-0000-0000-0000-000000000000}"/>
  <bookViews>
    <workbookView xWindow="-108" yWindow="-108" windowWidth="23256" windowHeight="12576" tabRatio="842" xr2:uid="{00000000-000D-0000-FFFF-FFFF00000000}"/>
  </bookViews>
  <sheets>
    <sheet name="介绍表" sheetId="21" r:id="rId1"/>
    <sheet name="目录" sheetId="5" r:id="rId2"/>
    <sheet name="系统框架" sheetId="1" r:id="rId3"/>
    <sheet name="玩法框架" sheetId="4" r:id="rId4"/>
    <sheet name="体验规划" sheetId="7" r:id="rId5"/>
    <sheet name="升级规划" sheetId="6" r:id="rId6"/>
    <sheet name="属性总览" sheetId="14" r:id="rId7"/>
    <sheet name="英雄成长" sheetId="9" r:id="rId8"/>
    <sheet name="伙伴成长" sheetId="10" r:id="rId9"/>
    <sheet name="宠物成长" sheetId="11" r:id="rId10"/>
    <sheet name="怪物成长" sheetId="26" r:id="rId11"/>
    <sheet name="装备成长" sheetId="18" r:id="rId12"/>
    <sheet name="装备词条" sheetId="23" r:id="rId13"/>
    <sheet name="战斗公式" sheetId="15" r:id="rId14"/>
    <sheet name="技能设计" sheetId="20" r:id="rId15"/>
    <sheet name="金币投放" sheetId="31" r:id="rId16"/>
    <sheet name="宝石投放" sheetId="32" r:id="rId17"/>
    <sheet name="家园建设" sheetId="25" r:id="rId18"/>
    <sheet name="公会建设" sheetId="24" r:id="rId19"/>
    <sheet name="物品总表" sheetId="27" r:id="rId20"/>
    <sheet name="商店总表" sheetId="28" r:id="rId21"/>
    <sheet name="掉落总表" sheetId="29" r:id="rId2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31" l="1"/>
  <c r="F9" i="31"/>
  <c r="E10" i="31"/>
  <c r="F10" i="31"/>
  <c r="E11" i="31"/>
  <c r="F11" i="31"/>
  <c r="E12" i="31"/>
  <c r="F12" i="31"/>
  <c r="E13" i="31"/>
  <c r="F13" i="31"/>
  <c r="E14" i="31"/>
  <c r="F14" i="31"/>
  <c r="E15" i="31"/>
  <c r="F15" i="31"/>
  <c r="E16" i="31"/>
  <c r="F16" i="31"/>
  <c r="E17" i="31"/>
  <c r="F17" i="31"/>
  <c r="E18" i="31"/>
  <c r="F18" i="31"/>
  <c r="E19" i="31"/>
  <c r="F19" i="31"/>
  <c r="E20" i="31"/>
  <c r="F20" i="31"/>
  <c r="E21" i="31"/>
  <c r="F21" i="31"/>
  <c r="E22" i="31"/>
  <c r="F22" i="31"/>
  <c r="E23" i="31"/>
  <c r="F23" i="31"/>
  <c r="E24" i="31"/>
  <c r="F24" i="31"/>
  <c r="E25" i="31"/>
  <c r="F25" i="31"/>
  <c r="E26" i="31"/>
  <c r="F26" i="31"/>
  <c r="E27" i="31"/>
  <c r="F27" i="31"/>
  <c r="E28" i="31"/>
  <c r="F28" i="31"/>
  <c r="E29" i="31"/>
  <c r="F29" i="31"/>
  <c r="E30" i="31"/>
  <c r="F30" i="31"/>
  <c r="E31" i="31"/>
  <c r="F31" i="31"/>
  <c r="E32" i="31"/>
  <c r="F32" i="31"/>
  <c r="E33" i="31"/>
  <c r="F33" i="31"/>
  <c r="E34" i="31"/>
  <c r="F34" i="31"/>
  <c r="E35" i="31"/>
  <c r="F35" i="31"/>
  <c r="E36" i="31"/>
  <c r="F36" i="31"/>
  <c r="E37" i="31"/>
  <c r="F37" i="31"/>
  <c r="E38" i="31"/>
  <c r="F38" i="31"/>
  <c r="E39" i="31"/>
  <c r="F39" i="31"/>
  <c r="E40" i="31"/>
  <c r="F40" i="31"/>
  <c r="E41" i="31"/>
  <c r="F41" i="31"/>
  <c r="E42" i="31"/>
  <c r="F42" i="31"/>
  <c r="E43" i="31"/>
  <c r="F43" i="31"/>
  <c r="E44" i="31"/>
  <c r="F44" i="31"/>
  <c r="E45" i="31"/>
  <c r="F45" i="31"/>
  <c r="E46" i="31"/>
  <c r="F46" i="31"/>
  <c r="E47" i="31"/>
  <c r="F47" i="31"/>
  <c r="E48" i="31"/>
  <c r="F48" i="31"/>
  <c r="E49" i="31"/>
  <c r="F49" i="31"/>
  <c r="E50" i="31"/>
  <c r="F50" i="31"/>
  <c r="E51" i="31"/>
  <c r="F51" i="31"/>
  <c r="E52" i="31"/>
  <c r="F52" i="31"/>
  <c r="E53" i="31"/>
  <c r="F53" i="31"/>
  <c r="E54" i="31"/>
  <c r="F54" i="31"/>
  <c r="E55" i="31"/>
  <c r="F55" i="31"/>
  <c r="E56" i="31"/>
  <c r="F56" i="31"/>
  <c r="E57" i="31"/>
  <c r="F57" i="31"/>
  <c r="E58" i="31"/>
  <c r="F58" i="31"/>
  <c r="E59" i="31"/>
  <c r="F59" i="31"/>
  <c r="E60" i="31"/>
  <c r="F60" i="31"/>
  <c r="E61" i="31"/>
  <c r="F61" i="31"/>
  <c r="E62" i="31"/>
  <c r="F62" i="31"/>
  <c r="E63" i="31"/>
  <c r="F63" i="31"/>
  <c r="E64" i="31"/>
  <c r="F64" i="31"/>
  <c r="E65" i="31"/>
  <c r="F65" i="31"/>
  <c r="E66" i="31"/>
  <c r="F66" i="31"/>
  <c r="E67" i="31"/>
  <c r="F67" i="31"/>
  <c r="F8" i="31"/>
  <c r="E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26" i="31"/>
  <c r="C27" i="31"/>
  <c r="C28" i="31"/>
  <c r="C29" i="31"/>
  <c r="C30" i="31"/>
  <c r="C31" i="31"/>
  <c r="C32" i="31"/>
  <c r="C33" i="31"/>
  <c r="C34" i="31"/>
  <c r="C35" i="31"/>
  <c r="C36" i="31"/>
  <c r="C37" i="31"/>
  <c r="C38" i="31"/>
  <c r="C39" i="31"/>
  <c r="C40" i="31"/>
  <c r="C41" i="31"/>
  <c r="C42" i="31"/>
  <c r="C43" i="31"/>
  <c r="C44" i="31"/>
  <c r="C45" i="31"/>
  <c r="C46" i="31"/>
  <c r="C47" i="31"/>
  <c r="C48" i="31"/>
  <c r="C49" i="31"/>
  <c r="C50" i="31"/>
  <c r="C51" i="31"/>
  <c r="C52" i="31"/>
  <c r="C53" i="31"/>
  <c r="C54" i="31"/>
  <c r="C55" i="31"/>
  <c r="C56" i="31"/>
  <c r="C57" i="31"/>
  <c r="C58" i="31"/>
  <c r="C59" i="31"/>
  <c r="C60" i="31"/>
  <c r="C61" i="31"/>
  <c r="C62" i="31"/>
  <c r="C63" i="31"/>
  <c r="C64" i="31"/>
  <c r="C65" i="31"/>
  <c r="C66" i="31"/>
  <c r="C67" i="31"/>
  <c r="C8" i="31"/>
  <c r="B4" i="31"/>
  <c r="D9" i="31"/>
  <c r="D10" i="31"/>
  <c r="D11" i="31"/>
  <c r="D12" i="31"/>
  <c r="D13" i="31"/>
  <c r="D14" i="31"/>
  <c r="D15" i="31"/>
  <c r="D16" i="31"/>
  <c r="D17" i="31"/>
  <c r="D18" i="31"/>
  <c r="D19" i="31"/>
  <c r="D20" i="31"/>
  <c r="D21" i="31"/>
  <c r="D22" i="31"/>
  <c r="D23" i="31"/>
  <c r="D24" i="31"/>
  <c r="D25" i="31"/>
  <c r="D26" i="31"/>
  <c r="D27" i="31"/>
  <c r="D28" i="31"/>
  <c r="D29" i="31"/>
  <c r="D30" i="31"/>
  <c r="D31" i="31"/>
  <c r="D32" i="31"/>
  <c r="D33" i="31"/>
  <c r="D34" i="31"/>
  <c r="D35" i="31"/>
  <c r="D36" i="31"/>
  <c r="D37" i="31"/>
  <c r="D38" i="31"/>
  <c r="D39" i="31"/>
  <c r="D40" i="31"/>
  <c r="D41" i="31"/>
  <c r="D42" i="31"/>
  <c r="D43" i="31"/>
  <c r="D44" i="31"/>
  <c r="D45" i="31"/>
  <c r="D46" i="31"/>
  <c r="D47" i="31"/>
  <c r="D48" i="31"/>
  <c r="D49" i="31"/>
  <c r="D50" i="31"/>
  <c r="D51" i="31"/>
  <c r="D52" i="31"/>
  <c r="D53" i="31"/>
  <c r="D54" i="31"/>
  <c r="D55" i="31"/>
  <c r="D56" i="31"/>
  <c r="D57" i="31"/>
  <c r="D58" i="31"/>
  <c r="D59" i="31"/>
  <c r="D60" i="31"/>
  <c r="D61" i="31"/>
  <c r="D62" i="31"/>
  <c r="D63" i="31"/>
  <c r="D64" i="31"/>
  <c r="D65" i="31"/>
  <c r="D66" i="31"/>
  <c r="D67" i="31"/>
  <c r="D8" i="31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24" i="7"/>
  <c r="C9" i="7"/>
  <c r="E27" i="6" l="1"/>
  <c r="D27" i="6" s="1"/>
  <c r="E49" i="6"/>
  <c r="D49" i="6" s="1"/>
  <c r="E53" i="6"/>
  <c r="D53" i="6" s="1"/>
  <c r="E14" i="6"/>
  <c r="D14" i="6" s="1"/>
  <c r="E26" i="6"/>
  <c r="D26" i="6" s="1"/>
  <c r="E42" i="6"/>
  <c r="D42" i="6" s="1"/>
  <c r="E50" i="6"/>
  <c r="D50" i="6" s="1"/>
  <c r="E37" i="6"/>
  <c r="D37" i="6" s="1"/>
  <c r="E57" i="6"/>
  <c r="D57" i="6" s="1"/>
  <c r="E33" i="6"/>
  <c r="D33" i="6" s="1"/>
  <c r="E25" i="6"/>
  <c r="D25" i="6" s="1"/>
  <c r="E17" i="6"/>
  <c r="D17" i="6" s="1"/>
  <c r="E9" i="6"/>
  <c r="D9" i="6" s="1"/>
  <c r="E23" i="6"/>
  <c r="D23" i="6" s="1"/>
  <c r="E38" i="6"/>
  <c r="D38" i="6" s="1"/>
  <c r="E54" i="6"/>
  <c r="D54" i="6" s="1"/>
  <c r="E41" i="6"/>
  <c r="D41" i="6" s="1"/>
  <c r="E45" i="6"/>
  <c r="D45" i="6" s="1"/>
  <c r="E5" i="6"/>
  <c r="D5" i="6" s="1"/>
  <c r="E6" i="6"/>
  <c r="D6" i="6" s="1"/>
  <c r="E10" i="6"/>
  <c r="D10" i="6" s="1"/>
  <c r="E13" i="6"/>
  <c r="D13" i="6" s="1"/>
  <c r="E18" i="6"/>
  <c r="D18" i="6" s="1"/>
  <c r="E21" i="6"/>
  <c r="D21" i="6" s="1"/>
  <c r="E22" i="6"/>
  <c r="D22" i="6" s="1"/>
  <c r="E29" i="6"/>
  <c r="D29" i="6" s="1"/>
  <c r="E30" i="6"/>
  <c r="D30" i="6" s="1"/>
  <c r="E34" i="6"/>
  <c r="D34" i="6" s="1"/>
  <c r="E46" i="6"/>
  <c r="D46" i="6" s="1"/>
  <c r="E61" i="6"/>
  <c r="D61" i="6" s="1"/>
  <c r="U30" i="26"/>
  <c r="V30" i="26"/>
  <c r="W30" i="26"/>
  <c r="U31" i="26"/>
  <c r="V31" i="26"/>
  <c r="W31" i="26"/>
  <c r="U32" i="26"/>
  <c r="V32" i="26"/>
  <c r="W32" i="26"/>
  <c r="U33" i="26"/>
  <c r="V33" i="26"/>
  <c r="W33" i="26"/>
  <c r="U34" i="26"/>
  <c r="V34" i="26"/>
  <c r="W34" i="26"/>
  <c r="U35" i="26"/>
  <c r="V35" i="26"/>
  <c r="W35" i="26"/>
  <c r="U36" i="26"/>
  <c r="V36" i="26"/>
  <c r="W36" i="26"/>
  <c r="U37" i="26"/>
  <c r="V37" i="26"/>
  <c r="W37" i="26"/>
  <c r="U38" i="26"/>
  <c r="V38" i="26"/>
  <c r="W38" i="26"/>
  <c r="U39" i="26"/>
  <c r="V39" i="26"/>
  <c r="W39" i="26"/>
  <c r="U40" i="26"/>
  <c r="V40" i="26"/>
  <c r="W40" i="26"/>
  <c r="U41" i="26"/>
  <c r="V41" i="26"/>
  <c r="W41" i="26"/>
  <c r="U42" i="26"/>
  <c r="V42" i="26"/>
  <c r="W42" i="26"/>
  <c r="U43" i="26"/>
  <c r="V43" i="26"/>
  <c r="W43" i="26"/>
  <c r="U44" i="26"/>
  <c r="V44" i="26"/>
  <c r="W44" i="26"/>
  <c r="U45" i="26"/>
  <c r="V45" i="26"/>
  <c r="W45" i="26"/>
  <c r="U46" i="26"/>
  <c r="V46" i="26"/>
  <c r="W46" i="26"/>
  <c r="U47" i="26"/>
  <c r="V47" i="26"/>
  <c r="W47" i="26"/>
  <c r="U48" i="26"/>
  <c r="V48" i="26"/>
  <c r="W48" i="26"/>
  <c r="U49" i="26"/>
  <c r="V49" i="26"/>
  <c r="W49" i="26"/>
  <c r="U50" i="26"/>
  <c r="V50" i="26"/>
  <c r="W50" i="26"/>
  <c r="U51" i="26"/>
  <c r="V51" i="26"/>
  <c r="W51" i="26"/>
  <c r="U52" i="26"/>
  <c r="V52" i="26"/>
  <c r="W52" i="26"/>
  <c r="U53" i="26"/>
  <c r="V53" i="26"/>
  <c r="W53" i="26"/>
  <c r="U54" i="26"/>
  <c r="V54" i="26"/>
  <c r="W54" i="26"/>
  <c r="U55" i="26"/>
  <c r="V55" i="26"/>
  <c r="W55" i="26"/>
  <c r="U56" i="26"/>
  <c r="V56" i="26"/>
  <c r="W56" i="26"/>
  <c r="U57" i="26"/>
  <c r="V57" i="26"/>
  <c r="W57" i="26"/>
  <c r="U58" i="26"/>
  <c r="V58" i="26"/>
  <c r="W58" i="26"/>
  <c r="W29" i="26"/>
  <c r="V29" i="26"/>
  <c r="F29" i="26"/>
  <c r="H29" i="26"/>
  <c r="G29" i="26"/>
  <c r="S30" i="26"/>
  <c r="T30" i="26"/>
  <c r="S31" i="26"/>
  <c r="T31" i="26"/>
  <c r="S32" i="26"/>
  <c r="T32" i="26"/>
  <c r="S33" i="26"/>
  <c r="T33" i="26"/>
  <c r="S34" i="26"/>
  <c r="T34" i="26"/>
  <c r="S35" i="26"/>
  <c r="T35" i="26"/>
  <c r="S36" i="26"/>
  <c r="T36" i="26"/>
  <c r="S37" i="26"/>
  <c r="T37" i="26"/>
  <c r="S38" i="26"/>
  <c r="T38" i="26"/>
  <c r="S39" i="26"/>
  <c r="T39" i="26"/>
  <c r="S40" i="26"/>
  <c r="T40" i="26"/>
  <c r="S41" i="26"/>
  <c r="T41" i="26"/>
  <c r="S42" i="26"/>
  <c r="T42" i="26"/>
  <c r="S43" i="26"/>
  <c r="T43" i="26"/>
  <c r="S44" i="26"/>
  <c r="T44" i="26"/>
  <c r="S45" i="26"/>
  <c r="T45" i="26"/>
  <c r="S46" i="26"/>
  <c r="T46" i="26"/>
  <c r="S47" i="26"/>
  <c r="T47" i="26"/>
  <c r="S48" i="26"/>
  <c r="T48" i="26"/>
  <c r="S49" i="26"/>
  <c r="T49" i="26"/>
  <c r="S50" i="26"/>
  <c r="T50" i="26"/>
  <c r="S51" i="26"/>
  <c r="T51" i="26"/>
  <c r="S52" i="26"/>
  <c r="T52" i="26"/>
  <c r="S53" i="26"/>
  <c r="T53" i="26"/>
  <c r="S54" i="26"/>
  <c r="T54" i="26"/>
  <c r="S55" i="26"/>
  <c r="T55" i="26"/>
  <c r="S56" i="26"/>
  <c r="T56" i="26"/>
  <c r="S57" i="26"/>
  <c r="T57" i="26"/>
  <c r="S58" i="26"/>
  <c r="T58" i="26"/>
  <c r="T29" i="26"/>
  <c r="U29" i="26"/>
  <c r="S29" i="26"/>
  <c r="J29" i="26"/>
  <c r="K29" i="26"/>
  <c r="I29" i="26"/>
  <c r="M31" i="26"/>
  <c r="M32" i="26" s="1"/>
  <c r="M33" i="26" s="1"/>
  <c r="M34" i="26" s="1"/>
  <c r="M35" i="26" s="1"/>
  <c r="M36" i="26" s="1"/>
  <c r="M37" i="26" s="1"/>
  <c r="M38" i="26" s="1"/>
  <c r="M39" i="26" s="1"/>
  <c r="M40" i="26" s="1"/>
  <c r="M41" i="26" s="1"/>
  <c r="M42" i="26" s="1"/>
  <c r="M43" i="26" s="1"/>
  <c r="M44" i="26" s="1"/>
  <c r="M45" i="26" s="1"/>
  <c r="M46" i="26" s="1"/>
  <c r="M47" i="26" s="1"/>
  <c r="M48" i="26" s="1"/>
  <c r="M49" i="26" s="1"/>
  <c r="M50" i="26" s="1"/>
  <c r="M51" i="26" s="1"/>
  <c r="M52" i="26" s="1"/>
  <c r="M53" i="26" s="1"/>
  <c r="M54" i="26" s="1"/>
  <c r="M55" i="26" s="1"/>
  <c r="M56" i="26" s="1"/>
  <c r="M57" i="26" s="1"/>
  <c r="M58" i="26" s="1"/>
  <c r="O31" i="26"/>
  <c r="O32" i="26" s="1"/>
  <c r="O33" i="26" s="1"/>
  <c r="O34" i="26" s="1"/>
  <c r="O35" i="26" s="1"/>
  <c r="O36" i="26" s="1"/>
  <c r="O37" i="26" s="1"/>
  <c r="O38" i="26" s="1"/>
  <c r="O39" i="26" s="1"/>
  <c r="O40" i="26" s="1"/>
  <c r="O41" i="26" s="1"/>
  <c r="O42" i="26" s="1"/>
  <c r="O43" i="26" s="1"/>
  <c r="O44" i="26" s="1"/>
  <c r="O45" i="26" s="1"/>
  <c r="O46" i="26" s="1"/>
  <c r="O47" i="26" s="1"/>
  <c r="O48" i="26" s="1"/>
  <c r="O49" i="26" s="1"/>
  <c r="O50" i="26" s="1"/>
  <c r="O51" i="26" s="1"/>
  <c r="O52" i="26" s="1"/>
  <c r="O53" i="26" s="1"/>
  <c r="O54" i="26" s="1"/>
  <c r="O55" i="26" s="1"/>
  <c r="O56" i="26" s="1"/>
  <c r="O57" i="26" s="1"/>
  <c r="O58" i="26" s="1"/>
  <c r="Q31" i="26"/>
  <c r="Q32" i="26" s="1"/>
  <c r="Q33" i="26" s="1"/>
  <c r="Q34" i="26" s="1"/>
  <c r="Q35" i="26" s="1"/>
  <c r="Q36" i="26" s="1"/>
  <c r="Q37" i="26" s="1"/>
  <c r="Q38" i="26" s="1"/>
  <c r="Q39" i="26" s="1"/>
  <c r="Q40" i="26" s="1"/>
  <c r="Q41" i="26" s="1"/>
  <c r="Q42" i="26" s="1"/>
  <c r="Q43" i="26" s="1"/>
  <c r="Q44" i="26" s="1"/>
  <c r="Q45" i="26" s="1"/>
  <c r="Q46" i="26" s="1"/>
  <c r="Q47" i="26" s="1"/>
  <c r="Q48" i="26" s="1"/>
  <c r="Q49" i="26" s="1"/>
  <c r="Q50" i="26" s="1"/>
  <c r="Q51" i="26" s="1"/>
  <c r="Q52" i="26" s="1"/>
  <c r="Q53" i="26" s="1"/>
  <c r="Q54" i="26" s="1"/>
  <c r="Q55" i="26" s="1"/>
  <c r="Q56" i="26" s="1"/>
  <c r="Q57" i="26" s="1"/>
  <c r="Q58" i="26" s="1"/>
  <c r="M30" i="26"/>
  <c r="N30" i="26"/>
  <c r="N31" i="26" s="1"/>
  <c r="N32" i="26" s="1"/>
  <c r="N33" i="26" s="1"/>
  <c r="N34" i="26" s="1"/>
  <c r="N35" i="26" s="1"/>
  <c r="N36" i="26" s="1"/>
  <c r="N37" i="26" s="1"/>
  <c r="N38" i="26" s="1"/>
  <c r="N39" i="26" s="1"/>
  <c r="N40" i="26" s="1"/>
  <c r="N41" i="26" s="1"/>
  <c r="N42" i="26" s="1"/>
  <c r="N43" i="26" s="1"/>
  <c r="N44" i="26" s="1"/>
  <c r="N45" i="26" s="1"/>
  <c r="N46" i="26" s="1"/>
  <c r="N47" i="26" s="1"/>
  <c r="N48" i="26" s="1"/>
  <c r="N49" i="26" s="1"/>
  <c r="N50" i="26" s="1"/>
  <c r="N51" i="26" s="1"/>
  <c r="N52" i="26" s="1"/>
  <c r="N53" i="26" s="1"/>
  <c r="N54" i="26" s="1"/>
  <c r="N55" i="26" s="1"/>
  <c r="N56" i="26" s="1"/>
  <c r="N57" i="26" s="1"/>
  <c r="N58" i="26" s="1"/>
  <c r="O30" i="26"/>
  <c r="P30" i="26"/>
  <c r="P31" i="26" s="1"/>
  <c r="P32" i="26" s="1"/>
  <c r="P33" i="26" s="1"/>
  <c r="P34" i="26" s="1"/>
  <c r="P35" i="26" s="1"/>
  <c r="P36" i="26" s="1"/>
  <c r="P37" i="26" s="1"/>
  <c r="P38" i="26" s="1"/>
  <c r="P39" i="26" s="1"/>
  <c r="P40" i="26" s="1"/>
  <c r="P41" i="26" s="1"/>
  <c r="P42" i="26" s="1"/>
  <c r="P43" i="26" s="1"/>
  <c r="P44" i="26" s="1"/>
  <c r="P45" i="26" s="1"/>
  <c r="P46" i="26" s="1"/>
  <c r="P47" i="26" s="1"/>
  <c r="P48" i="26" s="1"/>
  <c r="P49" i="26" s="1"/>
  <c r="P50" i="26" s="1"/>
  <c r="P51" i="26" s="1"/>
  <c r="P52" i="26" s="1"/>
  <c r="P53" i="26" s="1"/>
  <c r="P54" i="26" s="1"/>
  <c r="P55" i="26" s="1"/>
  <c r="P56" i="26" s="1"/>
  <c r="P57" i="26" s="1"/>
  <c r="P58" i="26" s="1"/>
  <c r="Q30" i="26"/>
  <c r="R30" i="26"/>
  <c r="R31" i="26" s="1"/>
  <c r="R32" i="26" s="1"/>
  <c r="R33" i="26" s="1"/>
  <c r="R34" i="26" s="1"/>
  <c r="R35" i="26" s="1"/>
  <c r="R36" i="26" s="1"/>
  <c r="R37" i="26" s="1"/>
  <c r="R38" i="26" s="1"/>
  <c r="R39" i="26" s="1"/>
  <c r="R40" i="26" s="1"/>
  <c r="R41" i="26" s="1"/>
  <c r="R42" i="26" s="1"/>
  <c r="R43" i="26" s="1"/>
  <c r="R44" i="26" s="1"/>
  <c r="R45" i="26" s="1"/>
  <c r="R46" i="26" s="1"/>
  <c r="R47" i="26" s="1"/>
  <c r="R48" i="26" s="1"/>
  <c r="R49" i="26" s="1"/>
  <c r="R50" i="26" s="1"/>
  <c r="R51" i="26" s="1"/>
  <c r="R52" i="26" s="1"/>
  <c r="R53" i="26" s="1"/>
  <c r="R54" i="26" s="1"/>
  <c r="R55" i="26" s="1"/>
  <c r="R56" i="26" s="1"/>
  <c r="R57" i="26" s="1"/>
  <c r="R58" i="26" s="1"/>
  <c r="L30" i="26"/>
  <c r="L31" i="26" s="1"/>
  <c r="L32" i="26" s="1"/>
  <c r="L33" i="26" s="1"/>
  <c r="L34" i="26" s="1"/>
  <c r="M39" i="11" a="1"/>
  <c r="M39" i="11" s="1"/>
  <c r="M37" i="11" a="1"/>
  <c r="M37" i="11" s="1"/>
  <c r="M35" i="11" a="1"/>
  <c r="M35" i="11" s="1"/>
  <c r="M33" i="11" a="1"/>
  <c r="M33" i="11" s="1"/>
  <c r="M31" i="11" a="1"/>
  <c r="M31" i="11" s="1"/>
  <c r="M29" i="11" a="1"/>
  <c r="M29" i="11" s="1"/>
  <c r="M27" i="11" a="1"/>
  <c r="M27" i="11" s="1"/>
  <c r="M25" i="11" a="1"/>
  <c r="M25" i="11" s="1"/>
  <c r="M23" i="11" a="1"/>
  <c r="M23" i="11" s="1"/>
  <c r="M21" i="11" a="1"/>
  <c r="M21" i="11" s="1"/>
  <c r="M19" i="11" a="1"/>
  <c r="M19" i="11" s="1"/>
  <c r="M17" i="11" a="1"/>
  <c r="M17" i="11" s="1"/>
  <c r="M15" i="11" a="1"/>
  <c r="M15" i="11" s="1"/>
  <c r="M13" i="11" a="1"/>
  <c r="M13" i="11" s="1"/>
  <c r="M39" i="10" a="1"/>
  <c r="M39" i="10" s="1"/>
  <c r="M38" i="10" a="1"/>
  <c r="M38" i="10" s="1"/>
  <c r="M37" i="10" a="1"/>
  <c r="M37" i="10" s="1"/>
  <c r="M36" i="10" a="1"/>
  <c r="M36" i="10" s="1"/>
  <c r="M35" i="10" a="1"/>
  <c r="M35" i="10" s="1"/>
  <c r="M34" i="10" a="1"/>
  <c r="M34" i="10" s="1"/>
  <c r="M33" i="10" a="1"/>
  <c r="M33" i="10" s="1"/>
  <c r="M32" i="10" a="1"/>
  <c r="M32" i="10" s="1"/>
  <c r="M30" i="10" a="1"/>
  <c r="M30" i="10" s="1"/>
  <c r="M28" i="10" a="1"/>
  <c r="M28" i="10" s="1"/>
  <c r="M26" i="10" a="1"/>
  <c r="M26" i="10" s="1"/>
  <c r="M24" i="10" a="1"/>
  <c r="M24" i="10" s="1"/>
  <c r="M22" i="10" a="1"/>
  <c r="M22" i="10" s="1"/>
  <c r="M20" i="10" a="1"/>
  <c r="M20" i="10" s="1"/>
  <c r="M18" i="10" a="1"/>
  <c r="M18" i="10" s="1"/>
  <c r="M16" i="10" a="1"/>
  <c r="M16" i="10" s="1"/>
  <c r="M14" i="10" a="1"/>
  <c r="M14" i="10" s="1"/>
  <c r="N12" i="9" a="1"/>
  <c r="N12" i="9" s="1"/>
  <c r="J31" i="26" s="1"/>
  <c r="M15" i="9" a="1"/>
  <c r="M15" i="9" s="1"/>
  <c r="I34" i="26" s="1"/>
  <c r="N16" i="9" a="1"/>
  <c r="N16" i="9" s="1"/>
  <c r="J35" i="26" s="1"/>
  <c r="M19" i="9" a="1"/>
  <c r="M19" i="9" s="1"/>
  <c r="I38" i="26" s="1"/>
  <c r="N20" i="9" a="1"/>
  <c r="N20" i="9" s="1"/>
  <c r="J39" i="26" s="1"/>
  <c r="M23" i="9" a="1"/>
  <c r="M23" i="9" s="1"/>
  <c r="I42" i="26" s="1"/>
  <c r="N24" i="9" a="1"/>
  <c r="N24" i="9" s="1"/>
  <c r="J43" i="26" s="1"/>
  <c r="M27" i="9" a="1"/>
  <c r="M27" i="9" s="1"/>
  <c r="I46" i="26" s="1"/>
  <c r="N28" i="9" a="1"/>
  <c r="N28" i="9" s="1"/>
  <c r="J47" i="26" s="1"/>
  <c r="M31" i="9" a="1"/>
  <c r="M31" i="9" s="1"/>
  <c r="I50" i="26" s="1"/>
  <c r="N32" i="9" a="1"/>
  <c r="N32" i="9" s="1"/>
  <c r="J51" i="26" s="1"/>
  <c r="M35" i="9" a="1"/>
  <c r="M35" i="9" s="1"/>
  <c r="I54" i="26" s="1"/>
  <c r="N36" i="9" a="1"/>
  <c r="N36" i="9" s="1"/>
  <c r="J55" i="26" s="1"/>
  <c r="M39" i="9" a="1"/>
  <c r="M39" i="9" s="1"/>
  <c r="I58" i="26" s="1"/>
  <c r="M11" i="9" a="1"/>
  <c r="M11" i="9" s="1"/>
  <c r="I30" i="26" s="1"/>
  <c r="O21" i="18"/>
  <c r="K22" i="18"/>
  <c r="H22" i="18" s="1"/>
  <c r="K23" i="18"/>
  <c r="H23" i="18" s="1"/>
  <c r="K24" i="18"/>
  <c r="H24" i="18" s="1"/>
  <c r="K25" i="18"/>
  <c r="H25" i="18" s="1"/>
  <c r="K26" i="18"/>
  <c r="H26" i="18" s="1"/>
  <c r="K27" i="18"/>
  <c r="H27" i="18" s="1"/>
  <c r="K28" i="18"/>
  <c r="H28" i="18" s="1"/>
  <c r="K29" i="18"/>
  <c r="H29" i="18" s="1"/>
  <c r="K30" i="18"/>
  <c r="H30" i="18" s="1"/>
  <c r="K31" i="18"/>
  <c r="J31" i="18" s="1"/>
  <c r="K32" i="18"/>
  <c r="H32" i="18" s="1"/>
  <c r="K33" i="18"/>
  <c r="H33" i="18" s="1"/>
  <c r="K34" i="18"/>
  <c r="H34" i="18" s="1"/>
  <c r="K35" i="18"/>
  <c r="J35" i="18" s="1"/>
  <c r="K36" i="18"/>
  <c r="H36" i="18" s="1"/>
  <c r="K37" i="18"/>
  <c r="H37" i="18" s="1"/>
  <c r="K38" i="18"/>
  <c r="H38" i="18" s="1"/>
  <c r="K39" i="18"/>
  <c r="H39" i="18" s="1"/>
  <c r="K40" i="18"/>
  <c r="H40" i="18" s="1"/>
  <c r="K41" i="18"/>
  <c r="H41" i="18" s="1"/>
  <c r="K42" i="18"/>
  <c r="H42" i="18" s="1"/>
  <c r="K43" i="18"/>
  <c r="H43" i="18" s="1"/>
  <c r="K44" i="18"/>
  <c r="H44" i="18" s="1"/>
  <c r="K45" i="18"/>
  <c r="H45" i="18" s="1"/>
  <c r="K46" i="18"/>
  <c r="H46" i="18" s="1"/>
  <c r="K47" i="18"/>
  <c r="J47" i="18" s="1"/>
  <c r="K48" i="18"/>
  <c r="H48" i="18" s="1"/>
  <c r="K49" i="18"/>
  <c r="H49" i="18" s="1"/>
  <c r="K50" i="18"/>
  <c r="H50" i="18" s="1"/>
  <c r="K21" i="18"/>
  <c r="J21" i="18" s="1"/>
  <c r="T11" i="11"/>
  <c r="T12" i="11" s="1"/>
  <c r="T13" i="11" s="1"/>
  <c r="T14" i="11" s="1"/>
  <c r="T15" i="11" s="1"/>
  <c r="T16" i="11" s="1"/>
  <c r="T17" i="11" s="1"/>
  <c r="T18" i="11" s="1"/>
  <c r="T19" i="11" s="1"/>
  <c r="T20" i="11" s="1"/>
  <c r="T21" i="11" s="1"/>
  <c r="T22" i="11" s="1"/>
  <c r="T23" i="11" s="1"/>
  <c r="T24" i="11" s="1"/>
  <c r="T25" i="11" s="1"/>
  <c r="T26" i="11" s="1"/>
  <c r="T27" i="11" s="1"/>
  <c r="T28" i="11" s="1"/>
  <c r="T29" i="11" s="1"/>
  <c r="T30" i="11" s="1"/>
  <c r="T31" i="11" s="1"/>
  <c r="T32" i="11" s="1"/>
  <c r="T33" i="11" s="1"/>
  <c r="T34" i="11" s="1"/>
  <c r="T35" i="11" s="1"/>
  <c r="T36" i="11" s="1"/>
  <c r="T37" i="11" s="1"/>
  <c r="T38" i="11" s="1"/>
  <c r="T39" i="11" s="1"/>
  <c r="T11" i="10"/>
  <c r="T12" i="10" s="1"/>
  <c r="T13" i="10" s="1"/>
  <c r="T14" i="10" s="1"/>
  <c r="T15" i="10" s="1"/>
  <c r="T16" i="10" s="1"/>
  <c r="T17" i="10" s="1"/>
  <c r="T18" i="10" s="1"/>
  <c r="T19" i="10" s="1"/>
  <c r="T20" i="10" s="1"/>
  <c r="T21" i="10" s="1"/>
  <c r="T22" i="10" s="1"/>
  <c r="T23" i="10" s="1"/>
  <c r="T24" i="10" s="1"/>
  <c r="T25" i="10" s="1"/>
  <c r="T26" i="10" s="1"/>
  <c r="T27" i="10" s="1"/>
  <c r="T28" i="10" s="1"/>
  <c r="T29" i="10" s="1"/>
  <c r="T30" i="10" s="1"/>
  <c r="T31" i="10" s="1"/>
  <c r="T32" i="10" s="1"/>
  <c r="T33" i="10" s="1"/>
  <c r="T34" i="10" s="1"/>
  <c r="T35" i="10" s="1"/>
  <c r="T36" i="10" s="1"/>
  <c r="T37" i="10" s="1"/>
  <c r="T38" i="10" s="1"/>
  <c r="T39" i="10" s="1"/>
  <c r="T11" i="9"/>
  <c r="T12" i="9" s="1"/>
  <c r="T13" i="9" s="1"/>
  <c r="T14" i="9" s="1"/>
  <c r="T15" i="9" s="1"/>
  <c r="T16" i="9" s="1"/>
  <c r="T17" i="9" s="1"/>
  <c r="T18" i="9" s="1"/>
  <c r="T19" i="9" s="1"/>
  <c r="T20" i="9" s="1"/>
  <c r="T21" i="9" s="1"/>
  <c r="T22" i="9" s="1"/>
  <c r="T23" i="9" s="1"/>
  <c r="T24" i="9" s="1"/>
  <c r="T25" i="9" s="1"/>
  <c r="T26" i="9" s="1"/>
  <c r="T27" i="9" s="1"/>
  <c r="T28" i="9" s="1"/>
  <c r="T29" i="9" s="1"/>
  <c r="T30" i="9" s="1"/>
  <c r="T31" i="9" s="1"/>
  <c r="T32" i="9" s="1"/>
  <c r="T33" i="9" s="1"/>
  <c r="T34" i="9" s="1"/>
  <c r="T35" i="9" s="1"/>
  <c r="T36" i="9" s="1"/>
  <c r="T37" i="9" s="1"/>
  <c r="T38" i="9" s="1"/>
  <c r="T39" i="9" s="1"/>
  <c r="I35" i="10" a="1"/>
  <c r="I35" i="10" s="1"/>
  <c r="H39" i="11" a="1"/>
  <c r="H39" i="11" s="1"/>
  <c r="G39" i="11" a="1"/>
  <c r="G39" i="11" s="1"/>
  <c r="N39" i="11" s="1" a="1"/>
  <c r="N39" i="11" s="1"/>
  <c r="F39" i="11" a="1"/>
  <c r="F39" i="11" s="1"/>
  <c r="J39" i="11" s="1" a="1"/>
  <c r="J39" i="11" s="1"/>
  <c r="E39" i="11" a="1"/>
  <c r="E39" i="11" s="1"/>
  <c r="H38" i="11" a="1"/>
  <c r="H38" i="11" s="1"/>
  <c r="G38" i="11" a="1"/>
  <c r="G38" i="11" s="1"/>
  <c r="N38" i="11" s="1" a="1"/>
  <c r="N38" i="11" s="1"/>
  <c r="F38" i="11" a="1"/>
  <c r="F38" i="11" s="1"/>
  <c r="L38" i="11" s="1" a="1"/>
  <c r="L38" i="11" s="1"/>
  <c r="E38" i="11" a="1"/>
  <c r="E38" i="11" s="1"/>
  <c r="H37" i="11" a="1"/>
  <c r="H37" i="11" s="1"/>
  <c r="O37" i="11" s="1" a="1"/>
  <c r="O37" i="11" s="1"/>
  <c r="G37" i="11" a="1"/>
  <c r="G37" i="11" s="1"/>
  <c r="N37" i="11" s="1" a="1"/>
  <c r="N37" i="11" s="1"/>
  <c r="F37" i="11" a="1"/>
  <c r="F37" i="11" s="1"/>
  <c r="L37" i="11" s="1" a="1"/>
  <c r="L37" i="11" s="1"/>
  <c r="E37" i="11" a="1"/>
  <c r="E37" i="11" s="1"/>
  <c r="H36" i="11" a="1"/>
  <c r="H36" i="11" s="1"/>
  <c r="G36" i="11" a="1"/>
  <c r="G36" i="11" s="1"/>
  <c r="N36" i="11" s="1" a="1"/>
  <c r="N36" i="11" s="1"/>
  <c r="F36" i="11" a="1"/>
  <c r="F36" i="11" s="1"/>
  <c r="J36" i="11" s="1" a="1"/>
  <c r="J36" i="11" s="1"/>
  <c r="E36" i="11" a="1"/>
  <c r="E36" i="11" s="1"/>
  <c r="H35" i="11" a="1"/>
  <c r="H35" i="11" s="1"/>
  <c r="K35" i="11" s="1" a="1"/>
  <c r="K35" i="11" s="1"/>
  <c r="G35" i="11" a="1"/>
  <c r="G35" i="11" s="1"/>
  <c r="N35" i="11" s="1" a="1"/>
  <c r="N35" i="11" s="1"/>
  <c r="F35" i="11" a="1"/>
  <c r="F35" i="11" s="1"/>
  <c r="J35" i="11" s="1" a="1"/>
  <c r="J35" i="11" s="1"/>
  <c r="E35" i="11" a="1"/>
  <c r="E35" i="11" s="1"/>
  <c r="H34" i="11" a="1"/>
  <c r="H34" i="11" s="1"/>
  <c r="O34" i="11" s="1" a="1"/>
  <c r="O34" i="11" s="1"/>
  <c r="G34" i="11" a="1"/>
  <c r="G34" i="11" s="1"/>
  <c r="N34" i="11" s="1" a="1"/>
  <c r="N34" i="11" s="1"/>
  <c r="F34" i="11" a="1"/>
  <c r="F34" i="11" s="1"/>
  <c r="J34" i="11" s="1" a="1"/>
  <c r="J34" i="11" s="1"/>
  <c r="E34" i="11" a="1"/>
  <c r="E34" i="11" s="1"/>
  <c r="H33" i="11" a="1"/>
  <c r="H33" i="11" s="1"/>
  <c r="O33" i="11" s="1" a="1"/>
  <c r="O33" i="11" s="1"/>
  <c r="G33" i="11" a="1"/>
  <c r="G33" i="11" s="1"/>
  <c r="N33" i="11" s="1" a="1"/>
  <c r="N33" i="11" s="1"/>
  <c r="F33" i="11" a="1"/>
  <c r="F33" i="11" s="1"/>
  <c r="L33" i="11" s="1" a="1"/>
  <c r="L33" i="11" s="1"/>
  <c r="E33" i="11" a="1"/>
  <c r="E33" i="11" s="1"/>
  <c r="H32" i="11" a="1"/>
  <c r="H32" i="11" s="1"/>
  <c r="K32" i="11" s="1" a="1"/>
  <c r="K32" i="11" s="1"/>
  <c r="G32" i="11" a="1"/>
  <c r="G32" i="11" s="1"/>
  <c r="N32" i="11" s="1" a="1"/>
  <c r="N32" i="11" s="1"/>
  <c r="F32" i="11" a="1"/>
  <c r="F32" i="11" s="1"/>
  <c r="J32" i="11" s="1" a="1"/>
  <c r="J32" i="11" s="1"/>
  <c r="E32" i="11" a="1"/>
  <c r="E32" i="11" s="1"/>
  <c r="H31" i="11" a="1"/>
  <c r="H31" i="11" s="1"/>
  <c r="K31" i="11" s="1" a="1"/>
  <c r="K31" i="11" s="1"/>
  <c r="G31" i="11" a="1"/>
  <c r="G31" i="11" s="1"/>
  <c r="N31" i="11" s="1" a="1"/>
  <c r="N31" i="11" s="1"/>
  <c r="F31" i="11" a="1"/>
  <c r="F31" i="11" s="1"/>
  <c r="J31" i="11" s="1" a="1"/>
  <c r="J31" i="11" s="1"/>
  <c r="E31" i="11" a="1"/>
  <c r="E31" i="11" s="1"/>
  <c r="H30" i="11" a="1"/>
  <c r="H30" i="11" s="1"/>
  <c r="O30" i="11" s="1" a="1"/>
  <c r="O30" i="11" s="1"/>
  <c r="G30" i="11" a="1"/>
  <c r="G30" i="11" s="1"/>
  <c r="N30" i="11" s="1" a="1"/>
  <c r="N30" i="11" s="1"/>
  <c r="F30" i="11" a="1"/>
  <c r="F30" i="11" s="1"/>
  <c r="J30" i="11" s="1" a="1"/>
  <c r="J30" i="11" s="1"/>
  <c r="E30" i="11" a="1"/>
  <c r="E30" i="11" s="1"/>
  <c r="H29" i="11" a="1"/>
  <c r="H29" i="11" s="1"/>
  <c r="O29" i="11" s="1" a="1"/>
  <c r="O29" i="11" s="1"/>
  <c r="G29" i="11" a="1"/>
  <c r="G29" i="11" s="1"/>
  <c r="N29" i="11" s="1" a="1"/>
  <c r="N29" i="11" s="1"/>
  <c r="F29" i="11" a="1"/>
  <c r="F29" i="11" s="1"/>
  <c r="L29" i="11" s="1" a="1"/>
  <c r="L29" i="11" s="1"/>
  <c r="E29" i="11" a="1"/>
  <c r="E29" i="11" s="1"/>
  <c r="H28" i="11" a="1"/>
  <c r="H28" i="11" s="1"/>
  <c r="K28" i="11" s="1" a="1"/>
  <c r="K28" i="11" s="1"/>
  <c r="G28" i="11" a="1"/>
  <c r="G28" i="11" s="1"/>
  <c r="N28" i="11" s="1" a="1"/>
  <c r="N28" i="11" s="1"/>
  <c r="F28" i="11" a="1"/>
  <c r="F28" i="11" s="1"/>
  <c r="J28" i="11" s="1" a="1"/>
  <c r="J28" i="11" s="1"/>
  <c r="E28" i="11" a="1"/>
  <c r="E28" i="11" s="1"/>
  <c r="H27" i="11" a="1"/>
  <c r="H27" i="11" s="1"/>
  <c r="K27" i="11" s="1" a="1"/>
  <c r="K27" i="11" s="1"/>
  <c r="G27" i="11" a="1"/>
  <c r="G27" i="11" s="1"/>
  <c r="N27" i="11" s="1" a="1"/>
  <c r="N27" i="11" s="1"/>
  <c r="F27" i="11" a="1"/>
  <c r="F27" i="11" s="1"/>
  <c r="J27" i="11" s="1" a="1"/>
  <c r="J27" i="11" s="1"/>
  <c r="E27" i="11" a="1"/>
  <c r="E27" i="11" s="1"/>
  <c r="H26" i="11" a="1"/>
  <c r="H26" i="11" s="1"/>
  <c r="O26" i="11" s="1" a="1"/>
  <c r="O26" i="11" s="1"/>
  <c r="G26" i="11" a="1"/>
  <c r="G26" i="11" s="1"/>
  <c r="F26" i="11" a="1"/>
  <c r="F26" i="11" s="1"/>
  <c r="J26" i="11" s="1" a="1"/>
  <c r="J26" i="11" s="1"/>
  <c r="E26" i="11" a="1"/>
  <c r="E26" i="11" s="1"/>
  <c r="H25" i="11" a="1"/>
  <c r="H25" i="11" s="1"/>
  <c r="O25" i="11" s="1" a="1"/>
  <c r="O25" i="11" s="1"/>
  <c r="G25" i="11" a="1"/>
  <c r="G25" i="11" s="1"/>
  <c r="N25" i="11" s="1" a="1"/>
  <c r="N25" i="11" s="1"/>
  <c r="F25" i="11" a="1"/>
  <c r="F25" i="11" s="1"/>
  <c r="J25" i="11" s="1" a="1"/>
  <c r="J25" i="11" s="1"/>
  <c r="E25" i="11" a="1"/>
  <c r="E25" i="11" s="1"/>
  <c r="H24" i="11" a="1"/>
  <c r="H24" i="11" s="1"/>
  <c r="O24" i="11" s="1" a="1"/>
  <c r="O24" i="11" s="1"/>
  <c r="G24" i="11" a="1"/>
  <c r="G24" i="11" s="1"/>
  <c r="N24" i="11" s="1" a="1"/>
  <c r="N24" i="11" s="1"/>
  <c r="F24" i="11" a="1"/>
  <c r="F24" i="11" s="1"/>
  <c r="L24" i="11" s="1" a="1"/>
  <c r="L24" i="11" s="1"/>
  <c r="E24" i="11" a="1"/>
  <c r="E24" i="11" s="1"/>
  <c r="H23" i="11" a="1"/>
  <c r="H23" i="11" s="1"/>
  <c r="K23" i="11" s="1" a="1"/>
  <c r="K23" i="11" s="1"/>
  <c r="G23" i="11" a="1"/>
  <c r="G23" i="11" s="1"/>
  <c r="N23" i="11" s="1" a="1"/>
  <c r="N23" i="11" s="1"/>
  <c r="F23" i="11" a="1"/>
  <c r="F23" i="11" s="1"/>
  <c r="J23" i="11" s="1" a="1"/>
  <c r="J23" i="11" s="1"/>
  <c r="E23" i="11" a="1"/>
  <c r="E23" i="11" s="1"/>
  <c r="H22" i="11" a="1"/>
  <c r="H22" i="11" s="1"/>
  <c r="K22" i="11" s="1" a="1"/>
  <c r="K22" i="11" s="1"/>
  <c r="G22" i="11" a="1"/>
  <c r="G22" i="11" s="1"/>
  <c r="N22" i="11" s="1" a="1"/>
  <c r="N22" i="11" s="1"/>
  <c r="F22" i="11" a="1"/>
  <c r="F22" i="11" s="1"/>
  <c r="J22" i="11" s="1" a="1"/>
  <c r="J22" i="11" s="1"/>
  <c r="E22" i="11" a="1"/>
  <c r="E22" i="11" s="1"/>
  <c r="H21" i="11" a="1"/>
  <c r="H21" i="11" s="1"/>
  <c r="G21" i="11" a="1"/>
  <c r="G21" i="11" s="1"/>
  <c r="N21" i="11" s="1" a="1"/>
  <c r="N21" i="11" s="1"/>
  <c r="F21" i="11" a="1"/>
  <c r="F21" i="11" s="1"/>
  <c r="E21" i="11" a="1"/>
  <c r="E21" i="11" s="1"/>
  <c r="H20" i="11" a="1"/>
  <c r="H20" i="11" s="1"/>
  <c r="O20" i="11" s="1" a="1"/>
  <c r="O20" i="11" s="1"/>
  <c r="G20" i="11" a="1"/>
  <c r="G20" i="11" s="1"/>
  <c r="N20" i="11" s="1" a="1"/>
  <c r="N20" i="11" s="1"/>
  <c r="F20" i="11" a="1"/>
  <c r="F20" i="11" s="1"/>
  <c r="L20" i="11" s="1" a="1"/>
  <c r="L20" i="11" s="1"/>
  <c r="E20" i="11" a="1"/>
  <c r="E20" i="11" s="1"/>
  <c r="H19" i="11" a="1"/>
  <c r="H19" i="11" s="1"/>
  <c r="K19" i="11" s="1" a="1"/>
  <c r="K19" i="11" s="1"/>
  <c r="G19" i="11" a="1"/>
  <c r="G19" i="11" s="1"/>
  <c r="N19" i="11" s="1" a="1"/>
  <c r="N19" i="11" s="1"/>
  <c r="F19" i="11" a="1"/>
  <c r="F19" i="11" s="1"/>
  <c r="J19" i="11" s="1" a="1"/>
  <c r="J19" i="11" s="1"/>
  <c r="E19" i="11" a="1"/>
  <c r="E19" i="11" s="1"/>
  <c r="H18" i="11" a="1"/>
  <c r="H18" i="11" s="1"/>
  <c r="K18" i="11" s="1" a="1"/>
  <c r="K18" i="11" s="1"/>
  <c r="G18" i="11" a="1"/>
  <c r="G18" i="11" s="1"/>
  <c r="N18" i="11" s="1" a="1"/>
  <c r="N18" i="11" s="1"/>
  <c r="F18" i="11" a="1"/>
  <c r="F18" i="11" s="1"/>
  <c r="J18" i="11" s="1" a="1"/>
  <c r="J18" i="11" s="1"/>
  <c r="E18" i="11" a="1"/>
  <c r="E18" i="11" s="1"/>
  <c r="H17" i="11" a="1"/>
  <c r="H17" i="11" s="1"/>
  <c r="O17" i="11" s="1" a="1"/>
  <c r="O17" i="11" s="1"/>
  <c r="G17" i="11" a="1"/>
  <c r="G17" i="11" s="1"/>
  <c r="N17" i="11" s="1" a="1"/>
  <c r="N17" i="11" s="1"/>
  <c r="F17" i="11" a="1"/>
  <c r="F17" i="11" s="1"/>
  <c r="L17" i="11" s="1" a="1"/>
  <c r="L17" i="11" s="1"/>
  <c r="E17" i="11" a="1"/>
  <c r="E17" i="11" s="1"/>
  <c r="H16" i="11" a="1"/>
  <c r="H16" i="11" s="1"/>
  <c r="G16" i="11" a="1"/>
  <c r="G16" i="11" s="1"/>
  <c r="N16" i="11" s="1" a="1"/>
  <c r="N16" i="11" s="1"/>
  <c r="F16" i="11" a="1"/>
  <c r="F16" i="11" s="1"/>
  <c r="J16" i="11" s="1" a="1"/>
  <c r="J16" i="11" s="1"/>
  <c r="E16" i="11" a="1"/>
  <c r="E16" i="11" s="1"/>
  <c r="H15" i="11" a="1"/>
  <c r="H15" i="11" s="1"/>
  <c r="K15" i="11" s="1" a="1"/>
  <c r="K15" i="11" s="1"/>
  <c r="G15" i="11" a="1"/>
  <c r="G15" i="11" s="1"/>
  <c r="N15" i="11" s="1" a="1"/>
  <c r="N15" i="11" s="1"/>
  <c r="F15" i="11" a="1"/>
  <c r="F15" i="11" s="1"/>
  <c r="J15" i="11" s="1" a="1"/>
  <c r="J15" i="11" s="1"/>
  <c r="E15" i="11" a="1"/>
  <c r="E15" i="11" s="1"/>
  <c r="H14" i="11" a="1"/>
  <c r="H14" i="11" s="1"/>
  <c r="G14" i="11" a="1"/>
  <c r="G14" i="11" s="1"/>
  <c r="N14" i="11" s="1" a="1"/>
  <c r="N14" i="11" s="1"/>
  <c r="F14" i="11" a="1"/>
  <c r="F14" i="11" s="1"/>
  <c r="J14" i="11" s="1" a="1"/>
  <c r="J14" i="11" s="1"/>
  <c r="E14" i="11" a="1"/>
  <c r="E14" i="11" s="1"/>
  <c r="H13" i="11" a="1"/>
  <c r="H13" i="11" s="1"/>
  <c r="O13" i="11" s="1" a="1"/>
  <c r="O13" i="11" s="1"/>
  <c r="G13" i="11" a="1"/>
  <c r="G13" i="11" s="1"/>
  <c r="N13" i="11" s="1" a="1"/>
  <c r="N13" i="11" s="1"/>
  <c r="F13" i="11" a="1"/>
  <c r="F13" i="11" s="1"/>
  <c r="E13" i="11" a="1"/>
  <c r="E13" i="11" s="1"/>
  <c r="S12" i="11"/>
  <c r="S13" i="11" s="1"/>
  <c r="S14" i="11" s="1"/>
  <c r="S15" i="11" s="1"/>
  <c r="S16" i="11" s="1"/>
  <c r="S17" i="11" s="1"/>
  <c r="S18" i="11" s="1"/>
  <c r="S19" i="11" s="1"/>
  <c r="S20" i="11" s="1"/>
  <c r="S21" i="11" s="1"/>
  <c r="S22" i="11" s="1"/>
  <c r="S23" i="11" s="1"/>
  <c r="S24" i="11" s="1"/>
  <c r="S25" i="11" s="1"/>
  <c r="S26" i="11" s="1"/>
  <c r="S27" i="11" s="1"/>
  <c r="S28" i="11" s="1"/>
  <c r="S29" i="11" s="1"/>
  <c r="S30" i="11" s="1"/>
  <c r="S31" i="11" s="1"/>
  <c r="S32" i="11" s="1"/>
  <c r="S33" i="11" s="1"/>
  <c r="S34" i="11" s="1"/>
  <c r="S35" i="11" s="1"/>
  <c r="S36" i="11" s="1"/>
  <c r="S37" i="11" s="1"/>
  <c r="S38" i="11" s="1"/>
  <c r="S39" i="11" s="1"/>
  <c r="H12" i="11" a="1"/>
  <c r="H12" i="11" s="1"/>
  <c r="G12" i="11" a="1"/>
  <c r="G12" i="11" s="1"/>
  <c r="N12" i="11" s="1" a="1"/>
  <c r="N12" i="11" s="1"/>
  <c r="F12" i="11" a="1"/>
  <c r="F12" i="11" s="1"/>
  <c r="J12" i="11" s="1" a="1"/>
  <c r="J12" i="11" s="1"/>
  <c r="E12" i="11" a="1"/>
  <c r="E12" i="11" s="1"/>
  <c r="S11" i="11"/>
  <c r="R11" i="11"/>
  <c r="R12" i="11" s="1"/>
  <c r="R13" i="11" s="1"/>
  <c r="R14" i="11" s="1"/>
  <c r="R15" i="11" s="1"/>
  <c r="R16" i="11" s="1"/>
  <c r="R17" i="11" s="1"/>
  <c r="R18" i="11" s="1"/>
  <c r="R19" i="11" s="1"/>
  <c r="R20" i="11" s="1"/>
  <c r="R21" i="11" s="1"/>
  <c r="R22" i="11" s="1"/>
  <c r="R23" i="11" s="1"/>
  <c r="R24" i="11" s="1"/>
  <c r="R25" i="11" s="1"/>
  <c r="R26" i="11" s="1"/>
  <c r="R27" i="11" s="1"/>
  <c r="R28" i="11" s="1"/>
  <c r="R29" i="11" s="1"/>
  <c r="R30" i="11" s="1"/>
  <c r="R31" i="11" s="1"/>
  <c r="R32" i="11" s="1"/>
  <c r="R33" i="11" s="1"/>
  <c r="R34" i="11" s="1"/>
  <c r="R35" i="11" s="1"/>
  <c r="R36" i="11" s="1"/>
  <c r="R37" i="11" s="1"/>
  <c r="R38" i="11" s="1"/>
  <c r="R39" i="11" s="1"/>
  <c r="Q11" i="11"/>
  <c r="Q12" i="11" s="1"/>
  <c r="Q13" i="11" s="1"/>
  <c r="Q14" i="11" s="1"/>
  <c r="Q15" i="11" s="1"/>
  <c r="Q16" i="11" s="1"/>
  <c r="Q17" i="11" s="1"/>
  <c r="Q18" i="11" s="1"/>
  <c r="Q19" i="11" s="1"/>
  <c r="Q20" i="11" s="1"/>
  <c r="Q21" i="11" s="1"/>
  <c r="Q22" i="11" s="1"/>
  <c r="Q23" i="11" s="1"/>
  <c r="Q24" i="11" s="1"/>
  <c r="Q25" i="11" s="1"/>
  <c r="Q26" i="11" s="1"/>
  <c r="Q27" i="11" s="1"/>
  <c r="Q28" i="11" s="1"/>
  <c r="Q29" i="11" s="1"/>
  <c r="Q30" i="11" s="1"/>
  <c r="Q31" i="11" s="1"/>
  <c r="Q32" i="11" s="1"/>
  <c r="Q33" i="11" s="1"/>
  <c r="Q34" i="11" s="1"/>
  <c r="Q35" i="11" s="1"/>
  <c r="Q36" i="11" s="1"/>
  <c r="Q37" i="11" s="1"/>
  <c r="Q38" i="11" s="1"/>
  <c r="Q39" i="11" s="1"/>
  <c r="P11" i="11"/>
  <c r="P12" i="11" s="1"/>
  <c r="P13" i="11" s="1"/>
  <c r="P14" i="11" s="1"/>
  <c r="P15" i="11" s="1"/>
  <c r="P16" i="11" s="1"/>
  <c r="P17" i="11" s="1"/>
  <c r="P18" i="11" s="1"/>
  <c r="P19" i="11" s="1"/>
  <c r="P20" i="11" s="1"/>
  <c r="P21" i="11" s="1"/>
  <c r="P22" i="11" s="1"/>
  <c r="P23" i="11" s="1"/>
  <c r="P24" i="11" s="1"/>
  <c r="P25" i="11" s="1"/>
  <c r="P26" i="11" s="1"/>
  <c r="P27" i="11" s="1"/>
  <c r="P28" i="11" s="1"/>
  <c r="P29" i="11" s="1"/>
  <c r="P30" i="11" s="1"/>
  <c r="P31" i="11" s="1"/>
  <c r="P32" i="11" s="1"/>
  <c r="P33" i="11" s="1"/>
  <c r="P34" i="11" s="1"/>
  <c r="P35" i="11" s="1"/>
  <c r="P36" i="11" s="1"/>
  <c r="P37" i="11" s="1"/>
  <c r="P38" i="11" s="1"/>
  <c r="P39" i="11" s="1"/>
  <c r="H11" i="11" a="1"/>
  <c r="H11" i="11" s="1"/>
  <c r="G11" i="11" a="1"/>
  <c r="G11" i="11" s="1"/>
  <c r="N11" i="11" s="1" a="1"/>
  <c r="N11" i="11" s="1"/>
  <c r="F11" i="11" a="1"/>
  <c r="F11" i="11" s="1"/>
  <c r="J11" i="11" s="1" a="1"/>
  <c r="J11" i="11" s="1"/>
  <c r="E11" i="11" a="1"/>
  <c r="E11" i="11" s="1"/>
  <c r="H39" i="10" a="1"/>
  <c r="H39" i="10" s="1"/>
  <c r="O39" i="10" s="1" a="1"/>
  <c r="O39" i="10" s="1"/>
  <c r="G39" i="10" a="1"/>
  <c r="G39" i="10" s="1"/>
  <c r="N39" i="10" s="1" a="1"/>
  <c r="N39" i="10" s="1"/>
  <c r="F39" i="10" a="1"/>
  <c r="F39" i="10" s="1"/>
  <c r="J39" i="10" s="1" a="1"/>
  <c r="J39" i="10" s="1"/>
  <c r="E39" i="10" a="1"/>
  <c r="E39" i="10" s="1"/>
  <c r="I39" i="10" s="1" a="1"/>
  <c r="I39" i="10" s="1"/>
  <c r="H38" i="10" a="1"/>
  <c r="H38" i="10" s="1"/>
  <c r="O38" i="10" s="1" a="1"/>
  <c r="O38" i="10" s="1"/>
  <c r="G38" i="10" a="1"/>
  <c r="G38" i="10" s="1"/>
  <c r="N38" i="10" s="1" a="1"/>
  <c r="N38" i="10" s="1"/>
  <c r="F38" i="10" a="1"/>
  <c r="F38" i="10" s="1"/>
  <c r="L38" i="10" s="1" a="1"/>
  <c r="L38" i="10" s="1"/>
  <c r="E38" i="10" a="1"/>
  <c r="E38" i="10" s="1"/>
  <c r="I38" i="10" s="1" a="1"/>
  <c r="I38" i="10" s="1"/>
  <c r="H37" i="10" a="1"/>
  <c r="H37" i="10" s="1"/>
  <c r="K37" i="10" s="1" a="1"/>
  <c r="K37" i="10" s="1"/>
  <c r="G37" i="10" a="1"/>
  <c r="G37" i="10" s="1"/>
  <c r="N37" i="10" s="1" a="1"/>
  <c r="N37" i="10" s="1"/>
  <c r="F37" i="10" a="1"/>
  <c r="F37" i="10" s="1"/>
  <c r="J37" i="10" s="1" a="1"/>
  <c r="J37" i="10" s="1"/>
  <c r="E37" i="10" a="1"/>
  <c r="E37" i="10" s="1"/>
  <c r="I37" i="10" s="1" a="1"/>
  <c r="I37" i="10" s="1"/>
  <c r="H36" i="10" a="1"/>
  <c r="H36" i="10" s="1"/>
  <c r="G36" i="10" a="1"/>
  <c r="G36" i="10" s="1"/>
  <c r="N36" i="10" s="1" a="1"/>
  <c r="N36" i="10" s="1"/>
  <c r="F36" i="10" a="1"/>
  <c r="F36" i="10" s="1"/>
  <c r="J36" i="10" s="1" a="1"/>
  <c r="J36" i="10" s="1"/>
  <c r="E36" i="10" a="1"/>
  <c r="E36" i="10" s="1"/>
  <c r="I36" i="10" s="1" a="1"/>
  <c r="I36" i="10" s="1"/>
  <c r="H35" i="10" a="1"/>
  <c r="H35" i="10" s="1"/>
  <c r="G35" i="10" a="1"/>
  <c r="G35" i="10" s="1"/>
  <c r="N35" i="10" s="1" a="1"/>
  <c r="N35" i="10" s="1"/>
  <c r="F35" i="10" a="1"/>
  <c r="F35" i="10" s="1"/>
  <c r="L35" i="10" s="1" a="1"/>
  <c r="L35" i="10" s="1"/>
  <c r="E35" i="10" a="1"/>
  <c r="E35" i="10" s="1"/>
  <c r="H34" i="10" a="1"/>
  <c r="H34" i="10" s="1"/>
  <c r="O34" i="10" s="1" a="1"/>
  <c r="O34" i="10" s="1"/>
  <c r="G34" i="10" a="1"/>
  <c r="G34" i="10" s="1"/>
  <c r="N34" i="10" s="1" a="1"/>
  <c r="N34" i="10" s="1"/>
  <c r="F34" i="10" a="1"/>
  <c r="F34" i="10" s="1"/>
  <c r="J34" i="10" s="1" a="1"/>
  <c r="J34" i="10" s="1"/>
  <c r="E34" i="10" a="1"/>
  <c r="E34" i="10" s="1"/>
  <c r="I34" i="10" s="1" a="1"/>
  <c r="I34" i="10" s="1"/>
  <c r="H33" i="10" a="1"/>
  <c r="H33" i="10" s="1"/>
  <c r="K33" i="10" s="1" a="1"/>
  <c r="K33" i="10" s="1"/>
  <c r="G33" i="10" a="1"/>
  <c r="G33" i="10" s="1"/>
  <c r="N33" i="10" s="1" a="1"/>
  <c r="N33" i="10" s="1"/>
  <c r="F33" i="10" a="1"/>
  <c r="F33" i="10" s="1"/>
  <c r="J33" i="10" s="1" a="1"/>
  <c r="J33" i="10" s="1"/>
  <c r="E33" i="10" a="1"/>
  <c r="E33" i="10" s="1"/>
  <c r="I33" i="10" s="1" a="1"/>
  <c r="I33" i="10" s="1"/>
  <c r="H32" i="10" a="1"/>
  <c r="H32" i="10" s="1"/>
  <c r="G32" i="10" a="1"/>
  <c r="G32" i="10" s="1"/>
  <c r="N32" i="10" s="1" a="1"/>
  <c r="N32" i="10" s="1"/>
  <c r="F32" i="10"/>
  <c r="J32" i="10" s="1" a="1"/>
  <c r="J32" i="10" s="1"/>
  <c r="F32" i="10" a="1"/>
  <c r="E32" i="10" a="1"/>
  <c r="E32" i="10" s="1"/>
  <c r="I32" i="10" s="1" a="1"/>
  <c r="I32" i="10" s="1"/>
  <c r="H31" i="10" a="1"/>
  <c r="H31" i="10" s="1"/>
  <c r="O31" i="10" s="1" a="1"/>
  <c r="O31" i="10" s="1"/>
  <c r="G31" i="10" a="1"/>
  <c r="G31" i="10" s="1"/>
  <c r="N31" i="10" s="1" a="1"/>
  <c r="N31" i="10" s="1"/>
  <c r="F31" i="10" a="1"/>
  <c r="F31" i="10" s="1"/>
  <c r="L31" i="10" s="1" a="1"/>
  <c r="L31" i="10" s="1"/>
  <c r="E31" i="10" a="1"/>
  <c r="E31" i="10" s="1"/>
  <c r="I31" i="10" s="1" a="1"/>
  <c r="I31" i="10" s="1"/>
  <c r="H30" i="10" a="1"/>
  <c r="H30" i="10" s="1"/>
  <c r="O30" i="10" s="1" a="1"/>
  <c r="O30" i="10" s="1"/>
  <c r="G30" i="10" a="1"/>
  <c r="G30" i="10" s="1"/>
  <c r="N30" i="10" s="1" a="1"/>
  <c r="N30" i="10" s="1"/>
  <c r="F30" i="10" a="1"/>
  <c r="F30" i="10" s="1"/>
  <c r="J30" i="10" s="1" a="1"/>
  <c r="J30" i="10" s="1"/>
  <c r="E30" i="10" a="1"/>
  <c r="E30" i="10" s="1"/>
  <c r="I30" i="10" s="1" a="1"/>
  <c r="I30" i="10" s="1"/>
  <c r="H29" i="10" a="1"/>
  <c r="H29" i="10" s="1"/>
  <c r="K29" i="10" s="1" a="1"/>
  <c r="K29" i="10" s="1"/>
  <c r="G29" i="10" a="1"/>
  <c r="G29" i="10" s="1"/>
  <c r="N29" i="10" s="1" a="1"/>
  <c r="N29" i="10" s="1"/>
  <c r="F29" i="10" a="1"/>
  <c r="F29" i="10" s="1"/>
  <c r="J29" i="10" s="1" a="1"/>
  <c r="J29" i="10" s="1"/>
  <c r="E29" i="10" a="1"/>
  <c r="E29" i="10" s="1"/>
  <c r="I29" i="10" s="1" a="1"/>
  <c r="I29" i="10" s="1"/>
  <c r="H28" i="10" a="1"/>
  <c r="H28" i="10" s="1"/>
  <c r="G28" i="10" a="1"/>
  <c r="G28" i="10" s="1"/>
  <c r="N28" i="10" s="1" a="1"/>
  <c r="N28" i="10" s="1"/>
  <c r="F28" i="10" a="1"/>
  <c r="F28" i="10" s="1"/>
  <c r="J28" i="10" s="1" a="1"/>
  <c r="J28" i="10" s="1"/>
  <c r="E28" i="10" a="1"/>
  <c r="E28" i="10" s="1"/>
  <c r="I28" i="10" s="1" a="1"/>
  <c r="I28" i="10" s="1"/>
  <c r="H27" i="10" a="1"/>
  <c r="H27" i="10" s="1"/>
  <c r="O27" i="10" s="1" a="1"/>
  <c r="O27" i="10" s="1"/>
  <c r="G27" i="10" a="1"/>
  <c r="G27" i="10" s="1"/>
  <c r="N27" i="10" s="1" a="1"/>
  <c r="N27" i="10" s="1"/>
  <c r="F27" i="10" a="1"/>
  <c r="F27" i="10" s="1"/>
  <c r="L27" i="10" s="1" a="1"/>
  <c r="L27" i="10" s="1"/>
  <c r="E27" i="10" a="1"/>
  <c r="E27" i="10" s="1"/>
  <c r="I27" i="10" s="1" a="1"/>
  <c r="I27" i="10" s="1"/>
  <c r="H26" i="10" a="1"/>
  <c r="H26" i="10" s="1"/>
  <c r="G26" i="10" a="1"/>
  <c r="G26" i="10" s="1"/>
  <c r="N26" i="10" s="1" a="1"/>
  <c r="N26" i="10" s="1"/>
  <c r="F26" i="10" a="1"/>
  <c r="F26" i="10" s="1"/>
  <c r="J26" i="10" s="1" a="1"/>
  <c r="J26" i="10" s="1"/>
  <c r="E26" i="10" a="1"/>
  <c r="E26" i="10" s="1"/>
  <c r="I26" i="10" s="1" a="1"/>
  <c r="I26" i="10" s="1"/>
  <c r="H25" i="10" a="1"/>
  <c r="H25" i="10" s="1"/>
  <c r="K25" i="10" s="1" a="1"/>
  <c r="K25" i="10" s="1"/>
  <c r="G25" i="10" a="1"/>
  <c r="G25" i="10" s="1"/>
  <c r="N25" i="10" s="1" a="1"/>
  <c r="N25" i="10" s="1"/>
  <c r="F25" i="10" a="1"/>
  <c r="F25" i="10" s="1"/>
  <c r="J25" i="10" s="1" a="1"/>
  <c r="J25" i="10" s="1"/>
  <c r="E25" i="10" a="1"/>
  <c r="E25" i="10" s="1"/>
  <c r="I25" i="10" s="1" a="1"/>
  <c r="I25" i="10" s="1"/>
  <c r="H24" i="10" a="1"/>
  <c r="H24" i="10" s="1"/>
  <c r="G24" i="10" a="1"/>
  <c r="G24" i="10" s="1"/>
  <c r="N24" i="10" s="1" a="1"/>
  <c r="N24" i="10" s="1"/>
  <c r="F24" i="10" a="1"/>
  <c r="F24" i="10" s="1"/>
  <c r="J24" i="10" s="1" a="1"/>
  <c r="J24" i="10" s="1"/>
  <c r="E24" i="10" a="1"/>
  <c r="E24" i="10" s="1"/>
  <c r="I24" i="10" s="1" a="1"/>
  <c r="I24" i="10" s="1"/>
  <c r="H23" i="10" a="1"/>
  <c r="H23" i="10" s="1"/>
  <c r="O23" i="10" s="1" a="1"/>
  <c r="O23" i="10" s="1"/>
  <c r="G23" i="10" a="1"/>
  <c r="G23" i="10" s="1"/>
  <c r="N23" i="10" s="1" a="1"/>
  <c r="N23" i="10" s="1"/>
  <c r="F23" i="10" a="1"/>
  <c r="F23" i="10" s="1"/>
  <c r="L23" i="10" s="1" a="1"/>
  <c r="L23" i="10" s="1"/>
  <c r="E23" i="10" a="1"/>
  <c r="E23" i="10" s="1"/>
  <c r="I23" i="10" s="1" a="1"/>
  <c r="I23" i="10" s="1"/>
  <c r="H22" i="10" a="1"/>
  <c r="H22" i="10" s="1"/>
  <c r="G22" i="10" a="1"/>
  <c r="G22" i="10" s="1"/>
  <c r="N22" i="10" s="1" a="1"/>
  <c r="N22" i="10" s="1"/>
  <c r="F22" i="10" a="1"/>
  <c r="F22" i="10" s="1"/>
  <c r="J22" i="10" s="1" a="1"/>
  <c r="J22" i="10" s="1"/>
  <c r="E22" i="10" a="1"/>
  <c r="E22" i="10" s="1"/>
  <c r="I22" i="10" s="1" a="1"/>
  <c r="I22" i="10" s="1"/>
  <c r="H21" i="10" a="1"/>
  <c r="H21" i="10" s="1"/>
  <c r="K21" i="10" s="1" a="1"/>
  <c r="K21" i="10" s="1"/>
  <c r="G21" i="10" a="1"/>
  <c r="G21" i="10" s="1"/>
  <c r="N21" i="10" s="1" a="1"/>
  <c r="N21" i="10" s="1"/>
  <c r="F21" i="10" a="1"/>
  <c r="F21" i="10" s="1"/>
  <c r="J21" i="10" s="1" a="1"/>
  <c r="J21" i="10" s="1"/>
  <c r="E21" i="10" a="1"/>
  <c r="E21" i="10" s="1"/>
  <c r="I21" i="10" s="1" a="1"/>
  <c r="I21" i="10" s="1"/>
  <c r="H20" i="10" a="1"/>
  <c r="H20" i="10" s="1"/>
  <c r="G20" i="10" a="1"/>
  <c r="G20" i="10" s="1"/>
  <c r="N20" i="10" s="1" a="1"/>
  <c r="N20" i="10" s="1"/>
  <c r="F20" i="10" a="1"/>
  <c r="F20" i="10" s="1"/>
  <c r="J20" i="10" s="1" a="1"/>
  <c r="J20" i="10" s="1"/>
  <c r="E20" i="10" a="1"/>
  <c r="E20" i="10" s="1"/>
  <c r="I20" i="10" s="1" a="1"/>
  <c r="I20" i="10" s="1"/>
  <c r="H19" i="10" a="1"/>
  <c r="H19" i="10" s="1"/>
  <c r="O19" i="10" s="1" a="1"/>
  <c r="O19" i="10" s="1"/>
  <c r="G19" i="10" a="1"/>
  <c r="G19" i="10" s="1"/>
  <c r="N19" i="10" s="1" a="1"/>
  <c r="N19" i="10" s="1"/>
  <c r="F19" i="10" a="1"/>
  <c r="F19" i="10" s="1"/>
  <c r="J19" i="10" s="1" a="1"/>
  <c r="J19" i="10" s="1"/>
  <c r="E19" i="10" a="1"/>
  <c r="E19" i="10" s="1"/>
  <c r="I19" i="10" s="1" a="1"/>
  <c r="I19" i="10" s="1"/>
  <c r="H18" i="10" a="1"/>
  <c r="H18" i="10" s="1"/>
  <c r="G18" i="10" a="1"/>
  <c r="G18" i="10" s="1"/>
  <c r="N18" i="10" s="1" a="1"/>
  <c r="N18" i="10" s="1"/>
  <c r="F18" i="10" a="1"/>
  <c r="F18" i="10" s="1"/>
  <c r="J18" i="10" s="1" a="1"/>
  <c r="J18" i="10" s="1"/>
  <c r="E18" i="10" a="1"/>
  <c r="E18" i="10" s="1"/>
  <c r="I18" i="10" s="1" a="1"/>
  <c r="I18" i="10" s="1"/>
  <c r="H17" i="10" a="1"/>
  <c r="H17" i="10" s="1"/>
  <c r="K17" i="10" s="1" a="1"/>
  <c r="K17" i="10" s="1"/>
  <c r="G17" i="10" a="1"/>
  <c r="G17" i="10" s="1"/>
  <c r="N17" i="10" s="1" a="1"/>
  <c r="N17" i="10" s="1"/>
  <c r="F17" i="10" a="1"/>
  <c r="F17" i="10" s="1"/>
  <c r="J17" i="10" s="1" a="1"/>
  <c r="J17" i="10" s="1"/>
  <c r="E17" i="10" a="1"/>
  <c r="E17" i="10" s="1"/>
  <c r="I17" i="10" s="1" a="1"/>
  <c r="I17" i="10" s="1"/>
  <c r="H16" i="10" a="1"/>
  <c r="H16" i="10" s="1"/>
  <c r="G16" i="10" a="1"/>
  <c r="G16" i="10" s="1"/>
  <c r="N16" i="10" s="1" a="1"/>
  <c r="N16" i="10" s="1"/>
  <c r="F16" i="10" a="1"/>
  <c r="F16" i="10" s="1"/>
  <c r="J16" i="10" s="1" a="1"/>
  <c r="J16" i="10" s="1"/>
  <c r="E16" i="10" a="1"/>
  <c r="E16" i="10" s="1"/>
  <c r="I16" i="10" s="1" a="1"/>
  <c r="I16" i="10" s="1"/>
  <c r="H15" i="10" a="1"/>
  <c r="H15" i="10" s="1"/>
  <c r="G15" i="10" a="1"/>
  <c r="G15" i="10" s="1"/>
  <c r="N15" i="10" s="1" a="1"/>
  <c r="N15" i="10" s="1"/>
  <c r="F15" i="10" a="1"/>
  <c r="F15" i="10" s="1"/>
  <c r="L15" i="10" s="1" a="1"/>
  <c r="L15" i="10" s="1"/>
  <c r="E15" i="10" a="1"/>
  <c r="E15" i="10" s="1"/>
  <c r="I15" i="10" s="1" a="1"/>
  <c r="I15" i="10" s="1"/>
  <c r="H14" i="10" a="1"/>
  <c r="H14" i="10" s="1"/>
  <c r="G14" i="10" a="1"/>
  <c r="G14" i="10" s="1"/>
  <c r="N14" i="10" s="1" a="1"/>
  <c r="N14" i="10" s="1"/>
  <c r="F14" i="10" a="1"/>
  <c r="F14" i="10" s="1"/>
  <c r="J14" i="10" s="1" a="1"/>
  <c r="J14" i="10" s="1"/>
  <c r="E14" i="10" a="1"/>
  <c r="E14" i="10" s="1"/>
  <c r="I14" i="10" s="1" a="1"/>
  <c r="I14" i="10" s="1"/>
  <c r="H13" i="10" a="1"/>
  <c r="H13" i="10" s="1"/>
  <c r="K13" i="10" s="1" a="1"/>
  <c r="K13" i="10" s="1"/>
  <c r="G13" i="10" a="1"/>
  <c r="G13" i="10" s="1"/>
  <c r="N13" i="10" s="1" a="1"/>
  <c r="N13" i="10" s="1"/>
  <c r="F13" i="10" a="1"/>
  <c r="F13" i="10" s="1"/>
  <c r="J13" i="10" s="1" a="1"/>
  <c r="J13" i="10" s="1"/>
  <c r="E13" i="10" a="1"/>
  <c r="E13" i="10" s="1"/>
  <c r="I13" i="10" s="1" a="1"/>
  <c r="I13" i="10" s="1"/>
  <c r="H12" i="10" a="1"/>
  <c r="H12" i="10" s="1"/>
  <c r="G12" i="10" a="1"/>
  <c r="G12" i="10" s="1"/>
  <c r="M12" i="10" s="1" a="1"/>
  <c r="M12" i="10" s="1"/>
  <c r="F12" i="10" a="1"/>
  <c r="F12" i="10" s="1"/>
  <c r="J12" i="10" s="1" a="1"/>
  <c r="J12" i="10" s="1"/>
  <c r="E12" i="10" a="1"/>
  <c r="E12" i="10" s="1"/>
  <c r="I12" i="10" s="1" a="1"/>
  <c r="I12" i="10" s="1"/>
  <c r="S11" i="10"/>
  <c r="S12" i="10" s="1"/>
  <c r="S13" i="10" s="1"/>
  <c r="S14" i="10" s="1"/>
  <c r="S15" i="10" s="1"/>
  <c r="S16" i="10" s="1"/>
  <c r="S17" i="10" s="1"/>
  <c r="S18" i="10" s="1"/>
  <c r="S19" i="10" s="1"/>
  <c r="S20" i="10" s="1"/>
  <c r="S21" i="10" s="1"/>
  <c r="S22" i="10" s="1"/>
  <c r="S23" i="10" s="1"/>
  <c r="S24" i="10" s="1"/>
  <c r="S25" i="10" s="1"/>
  <c r="S26" i="10" s="1"/>
  <c r="S27" i="10" s="1"/>
  <c r="S28" i="10" s="1"/>
  <c r="S29" i="10" s="1"/>
  <c r="S30" i="10" s="1"/>
  <c r="S31" i="10" s="1"/>
  <c r="S32" i="10" s="1"/>
  <c r="S33" i="10" s="1"/>
  <c r="S34" i="10" s="1"/>
  <c r="S35" i="10" s="1"/>
  <c r="S36" i="10" s="1"/>
  <c r="S37" i="10" s="1"/>
  <c r="S38" i="10" s="1"/>
  <c r="S39" i="10" s="1"/>
  <c r="R11" i="10"/>
  <c r="R12" i="10" s="1"/>
  <c r="R13" i="10" s="1"/>
  <c r="R14" i="10" s="1"/>
  <c r="R15" i="10" s="1"/>
  <c r="R16" i="10" s="1"/>
  <c r="R17" i="10" s="1"/>
  <c r="R18" i="10" s="1"/>
  <c r="R19" i="10" s="1"/>
  <c r="R20" i="10" s="1"/>
  <c r="R21" i="10" s="1"/>
  <c r="R22" i="10" s="1"/>
  <c r="R23" i="10" s="1"/>
  <c r="R24" i="10" s="1"/>
  <c r="R25" i="10" s="1"/>
  <c r="R26" i="10" s="1"/>
  <c r="R27" i="10" s="1"/>
  <c r="R28" i="10" s="1"/>
  <c r="R29" i="10" s="1"/>
  <c r="R30" i="10" s="1"/>
  <c r="R31" i="10" s="1"/>
  <c r="R32" i="10" s="1"/>
  <c r="R33" i="10" s="1"/>
  <c r="R34" i="10" s="1"/>
  <c r="R35" i="10" s="1"/>
  <c r="R36" i="10" s="1"/>
  <c r="R37" i="10" s="1"/>
  <c r="R38" i="10" s="1"/>
  <c r="R39" i="10" s="1"/>
  <c r="Q11" i="10"/>
  <c r="Q12" i="10" s="1"/>
  <c r="Q13" i="10" s="1"/>
  <c r="Q14" i="10" s="1"/>
  <c r="Q15" i="10" s="1"/>
  <c r="Q16" i="10" s="1"/>
  <c r="Q17" i="10" s="1"/>
  <c r="Q18" i="10" s="1"/>
  <c r="Q19" i="10" s="1"/>
  <c r="Q20" i="10" s="1"/>
  <c r="Q21" i="10" s="1"/>
  <c r="Q22" i="10" s="1"/>
  <c r="Q23" i="10" s="1"/>
  <c r="Q24" i="10" s="1"/>
  <c r="Q25" i="10" s="1"/>
  <c r="Q26" i="10" s="1"/>
  <c r="Q27" i="10" s="1"/>
  <c r="Q28" i="10" s="1"/>
  <c r="Q29" i="10" s="1"/>
  <c r="Q30" i="10" s="1"/>
  <c r="Q31" i="10" s="1"/>
  <c r="Q32" i="10" s="1"/>
  <c r="Q33" i="10" s="1"/>
  <c r="Q34" i="10" s="1"/>
  <c r="Q35" i="10" s="1"/>
  <c r="Q36" i="10" s="1"/>
  <c r="Q37" i="10" s="1"/>
  <c r="Q38" i="10" s="1"/>
  <c r="Q39" i="10" s="1"/>
  <c r="P11" i="10"/>
  <c r="P12" i="10" s="1"/>
  <c r="P13" i="10" s="1"/>
  <c r="P14" i="10" s="1"/>
  <c r="P15" i="10" s="1"/>
  <c r="P16" i="10" s="1"/>
  <c r="P17" i="10" s="1"/>
  <c r="P18" i="10" s="1"/>
  <c r="P19" i="10" s="1"/>
  <c r="P20" i="10" s="1"/>
  <c r="P21" i="10" s="1"/>
  <c r="P22" i="10" s="1"/>
  <c r="P23" i="10" s="1"/>
  <c r="P24" i="10" s="1"/>
  <c r="P25" i="10" s="1"/>
  <c r="P26" i="10" s="1"/>
  <c r="P27" i="10" s="1"/>
  <c r="P28" i="10" s="1"/>
  <c r="P29" i="10" s="1"/>
  <c r="P30" i="10" s="1"/>
  <c r="P31" i="10" s="1"/>
  <c r="P32" i="10" s="1"/>
  <c r="P33" i="10" s="1"/>
  <c r="P34" i="10" s="1"/>
  <c r="P35" i="10" s="1"/>
  <c r="P36" i="10" s="1"/>
  <c r="P37" i="10" s="1"/>
  <c r="P38" i="10" s="1"/>
  <c r="P39" i="10" s="1"/>
  <c r="H11" i="10" a="1"/>
  <c r="H11" i="10" s="1"/>
  <c r="G11" i="10" a="1"/>
  <c r="G11" i="10" s="1"/>
  <c r="N11" i="10" s="1" a="1"/>
  <c r="N11" i="10" s="1"/>
  <c r="F11" i="10" a="1"/>
  <c r="F11" i="10" s="1"/>
  <c r="J11" i="10" s="1" a="1"/>
  <c r="J11" i="10" s="1"/>
  <c r="E11" i="10" a="1"/>
  <c r="E11" i="10" s="1"/>
  <c r="I11" i="10" s="1" a="1"/>
  <c r="I11" i="10" s="1"/>
  <c r="S11" i="9"/>
  <c r="H39" i="9" a="1"/>
  <c r="H39" i="9" s="1"/>
  <c r="K39" i="9" s="1" a="1"/>
  <c r="K39" i="9" s="1"/>
  <c r="G58" i="26" s="1"/>
  <c r="G39" i="9" a="1"/>
  <c r="G39" i="9" s="1"/>
  <c r="N39" i="9" s="1" a="1"/>
  <c r="N39" i="9" s="1"/>
  <c r="J58" i="26" s="1"/>
  <c r="F39" i="9" a="1"/>
  <c r="F39" i="9" s="1"/>
  <c r="J39" i="9" s="1" a="1"/>
  <c r="J39" i="9" s="1"/>
  <c r="E39" i="9" a="1"/>
  <c r="E39" i="9" s="1"/>
  <c r="I39" i="9" s="1" a="1"/>
  <c r="I39" i="9" s="1"/>
  <c r="O50" i="18" s="1"/>
  <c r="H38" i="9" a="1"/>
  <c r="H38" i="9" s="1"/>
  <c r="O38" i="9" s="1" a="1"/>
  <c r="O38" i="9" s="1"/>
  <c r="K57" i="26" s="1"/>
  <c r="G38" i="9" a="1"/>
  <c r="G38" i="9" s="1"/>
  <c r="M38" i="9" s="1" a="1"/>
  <c r="M38" i="9" s="1"/>
  <c r="I57" i="26" s="1"/>
  <c r="F38" i="9" a="1"/>
  <c r="F38" i="9" s="1"/>
  <c r="L38" i="9" s="1" a="1"/>
  <c r="L38" i="9" s="1"/>
  <c r="E38" i="9" a="1"/>
  <c r="E38" i="9" s="1"/>
  <c r="I38" i="9" s="1" a="1"/>
  <c r="I38" i="9" s="1"/>
  <c r="O49" i="18" s="1"/>
  <c r="H37" i="9" a="1"/>
  <c r="H37" i="9" s="1"/>
  <c r="K37" i="9" s="1" a="1"/>
  <c r="K37" i="9" s="1"/>
  <c r="F56" i="26" s="1"/>
  <c r="G37" i="9" a="1"/>
  <c r="G37" i="9" s="1"/>
  <c r="M37" i="9" s="1" a="1"/>
  <c r="M37" i="9" s="1"/>
  <c r="I56" i="26" s="1"/>
  <c r="F37" i="9" a="1"/>
  <c r="F37" i="9" s="1"/>
  <c r="E37" i="9" a="1"/>
  <c r="E37" i="9" s="1"/>
  <c r="I37" i="9" s="1" a="1"/>
  <c r="I37" i="9" s="1"/>
  <c r="O48" i="18" s="1"/>
  <c r="H36" i="9" a="1"/>
  <c r="H36" i="9" s="1"/>
  <c r="G36" i="9" a="1"/>
  <c r="G36" i="9" s="1"/>
  <c r="M36" i="9" s="1" a="1"/>
  <c r="M36" i="9" s="1"/>
  <c r="I55" i="26" s="1"/>
  <c r="F36" i="9" a="1"/>
  <c r="F36" i="9" s="1"/>
  <c r="J36" i="9" s="1" a="1"/>
  <c r="J36" i="9" s="1"/>
  <c r="E36" i="9" a="1"/>
  <c r="E36" i="9" s="1"/>
  <c r="I36" i="9" s="1" a="1"/>
  <c r="I36" i="9" s="1"/>
  <c r="O47" i="18" s="1"/>
  <c r="H35" i="9" a="1"/>
  <c r="H35" i="9" s="1"/>
  <c r="O35" i="9" s="1" a="1"/>
  <c r="O35" i="9" s="1"/>
  <c r="K54" i="26" s="1"/>
  <c r="G35" i="9" a="1"/>
  <c r="G35" i="9" s="1"/>
  <c r="N35" i="9" s="1" a="1"/>
  <c r="N35" i="9" s="1"/>
  <c r="J54" i="26" s="1"/>
  <c r="F35" i="9" a="1"/>
  <c r="F35" i="9" s="1"/>
  <c r="L35" i="9" s="1" a="1"/>
  <c r="L35" i="9" s="1"/>
  <c r="E35" i="9" a="1"/>
  <c r="E35" i="9" s="1"/>
  <c r="I35" i="9" s="1" a="1"/>
  <c r="I35" i="9" s="1"/>
  <c r="O46" i="18" s="1"/>
  <c r="H34" i="9" a="1"/>
  <c r="H34" i="9" s="1"/>
  <c r="K34" i="9" s="1" a="1"/>
  <c r="K34" i="9" s="1"/>
  <c r="F53" i="26" s="1"/>
  <c r="G34" i="9" a="1"/>
  <c r="G34" i="9" s="1"/>
  <c r="M34" i="9" s="1" a="1"/>
  <c r="M34" i="9" s="1"/>
  <c r="I53" i="26" s="1"/>
  <c r="F34" i="9" a="1"/>
  <c r="F34" i="9" s="1"/>
  <c r="J34" i="9" s="1" a="1"/>
  <c r="J34" i="9" s="1"/>
  <c r="E34" i="9" a="1"/>
  <c r="E34" i="9" s="1"/>
  <c r="I34" i="9" s="1" a="1"/>
  <c r="I34" i="9" s="1"/>
  <c r="O45" i="18" s="1"/>
  <c r="H33" i="9" a="1"/>
  <c r="H33" i="9" s="1"/>
  <c r="K33" i="9" s="1" a="1"/>
  <c r="K33" i="9" s="1"/>
  <c r="F52" i="26" s="1"/>
  <c r="G33" i="9" a="1"/>
  <c r="G33" i="9" s="1"/>
  <c r="M33" i="9" s="1" a="1"/>
  <c r="M33" i="9" s="1"/>
  <c r="I52" i="26" s="1"/>
  <c r="F33" i="9" a="1"/>
  <c r="F33" i="9" s="1"/>
  <c r="J33" i="9" s="1" a="1"/>
  <c r="J33" i="9" s="1"/>
  <c r="E33" i="9" a="1"/>
  <c r="E33" i="9" s="1"/>
  <c r="I33" i="9" s="1" a="1"/>
  <c r="I33" i="9" s="1"/>
  <c r="O44" i="18" s="1"/>
  <c r="H32" i="9" a="1"/>
  <c r="H32" i="9" s="1"/>
  <c r="O32" i="9" s="1" a="1"/>
  <c r="O32" i="9" s="1"/>
  <c r="K51" i="26" s="1"/>
  <c r="G32" i="9" a="1"/>
  <c r="G32" i="9" s="1"/>
  <c r="M32" i="9" s="1" a="1"/>
  <c r="M32" i="9" s="1"/>
  <c r="I51" i="26" s="1"/>
  <c r="F32" i="9" a="1"/>
  <c r="F32" i="9" s="1"/>
  <c r="L32" i="9" s="1" a="1"/>
  <c r="L32" i="9" s="1"/>
  <c r="E32" i="9" a="1"/>
  <c r="E32" i="9" s="1"/>
  <c r="I32" i="9" s="1" a="1"/>
  <c r="I32" i="9" s="1"/>
  <c r="O43" i="18" s="1"/>
  <c r="H31" i="9" a="1"/>
  <c r="H31" i="9" s="1"/>
  <c r="G31" i="9" a="1"/>
  <c r="G31" i="9" s="1"/>
  <c r="N31" i="9" s="1" a="1"/>
  <c r="N31" i="9" s="1"/>
  <c r="J50" i="26" s="1"/>
  <c r="F31" i="9" a="1"/>
  <c r="F31" i="9" s="1"/>
  <c r="J31" i="9" s="1" a="1"/>
  <c r="J31" i="9" s="1"/>
  <c r="E31" i="9" a="1"/>
  <c r="E31" i="9" s="1"/>
  <c r="I31" i="9" s="1" a="1"/>
  <c r="I31" i="9" s="1"/>
  <c r="O42" i="18" s="1"/>
  <c r="H30" i="9" a="1"/>
  <c r="H30" i="9" s="1"/>
  <c r="K30" i="9" s="1" a="1"/>
  <c r="K30" i="9" s="1"/>
  <c r="F49" i="26" s="1"/>
  <c r="G30" i="9" a="1"/>
  <c r="G30" i="9" s="1"/>
  <c r="M30" i="9" s="1" a="1"/>
  <c r="M30" i="9" s="1"/>
  <c r="I49" i="26" s="1"/>
  <c r="F30" i="9" a="1"/>
  <c r="F30" i="9" s="1"/>
  <c r="L30" i="9" s="1" a="1"/>
  <c r="L30" i="9" s="1"/>
  <c r="E30" i="9" a="1"/>
  <c r="E30" i="9" s="1"/>
  <c r="I30" i="9" s="1" a="1"/>
  <c r="I30" i="9" s="1"/>
  <c r="O41" i="18" s="1"/>
  <c r="H29" i="9" a="1"/>
  <c r="H29" i="9" s="1"/>
  <c r="O29" i="9" s="1" a="1"/>
  <c r="O29" i="9" s="1"/>
  <c r="K48" i="26" s="1"/>
  <c r="G29" i="9" a="1"/>
  <c r="G29" i="9" s="1"/>
  <c r="M29" i="9" s="1" a="1"/>
  <c r="M29" i="9" s="1"/>
  <c r="I48" i="26" s="1"/>
  <c r="F29" i="9" a="1"/>
  <c r="F29" i="9" s="1"/>
  <c r="J29" i="9" s="1" a="1"/>
  <c r="J29" i="9" s="1"/>
  <c r="E29" i="9" a="1"/>
  <c r="E29" i="9" s="1"/>
  <c r="I29" i="9" s="1" a="1"/>
  <c r="I29" i="9" s="1"/>
  <c r="O40" i="18" s="1"/>
  <c r="H28" i="9" a="1"/>
  <c r="H28" i="9" s="1"/>
  <c r="G28" i="9" a="1"/>
  <c r="G28" i="9" s="1"/>
  <c r="M28" i="9" s="1" a="1"/>
  <c r="M28" i="9" s="1"/>
  <c r="I47" i="26" s="1"/>
  <c r="F28" i="9" a="1"/>
  <c r="F28" i="9" s="1"/>
  <c r="J28" i="9" s="1" a="1"/>
  <c r="J28" i="9" s="1"/>
  <c r="E28" i="9" a="1"/>
  <c r="E28" i="9" s="1"/>
  <c r="I28" i="9" s="1" a="1"/>
  <c r="I28" i="9" s="1"/>
  <c r="O39" i="18" s="1"/>
  <c r="H27" i="9" a="1"/>
  <c r="H27" i="9" s="1"/>
  <c r="K27" i="9" s="1" a="1"/>
  <c r="K27" i="9" s="1"/>
  <c r="G46" i="26" s="1"/>
  <c r="G27" i="9" a="1"/>
  <c r="G27" i="9" s="1"/>
  <c r="N27" i="9" s="1" a="1"/>
  <c r="N27" i="9" s="1"/>
  <c r="J46" i="26" s="1"/>
  <c r="F27" i="9" a="1"/>
  <c r="F27" i="9" s="1"/>
  <c r="L27" i="9" s="1" a="1"/>
  <c r="L27" i="9" s="1"/>
  <c r="E27" i="9" a="1"/>
  <c r="E27" i="9" s="1"/>
  <c r="I27" i="9" s="1" a="1"/>
  <c r="I27" i="9" s="1"/>
  <c r="O38" i="18" s="1"/>
  <c r="H26" i="9" a="1"/>
  <c r="H26" i="9" s="1"/>
  <c r="K26" i="9" s="1" a="1"/>
  <c r="K26" i="9" s="1"/>
  <c r="F45" i="26" s="1"/>
  <c r="G26" i="9" a="1"/>
  <c r="G26" i="9" s="1"/>
  <c r="M26" i="9" s="1" a="1"/>
  <c r="M26" i="9" s="1"/>
  <c r="I45" i="26" s="1"/>
  <c r="F26" i="9" a="1"/>
  <c r="F26" i="9" s="1"/>
  <c r="J26" i="9" s="1" a="1"/>
  <c r="J26" i="9" s="1"/>
  <c r="E26" i="9" a="1"/>
  <c r="E26" i="9" s="1"/>
  <c r="I26" i="9" s="1" a="1"/>
  <c r="I26" i="9" s="1"/>
  <c r="O37" i="18" s="1"/>
  <c r="H25" i="9" a="1"/>
  <c r="H25" i="9" s="1"/>
  <c r="G25" i="9" a="1"/>
  <c r="G25" i="9" s="1"/>
  <c r="M25" i="9" s="1" a="1"/>
  <c r="M25" i="9" s="1"/>
  <c r="I44" i="26" s="1"/>
  <c r="F25" i="9" a="1"/>
  <c r="F25" i="9" s="1"/>
  <c r="J25" i="9" s="1" a="1"/>
  <c r="J25" i="9" s="1"/>
  <c r="E25" i="9" a="1"/>
  <c r="E25" i="9" s="1"/>
  <c r="I25" i="9" s="1" a="1"/>
  <c r="I25" i="9" s="1"/>
  <c r="O36" i="18" s="1"/>
  <c r="H24" i="9" a="1"/>
  <c r="H24" i="9" s="1"/>
  <c r="K24" i="9" s="1" a="1"/>
  <c r="K24" i="9" s="1"/>
  <c r="F43" i="26" s="1"/>
  <c r="G24" i="9" a="1"/>
  <c r="G24" i="9" s="1"/>
  <c r="M24" i="9" s="1" a="1"/>
  <c r="M24" i="9" s="1"/>
  <c r="I43" i="26" s="1"/>
  <c r="F24" i="9" a="1"/>
  <c r="F24" i="9" s="1"/>
  <c r="L24" i="9" s="1" a="1"/>
  <c r="L24" i="9" s="1"/>
  <c r="E24" i="9" a="1"/>
  <c r="E24" i="9" s="1"/>
  <c r="I24" i="9" s="1" a="1"/>
  <c r="I24" i="9" s="1"/>
  <c r="O35" i="18" s="1"/>
  <c r="H23" i="9" a="1"/>
  <c r="H23" i="9" s="1"/>
  <c r="G23" i="9" a="1"/>
  <c r="G23" i="9" s="1"/>
  <c r="N23" i="9" s="1" a="1"/>
  <c r="N23" i="9" s="1"/>
  <c r="J42" i="26" s="1"/>
  <c r="F23" i="9" a="1"/>
  <c r="F23" i="9" s="1"/>
  <c r="J23" i="9" s="1" a="1"/>
  <c r="J23" i="9" s="1"/>
  <c r="E23" i="9" a="1"/>
  <c r="E23" i="9" s="1"/>
  <c r="I23" i="9" s="1" a="1"/>
  <c r="I23" i="9" s="1"/>
  <c r="O34" i="18" s="1"/>
  <c r="H22" i="9" a="1"/>
  <c r="H22" i="9" s="1"/>
  <c r="O22" i="9" s="1" a="1"/>
  <c r="O22" i="9" s="1"/>
  <c r="K41" i="26" s="1"/>
  <c r="G22" i="9" a="1"/>
  <c r="G22" i="9" s="1"/>
  <c r="M22" i="9" s="1" a="1"/>
  <c r="M22" i="9" s="1"/>
  <c r="I41" i="26" s="1"/>
  <c r="F22" i="9" a="1"/>
  <c r="F22" i="9" s="1"/>
  <c r="L22" i="9" s="1" a="1"/>
  <c r="L22" i="9" s="1"/>
  <c r="E22" i="9" a="1"/>
  <c r="E22" i="9" s="1"/>
  <c r="I22" i="9" s="1" a="1"/>
  <c r="I22" i="9" s="1"/>
  <c r="O33" i="18" s="1"/>
  <c r="H21" i="9" a="1"/>
  <c r="H21" i="9" s="1"/>
  <c r="K21" i="9" s="1" a="1"/>
  <c r="K21" i="9" s="1"/>
  <c r="G40" i="26" s="1"/>
  <c r="G21" i="9" a="1"/>
  <c r="G21" i="9" s="1"/>
  <c r="M21" i="9" s="1" a="1"/>
  <c r="M21" i="9" s="1"/>
  <c r="I40" i="26" s="1"/>
  <c r="F21" i="9" a="1"/>
  <c r="F21" i="9" s="1"/>
  <c r="E21" i="9" a="1"/>
  <c r="E21" i="9" s="1"/>
  <c r="I21" i="9" s="1" a="1"/>
  <c r="I21" i="9" s="1"/>
  <c r="O32" i="18" s="1"/>
  <c r="H20" i="9" a="1"/>
  <c r="H20" i="9" s="1"/>
  <c r="G20" i="9" a="1"/>
  <c r="G20" i="9" s="1"/>
  <c r="M20" i="9" s="1" a="1"/>
  <c r="M20" i="9" s="1"/>
  <c r="I39" i="26" s="1"/>
  <c r="F20" i="9" a="1"/>
  <c r="F20" i="9" s="1"/>
  <c r="J20" i="9" s="1" a="1"/>
  <c r="J20" i="9" s="1"/>
  <c r="E20" i="9" a="1"/>
  <c r="E20" i="9" s="1"/>
  <c r="I20" i="9" s="1" a="1"/>
  <c r="I20" i="9" s="1"/>
  <c r="O31" i="18" s="1"/>
  <c r="H19" i="9" a="1"/>
  <c r="H19" i="9" s="1"/>
  <c r="K19" i="9" s="1" a="1"/>
  <c r="K19" i="9" s="1"/>
  <c r="G38" i="26" s="1"/>
  <c r="G19" i="9" a="1"/>
  <c r="G19" i="9" s="1"/>
  <c r="N19" i="9" s="1" a="1"/>
  <c r="N19" i="9" s="1"/>
  <c r="J38" i="26" s="1"/>
  <c r="F19" i="9" a="1"/>
  <c r="F19" i="9" s="1"/>
  <c r="L19" i="9" s="1" a="1"/>
  <c r="L19" i="9" s="1"/>
  <c r="E19" i="9" a="1"/>
  <c r="E19" i="9" s="1"/>
  <c r="I19" i="9" s="1" a="1"/>
  <c r="I19" i="9" s="1"/>
  <c r="O30" i="18" s="1"/>
  <c r="H18" i="9" a="1"/>
  <c r="H18" i="9" s="1"/>
  <c r="G18" i="9" a="1"/>
  <c r="G18" i="9" s="1"/>
  <c r="M18" i="9" s="1" a="1"/>
  <c r="M18" i="9" s="1"/>
  <c r="I37" i="26" s="1"/>
  <c r="F18" i="9" a="1"/>
  <c r="F18" i="9" s="1"/>
  <c r="J18" i="9" s="1" a="1"/>
  <c r="J18" i="9" s="1"/>
  <c r="E18" i="9" a="1"/>
  <c r="E18" i="9" s="1"/>
  <c r="I18" i="9" s="1" a="1"/>
  <c r="I18" i="9" s="1"/>
  <c r="O29" i="18" s="1"/>
  <c r="H17" i="9" a="1"/>
  <c r="H17" i="9" s="1"/>
  <c r="G17" i="9" a="1"/>
  <c r="G17" i="9" s="1"/>
  <c r="M17" i="9" s="1" a="1"/>
  <c r="M17" i="9" s="1"/>
  <c r="I36" i="26" s="1"/>
  <c r="F17" i="9" a="1"/>
  <c r="F17" i="9" s="1"/>
  <c r="J17" i="9" s="1" a="1"/>
  <c r="J17" i="9" s="1"/>
  <c r="E17" i="9" a="1"/>
  <c r="E17" i="9" s="1"/>
  <c r="I17" i="9" s="1" a="1"/>
  <c r="I17" i="9" s="1"/>
  <c r="O28" i="18" s="1"/>
  <c r="H16" i="9" a="1"/>
  <c r="H16" i="9" s="1"/>
  <c r="O16" i="9" s="1" a="1"/>
  <c r="O16" i="9" s="1"/>
  <c r="K35" i="26" s="1"/>
  <c r="G16" i="9" a="1"/>
  <c r="G16" i="9" s="1"/>
  <c r="M16" i="9" s="1" a="1"/>
  <c r="M16" i="9" s="1"/>
  <c r="I35" i="26" s="1"/>
  <c r="F16" i="9" a="1"/>
  <c r="F16" i="9" s="1"/>
  <c r="J16" i="9" s="1" a="1"/>
  <c r="J16" i="9" s="1"/>
  <c r="E16" i="9" a="1"/>
  <c r="E16" i="9" s="1"/>
  <c r="I16" i="9" s="1" a="1"/>
  <c r="I16" i="9" s="1"/>
  <c r="O27" i="18" s="1"/>
  <c r="H15" i="9" a="1"/>
  <c r="H15" i="9" s="1"/>
  <c r="G15" i="9" a="1"/>
  <c r="G15" i="9" s="1"/>
  <c r="N15" i="9" s="1" a="1"/>
  <c r="N15" i="9" s="1"/>
  <c r="J34" i="26" s="1"/>
  <c r="F15" i="9" a="1"/>
  <c r="F15" i="9" s="1"/>
  <c r="J15" i="9" s="1" a="1"/>
  <c r="J15" i="9" s="1"/>
  <c r="E15" i="9" a="1"/>
  <c r="E15" i="9" s="1"/>
  <c r="I15" i="9" s="1" a="1"/>
  <c r="I15" i="9" s="1"/>
  <c r="O26" i="18" s="1"/>
  <c r="H14" i="9" a="1"/>
  <c r="H14" i="9" s="1"/>
  <c r="O14" i="9" s="1" a="1"/>
  <c r="O14" i="9" s="1"/>
  <c r="K33" i="26" s="1"/>
  <c r="G14" i="9" a="1"/>
  <c r="G14" i="9" s="1"/>
  <c r="M14" i="9" s="1" a="1"/>
  <c r="M14" i="9" s="1"/>
  <c r="I33" i="26" s="1"/>
  <c r="F14" i="9" a="1"/>
  <c r="F14" i="9" s="1"/>
  <c r="E14" i="9" a="1"/>
  <c r="E14" i="9" s="1"/>
  <c r="I14" i="9" s="1" a="1"/>
  <c r="I14" i="9" s="1"/>
  <c r="O25" i="18" s="1"/>
  <c r="H13" i="9" a="1"/>
  <c r="H13" i="9" s="1"/>
  <c r="K13" i="9" s="1" a="1"/>
  <c r="K13" i="9" s="1"/>
  <c r="G32" i="26" s="1"/>
  <c r="G13" i="9" a="1"/>
  <c r="G13" i="9" s="1"/>
  <c r="M13" i="9" s="1" a="1"/>
  <c r="M13" i="9" s="1"/>
  <c r="I32" i="26" s="1"/>
  <c r="F13" i="9" a="1"/>
  <c r="F13" i="9" s="1"/>
  <c r="J13" i="9" s="1" a="1"/>
  <c r="J13" i="9" s="1"/>
  <c r="E13" i="9" a="1"/>
  <c r="E13" i="9" s="1"/>
  <c r="I13" i="9" s="1" a="1"/>
  <c r="I13" i="9" s="1"/>
  <c r="O24" i="18" s="1"/>
  <c r="H12" i="9" a="1"/>
  <c r="H12" i="9" s="1"/>
  <c r="G12" i="9" a="1"/>
  <c r="G12" i="9" s="1"/>
  <c r="M12" i="9" s="1" a="1"/>
  <c r="M12" i="9" s="1"/>
  <c r="I31" i="26" s="1"/>
  <c r="F12" i="9" a="1"/>
  <c r="F12" i="9" s="1"/>
  <c r="L12" i="9" s="1" a="1"/>
  <c r="L12" i="9" s="1"/>
  <c r="E12" i="9" a="1"/>
  <c r="E12" i="9" s="1"/>
  <c r="I12" i="9" s="1" a="1"/>
  <c r="I12" i="9" s="1"/>
  <c r="O23" i="18" s="1"/>
  <c r="F11" i="9" a="1"/>
  <c r="F11" i="9" s="1"/>
  <c r="G11" i="9" a="1"/>
  <c r="G11" i="9" s="1"/>
  <c r="N11" i="9" s="1" a="1"/>
  <c r="N11" i="9" s="1"/>
  <c r="J30" i="26" s="1"/>
  <c r="H11" i="9" a="1"/>
  <c r="H11" i="9" s="1"/>
  <c r="O11" i="9" s="1" a="1"/>
  <c r="O11" i="9" s="1"/>
  <c r="K30" i="26" s="1"/>
  <c r="E11" i="9" a="1"/>
  <c r="E11" i="9" s="1"/>
  <c r="I11" i="9" s="1" a="1"/>
  <c r="I11" i="9" s="1"/>
  <c r="O22" i="18" s="1"/>
  <c r="P11" i="9"/>
  <c r="Q11" i="9"/>
  <c r="Q12" i="9" s="1"/>
  <c r="Q13" i="9" s="1"/>
  <c r="Q14" i="9" s="1"/>
  <c r="Q15" i="9" s="1"/>
  <c r="Q16" i="9" s="1"/>
  <c r="Q17" i="9" s="1"/>
  <c r="Q18" i="9" s="1"/>
  <c r="Q19" i="9" s="1"/>
  <c r="Q20" i="9" s="1"/>
  <c r="Q21" i="9" s="1"/>
  <c r="Q22" i="9" s="1"/>
  <c r="Q23" i="9" s="1"/>
  <c r="Q24" i="9" s="1"/>
  <c r="Q25" i="9" s="1"/>
  <c r="Q26" i="9" s="1"/>
  <c r="Q27" i="9" s="1"/>
  <c r="Q28" i="9" s="1"/>
  <c r="Q29" i="9" s="1"/>
  <c r="Q30" i="9" s="1"/>
  <c r="Q31" i="9" s="1"/>
  <c r="Q32" i="9" s="1"/>
  <c r="Q33" i="9" s="1"/>
  <c r="Q34" i="9" s="1"/>
  <c r="Q35" i="9" s="1"/>
  <c r="Q36" i="9" s="1"/>
  <c r="Q37" i="9" s="1"/>
  <c r="Q38" i="9" s="1"/>
  <c r="Q39" i="9" s="1"/>
  <c r="R11" i="9"/>
  <c r="R12" i="9" s="1"/>
  <c r="R13" i="9" s="1"/>
  <c r="R14" i="9" s="1"/>
  <c r="R15" i="9" s="1"/>
  <c r="R16" i="9" s="1"/>
  <c r="R17" i="9" s="1"/>
  <c r="R18" i="9" s="1"/>
  <c r="R19" i="9" s="1"/>
  <c r="R20" i="9" s="1"/>
  <c r="R21" i="9" s="1"/>
  <c r="R22" i="9" s="1"/>
  <c r="R23" i="9" s="1"/>
  <c r="R24" i="9" s="1"/>
  <c r="R25" i="9" s="1"/>
  <c r="R26" i="9" s="1"/>
  <c r="R27" i="9" s="1"/>
  <c r="R28" i="9" s="1"/>
  <c r="R29" i="9" s="1"/>
  <c r="R30" i="9" s="1"/>
  <c r="R31" i="9" s="1"/>
  <c r="R32" i="9" s="1"/>
  <c r="R33" i="9" s="1"/>
  <c r="R34" i="9" s="1"/>
  <c r="R35" i="9" s="1"/>
  <c r="R36" i="9" s="1"/>
  <c r="R37" i="9" s="1"/>
  <c r="R38" i="9" s="1"/>
  <c r="R39" i="9" s="1"/>
  <c r="E48" i="6" l="1"/>
  <c r="D48" i="6" s="1"/>
  <c r="E12" i="6"/>
  <c r="D12" i="6" s="1"/>
  <c r="E36" i="6"/>
  <c r="D36" i="6" s="1"/>
  <c r="E55" i="6"/>
  <c r="D55" i="6" s="1"/>
  <c r="C55" i="6" s="1"/>
  <c r="E7" i="6"/>
  <c r="D7" i="6" s="1"/>
  <c r="G7" i="6" s="1"/>
  <c r="E60" i="6"/>
  <c r="D60" i="6" s="1"/>
  <c r="E44" i="6"/>
  <c r="D44" i="6" s="1"/>
  <c r="E40" i="6"/>
  <c r="D40" i="6" s="1"/>
  <c r="E28" i="6"/>
  <c r="D28" i="6" s="1"/>
  <c r="C28" i="6" s="1"/>
  <c r="E20" i="6"/>
  <c r="D20" i="6" s="1"/>
  <c r="C20" i="6" s="1"/>
  <c r="E31" i="6"/>
  <c r="D31" i="6" s="1"/>
  <c r="C31" i="6" s="1"/>
  <c r="E15" i="6"/>
  <c r="D15" i="6" s="1"/>
  <c r="E59" i="6"/>
  <c r="D59" i="6" s="1"/>
  <c r="C59" i="6" s="1"/>
  <c r="E11" i="6"/>
  <c r="D11" i="6" s="1"/>
  <c r="C11" i="6" s="1"/>
  <c r="E63" i="6"/>
  <c r="D63" i="6" s="1"/>
  <c r="C63" i="6" s="1"/>
  <c r="E19" i="6"/>
  <c r="D19" i="6" s="1"/>
  <c r="C19" i="6" s="1"/>
  <c r="E62" i="6"/>
  <c r="D62" i="6" s="1"/>
  <c r="E58" i="6"/>
  <c r="D58" i="6" s="1"/>
  <c r="E32" i="6"/>
  <c r="D32" i="6" s="1"/>
  <c r="C32" i="6" s="1"/>
  <c r="E24" i="6"/>
  <c r="D24" i="6" s="1"/>
  <c r="C24" i="6" s="1"/>
  <c r="E16" i="6"/>
  <c r="D16" i="6" s="1"/>
  <c r="E8" i="6"/>
  <c r="D8" i="6" s="1"/>
  <c r="G8" i="6" s="1"/>
  <c r="E52" i="6"/>
  <c r="D52" i="6" s="1"/>
  <c r="E56" i="6"/>
  <c r="D56" i="6" s="1"/>
  <c r="E51" i="6"/>
  <c r="D51" i="6" s="1"/>
  <c r="E47" i="6"/>
  <c r="D47" i="6" s="1"/>
  <c r="C47" i="6" s="1"/>
  <c r="E43" i="6"/>
  <c r="D43" i="6" s="1"/>
  <c r="C43" i="6" s="1"/>
  <c r="E39" i="6"/>
  <c r="D39" i="6" s="1"/>
  <c r="E35" i="6"/>
  <c r="D35" i="6" s="1"/>
  <c r="E4" i="6"/>
  <c r="D4" i="6" s="1"/>
  <c r="G4" i="6" s="1"/>
  <c r="C50" i="6"/>
  <c r="C42" i="6"/>
  <c r="C34" i="6"/>
  <c r="C30" i="6"/>
  <c r="C26" i="6"/>
  <c r="C22" i="6"/>
  <c r="C18" i="6"/>
  <c r="C14" i="6"/>
  <c r="C10" i="6"/>
  <c r="G6" i="6"/>
  <c r="C6" i="6"/>
  <c r="C53" i="6"/>
  <c r="C49" i="6"/>
  <c r="C37" i="6"/>
  <c r="C33" i="6"/>
  <c r="C29" i="6"/>
  <c r="C25" i="6"/>
  <c r="C21" i="6"/>
  <c r="C17" i="6"/>
  <c r="C13" i="6"/>
  <c r="C9" i="6"/>
  <c r="G5" i="6"/>
  <c r="C5" i="6"/>
  <c r="C45" i="6"/>
  <c r="C54" i="6"/>
  <c r="C46" i="6"/>
  <c r="C38" i="6"/>
  <c r="C12" i="6"/>
  <c r="C41" i="6"/>
  <c r="C61" i="6"/>
  <c r="C57" i="6"/>
  <c r="C36" i="6"/>
  <c r="C27" i="6"/>
  <c r="C23" i="6"/>
  <c r="G56" i="26"/>
  <c r="G52" i="26"/>
  <c r="F58" i="26"/>
  <c r="G43" i="26"/>
  <c r="F46" i="26"/>
  <c r="F38" i="26"/>
  <c r="H55" i="26"/>
  <c r="H47" i="26"/>
  <c r="H31" i="26"/>
  <c r="G53" i="26"/>
  <c r="G49" i="26"/>
  <c r="G45" i="26"/>
  <c r="F40" i="26"/>
  <c r="F32" i="26"/>
  <c r="H57" i="26"/>
  <c r="H53" i="26"/>
  <c r="H49" i="26"/>
  <c r="H45" i="26"/>
  <c r="H41" i="26"/>
  <c r="H37" i="26"/>
  <c r="H33" i="26"/>
  <c r="H56" i="26"/>
  <c r="H52" i="26"/>
  <c r="H48" i="26"/>
  <c r="H44" i="26"/>
  <c r="H40" i="26"/>
  <c r="H36" i="26"/>
  <c r="H32" i="26"/>
  <c r="H51" i="26"/>
  <c r="H43" i="26"/>
  <c r="H39" i="26"/>
  <c r="H35" i="26"/>
  <c r="H58" i="26"/>
  <c r="H54" i="26"/>
  <c r="H50" i="26"/>
  <c r="H46" i="26"/>
  <c r="H42" i="26"/>
  <c r="H38" i="26"/>
  <c r="H34" i="26"/>
  <c r="H30" i="26"/>
  <c r="N26" i="11" a="1"/>
  <c r="N26" i="11" s="1"/>
  <c r="M26" i="11" a="1"/>
  <c r="M26" i="11" s="1"/>
  <c r="M11" i="11" a="1"/>
  <c r="M11" i="11" s="1"/>
  <c r="M12" i="11" a="1"/>
  <c r="M12" i="11" s="1"/>
  <c r="M14" i="11" a="1"/>
  <c r="M14" i="11" s="1"/>
  <c r="M16" i="11" a="1"/>
  <c r="M16" i="11" s="1"/>
  <c r="M18" i="11" a="1"/>
  <c r="M18" i="11" s="1"/>
  <c r="M20" i="11" a="1"/>
  <c r="M20" i="11" s="1"/>
  <c r="M22" i="11" a="1"/>
  <c r="M22" i="11" s="1"/>
  <c r="M24" i="11" a="1"/>
  <c r="M24" i="11" s="1"/>
  <c r="M28" i="11" a="1"/>
  <c r="M28" i="11" s="1"/>
  <c r="M30" i="11" a="1"/>
  <c r="M30" i="11" s="1"/>
  <c r="M32" i="11" a="1"/>
  <c r="M32" i="11" s="1"/>
  <c r="M34" i="11" a="1"/>
  <c r="M34" i="11" s="1"/>
  <c r="M36" i="11" a="1"/>
  <c r="M36" i="11" s="1"/>
  <c r="M38" i="11" a="1"/>
  <c r="M38" i="11" s="1"/>
  <c r="N12" i="10" a="1"/>
  <c r="N12" i="10" s="1"/>
  <c r="M11" i="10" a="1"/>
  <c r="M11" i="10" s="1"/>
  <c r="M13" i="10" a="1"/>
  <c r="M13" i="10" s="1"/>
  <c r="M15" i="10" a="1"/>
  <c r="M15" i="10" s="1"/>
  <c r="M17" i="10" a="1"/>
  <c r="M17" i="10" s="1"/>
  <c r="M19" i="10" a="1"/>
  <c r="M19" i="10" s="1"/>
  <c r="M21" i="10" a="1"/>
  <c r="M21" i="10" s="1"/>
  <c r="M23" i="10" a="1"/>
  <c r="M23" i="10" s="1"/>
  <c r="M25" i="10" a="1"/>
  <c r="M25" i="10" s="1"/>
  <c r="M27" i="10" a="1"/>
  <c r="M27" i="10" s="1"/>
  <c r="M29" i="10" a="1"/>
  <c r="M29" i="10" s="1"/>
  <c r="M31" i="10" a="1"/>
  <c r="M31" i="10" s="1"/>
  <c r="L35" i="26"/>
  <c r="L36" i="26" s="1"/>
  <c r="L37" i="26" s="1"/>
  <c r="L38" i="26" s="1"/>
  <c r="L39" i="26" s="1"/>
  <c r="L40" i="26" s="1"/>
  <c r="L41" i="26" s="1"/>
  <c r="L42" i="26" s="1"/>
  <c r="L43" i="26" s="1"/>
  <c r="L44" i="26" s="1"/>
  <c r="L45" i="26" s="1"/>
  <c r="L46" i="26" s="1"/>
  <c r="L47" i="26" s="1"/>
  <c r="L48" i="26" s="1"/>
  <c r="L49" i="26" s="1"/>
  <c r="L50" i="26" s="1"/>
  <c r="L51" i="26" s="1"/>
  <c r="L52" i="26" s="1"/>
  <c r="L53" i="26" s="1"/>
  <c r="L54" i="26" s="1"/>
  <c r="L55" i="26" s="1"/>
  <c r="L56" i="26" s="1"/>
  <c r="L57" i="26" s="1"/>
  <c r="L58" i="26" s="1"/>
  <c r="P12" i="9"/>
  <c r="S12" i="9"/>
  <c r="N37" i="9" a="1"/>
  <c r="N37" i="9" s="1"/>
  <c r="J56" i="26" s="1"/>
  <c r="N33" i="9" a="1"/>
  <c r="N33" i="9" s="1"/>
  <c r="J52" i="26" s="1"/>
  <c r="N29" i="9" a="1"/>
  <c r="N29" i="9" s="1"/>
  <c r="J48" i="26" s="1"/>
  <c r="N25" i="9" a="1"/>
  <c r="N25" i="9" s="1"/>
  <c r="J44" i="26" s="1"/>
  <c r="N21" i="9" a="1"/>
  <c r="N21" i="9" s="1"/>
  <c r="J40" i="26" s="1"/>
  <c r="N17" i="9" a="1"/>
  <c r="N17" i="9" s="1"/>
  <c r="J36" i="26" s="1"/>
  <c r="N13" i="9" a="1"/>
  <c r="N13" i="9" s="1"/>
  <c r="J32" i="26" s="1"/>
  <c r="N38" i="9" a="1"/>
  <c r="N38" i="9" s="1"/>
  <c r="J57" i="26" s="1"/>
  <c r="N34" i="9" a="1"/>
  <c r="N34" i="9" s="1"/>
  <c r="J53" i="26" s="1"/>
  <c r="N30" i="9" a="1"/>
  <c r="N30" i="9" s="1"/>
  <c r="J49" i="26" s="1"/>
  <c r="N26" i="9" a="1"/>
  <c r="N26" i="9" s="1"/>
  <c r="J45" i="26" s="1"/>
  <c r="N22" i="9" a="1"/>
  <c r="N22" i="9" s="1"/>
  <c r="J41" i="26" s="1"/>
  <c r="N18" i="9" a="1"/>
  <c r="N18" i="9" s="1"/>
  <c r="J37" i="26" s="1"/>
  <c r="N14" i="9" a="1"/>
  <c r="N14" i="9" s="1"/>
  <c r="J33" i="26" s="1"/>
  <c r="J37" i="11" a="1"/>
  <c r="J37" i="11" s="1"/>
  <c r="J24" i="11" a="1"/>
  <c r="J24" i="11" s="1"/>
  <c r="J38" i="11" a="1"/>
  <c r="J38" i="11" s="1"/>
  <c r="J50" i="18"/>
  <c r="J39" i="18"/>
  <c r="H47" i="18"/>
  <c r="H35" i="18"/>
  <c r="H31" i="18"/>
  <c r="J30" i="18"/>
  <c r="H21" i="18"/>
  <c r="J46" i="18"/>
  <c r="J26" i="18"/>
  <c r="J42" i="18"/>
  <c r="J34" i="18"/>
  <c r="J23" i="18"/>
  <c r="J43" i="18"/>
  <c r="J27" i="18"/>
  <c r="J38" i="18"/>
  <c r="J22" i="18"/>
  <c r="J49" i="18"/>
  <c r="J45" i="18"/>
  <c r="J41" i="18"/>
  <c r="J37" i="18"/>
  <c r="J33" i="18"/>
  <c r="J29" i="18"/>
  <c r="J25" i="18"/>
  <c r="J48" i="18"/>
  <c r="J44" i="18"/>
  <c r="J40" i="18"/>
  <c r="J36" i="18"/>
  <c r="J32" i="18"/>
  <c r="J28" i="18"/>
  <c r="J24" i="18"/>
  <c r="L21" i="11" a="1"/>
  <c r="L21" i="11" s="1"/>
  <c r="J21" i="11" a="1"/>
  <c r="J21" i="11" s="1"/>
  <c r="L13" i="11" a="1"/>
  <c r="L13" i="11" s="1"/>
  <c r="J13" i="11" a="1"/>
  <c r="J13" i="11" s="1"/>
  <c r="J29" i="11" a="1"/>
  <c r="J29" i="11" s="1"/>
  <c r="O19" i="11" a="1"/>
  <c r="O19" i="11" s="1"/>
  <c r="J33" i="11" a="1"/>
  <c r="J33" i="11" s="1"/>
  <c r="J20" i="11" a="1"/>
  <c r="J20" i="11" s="1"/>
  <c r="J17" i="11" a="1"/>
  <c r="J17" i="11" s="1"/>
  <c r="K31" i="10" a="1"/>
  <c r="K31" i="10" s="1"/>
  <c r="J23" i="10" a="1"/>
  <c r="J23" i="10" s="1"/>
  <c r="J35" i="10" a="1"/>
  <c r="J35" i="10" s="1"/>
  <c r="J27" i="10" a="1"/>
  <c r="J27" i="10" s="1"/>
  <c r="J38" i="10" a="1"/>
  <c r="J38" i="10" s="1"/>
  <c r="O17" i="10" a="1"/>
  <c r="O17" i="10" s="1"/>
  <c r="J15" i="10" a="1"/>
  <c r="J15" i="10" s="1"/>
  <c r="J31" i="10" a="1"/>
  <c r="J31" i="10" s="1"/>
  <c r="L39" i="9" a="1"/>
  <c r="L39" i="9" s="1"/>
  <c r="O37" i="9" a="1"/>
  <c r="O37" i="9" s="1"/>
  <c r="K56" i="26" s="1"/>
  <c r="J32" i="9" a="1"/>
  <c r="J32" i="9" s="1"/>
  <c r="O32" i="11" a="1"/>
  <c r="O32" i="11" s="1"/>
  <c r="J24" i="9" a="1"/>
  <c r="J24" i="9" s="1"/>
  <c r="J30" i="9" a="1"/>
  <c r="J30" i="9" s="1"/>
  <c r="O37" i="10" a="1"/>
  <c r="O37" i="10" s="1"/>
  <c r="K37" i="11" a="1"/>
  <c r="K37" i="11" s="1"/>
  <c r="J27" i="9" a="1"/>
  <c r="J27" i="9" s="1"/>
  <c r="L22" i="11" a="1"/>
  <c r="L22" i="11" s="1"/>
  <c r="K36" i="11" a="1"/>
  <c r="K36" i="11" s="1"/>
  <c r="O36" i="11" a="1"/>
  <c r="O36" i="11" s="1"/>
  <c r="L39" i="11" a="1"/>
  <c r="L39" i="11" s="1"/>
  <c r="K39" i="11" a="1"/>
  <c r="K39" i="11" s="1"/>
  <c r="O39" i="11" a="1"/>
  <c r="O39" i="11" s="1"/>
  <c r="O13" i="9" a="1"/>
  <c r="O13" i="9" s="1"/>
  <c r="K32" i="26" s="1"/>
  <c r="L23" i="11" a="1"/>
  <c r="L23" i="11" s="1"/>
  <c r="L28" i="9" a="1"/>
  <c r="L28" i="9" s="1"/>
  <c r="O21" i="9" a="1"/>
  <c r="O21" i="9" s="1"/>
  <c r="K40" i="26" s="1"/>
  <c r="K23" i="10" a="1"/>
  <c r="K23" i="10" s="1"/>
  <c r="K27" i="10" a="1"/>
  <c r="K27" i="10" s="1"/>
  <c r="O23" i="11" a="1"/>
  <c r="O23" i="11" s="1"/>
  <c r="K25" i="11" a="1"/>
  <c r="K25" i="11" s="1"/>
  <c r="O28" i="11" a="1"/>
  <c r="O28" i="11" s="1"/>
  <c r="K34" i="11" a="1"/>
  <c r="K34" i="11" s="1"/>
  <c r="K14" i="9" a="1"/>
  <c r="K14" i="9" s="1"/>
  <c r="K38" i="9" a="1"/>
  <c r="K38" i="9" s="1"/>
  <c r="K35" i="9" a="1"/>
  <c r="K35" i="9" s="1"/>
  <c r="O30" i="9" a="1"/>
  <c r="O30" i="9" s="1"/>
  <c r="K49" i="26" s="1"/>
  <c r="K29" i="9" a="1"/>
  <c r="K29" i="9" s="1"/>
  <c r="O27" i="9" a="1"/>
  <c r="O27" i="9" s="1"/>
  <c r="K46" i="26" s="1"/>
  <c r="L23" i="9" a="1"/>
  <c r="L23" i="9" s="1"/>
  <c r="L19" i="10" a="1"/>
  <c r="L19" i="10" s="1"/>
  <c r="K39" i="10" a="1"/>
  <c r="K39" i="10" s="1"/>
  <c r="L35" i="11" a="1"/>
  <c r="L35" i="11" s="1"/>
  <c r="L27" i="11" a="1"/>
  <c r="L27" i="11" s="1"/>
  <c r="K11" i="9" a="1"/>
  <c r="K11" i="9" s="1"/>
  <c r="J12" i="9" a="1"/>
  <c r="J12" i="9" s="1"/>
  <c r="J38" i="9" a="1"/>
  <c r="J38" i="9" s="1"/>
  <c r="L36" i="9" a="1"/>
  <c r="L36" i="9" s="1"/>
  <c r="J35" i="9" a="1"/>
  <c r="J35" i="9" s="1"/>
  <c r="K32" i="9" a="1"/>
  <c r="K32" i="9" s="1"/>
  <c r="O24" i="9" a="1"/>
  <c r="O24" i="9" s="1"/>
  <c r="K43" i="26" s="1"/>
  <c r="O18" i="11" a="1"/>
  <c r="O18" i="11" s="1"/>
  <c r="L31" i="11" a="1"/>
  <c r="L31" i="11" s="1"/>
  <c r="K12" i="11" a="1"/>
  <c r="K12" i="11" s="1"/>
  <c r="O12" i="11" a="1"/>
  <c r="O12" i="11" s="1"/>
  <c r="L11" i="11" a="1"/>
  <c r="L11" i="11" s="1"/>
  <c r="K11" i="11" a="1"/>
  <c r="K11" i="11" s="1"/>
  <c r="O11" i="11" a="1"/>
  <c r="O11" i="11" s="1"/>
  <c r="K16" i="11" a="1"/>
  <c r="K16" i="11" s="1"/>
  <c r="O16" i="11" a="1"/>
  <c r="O16" i="11" s="1"/>
  <c r="L12" i="11" a="1"/>
  <c r="L12" i="11" s="1"/>
  <c r="O21" i="11" a="1"/>
  <c r="O21" i="11" s="1"/>
  <c r="K21" i="11" a="1"/>
  <c r="K21" i="11" s="1"/>
  <c r="O14" i="11" a="1"/>
  <c r="O14" i="11" s="1"/>
  <c r="K14" i="11" a="1"/>
  <c r="K14" i="11" s="1"/>
  <c r="L14" i="11" a="1"/>
  <c r="L14" i="11" s="1"/>
  <c r="L16" i="11" a="1"/>
  <c r="L16" i="11" s="1"/>
  <c r="K13" i="11" a="1"/>
  <c r="K13" i="11" s="1"/>
  <c r="L15" i="11" a="1"/>
  <c r="L15" i="11" s="1"/>
  <c r="O15" i="11" a="1"/>
  <c r="O15" i="11" s="1"/>
  <c r="K17" i="11" a="1"/>
  <c r="K17" i="11" s="1"/>
  <c r="O22" i="11" a="1"/>
  <c r="O22" i="11" s="1"/>
  <c r="K24" i="11" a="1"/>
  <c r="K24" i="11" s="1"/>
  <c r="L26" i="11" a="1"/>
  <c r="L26" i="11" s="1"/>
  <c r="O35" i="11" a="1"/>
  <c r="O35" i="11" s="1"/>
  <c r="L36" i="11" a="1"/>
  <c r="L36" i="11" s="1"/>
  <c r="O31" i="11" a="1"/>
  <c r="O31" i="11" s="1"/>
  <c r="L32" i="11" a="1"/>
  <c r="L32" i="11" s="1"/>
  <c r="O38" i="11" a="1"/>
  <c r="O38" i="11" s="1"/>
  <c r="K38" i="11" a="1"/>
  <c r="K38" i="11" s="1"/>
  <c r="L19" i="11" a="1"/>
  <c r="L19" i="11" s="1"/>
  <c r="L25" i="11" a="1"/>
  <c r="L25" i="11" s="1"/>
  <c r="K26" i="11" a="1"/>
  <c r="K26" i="11" s="1"/>
  <c r="K29" i="11" a="1"/>
  <c r="K29" i="11" s="1"/>
  <c r="L30" i="11" a="1"/>
  <c r="L30" i="11" s="1"/>
  <c r="L18" i="11" a="1"/>
  <c r="L18" i="11" s="1"/>
  <c r="K20" i="11" a="1"/>
  <c r="K20" i="11" s="1"/>
  <c r="O27" i="11" a="1"/>
  <c r="O27" i="11" s="1"/>
  <c r="L28" i="11" a="1"/>
  <c r="L28" i="11" s="1"/>
  <c r="K30" i="11" a="1"/>
  <c r="K30" i="11" s="1"/>
  <c r="K33" i="11" a="1"/>
  <c r="K33" i="11" s="1"/>
  <c r="L34" i="11" a="1"/>
  <c r="L34" i="11" s="1"/>
  <c r="L11" i="10" a="1"/>
  <c r="L11" i="10" s="1"/>
  <c r="O12" i="10" a="1"/>
  <c r="O12" i="10" s="1"/>
  <c r="K12" i="10" a="1"/>
  <c r="K12" i="10" s="1"/>
  <c r="O14" i="10" a="1"/>
  <c r="O14" i="10" s="1"/>
  <c r="K14" i="10" a="1"/>
  <c r="K14" i="10" s="1"/>
  <c r="K15" i="10" a="1"/>
  <c r="K15" i="10" s="1"/>
  <c r="O15" i="10" a="1"/>
  <c r="O15" i="10" s="1"/>
  <c r="O11" i="10" a="1"/>
  <c r="O11" i="10" s="1"/>
  <c r="K11" i="10" a="1"/>
  <c r="K11" i="10" s="1"/>
  <c r="L12" i="10" a="1"/>
  <c r="L12" i="10" s="1"/>
  <c r="L14" i="10" a="1"/>
  <c r="L14" i="10" s="1"/>
  <c r="L25" i="10" a="1"/>
  <c r="L25" i="10" s="1"/>
  <c r="L13" i="10" a="1"/>
  <c r="L13" i="10" s="1"/>
  <c r="O13" i="10" a="1"/>
  <c r="O13" i="10" s="1"/>
  <c r="L16" i="10" a="1"/>
  <c r="L16" i="10" s="1"/>
  <c r="K16" i="10" a="1"/>
  <c r="K16" i="10" s="1"/>
  <c r="O16" i="10" a="1"/>
  <c r="O16" i="10" s="1"/>
  <c r="L17" i="10" a="1"/>
  <c r="L17" i="10" s="1"/>
  <c r="K19" i="10" a="1"/>
  <c r="K19" i="10" s="1"/>
  <c r="L21" i="10" a="1"/>
  <c r="L21" i="10" s="1"/>
  <c r="L20" i="10" a="1"/>
  <c r="L20" i="10" s="1"/>
  <c r="O22" i="10" a="1"/>
  <c r="O22" i="10" s="1"/>
  <c r="K22" i="10" a="1"/>
  <c r="K22" i="10" s="1"/>
  <c r="K24" i="10" a="1"/>
  <c r="K24" i="10" s="1"/>
  <c r="O24" i="10" a="1"/>
  <c r="O24" i="10" s="1"/>
  <c r="O35" i="10" a="1"/>
  <c r="O35" i="10" s="1"/>
  <c r="K35" i="10" a="1"/>
  <c r="K35" i="10" s="1"/>
  <c r="L36" i="10" a="1"/>
  <c r="L36" i="10" s="1"/>
  <c r="K36" i="10" a="1"/>
  <c r="K36" i="10" s="1"/>
  <c r="O36" i="10" a="1"/>
  <c r="O36" i="10" s="1"/>
  <c r="L18" i="10" a="1"/>
  <c r="L18" i="10" s="1"/>
  <c r="O18" i="10" a="1"/>
  <c r="O18" i="10" s="1"/>
  <c r="K18" i="10" a="1"/>
  <c r="K18" i="10" s="1"/>
  <c r="L39" i="10" a="1"/>
  <c r="L39" i="10" s="1"/>
  <c r="K20" i="10" a="1"/>
  <c r="K20" i="10" s="1"/>
  <c r="O20" i="10" a="1"/>
  <c r="O20" i="10" s="1"/>
  <c r="O21" i="10" a="1"/>
  <c r="O21" i="10" s="1"/>
  <c r="L22" i="10" a="1"/>
  <c r="L22" i="10" s="1"/>
  <c r="L24" i="10" a="1"/>
  <c r="L24" i="10" s="1"/>
  <c r="L29" i="10" a="1"/>
  <c r="L29" i="10" s="1"/>
  <c r="L33" i="10" a="1"/>
  <c r="L33" i="10" s="1"/>
  <c r="O26" i="10" a="1"/>
  <c r="O26" i="10" s="1"/>
  <c r="K26" i="10" a="1"/>
  <c r="K26" i="10" s="1"/>
  <c r="K28" i="10" a="1"/>
  <c r="K28" i="10" s="1"/>
  <c r="O28" i="10" a="1"/>
  <c r="O28" i="10" s="1"/>
  <c r="O29" i="10" a="1"/>
  <c r="O29" i="10" s="1"/>
  <c r="L30" i="10" a="1"/>
  <c r="L30" i="10" s="1"/>
  <c r="L37" i="10" a="1"/>
  <c r="L37" i="10" s="1"/>
  <c r="O25" i="10" a="1"/>
  <c r="O25" i="10" s="1"/>
  <c r="L26" i="10" a="1"/>
  <c r="L26" i="10" s="1"/>
  <c r="L28" i="10" a="1"/>
  <c r="L28" i="10" s="1"/>
  <c r="L32" i="10" a="1"/>
  <c r="L32" i="10" s="1"/>
  <c r="K32" i="10" a="1"/>
  <c r="K32" i="10" s="1"/>
  <c r="O32" i="10" a="1"/>
  <c r="O32" i="10" s="1"/>
  <c r="O33" i="10" a="1"/>
  <c r="O33" i="10" s="1"/>
  <c r="L34" i="10" a="1"/>
  <c r="L34" i="10" s="1"/>
  <c r="K30" i="10" a="1"/>
  <c r="K30" i="10" s="1"/>
  <c r="K34" i="10" a="1"/>
  <c r="K34" i="10" s="1"/>
  <c r="K38" i="10" a="1"/>
  <c r="K38" i="10" s="1"/>
  <c r="L11" i="9" a="1"/>
  <c r="L11" i="9" s="1"/>
  <c r="J11" i="9" a="1"/>
  <c r="J11" i="9" s="1"/>
  <c r="K18" i="9" a="1"/>
  <c r="K18" i="9" s="1"/>
  <c r="O18" i="9" a="1"/>
  <c r="O18" i="9" s="1"/>
  <c r="K37" i="26" s="1"/>
  <c r="K28" i="9" a="1"/>
  <c r="K28" i="9" s="1"/>
  <c r="O28" i="9" a="1"/>
  <c r="O28" i="9" s="1"/>
  <c r="K47" i="26" s="1"/>
  <c r="K36" i="9" a="1"/>
  <c r="K36" i="9" s="1"/>
  <c r="O36" i="9" a="1"/>
  <c r="O36" i="9" s="1"/>
  <c r="K55" i="26" s="1"/>
  <c r="L33" i="9" a="1"/>
  <c r="L33" i="9" s="1"/>
  <c r="L20" i="9" a="1"/>
  <c r="L20" i="9" s="1"/>
  <c r="O12" i="9" a="1"/>
  <c r="O12" i="9" s="1"/>
  <c r="K31" i="26" s="1"/>
  <c r="K12" i="9" a="1"/>
  <c r="K12" i="9" s="1"/>
  <c r="J14" i="9" a="1"/>
  <c r="J14" i="9" s="1"/>
  <c r="L14" i="9" a="1"/>
  <c r="L14" i="9" s="1"/>
  <c r="K15" i="9" a="1"/>
  <c r="K15" i="9" s="1"/>
  <c r="O15" i="9" a="1"/>
  <c r="O15" i="9" s="1"/>
  <c r="K34" i="26" s="1"/>
  <c r="J21" i="9" a="1"/>
  <c r="J21" i="9" s="1"/>
  <c r="L21" i="9" a="1"/>
  <c r="L21" i="9" s="1"/>
  <c r="K23" i="9" a="1"/>
  <c r="K23" i="9" s="1"/>
  <c r="O23" i="9" a="1"/>
  <c r="O23" i="9" s="1"/>
  <c r="K42" i="26" s="1"/>
  <c r="K31" i="9" a="1"/>
  <c r="K31" i="9" s="1"/>
  <c r="O31" i="9" a="1"/>
  <c r="O31" i="9" s="1"/>
  <c r="K50" i="26" s="1"/>
  <c r="L26" i="9" a="1"/>
  <c r="L26" i="9" s="1"/>
  <c r="K22" i="9" a="1"/>
  <c r="K22" i="9" s="1"/>
  <c r="K20" i="9" a="1"/>
  <c r="K20" i="9" s="1"/>
  <c r="O20" i="9" a="1"/>
  <c r="O20" i="9" s="1"/>
  <c r="K39" i="26" s="1"/>
  <c r="J37" i="9" a="1"/>
  <c r="J37" i="9" s="1"/>
  <c r="L37" i="9" a="1"/>
  <c r="L37" i="9" s="1"/>
  <c r="L31" i="9" a="1"/>
  <c r="L31" i="9" s="1"/>
  <c r="L25" i="9" a="1"/>
  <c r="L25" i="9" s="1"/>
  <c r="J22" i="9" a="1"/>
  <c r="J22" i="9" s="1"/>
  <c r="O19" i="9" a="1"/>
  <c r="O19" i="9" s="1"/>
  <c r="K38" i="26" s="1"/>
  <c r="J19" i="9" a="1"/>
  <c r="J19" i="9" s="1"/>
  <c r="K16" i="9" a="1"/>
  <c r="K16" i="9" s="1"/>
  <c r="L15" i="9" a="1"/>
  <c r="L15" i="9" s="1"/>
  <c r="L13" i="9" a="1"/>
  <c r="L13" i="9" s="1"/>
  <c r="L17" i="9" a="1"/>
  <c r="L17" i="9" s="1"/>
  <c r="K17" i="9" a="1"/>
  <c r="K17" i="9" s="1"/>
  <c r="O17" i="9" a="1"/>
  <c r="O17" i="9" s="1"/>
  <c r="K36" i="26" s="1"/>
  <c r="K25" i="9" a="1"/>
  <c r="K25" i="9" s="1"/>
  <c r="O25" i="9" a="1"/>
  <c r="O25" i="9" s="1"/>
  <c r="K44" i="26" s="1"/>
  <c r="L34" i="9" a="1"/>
  <c r="L34" i="9" s="1"/>
  <c r="L18" i="9" a="1"/>
  <c r="L18" i="9" s="1"/>
  <c r="L16" i="9" a="1"/>
  <c r="L16" i="9" s="1"/>
  <c r="O39" i="9" a="1"/>
  <c r="O39" i="9" s="1"/>
  <c r="K58" i="26" s="1"/>
  <c r="O33" i="9" a="1"/>
  <c r="O33" i="9" s="1"/>
  <c r="K52" i="26" s="1"/>
  <c r="L29" i="9" a="1"/>
  <c r="L29" i="9" s="1"/>
  <c r="O34" i="9" a="1"/>
  <c r="O34" i="9" s="1"/>
  <c r="K53" i="26" s="1"/>
  <c r="O26" i="9" a="1"/>
  <c r="O26" i="9" s="1"/>
  <c r="K45" i="26" s="1"/>
  <c r="C48" i="6" l="1"/>
  <c r="C7" i="6"/>
  <c r="C60" i="6"/>
  <c r="C44" i="6"/>
  <c r="C40" i="6"/>
  <c r="C15" i="6"/>
  <c r="C62" i="6"/>
  <c r="C8" i="6"/>
  <c r="C35" i="6"/>
  <c r="C58" i="6"/>
  <c r="C51" i="6"/>
  <c r="C16" i="6"/>
  <c r="C52" i="6"/>
  <c r="C4" i="6"/>
  <c r="F4" i="6" s="1"/>
  <c r="C39" i="6"/>
  <c r="C56" i="6"/>
  <c r="G35" i="26"/>
  <c r="F35" i="26"/>
  <c r="G44" i="26"/>
  <c r="F44" i="26"/>
  <c r="F41" i="26"/>
  <c r="G41" i="26"/>
  <c r="G31" i="26"/>
  <c r="F31" i="26"/>
  <c r="F57" i="26"/>
  <c r="G57" i="26"/>
  <c r="G42" i="26"/>
  <c r="F42" i="26"/>
  <c r="G34" i="26"/>
  <c r="F34" i="26"/>
  <c r="F55" i="26"/>
  <c r="G55" i="26"/>
  <c r="F37" i="26"/>
  <c r="G37" i="26"/>
  <c r="F51" i="26"/>
  <c r="G51" i="26"/>
  <c r="G48" i="26"/>
  <c r="F48" i="26"/>
  <c r="F33" i="26"/>
  <c r="G33" i="26"/>
  <c r="G36" i="26"/>
  <c r="F36" i="26"/>
  <c r="G30" i="26"/>
  <c r="F30" i="26"/>
  <c r="G39" i="26"/>
  <c r="F39" i="26"/>
  <c r="G50" i="26"/>
  <c r="F50" i="26"/>
  <c r="F47" i="26"/>
  <c r="G47" i="26"/>
  <c r="G54" i="26"/>
  <c r="F54" i="26"/>
  <c r="S13" i="9"/>
  <c r="P13" i="9"/>
  <c r="D28" i="7"/>
  <c r="E24" i="7"/>
  <c r="F30" i="7"/>
  <c r="F31" i="7"/>
  <c r="F32" i="7"/>
  <c r="F33" i="7"/>
  <c r="F35" i="7"/>
  <c r="F29" i="7"/>
  <c r="G41" i="4"/>
  <c r="G42" i="4"/>
  <c r="G43" i="4"/>
  <c r="G44" i="4"/>
  <c r="G45" i="4"/>
  <c r="G46" i="4"/>
  <c r="G47" i="4"/>
  <c r="G48" i="1"/>
  <c r="G49" i="1"/>
  <c r="G50" i="1"/>
  <c r="G51" i="1"/>
  <c r="G52" i="1"/>
  <c r="G53" i="1"/>
  <c r="V37" i="4"/>
  <c r="U37" i="4"/>
  <c r="I46" i="4"/>
  <c r="J46" i="4"/>
  <c r="K46" i="4"/>
  <c r="L46" i="4"/>
  <c r="M46" i="4"/>
  <c r="N46" i="4"/>
  <c r="O46" i="4"/>
  <c r="P46" i="4"/>
  <c r="Q46" i="4"/>
  <c r="R46" i="4"/>
  <c r="S46" i="4"/>
  <c r="T46" i="4"/>
  <c r="I47" i="4"/>
  <c r="J47" i="4"/>
  <c r="K47" i="4"/>
  <c r="L47" i="4"/>
  <c r="M47" i="4"/>
  <c r="N47" i="4"/>
  <c r="O47" i="4"/>
  <c r="P47" i="4"/>
  <c r="Q47" i="4"/>
  <c r="R47" i="4"/>
  <c r="S47" i="4"/>
  <c r="T47" i="4"/>
  <c r="H47" i="4"/>
  <c r="H46" i="4"/>
  <c r="S48" i="1"/>
  <c r="S49" i="1"/>
  <c r="S50" i="1"/>
  <c r="S51" i="1"/>
  <c r="S52" i="1"/>
  <c r="S53" i="1"/>
  <c r="S41" i="4"/>
  <c r="S42" i="4"/>
  <c r="S43" i="4"/>
  <c r="S44" i="4"/>
  <c r="S45" i="4"/>
  <c r="F36" i="7" l="1"/>
  <c r="D35" i="7"/>
  <c r="G10" i="6"/>
  <c r="F38" i="7"/>
  <c r="G13" i="6"/>
  <c r="G11" i="6"/>
  <c r="G15" i="6"/>
  <c r="F34" i="7"/>
  <c r="G9" i="6"/>
  <c r="F37" i="7"/>
  <c r="G12" i="6"/>
  <c r="F11" i="6"/>
  <c r="F15" i="6"/>
  <c r="F48" i="6"/>
  <c r="F6" i="6"/>
  <c r="F10" i="6"/>
  <c r="F30" i="6"/>
  <c r="F8" i="6"/>
  <c r="F12" i="6"/>
  <c r="F22" i="6"/>
  <c r="F32" i="6"/>
  <c r="F28" i="6"/>
  <c r="F31" i="6"/>
  <c r="F27" i="6"/>
  <c r="F38" i="6"/>
  <c r="F34" i="6"/>
  <c r="F19" i="6"/>
  <c r="F16" i="6"/>
  <c r="F53" i="6"/>
  <c r="F18" i="6"/>
  <c r="F36" i="6"/>
  <c r="F58" i="6"/>
  <c r="F37" i="6"/>
  <c r="F43" i="6"/>
  <c r="F33" i="6"/>
  <c r="F35" i="6"/>
  <c r="F9" i="6"/>
  <c r="F29" i="6"/>
  <c r="F25" i="6"/>
  <c r="F14" i="6"/>
  <c r="F20" i="6"/>
  <c r="F26" i="6"/>
  <c r="F21" i="6"/>
  <c r="F23" i="6"/>
  <c r="F13" i="6"/>
  <c r="F7" i="6"/>
  <c r="F56" i="6"/>
  <c r="F24" i="6"/>
  <c r="F5" i="6"/>
  <c r="F17" i="6"/>
  <c r="F40" i="6"/>
  <c r="F62" i="6"/>
  <c r="F46" i="6"/>
  <c r="F63" i="6"/>
  <c r="F41" i="6"/>
  <c r="F39" i="6"/>
  <c r="F50" i="6"/>
  <c r="F47" i="6"/>
  <c r="F42" i="6"/>
  <c r="F59" i="6"/>
  <c r="F55" i="6"/>
  <c r="F61" i="6"/>
  <c r="F45" i="6"/>
  <c r="F49" i="6"/>
  <c r="F44" i="6"/>
  <c r="F52" i="6"/>
  <c r="F57" i="6"/>
  <c r="F60" i="6"/>
  <c r="F54" i="6"/>
  <c r="F51" i="6"/>
  <c r="P14" i="9"/>
  <c r="S14" i="9"/>
  <c r="D29" i="7"/>
  <c r="D33" i="7"/>
  <c r="D38" i="7"/>
  <c r="D30" i="7"/>
  <c r="D32" i="7"/>
  <c r="D31" i="7"/>
  <c r="E25" i="7"/>
  <c r="E26" i="7"/>
  <c r="E28" i="7"/>
  <c r="E27" i="7"/>
  <c r="F40" i="7"/>
  <c r="F42" i="7"/>
  <c r="F41" i="7"/>
  <c r="D42" i="7" l="1"/>
  <c r="G22" i="6"/>
  <c r="D34" i="7"/>
  <c r="G14" i="6"/>
  <c r="F39" i="7"/>
  <c r="F44" i="7" s="1"/>
  <c r="D37" i="7"/>
  <c r="G17" i="6"/>
  <c r="F43" i="7"/>
  <c r="G18" i="6"/>
  <c r="G20" i="6"/>
  <c r="D41" i="7"/>
  <c r="G21" i="6"/>
  <c r="D36" i="7"/>
  <c r="E36" i="7"/>
  <c r="G16" i="6"/>
  <c r="S15" i="9"/>
  <c r="P15" i="9"/>
  <c r="F45" i="7"/>
  <c r="D40" i="7"/>
  <c r="E37" i="7"/>
  <c r="E30" i="7"/>
  <c r="E35" i="7"/>
  <c r="E34" i="7"/>
  <c r="E33" i="7"/>
  <c r="F15" i="7" s="1"/>
  <c r="G16" i="7" s="1"/>
  <c r="E31" i="7"/>
  <c r="E29" i="7"/>
  <c r="E38" i="7"/>
  <c r="E32" i="7"/>
  <c r="F47" i="7"/>
  <c r="F46" i="7"/>
  <c r="G26" i="6" l="1"/>
  <c r="G27" i="6"/>
  <c r="F50" i="7"/>
  <c r="G25" i="6"/>
  <c r="F48" i="7"/>
  <c r="G23" i="6"/>
  <c r="D43" i="7"/>
  <c r="D39" i="7"/>
  <c r="G19" i="6"/>
  <c r="D44" i="7"/>
  <c r="G24" i="6"/>
  <c r="P16" i="9"/>
  <c r="S16" i="9"/>
  <c r="D47" i="7"/>
  <c r="D50" i="7"/>
  <c r="D45" i="7"/>
  <c r="D46" i="7"/>
  <c r="E40" i="7"/>
  <c r="E39" i="7"/>
  <c r="E15" i="7"/>
  <c r="E41" i="7"/>
  <c r="E42" i="7"/>
  <c r="E43" i="7"/>
  <c r="F16" i="7" s="1"/>
  <c r="G17" i="7" s="1"/>
  <c r="F49" i="7"/>
  <c r="F51" i="7"/>
  <c r="F55" i="7"/>
  <c r="F52" i="7"/>
  <c r="G35" i="6" l="1"/>
  <c r="F53" i="7"/>
  <c r="G28" i="6"/>
  <c r="D48" i="7"/>
  <c r="G31" i="6"/>
  <c r="G29" i="6"/>
  <c r="G32" i="6"/>
  <c r="G30" i="6"/>
  <c r="S17" i="9"/>
  <c r="P17" i="9"/>
  <c r="D52" i="7"/>
  <c r="D51" i="7"/>
  <c r="D49" i="7"/>
  <c r="D55" i="7"/>
  <c r="E16" i="7"/>
  <c r="E46" i="7"/>
  <c r="E47" i="7"/>
  <c r="E45" i="7"/>
  <c r="E44" i="7"/>
  <c r="E48" i="7"/>
  <c r="F57" i="7"/>
  <c r="F56" i="7"/>
  <c r="F54" i="7"/>
  <c r="F60" i="7"/>
  <c r="G37" i="6" l="1"/>
  <c r="F58" i="7"/>
  <c r="G33" i="6"/>
  <c r="D53" i="7"/>
  <c r="G40" i="6"/>
  <c r="G36" i="6"/>
  <c r="G34" i="6"/>
  <c r="P18" i="9"/>
  <c r="S18" i="9"/>
  <c r="D56" i="7"/>
  <c r="D54" i="7"/>
  <c r="D57" i="7"/>
  <c r="D60" i="7"/>
  <c r="E49" i="7"/>
  <c r="E50" i="7"/>
  <c r="E52" i="7"/>
  <c r="E53" i="7"/>
  <c r="F17" i="7" s="1"/>
  <c r="G18" i="7" s="1"/>
  <c r="E51" i="7"/>
  <c r="F65" i="7"/>
  <c r="F61" i="7"/>
  <c r="F59" i="7"/>
  <c r="F62" i="7"/>
  <c r="G42" i="6" l="1"/>
  <c r="F63" i="7"/>
  <c r="E58" i="7"/>
  <c r="G38" i="6"/>
  <c r="D58" i="7"/>
  <c r="G39" i="6"/>
  <c r="G45" i="6"/>
  <c r="G41" i="6"/>
  <c r="S19" i="9"/>
  <c r="P19" i="9"/>
  <c r="D59" i="7"/>
  <c r="D61" i="7"/>
  <c r="D65" i="7"/>
  <c r="D62" i="7"/>
  <c r="E57" i="7"/>
  <c r="E54" i="7"/>
  <c r="E17" i="7"/>
  <c r="E55" i="7"/>
  <c r="E56" i="7"/>
  <c r="F67" i="7"/>
  <c r="F66" i="7"/>
  <c r="F64" i="7"/>
  <c r="F70" i="7"/>
  <c r="G44" i="6" l="1"/>
  <c r="E60" i="7"/>
  <c r="F68" i="7"/>
  <c r="G43" i="6"/>
  <c r="D63" i="7"/>
  <c r="G50" i="6"/>
  <c r="G46" i="6"/>
  <c r="G47" i="6"/>
  <c r="P20" i="9"/>
  <c r="S20" i="9"/>
  <c r="D70" i="7"/>
  <c r="D66" i="7"/>
  <c r="D64" i="7"/>
  <c r="D67" i="7"/>
  <c r="E61" i="7"/>
  <c r="E59" i="7"/>
  <c r="E63" i="7"/>
  <c r="F18" i="7" s="1"/>
  <c r="G19" i="7" s="1"/>
  <c r="E62" i="7"/>
  <c r="F75" i="7"/>
  <c r="F71" i="7"/>
  <c r="F69" i="7"/>
  <c r="F72" i="7"/>
  <c r="G52" i="6" l="1"/>
  <c r="G55" i="6"/>
  <c r="F73" i="7"/>
  <c r="G48" i="6"/>
  <c r="D68" i="7"/>
  <c r="G49" i="6"/>
  <c r="G51" i="6"/>
  <c r="S21" i="9"/>
  <c r="P21" i="9"/>
  <c r="D72" i="7"/>
  <c r="D71" i="7"/>
  <c r="D69" i="7"/>
  <c r="D75" i="7"/>
  <c r="E64" i="7"/>
  <c r="E68" i="7"/>
  <c r="E67" i="7"/>
  <c r="E18" i="7"/>
  <c r="E66" i="7"/>
  <c r="E65" i="7"/>
  <c r="F77" i="7"/>
  <c r="F76" i="7"/>
  <c r="F74" i="7"/>
  <c r="F80" i="7"/>
  <c r="G60" i="6" l="1"/>
  <c r="G54" i="6"/>
  <c r="G56" i="6"/>
  <c r="G57" i="6"/>
  <c r="F78" i="7"/>
  <c r="E73" i="7"/>
  <c r="F19" i="7" s="1"/>
  <c r="G20" i="7" s="1"/>
  <c r="G53" i="6"/>
  <c r="D73" i="7"/>
  <c r="P22" i="9"/>
  <c r="S22" i="9"/>
  <c r="D74" i="7"/>
  <c r="D77" i="7"/>
  <c r="D80" i="7"/>
  <c r="D76" i="7"/>
  <c r="E69" i="7"/>
  <c r="E71" i="7"/>
  <c r="E72" i="7"/>
  <c r="E70" i="7"/>
  <c r="F81" i="7"/>
  <c r="F79" i="7"/>
  <c r="F82" i="7"/>
  <c r="G61" i="6" l="1"/>
  <c r="G62" i="6"/>
  <c r="G59" i="6"/>
  <c r="F83" i="7"/>
  <c r="G58" i="6"/>
  <c r="D78" i="7"/>
  <c r="S23" i="9"/>
  <c r="P23" i="9"/>
  <c r="D82" i="7"/>
  <c r="D81" i="7"/>
  <c r="D79" i="7"/>
  <c r="E74" i="7"/>
  <c r="E76" i="7"/>
  <c r="E19" i="7"/>
  <c r="E77" i="7"/>
  <c r="E78" i="7"/>
  <c r="E75" i="7"/>
  <c r="G63" i="6" l="1"/>
  <c r="D83" i="7"/>
  <c r="P24" i="9"/>
  <c r="S24" i="9"/>
  <c r="E80" i="7"/>
  <c r="E81" i="7"/>
  <c r="E82" i="7"/>
  <c r="E79" i="7"/>
  <c r="E83" i="7"/>
  <c r="E20" i="7" l="1"/>
  <c r="F20" i="7"/>
  <c r="S25" i="9"/>
  <c r="P25" i="9"/>
  <c r="P26" i="9" l="1"/>
  <c r="S26" i="9"/>
  <c r="I41" i="4"/>
  <c r="J41" i="4"/>
  <c r="K41" i="4"/>
  <c r="L41" i="4"/>
  <c r="M41" i="4"/>
  <c r="N41" i="4"/>
  <c r="O41" i="4"/>
  <c r="P41" i="4"/>
  <c r="Q41" i="4"/>
  <c r="R41" i="4"/>
  <c r="T41" i="4"/>
  <c r="I42" i="4"/>
  <c r="J42" i="4"/>
  <c r="K42" i="4"/>
  <c r="L42" i="4"/>
  <c r="M42" i="4"/>
  <c r="N42" i="4"/>
  <c r="O42" i="4"/>
  <c r="P42" i="4"/>
  <c r="Q42" i="4"/>
  <c r="R42" i="4"/>
  <c r="T42" i="4"/>
  <c r="I43" i="4"/>
  <c r="J43" i="4"/>
  <c r="K43" i="4"/>
  <c r="L43" i="4"/>
  <c r="M43" i="4"/>
  <c r="N43" i="4"/>
  <c r="O43" i="4"/>
  <c r="P43" i="4"/>
  <c r="Q43" i="4"/>
  <c r="R43" i="4"/>
  <c r="T43" i="4"/>
  <c r="I44" i="4"/>
  <c r="J44" i="4"/>
  <c r="K44" i="4"/>
  <c r="L44" i="4"/>
  <c r="M44" i="4"/>
  <c r="N44" i="4"/>
  <c r="O44" i="4"/>
  <c r="P44" i="4"/>
  <c r="Q44" i="4"/>
  <c r="R44" i="4"/>
  <c r="T44" i="4"/>
  <c r="I45" i="4"/>
  <c r="J45" i="4"/>
  <c r="K45" i="4"/>
  <c r="L45" i="4"/>
  <c r="M45" i="4"/>
  <c r="N45" i="4"/>
  <c r="O45" i="4"/>
  <c r="P45" i="4"/>
  <c r="Q45" i="4"/>
  <c r="R45" i="4"/>
  <c r="T45" i="4"/>
  <c r="H45" i="4"/>
  <c r="H44" i="4"/>
  <c r="H43" i="4"/>
  <c r="H42" i="4"/>
  <c r="H41" i="4"/>
  <c r="V38" i="4"/>
  <c r="V36" i="4"/>
  <c r="V35" i="4"/>
  <c r="V34" i="4"/>
  <c r="V33" i="4"/>
  <c r="V32" i="4"/>
  <c r="V31" i="4"/>
  <c r="V30" i="4"/>
  <c r="V29" i="4"/>
  <c r="V28" i="4"/>
  <c r="V27" i="4"/>
  <c r="V26" i="4"/>
  <c r="V25" i="4"/>
  <c r="V24" i="4"/>
  <c r="V23" i="4"/>
  <c r="V22" i="4"/>
  <c r="V21" i="4"/>
  <c r="V20" i="4"/>
  <c r="V19" i="4"/>
  <c r="V18" i="4"/>
  <c r="V17" i="4"/>
  <c r="V16" i="4"/>
  <c r="V15" i="4"/>
  <c r="V14" i="4"/>
  <c r="U38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S27" i="9" l="1"/>
  <c r="P27" i="9"/>
  <c r="H14" i="1"/>
  <c r="H18" i="1"/>
  <c r="H19" i="1"/>
  <c r="V19" i="1" s="1"/>
  <c r="U14" i="4"/>
  <c r="V45" i="1"/>
  <c r="V41" i="1"/>
  <c r="V37" i="1"/>
  <c r="V33" i="1"/>
  <c r="V29" i="1"/>
  <c r="U45" i="1"/>
  <c r="U41" i="1"/>
  <c r="U37" i="1"/>
  <c r="U33" i="1"/>
  <c r="U29" i="1"/>
  <c r="Q48" i="1"/>
  <c r="R48" i="1"/>
  <c r="T48" i="1"/>
  <c r="Q49" i="1"/>
  <c r="R49" i="1"/>
  <c r="T49" i="1"/>
  <c r="Q50" i="1"/>
  <c r="R50" i="1"/>
  <c r="T50" i="1"/>
  <c r="Q51" i="1"/>
  <c r="R51" i="1"/>
  <c r="T51" i="1"/>
  <c r="Q52" i="1"/>
  <c r="R52" i="1"/>
  <c r="T52" i="1"/>
  <c r="Q53" i="1"/>
  <c r="R53" i="1"/>
  <c r="T53" i="1"/>
  <c r="L48" i="1"/>
  <c r="M48" i="1"/>
  <c r="L49" i="1"/>
  <c r="M49" i="1"/>
  <c r="L50" i="1"/>
  <c r="M50" i="1"/>
  <c r="L51" i="1"/>
  <c r="M51" i="1"/>
  <c r="L52" i="1"/>
  <c r="M52" i="1"/>
  <c r="L53" i="1"/>
  <c r="M53" i="1"/>
  <c r="I48" i="1"/>
  <c r="J48" i="1"/>
  <c r="K48" i="1"/>
  <c r="N48" i="1"/>
  <c r="O48" i="1"/>
  <c r="P48" i="1"/>
  <c r="I49" i="1"/>
  <c r="J49" i="1"/>
  <c r="K49" i="1"/>
  <c r="N49" i="1"/>
  <c r="O49" i="1"/>
  <c r="P49" i="1"/>
  <c r="I50" i="1"/>
  <c r="J50" i="1"/>
  <c r="K50" i="1"/>
  <c r="N50" i="1"/>
  <c r="O50" i="1"/>
  <c r="P50" i="1"/>
  <c r="I51" i="1"/>
  <c r="J51" i="1"/>
  <c r="K51" i="1"/>
  <c r="N51" i="1"/>
  <c r="O51" i="1"/>
  <c r="P51" i="1"/>
  <c r="I52" i="1"/>
  <c r="J52" i="1"/>
  <c r="K52" i="1"/>
  <c r="N52" i="1"/>
  <c r="O52" i="1"/>
  <c r="P52" i="1"/>
  <c r="I53" i="1"/>
  <c r="J53" i="1"/>
  <c r="K53" i="1"/>
  <c r="N53" i="1"/>
  <c r="O53" i="1"/>
  <c r="P53" i="1"/>
  <c r="H38" i="1"/>
  <c r="V38" i="1" s="1"/>
  <c r="H34" i="1"/>
  <c r="V34" i="1" s="1"/>
  <c r="H30" i="1"/>
  <c r="V30" i="1" s="1"/>
  <c r="H46" i="1"/>
  <c r="V46" i="1" s="1"/>
  <c r="H44" i="1"/>
  <c r="U44" i="1" s="1"/>
  <c r="H43" i="1"/>
  <c r="V43" i="1" s="1"/>
  <c r="H42" i="1"/>
  <c r="V42" i="1" s="1"/>
  <c r="H40" i="1"/>
  <c r="H39" i="1"/>
  <c r="V39" i="1" s="1"/>
  <c r="H15" i="1"/>
  <c r="H16" i="1"/>
  <c r="U16" i="1" s="1"/>
  <c r="H17" i="1"/>
  <c r="V17" i="1" s="1"/>
  <c r="V18" i="1"/>
  <c r="V14" i="1"/>
  <c r="H36" i="1"/>
  <c r="U36" i="1" s="1"/>
  <c r="H35" i="1"/>
  <c r="V35" i="1" s="1"/>
  <c r="H32" i="1"/>
  <c r="U32" i="1" s="1"/>
  <c r="H31" i="1"/>
  <c r="V31" i="1" s="1"/>
  <c r="H28" i="1"/>
  <c r="U28" i="1" s="1"/>
  <c r="H27" i="1"/>
  <c r="V27" i="1" s="1"/>
  <c r="H21" i="1"/>
  <c r="V21" i="1" s="1"/>
  <c r="H22" i="1"/>
  <c r="V22" i="1" s="1"/>
  <c r="H23" i="1"/>
  <c r="V23" i="1" s="1"/>
  <c r="H24" i="1"/>
  <c r="U24" i="1" s="1"/>
  <c r="H25" i="1"/>
  <c r="V25" i="1" s="1"/>
  <c r="H26" i="1"/>
  <c r="V26" i="1" s="1"/>
  <c r="P28" i="9" l="1"/>
  <c r="S28" i="9"/>
  <c r="V15" i="1"/>
  <c r="I12" i="11" a="1"/>
  <c r="I12" i="11" s="1"/>
  <c r="I16" i="11" a="1"/>
  <c r="I16" i="11" s="1"/>
  <c r="I20" i="11" a="1"/>
  <c r="I20" i="11" s="1"/>
  <c r="I24" i="11" a="1"/>
  <c r="I24" i="11" s="1"/>
  <c r="I28" i="11" a="1"/>
  <c r="I28" i="11" s="1"/>
  <c r="I32" i="11" a="1"/>
  <c r="I32" i="11" s="1"/>
  <c r="I36" i="11" a="1"/>
  <c r="I36" i="11" s="1"/>
  <c r="I11" i="11" a="1"/>
  <c r="I11" i="11" s="1"/>
  <c r="I14" i="11" a="1"/>
  <c r="I14" i="11" s="1"/>
  <c r="I18" i="11" a="1"/>
  <c r="I18" i="11" s="1"/>
  <c r="I22" i="11" a="1"/>
  <c r="I22" i="11" s="1"/>
  <c r="I26" i="11" a="1"/>
  <c r="I26" i="11" s="1"/>
  <c r="I30" i="11" a="1"/>
  <c r="I30" i="11" s="1"/>
  <c r="I34" i="11" a="1"/>
  <c r="I34" i="11" s="1"/>
  <c r="I38" i="11" a="1"/>
  <c r="I38" i="11" s="1"/>
  <c r="I17" i="11" a="1"/>
  <c r="I17" i="11" s="1"/>
  <c r="I21" i="11" a="1"/>
  <c r="I21" i="11" s="1"/>
  <c r="I25" i="11" a="1"/>
  <c r="I25" i="11" s="1"/>
  <c r="I29" i="11" a="1"/>
  <c r="I29" i="11" s="1"/>
  <c r="I15" i="11" a="1"/>
  <c r="I15" i="11" s="1"/>
  <c r="I19" i="11" a="1"/>
  <c r="I19" i="11" s="1"/>
  <c r="I23" i="11" a="1"/>
  <c r="I23" i="11" s="1"/>
  <c r="I27" i="11" a="1"/>
  <c r="I27" i="11" s="1"/>
  <c r="I31" i="11" a="1"/>
  <c r="I31" i="11" s="1"/>
  <c r="I35" i="11" a="1"/>
  <c r="I35" i="11" s="1"/>
  <c r="I39" i="11" a="1"/>
  <c r="I39" i="11" s="1"/>
  <c r="I13" i="11" a="1"/>
  <c r="I13" i="11" s="1"/>
  <c r="I33" i="11" a="1"/>
  <c r="I33" i="11" s="1"/>
  <c r="I37" i="11" a="1"/>
  <c r="I37" i="11" s="1"/>
  <c r="V36" i="1"/>
  <c r="V28" i="1"/>
  <c r="H20" i="1"/>
  <c r="U20" i="1" s="1"/>
  <c r="U21" i="1"/>
  <c r="V44" i="1"/>
  <c r="U40" i="1"/>
  <c r="U25" i="1"/>
  <c r="V32" i="1"/>
  <c r="V40" i="1"/>
  <c r="U17" i="1"/>
  <c r="V16" i="1"/>
  <c r="V20" i="1"/>
  <c r="V24" i="1"/>
  <c r="U14" i="1"/>
  <c r="U18" i="1"/>
  <c r="U22" i="1"/>
  <c r="U26" i="1"/>
  <c r="U30" i="1"/>
  <c r="U34" i="1"/>
  <c r="U38" i="1"/>
  <c r="U42" i="1"/>
  <c r="U46" i="1"/>
  <c r="U15" i="1"/>
  <c r="U19" i="1"/>
  <c r="U23" i="1"/>
  <c r="U27" i="1"/>
  <c r="U31" i="1"/>
  <c r="U35" i="1"/>
  <c r="U39" i="1"/>
  <c r="U43" i="1"/>
  <c r="H48" i="1"/>
  <c r="F49" i="1"/>
  <c r="F50" i="1"/>
  <c r="H53" i="1"/>
  <c r="H52" i="1"/>
  <c r="H51" i="1"/>
  <c r="H50" i="1"/>
  <c r="H49" i="1"/>
  <c r="F51" i="1"/>
  <c r="F48" i="1"/>
  <c r="F52" i="1"/>
  <c r="F53" i="1"/>
  <c r="S29" i="9" l="1"/>
  <c r="P29" i="9"/>
  <c r="P30" i="9" l="1"/>
  <c r="S30" i="9"/>
  <c r="S31" i="9" l="1"/>
  <c r="P31" i="9"/>
  <c r="P32" i="9" l="1"/>
  <c r="S32" i="9"/>
  <c r="S33" i="9" l="1"/>
  <c r="P33" i="9"/>
  <c r="P34" i="9" l="1"/>
  <c r="S34" i="9"/>
  <c r="S35" i="9" l="1"/>
  <c r="P35" i="9"/>
  <c r="P36" i="9" l="1"/>
  <c r="S36" i="9"/>
  <c r="S37" i="9" l="1"/>
  <c r="P37" i="9"/>
  <c r="P38" i="9" l="1"/>
  <c r="S38" i="9"/>
  <c r="S39" i="9" l="1"/>
  <c r="P39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朱阿</author>
  </authors>
  <commentList>
    <comment ref="F29" authorId="0" shapeId="0" xr:uid="{44709D1B-0D91-4349-8529-6A5B10BEF367}">
      <text>
        <r>
          <rPr>
            <b/>
            <sz val="9"/>
            <color indexed="81"/>
            <rFont val="宋体"/>
            <family val="3"/>
            <charset val="134"/>
          </rPr>
          <t xml:space="preserve">输出基于结合装备数值的英雄进行计算
</t>
        </r>
      </text>
    </comment>
    <comment ref="H29" authorId="0" shapeId="0" xr:uid="{511F9617-710B-41B1-9786-413E67EECD5A}">
      <text>
        <r>
          <rPr>
            <b/>
            <sz val="9"/>
            <color indexed="81"/>
            <rFont val="宋体"/>
            <family val="3"/>
            <charset val="134"/>
          </rPr>
          <t>体力基于所有我方战力总和进行计算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<sst xmlns="http://schemas.openxmlformats.org/spreadsheetml/2006/main" count="1950" uniqueCount="558">
  <si>
    <t>装备</t>
    <phoneticPr fontId="1" type="noConversion"/>
  </si>
  <si>
    <t>英雄</t>
    <phoneticPr fontId="1" type="noConversion"/>
  </si>
  <si>
    <t>宠物</t>
    <phoneticPr fontId="1" type="noConversion"/>
  </si>
  <si>
    <t>公会</t>
    <phoneticPr fontId="1" type="noConversion"/>
  </si>
  <si>
    <t>家园</t>
    <phoneticPr fontId="1" type="noConversion"/>
  </si>
  <si>
    <t>系统名称</t>
    <phoneticPr fontId="1" type="noConversion"/>
  </si>
  <si>
    <t>序号</t>
    <phoneticPr fontId="1" type="noConversion"/>
  </si>
  <si>
    <t>系统细分</t>
    <phoneticPr fontId="1" type="noConversion"/>
  </si>
  <si>
    <t>解锁等级</t>
    <phoneticPr fontId="1" type="noConversion"/>
  </si>
  <si>
    <t>战力产出</t>
    <phoneticPr fontId="1" type="noConversion"/>
  </si>
  <si>
    <t>装备升级</t>
    <phoneticPr fontId="1" type="noConversion"/>
  </si>
  <si>
    <t>装备锻造</t>
    <phoneticPr fontId="1" type="noConversion"/>
  </si>
  <si>
    <t>装备附魔</t>
    <phoneticPr fontId="1" type="noConversion"/>
  </si>
  <si>
    <t>装备熔炼</t>
    <phoneticPr fontId="1" type="noConversion"/>
  </si>
  <si>
    <t>装备套装</t>
    <phoneticPr fontId="1" type="noConversion"/>
  </si>
  <si>
    <t>装备洗练</t>
    <phoneticPr fontId="1" type="noConversion"/>
  </si>
  <si>
    <t>装备系统</t>
    <phoneticPr fontId="1" type="noConversion"/>
  </si>
  <si>
    <t>英雄系统</t>
    <phoneticPr fontId="1" type="noConversion"/>
  </si>
  <si>
    <t>英雄升级</t>
    <phoneticPr fontId="1" type="noConversion"/>
  </si>
  <si>
    <t>英雄晋升</t>
    <phoneticPr fontId="1" type="noConversion"/>
  </si>
  <si>
    <t>装备升阶</t>
    <phoneticPr fontId="1" type="noConversion"/>
  </si>
  <si>
    <t>随从系统</t>
  </si>
  <si>
    <t>宠物系统</t>
  </si>
  <si>
    <t>宠物系统</t>
    <phoneticPr fontId="1" type="noConversion"/>
  </si>
  <si>
    <t>英雄</t>
    <phoneticPr fontId="1" type="noConversion"/>
  </si>
  <si>
    <t>公会系统</t>
  </si>
  <si>
    <t>公会系统</t>
    <phoneticPr fontId="1" type="noConversion"/>
  </si>
  <si>
    <t>家园系统</t>
  </si>
  <si>
    <t>家园系统</t>
    <phoneticPr fontId="1" type="noConversion"/>
  </si>
  <si>
    <t>家园建造</t>
    <phoneticPr fontId="1" type="noConversion"/>
  </si>
  <si>
    <t>家园养成</t>
    <phoneticPr fontId="1" type="noConversion"/>
  </si>
  <si>
    <t>公会建造</t>
    <phoneticPr fontId="1" type="noConversion"/>
  </si>
  <si>
    <t>公会养成</t>
    <phoneticPr fontId="1" type="noConversion"/>
  </si>
  <si>
    <t>家园战斗</t>
    <phoneticPr fontId="1" type="noConversion"/>
  </si>
  <si>
    <t>公会战斗</t>
    <phoneticPr fontId="1" type="noConversion"/>
  </si>
  <si>
    <t>系统框架表</t>
    <phoneticPr fontId="1" type="noConversion"/>
  </si>
  <si>
    <t>系统参数表</t>
    <phoneticPr fontId="1" type="noConversion"/>
  </si>
  <si>
    <t>金币消耗</t>
    <phoneticPr fontId="1" type="noConversion"/>
  </si>
  <si>
    <t>宝石消耗</t>
    <phoneticPr fontId="1" type="noConversion"/>
  </si>
  <si>
    <t>锻造石消耗</t>
    <phoneticPr fontId="1" type="noConversion"/>
  </si>
  <si>
    <t>突破石消耗</t>
    <phoneticPr fontId="1" type="noConversion"/>
  </si>
  <si>
    <t>晋升石消耗</t>
    <phoneticPr fontId="1" type="noConversion"/>
  </si>
  <si>
    <t>进化石消耗</t>
    <phoneticPr fontId="1" type="noConversion"/>
  </si>
  <si>
    <t>建造石消耗</t>
    <phoneticPr fontId="1" type="noConversion"/>
  </si>
  <si>
    <t>-</t>
    <phoneticPr fontId="1" type="noConversion"/>
  </si>
  <si>
    <t>数据检验</t>
  </si>
  <si>
    <t>数据检验</t>
    <phoneticPr fontId="1" type="noConversion"/>
  </si>
  <si>
    <t>装备系统</t>
  </si>
  <si>
    <t>英雄系统</t>
  </si>
  <si>
    <t>系统名称</t>
    <phoneticPr fontId="1" type="noConversion"/>
  </si>
  <si>
    <t>金币消耗修正</t>
    <phoneticPr fontId="1" type="noConversion"/>
  </si>
  <si>
    <t>宠物升级</t>
    <phoneticPr fontId="1" type="noConversion"/>
  </si>
  <si>
    <t>宠物进化</t>
    <phoneticPr fontId="1" type="noConversion"/>
  </si>
  <si>
    <t>宠物</t>
    <phoneticPr fontId="1" type="noConversion"/>
  </si>
  <si>
    <t>英雄购买</t>
    <phoneticPr fontId="1" type="noConversion"/>
  </si>
  <si>
    <t>宠物购买</t>
    <phoneticPr fontId="1" type="noConversion"/>
  </si>
  <si>
    <t>附魔石消耗</t>
    <phoneticPr fontId="1" type="noConversion"/>
  </si>
  <si>
    <t>洗练石消耗</t>
    <phoneticPr fontId="1" type="noConversion"/>
  </si>
  <si>
    <t>标准金币产出效率</t>
    <phoneticPr fontId="1" type="noConversion"/>
  </si>
  <si>
    <t>标准宝石产出效率</t>
    <phoneticPr fontId="1" type="noConversion"/>
  </si>
  <si>
    <t>标准锻造石产出效率</t>
    <phoneticPr fontId="1" type="noConversion"/>
  </si>
  <si>
    <t>标准晋升石产出效率</t>
    <phoneticPr fontId="1" type="noConversion"/>
  </si>
  <si>
    <t>标准进化石产出效率</t>
    <phoneticPr fontId="1" type="noConversion"/>
  </si>
  <si>
    <t>标准建造石产出效率</t>
    <phoneticPr fontId="1" type="noConversion"/>
  </si>
  <si>
    <t>标准突破石产出效率</t>
    <phoneticPr fontId="1" type="noConversion"/>
  </si>
  <si>
    <t>消耗修正</t>
    <phoneticPr fontId="1" type="noConversion"/>
  </si>
  <si>
    <t>标准产出</t>
    <phoneticPr fontId="1" type="noConversion"/>
  </si>
  <si>
    <t>标准消耗</t>
    <phoneticPr fontId="1" type="noConversion"/>
  </si>
  <si>
    <t>标准金币消耗效率</t>
  </si>
  <si>
    <t>标准宝石消耗效率</t>
  </si>
  <si>
    <t>标准锻造石消耗效率</t>
  </si>
  <si>
    <t>标准突破石消耗效率</t>
  </si>
  <si>
    <t>标准晋升石消耗效率</t>
  </si>
  <si>
    <t>标准进化石消耗效率</t>
  </si>
  <si>
    <t>标准建造石消耗效率</t>
  </si>
  <si>
    <t>玩法框架表</t>
    <phoneticPr fontId="1" type="noConversion"/>
  </si>
  <si>
    <t>玩法名称</t>
    <phoneticPr fontId="1" type="noConversion"/>
  </si>
  <si>
    <t>玩法类别</t>
    <phoneticPr fontId="1" type="noConversion"/>
  </si>
  <si>
    <t>金币产出</t>
  </si>
  <si>
    <t>宝石产出</t>
  </si>
  <si>
    <t>锻造石产出</t>
  </si>
  <si>
    <t>突破石产出</t>
  </si>
  <si>
    <t>附魔石产出</t>
  </si>
  <si>
    <t>洗练石产出</t>
  </si>
  <si>
    <t>晋升石产出</t>
  </si>
  <si>
    <t>进化石产出</t>
  </si>
  <si>
    <t>建造石产出</t>
  </si>
  <si>
    <t>主线任务</t>
    <phoneticPr fontId="1" type="noConversion"/>
  </si>
  <si>
    <t>支线任务</t>
    <phoneticPr fontId="1" type="noConversion"/>
  </si>
  <si>
    <t>游历</t>
  </si>
  <si>
    <t>游历</t>
    <phoneticPr fontId="1" type="noConversion"/>
  </si>
  <si>
    <t>挖矿</t>
    <phoneticPr fontId="1" type="noConversion"/>
  </si>
  <si>
    <t>砍树</t>
    <phoneticPr fontId="1" type="noConversion"/>
  </si>
  <si>
    <t>探险</t>
    <phoneticPr fontId="1" type="noConversion"/>
  </si>
  <si>
    <t>特殊任务</t>
    <phoneticPr fontId="1" type="noConversion"/>
  </si>
  <si>
    <t xml:space="preserve">地区BOSS </t>
    <phoneticPr fontId="1" type="noConversion"/>
  </si>
  <si>
    <t>世界BOSS</t>
    <phoneticPr fontId="1" type="noConversion"/>
  </si>
  <si>
    <t>任务</t>
  </si>
  <si>
    <t>任务</t>
    <phoneticPr fontId="1" type="noConversion"/>
  </si>
  <si>
    <t>战斗</t>
  </si>
  <si>
    <t>战斗</t>
    <phoneticPr fontId="1" type="noConversion"/>
  </si>
  <si>
    <t>家园</t>
  </si>
  <si>
    <t>家园</t>
    <phoneticPr fontId="1" type="noConversion"/>
  </si>
  <si>
    <t>种田</t>
    <phoneticPr fontId="1" type="noConversion"/>
  </si>
  <si>
    <t>畜牧</t>
    <phoneticPr fontId="1" type="noConversion"/>
  </si>
  <si>
    <t>建造</t>
    <phoneticPr fontId="1" type="noConversion"/>
  </si>
  <si>
    <t>经营</t>
    <phoneticPr fontId="1" type="noConversion"/>
  </si>
  <si>
    <t>爬塔</t>
    <phoneticPr fontId="1" type="noConversion"/>
  </si>
  <si>
    <t>竞技场</t>
    <phoneticPr fontId="1" type="noConversion"/>
  </si>
  <si>
    <t>PVE</t>
  </si>
  <si>
    <t>PVE</t>
    <phoneticPr fontId="1" type="noConversion"/>
  </si>
  <si>
    <t>PVP</t>
  </si>
  <si>
    <t>PVP</t>
    <phoneticPr fontId="1" type="noConversion"/>
  </si>
  <si>
    <t>剧情活动</t>
    <phoneticPr fontId="1" type="noConversion"/>
  </si>
  <si>
    <t>节日活动</t>
    <phoneticPr fontId="1" type="noConversion"/>
  </si>
  <si>
    <t>活动</t>
  </si>
  <si>
    <t>活动</t>
    <phoneticPr fontId="1" type="noConversion"/>
  </si>
  <si>
    <t>周常活动</t>
    <phoneticPr fontId="1" type="noConversion"/>
  </si>
  <si>
    <t>食物消耗</t>
    <phoneticPr fontId="1" type="noConversion"/>
  </si>
  <si>
    <t>木材消耗</t>
    <phoneticPr fontId="1" type="noConversion"/>
  </si>
  <si>
    <t>家园运维</t>
    <phoneticPr fontId="1" type="noConversion"/>
  </si>
  <si>
    <t>公会运维</t>
    <phoneticPr fontId="1" type="noConversion"/>
  </si>
  <si>
    <t>英雄运维</t>
  </si>
  <si>
    <t>宠物运维</t>
  </si>
  <si>
    <t>消耗总量汇总</t>
    <phoneticPr fontId="1" type="noConversion"/>
  </si>
  <si>
    <t>消耗种类汇总</t>
    <phoneticPr fontId="1" type="noConversion"/>
  </si>
  <si>
    <t>食物产出</t>
  </si>
  <si>
    <t>木材产出</t>
  </si>
  <si>
    <t>石材产出</t>
  </si>
  <si>
    <t>产出总量汇总</t>
  </si>
  <si>
    <t>产出种类汇总</t>
  </si>
  <si>
    <t>产出修正</t>
    <phoneticPr fontId="1" type="noConversion"/>
  </si>
  <si>
    <t>玩法名称</t>
    <phoneticPr fontId="1" type="noConversion"/>
  </si>
  <si>
    <t>金币产出修正</t>
    <phoneticPr fontId="1" type="noConversion"/>
  </si>
  <si>
    <t>任务汇总</t>
    <phoneticPr fontId="1" type="noConversion"/>
  </si>
  <si>
    <t>活动汇总</t>
    <phoneticPr fontId="1" type="noConversion"/>
  </si>
  <si>
    <t>家园汇总</t>
    <phoneticPr fontId="1" type="noConversion"/>
  </si>
  <si>
    <t>游历汇总</t>
    <phoneticPr fontId="1" type="noConversion"/>
  </si>
  <si>
    <t>战斗汇总</t>
    <phoneticPr fontId="1" type="noConversion"/>
  </si>
  <si>
    <t>PVE汇总</t>
    <phoneticPr fontId="1" type="noConversion"/>
  </si>
  <si>
    <t>PVP汇总</t>
    <phoneticPr fontId="1" type="noConversion"/>
  </si>
  <si>
    <t>伙伴系统</t>
  </si>
  <si>
    <t>伙伴</t>
  </si>
  <si>
    <t>伙伴升级</t>
  </si>
  <si>
    <t>伙伴晋升</t>
  </si>
  <si>
    <t>伙伴运维</t>
  </si>
  <si>
    <t>伙伴购买</t>
  </si>
  <si>
    <t>产出类型</t>
    <phoneticPr fontId="1" type="noConversion"/>
  </si>
  <si>
    <t>一次性</t>
    <phoneticPr fontId="1" type="noConversion"/>
  </si>
  <si>
    <t>重复</t>
  </si>
  <si>
    <t>重复</t>
    <phoneticPr fontId="1" type="noConversion"/>
  </si>
  <si>
    <t>-</t>
    <phoneticPr fontId="1" type="noConversion"/>
  </si>
  <si>
    <t>特殊产出</t>
    <phoneticPr fontId="1" type="noConversion"/>
  </si>
  <si>
    <t>石材消耗</t>
  </si>
  <si>
    <t>特殊消耗</t>
    <phoneticPr fontId="1" type="noConversion"/>
  </si>
  <si>
    <t>目录</t>
    <phoneticPr fontId="1" type="noConversion"/>
  </si>
  <si>
    <t>副本</t>
    <phoneticPr fontId="1" type="noConversion"/>
  </si>
  <si>
    <t>重复</t>
    <phoneticPr fontId="1" type="noConversion"/>
  </si>
  <si>
    <t>PVE</t>
    <phoneticPr fontId="1" type="noConversion"/>
  </si>
  <si>
    <t>PVP</t>
    <phoneticPr fontId="1" type="noConversion"/>
  </si>
  <si>
    <t>攻城战</t>
    <phoneticPr fontId="1" type="noConversion"/>
  </si>
  <si>
    <t>一次性</t>
    <phoneticPr fontId="1" type="noConversion"/>
  </si>
  <si>
    <t>等级段</t>
    <phoneticPr fontId="6" type="noConversion"/>
  </si>
  <si>
    <t>运营阶段</t>
    <phoneticPr fontId="6" type="noConversion"/>
  </si>
  <si>
    <t>封测</t>
    <phoneticPr fontId="6" type="noConversion"/>
  </si>
  <si>
    <t>公测</t>
    <phoneticPr fontId="6" type="noConversion"/>
  </si>
  <si>
    <t>地图1</t>
    <phoneticPr fontId="6" type="noConversion"/>
  </si>
  <si>
    <t>地图2</t>
  </si>
  <si>
    <t>地图3</t>
  </si>
  <si>
    <t>地图4</t>
  </si>
  <si>
    <t>地图5</t>
  </si>
  <si>
    <t>地图6</t>
  </si>
  <si>
    <t>-</t>
    <phoneticPr fontId="6" type="noConversion"/>
  </si>
  <si>
    <t>升级地图</t>
    <phoneticPr fontId="1" type="noConversion"/>
  </si>
  <si>
    <t>整体规划</t>
    <phoneticPr fontId="1" type="noConversion"/>
  </si>
  <si>
    <t>详细规划</t>
    <phoneticPr fontId="1" type="noConversion"/>
  </si>
  <si>
    <t>等级</t>
    <phoneticPr fontId="1" type="noConversion"/>
  </si>
  <si>
    <t>升级天数</t>
    <phoneticPr fontId="1" type="noConversion"/>
  </si>
  <si>
    <t>解锁系统：公会</t>
    <phoneticPr fontId="1" type="noConversion"/>
  </si>
  <si>
    <t>解锁系统：家园、伙伴</t>
    <phoneticPr fontId="1" type="noConversion"/>
  </si>
  <si>
    <t>新手引导：介绍开场剧情、熟悉基础操作</t>
    <phoneticPr fontId="1" type="noConversion"/>
  </si>
  <si>
    <t>新手引导：推进剧情、揭示部分关键人物</t>
    <phoneticPr fontId="1" type="noConversion"/>
  </si>
  <si>
    <t>非资料片内容部分完结；解锁玩法：竞技场、攻城战</t>
    <phoneticPr fontId="1" type="noConversion"/>
  </si>
  <si>
    <t>解锁玩法：副本、爬塔</t>
    <phoneticPr fontId="1" type="noConversion"/>
  </si>
  <si>
    <t>解锁玩法：区域BOSS、世界BOSS</t>
    <phoneticPr fontId="1" type="noConversion"/>
  </si>
  <si>
    <t>开放地图6：扩展世界版图</t>
    <phoneticPr fontId="1" type="noConversion"/>
  </si>
  <si>
    <t>开放地图1：扩展世界版图，脱离强制线性剧情；解锁系统：宠物</t>
    <phoneticPr fontId="1" type="noConversion"/>
  </si>
  <si>
    <t>开放地图3：扩展世界版图</t>
    <phoneticPr fontId="1" type="noConversion"/>
  </si>
  <si>
    <t>开放地图2：扩展世界版图</t>
    <phoneticPr fontId="1" type="noConversion"/>
  </si>
  <si>
    <t>开放地图4：扩展世界版图</t>
    <phoneticPr fontId="1" type="noConversion"/>
  </si>
  <si>
    <t>开放地图5：扩展世界版图</t>
    <phoneticPr fontId="1" type="noConversion"/>
  </si>
  <si>
    <t>经验消耗</t>
    <phoneticPr fontId="1" type="noConversion"/>
  </si>
  <si>
    <t>经验产出</t>
    <phoneticPr fontId="1" type="noConversion"/>
  </si>
  <si>
    <t>经验产出修正</t>
    <phoneticPr fontId="1" type="noConversion"/>
  </si>
  <si>
    <t>主线任务数量</t>
    <phoneticPr fontId="1" type="noConversion"/>
  </si>
  <si>
    <t>升级分钟</t>
    <phoneticPr fontId="1" type="noConversion"/>
  </si>
  <si>
    <t>累计天数</t>
    <phoneticPr fontId="1" type="noConversion"/>
  </si>
  <si>
    <t>最小升级天数</t>
    <phoneticPr fontId="6" type="noConversion"/>
  </si>
  <si>
    <t>平均升级天数</t>
    <phoneticPr fontId="6" type="noConversion"/>
  </si>
  <si>
    <t>等级开放时间</t>
    <phoneticPr fontId="6" type="noConversion"/>
  </si>
  <si>
    <t>等级</t>
    <phoneticPr fontId="1" type="noConversion"/>
  </si>
  <si>
    <t>所需总经验</t>
    <phoneticPr fontId="1" type="noConversion"/>
  </si>
  <si>
    <t>平均任务经验</t>
    <phoneticPr fontId="1" type="noConversion"/>
  </si>
  <si>
    <t>经验总览</t>
    <phoneticPr fontId="1" type="noConversion"/>
  </si>
  <si>
    <t>时长参数表</t>
    <phoneticPr fontId="1" type="noConversion"/>
  </si>
  <si>
    <t>平均主线时长</t>
    <phoneticPr fontId="1" type="noConversion"/>
  </si>
  <si>
    <t>平均副本时长</t>
    <phoneticPr fontId="1" type="noConversion"/>
  </si>
  <si>
    <t>经验消耗修正</t>
    <phoneticPr fontId="1" type="noConversion"/>
  </si>
  <si>
    <t>属性分级</t>
  </si>
  <si>
    <t>属性名称</t>
  </si>
  <si>
    <t>属性说明</t>
  </si>
  <si>
    <t>属性转化公式</t>
    <phoneticPr fontId="6" type="noConversion"/>
  </si>
  <si>
    <t>成长方式</t>
    <phoneticPr fontId="6" type="noConversion"/>
  </si>
  <si>
    <t>体质</t>
    <phoneticPr fontId="1" type="noConversion"/>
  </si>
  <si>
    <t>体质</t>
    <phoneticPr fontId="6" type="noConversion"/>
  </si>
  <si>
    <t>一级属性</t>
    <phoneticPr fontId="6" type="noConversion"/>
  </si>
  <si>
    <t>力量</t>
    <phoneticPr fontId="1" type="noConversion"/>
  </si>
  <si>
    <t>敏捷</t>
    <phoneticPr fontId="6" type="noConversion"/>
  </si>
  <si>
    <t>秘能</t>
    <phoneticPr fontId="6" type="noConversion"/>
  </si>
  <si>
    <t>二级属性</t>
    <phoneticPr fontId="6" type="noConversion"/>
  </si>
  <si>
    <t>魔法伤害</t>
    <phoneticPr fontId="6" type="noConversion"/>
  </si>
  <si>
    <t>体力上限</t>
    <phoneticPr fontId="6" type="noConversion"/>
  </si>
  <si>
    <t>魔力上限</t>
    <phoneticPr fontId="6" type="noConversion"/>
  </si>
  <si>
    <t>物理防御</t>
    <phoneticPr fontId="6" type="noConversion"/>
  </si>
  <si>
    <t>魔法防御</t>
    <phoneticPr fontId="6" type="noConversion"/>
  </si>
  <si>
    <t>物理暴击</t>
    <phoneticPr fontId="6" type="noConversion"/>
  </si>
  <si>
    <t>魔法暴击</t>
    <phoneticPr fontId="6" type="noConversion"/>
  </si>
  <si>
    <t>命中率</t>
    <phoneticPr fontId="6" type="noConversion"/>
  </si>
  <si>
    <t>闪避率</t>
    <phoneticPr fontId="6" type="noConversion"/>
  </si>
  <si>
    <t>附加属性</t>
    <phoneticPr fontId="6" type="noConversion"/>
  </si>
  <si>
    <t>流血伤害</t>
    <phoneticPr fontId="6" type="noConversion"/>
  </si>
  <si>
    <t>腐化伤害</t>
    <phoneticPr fontId="6" type="noConversion"/>
  </si>
  <si>
    <t>冰霜伤害</t>
    <phoneticPr fontId="6" type="noConversion"/>
  </si>
  <si>
    <t>火焰伤害</t>
    <phoneticPr fontId="6" type="noConversion"/>
  </si>
  <si>
    <t xml:space="preserve">自然伤害 </t>
    <phoneticPr fontId="6" type="noConversion"/>
  </si>
  <si>
    <t>暗影伤害</t>
    <phoneticPr fontId="6" type="noConversion"/>
  </si>
  <si>
    <t>雷电伤害</t>
    <phoneticPr fontId="6" type="noConversion"/>
  </si>
  <si>
    <t>神圣伤害</t>
    <phoneticPr fontId="6" type="noConversion"/>
  </si>
  <si>
    <t>大地伤害</t>
    <phoneticPr fontId="6" type="noConversion"/>
  </si>
  <si>
    <t>物理伤害：无视物理防御</t>
    <phoneticPr fontId="6" type="noConversion"/>
  </si>
  <si>
    <t>物理伤害：无视魔法防御</t>
    <phoneticPr fontId="6" type="noConversion"/>
  </si>
  <si>
    <t>魔法伤害：造成冰霜伤害</t>
    <phoneticPr fontId="6" type="noConversion"/>
  </si>
  <si>
    <t>魔法伤害：造成火焰伤害</t>
    <phoneticPr fontId="6" type="noConversion"/>
  </si>
  <si>
    <t>魔法伤害：造成自然伤害</t>
    <phoneticPr fontId="6" type="noConversion"/>
  </si>
  <si>
    <t>魔法伤害：造成神圣伤害</t>
    <phoneticPr fontId="6" type="noConversion"/>
  </si>
  <si>
    <t>魔法伤害：造成暗影伤害</t>
    <phoneticPr fontId="6" type="noConversion"/>
  </si>
  <si>
    <t>魔法伤害：造成雷电伤害</t>
    <phoneticPr fontId="6" type="noConversion"/>
  </si>
  <si>
    <t>魔法伤害：造成大地伤害</t>
    <phoneticPr fontId="6" type="noConversion"/>
  </si>
  <si>
    <t>基础值</t>
    <phoneticPr fontId="6" type="noConversion"/>
  </si>
  <si>
    <t>基础加成*(力量)+装备加成</t>
  </si>
  <si>
    <t>基础加成*(秘能)+装备加成</t>
  </si>
  <si>
    <t>基础加成*(体质)+装备加成</t>
  </si>
  <si>
    <t>装备加成</t>
  </si>
  <si>
    <t>基础加成*(敏捷)+装备加成</t>
  </si>
  <si>
    <t>升级+装备加成</t>
  </si>
  <si>
    <t>基础加成1</t>
    <phoneticPr fontId="6" type="noConversion"/>
  </si>
  <si>
    <t>基础加成2</t>
  </si>
  <si>
    <t>暴击伤害</t>
    <phoneticPr fontId="6" type="noConversion"/>
  </si>
  <si>
    <t>装备加成</t>
    <phoneticPr fontId="6" type="noConversion"/>
  </si>
  <si>
    <t>决定单位体力</t>
    <phoneticPr fontId="6" type="noConversion"/>
  </si>
  <si>
    <t>决定单位魔力</t>
    <phoneticPr fontId="6" type="noConversion"/>
  </si>
  <si>
    <t>决定单位物理防御</t>
    <phoneticPr fontId="6" type="noConversion"/>
  </si>
  <si>
    <t>决定单位魔法防御</t>
    <phoneticPr fontId="6" type="noConversion"/>
  </si>
  <si>
    <t>决定单位的物理伤害暴击率</t>
    <phoneticPr fontId="6" type="noConversion"/>
  </si>
  <si>
    <t>决定单位的魔法伤害暴击率</t>
    <phoneticPr fontId="6" type="noConversion"/>
  </si>
  <si>
    <t>决定单位技能、普攻物理伤害</t>
  </si>
  <si>
    <t>决定单位技能、普攻魔法伤害</t>
  </si>
  <si>
    <t>决定单位的物理、魔法伤害暴击倍率</t>
  </si>
  <si>
    <t>决定单位基础魔法伤害、基础魔力上限</t>
    <phoneticPr fontId="6" type="noConversion"/>
  </si>
  <si>
    <t>决定单位基础命中率、基础闪避率</t>
    <phoneticPr fontId="6" type="noConversion"/>
  </si>
  <si>
    <t>属性总览表</t>
    <phoneticPr fontId="6" type="noConversion"/>
  </si>
  <si>
    <t>决定单位普攻、技能的命中率</t>
    <phoneticPr fontId="6" type="noConversion"/>
  </si>
  <si>
    <t>决定单位受到普攻、技能的闪避率</t>
    <phoneticPr fontId="6" type="noConversion"/>
  </si>
  <si>
    <t>基本战斗公式</t>
    <phoneticPr fontId="1" type="noConversion"/>
  </si>
  <si>
    <t>防御</t>
    <phoneticPr fontId="1" type="noConversion"/>
  </si>
  <si>
    <t>攻击</t>
    <phoneticPr fontId="1" type="noConversion"/>
  </si>
  <si>
    <t>优先级</t>
    <phoneticPr fontId="1" type="noConversion"/>
  </si>
  <si>
    <t>判定内容</t>
    <phoneticPr fontId="1" type="noConversion"/>
  </si>
  <si>
    <t>类型</t>
    <phoneticPr fontId="1" type="noConversion"/>
  </si>
  <si>
    <t>细分</t>
    <phoneticPr fontId="1" type="noConversion"/>
  </si>
  <si>
    <t>公式</t>
    <phoneticPr fontId="1" type="noConversion"/>
  </si>
  <si>
    <t>圆桌判定规则</t>
    <phoneticPr fontId="1" type="noConversion"/>
  </si>
  <si>
    <t>物理防御</t>
    <phoneticPr fontId="1" type="noConversion"/>
  </si>
  <si>
    <t>奥数伤害</t>
    <phoneticPr fontId="6" type="noConversion"/>
  </si>
  <si>
    <t>魔法伤害：无视魔法防御</t>
    <phoneticPr fontId="6" type="noConversion"/>
  </si>
  <si>
    <t>物理伤害</t>
  </si>
  <si>
    <t>物理伤害</t>
    <phoneticPr fontId="1" type="noConversion"/>
  </si>
  <si>
    <t>魔法伤害</t>
    <phoneticPr fontId="1" type="noConversion"/>
  </si>
  <si>
    <t>物理免伤</t>
    <phoneticPr fontId="1" type="noConversion"/>
  </si>
  <si>
    <t>魔法免伤</t>
    <phoneticPr fontId="1" type="noConversion"/>
  </si>
  <si>
    <t>判断步骤</t>
    <phoneticPr fontId="1" type="noConversion"/>
  </si>
  <si>
    <t>是否命中</t>
    <phoneticPr fontId="1" type="noConversion"/>
  </si>
  <si>
    <t>是否闪避</t>
    <phoneticPr fontId="1" type="noConversion"/>
  </si>
  <si>
    <t>是否暴击</t>
    <phoneticPr fontId="1" type="noConversion"/>
  </si>
  <si>
    <t>伤害结算</t>
    <phoneticPr fontId="1" type="noConversion"/>
  </si>
  <si>
    <t>若命中，则进行下一步判断；否则判断为失误</t>
    <phoneticPr fontId="1" type="noConversion"/>
  </si>
  <si>
    <t>若闪避，则判断为闪避；否则进入下一步判断</t>
    <phoneticPr fontId="1" type="noConversion"/>
  </si>
  <si>
    <t>根据之前的判断内容进行对应伤害结算</t>
    <phoneticPr fontId="1" type="noConversion"/>
  </si>
  <si>
    <t>=物理攻击*(1-物理免伤率)*伤害修正</t>
    <phoneticPr fontId="1" type="noConversion"/>
  </si>
  <si>
    <t>=魔法攻击*(1-魔法免伤率)*伤害修正</t>
    <phoneticPr fontId="1" type="noConversion"/>
  </si>
  <si>
    <t>若暴击，则对伤害结算加入暴击系数及暴击修正；否则进入普通伤害结算</t>
    <phoneticPr fontId="1" type="noConversion"/>
  </si>
  <si>
    <t>英雄表</t>
    <phoneticPr fontId="1" type="noConversion"/>
  </si>
  <si>
    <t>英雄名称</t>
    <phoneticPr fontId="1" type="noConversion"/>
  </si>
  <si>
    <t>英雄等级</t>
    <phoneticPr fontId="1" type="noConversion"/>
  </si>
  <si>
    <t>英雄星级</t>
    <phoneticPr fontId="1" type="noConversion"/>
  </si>
  <si>
    <t>秘能</t>
    <phoneticPr fontId="1" type="noConversion"/>
  </si>
  <si>
    <t>基础加成*(体质)+装备加成</t>
    <phoneticPr fontId="6" type="noConversion"/>
  </si>
  <si>
    <t>敏捷</t>
    <phoneticPr fontId="1" type="noConversion"/>
  </si>
  <si>
    <t>决定单位基础物理伤害、基础角色负重</t>
  </si>
  <si>
    <t>体力上限</t>
    <phoneticPr fontId="1" type="noConversion"/>
  </si>
  <si>
    <t>魔力上限</t>
    <phoneticPr fontId="1" type="noConversion"/>
  </si>
  <si>
    <t>命中率</t>
    <phoneticPr fontId="1" type="noConversion"/>
  </si>
  <si>
    <t>闪避率</t>
    <phoneticPr fontId="1" type="noConversion"/>
  </si>
  <si>
    <t>暴击伤害</t>
    <phoneticPr fontId="1" type="noConversion"/>
  </si>
  <si>
    <t>物理暴击</t>
    <phoneticPr fontId="1" type="noConversion"/>
  </si>
  <si>
    <t>魔法暴击</t>
    <phoneticPr fontId="1" type="noConversion"/>
  </si>
  <si>
    <t>英雄1</t>
    <phoneticPr fontId="1" type="noConversion"/>
  </si>
  <si>
    <t>英雄晋升表</t>
    <phoneticPr fontId="1" type="noConversion"/>
  </si>
  <si>
    <t>力量提升</t>
    <phoneticPr fontId="1" type="noConversion"/>
  </si>
  <si>
    <t>秘能提升</t>
    <phoneticPr fontId="1" type="noConversion"/>
  </si>
  <si>
    <t>敏捷提升</t>
    <phoneticPr fontId="1" type="noConversion"/>
  </si>
  <si>
    <t>体质提升</t>
    <phoneticPr fontId="1" type="noConversion"/>
  </si>
  <si>
    <t>力量加成1</t>
    <phoneticPr fontId="1" type="noConversion"/>
  </si>
  <si>
    <t>力量加成2</t>
  </si>
  <si>
    <t>秘能加成1</t>
    <phoneticPr fontId="1" type="noConversion"/>
  </si>
  <si>
    <t>秘能加成2</t>
    <phoneticPr fontId="1" type="noConversion"/>
  </si>
  <si>
    <t>星级</t>
    <phoneticPr fontId="1" type="noConversion"/>
  </si>
  <si>
    <t>敏捷加成1</t>
    <phoneticPr fontId="1" type="noConversion"/>
  </si>
  <si>
    <t>体质加成1</t>
    <phoneticPr fontId="1" type="noConversion"/>
  </si>
  <si>
    <t>体质加成2</t>
    <phoneticPr fontId="1" type="noConversion"/>
  </si>
  <si>
    <t>决定单位基础体力上限、基础物理防御</t>
    <phoneticPr fontId="6" type="noConversion"/>
  </si>
  <si>
    <t>负重量</t>
    <phoneticPr fontId="1" type="noConversion"/>
  </si>
  <si>
    <t>负重量</t>
    <phoneticPr fontId="6" type="noConversion"/>
  </si>
  <si>
    <t>决定单位的背包负重</t>
    <phoneticPr fontId="6" type="noConversion"/>
  </si>
  <si>
    <t>敏捷加成2</t>
  </si>
  <si>
    <t>伙伴晋升表</t>
  </si>
  <si>
    <t>伙伴名称</t>
  </si>
  <si>
    <t>伙伴1</t>
  </si>
  <si>
    <t>伙伴表</t>
  </si>
  <si>
    <t>伙伴等级</t>
  </si>
  <si>
    <t>伙伴星级</t>
  </si>
  <si>
    <t>宠物表</t>
  </si>
  <si>
    <t>宠物名称</t>
  </si>
  <si>
    <t>宠物等级</t>
  </si>
  <si>
    <t>宠物星级</t>
  </si>
  <si>
    <t>宠物1</t>
  </si>
  <si>
    <t>宠物晋升表</t>
  </si>
  <si>
    <t>移动速度</t>
    <phoneticPr fontId="6" type="noConversion"/>
  </si>
  <si>
    <t>决定单位的移动速度</t>
    <phoneticPr fontId="6" type="noConversion"/>
  </si>
  <si>
    <t>移动速度</t>
    <phoneticPr fontId="1" type="noConversion"/>
  </si>
  <si>
    <t>普通</t>
    <phoneticPr fontId="1" type="noConversion"/>
  </si>
  <si>
    <t>精良</t>
    <phoneticPr fontId="1" type="noConversion"/>
  </si>
  <si>
    <t>史诗</t>
    <phoneticPr fontId="1" type="noConversion"/>
  </si>
  <si>
    <t>传说</t>
    <phoneticPr fontId="1" type="noConversion"/>
  </si>
  <si>
    <t>珍稀</t>
    <phoneticPr fontId="1" type="noConversion"/>
  </si>
  <si>
    <t>品质等级</t>
    <phoneticPr fontId="1" type="noConversion"/>
  </si>
  <si>
    <t>品质系数</t>
    <phoneticPr fontId="1" type="noConversion"/>
  </si>
  <si>
    <t>装备名称</t>
    <phoneticPr fontId="1" type="noConversion"/>
  </si>
  <si>
    <t>装备等级</t>
    <phoneticPr fontId="1" type="noConversion"/>
  </si>
  <si>
    <t>等级条件</t>
    <phoneticPr fontId="1" type="noConversion"/>
  </si>
  <si>
    <t>属性条件1</t>
    <phoneticPr fontId="1" type="noConversion"/>
  </si>
  <si>
    <t>属性条件2</t>
  </si>
  <si>
    <t>攻击类型</t>
    <phoneticPr fontId="1" type="noConversion"/>
  </si>
  <si>
    <t>伤害类型</t>
    <phoneticPr fontId="1" type="noConversion"/>
  </si>
  <si>
    <t>从属套装</t>
    <phoneticPr fontId="1" type="noConversion"/>
  </si>
  <si>
    <t>词条抽取池1</t>
    <phoneticPr fontId="1" type="noConversion"/>
  </si>
  <si>
    <t>词条抽取池2</t>
  </si>
  <si>
    <t>词条抽取池3</t>
  </si>
  <si>
    <t>装备部位表</t>
    <phoneticPr fontId="1" type="noConversion"/>
  </si>
  <si>
    <t>部位名称</t>
    <phoneticPr fontId="1" type="noConversion"/>
  </si>
  <si>
    <t>标准装备表</t>
    <phoneticPr fontId="1" type="noConversion"/>
  </si>
  <si>
    <t>头部</t>
    <phoneticPr fontId="1" type="noConversion"/>
  </si>
  <si>
    <t>衣服</t>
    <phoneticPr fontId="1" type="noConversion"/>
  </si>
  <si>
    <t>项链</t>
    <phoneticPr fontId="1" type="noConversion"/>
  </si>
  <si>
    <t>手套</t>
    <phoneticPr fontId="1" type="noConversion"/>
  </si>
  <si>
    <t>腿部</t>
    <phoneticPr fontId="1" type="noConversion"/>
  </si>
  <si>
    <t>裤子</t>
    <phoneticPr fontId="1" type="noConversion"/>
  </si>
  <si>
    <t>神话</t>
    <phoneticPr fontId="1" type="noConversion"/>
  </si>
  <si>
    <t>魔法伤害</t>
  </si>
  <si>
    <t>体力上限</t>
  </si>
  <si>
    <t>魔力上限</t>
  </si>
  <si>
    <t>命中率</t>
  </si>
  <si>
    <t>闪避率</t>
  </si>
  <si>
    <t>负重量</t>
  </si>
  <si>
    <t>物理防御</t>
  </si>
  <si>
    <t>魔法防御</t>
  </si>
  <si>
    <t>物理暴击</t>
  </si>
  <si>
    <t>魔法暴击</t>
  </si>
  <si>
    <t>暴击伤害</t>
  </si>
  <si>
    <t>移动速度</t>
  </si>
  <si>
    <t>戒指</t>
    <phoneticPr fontId="1" type="noConversion"/>
  </si>
  <si>
    <t>装备类型</t>
    <phoneticPr fontId="1" type="noConversion"/>
  </si>
  <si>
    <t>装备数量</t>
    <phoneticPr fontId="1" type="noConversion"/>
  </si>
  <si>
    <t>武器</t>
    <phoneticPr fontId="1" type="noConversion"/>
  </si>
  <si>
    <t>防具</t>
    <phoneticPr fontId="1" type="noConversion"/>
  </si>
  <si>
    <t>游戏介绍表</t>
    <phoneticPr fontId="1" type="noConversion"/>
  </si>
  <si>
    <t>游戏名称</t>
    <phoneticPr fontId="1" type="noConversion"/>
  </si>
  <si>
    <t>巫师3</t>
    <phoneticPr fontId="1" type="noConversion"/>
  </si>
  <si>
    <t>火炬之光2</t>
    <phoneticPr fontId="1" type="noConversion"/>
  </si>
  <si>
    <t>暗黑破坏神4</t>
    <phoneticPr fontId="1" type="noConversion"/>
  </si>
  <si>
    <t>夜族崛起</t>
    <phoneticPr fontId="1" type="noConversion"/>
  </si>
  <si>
    <t>神界原罪2</t>
    <phoneticPr fontId="1" type="noConversion"/>
  </si>
  <si>
    <t>暗喻幻想</t>
    <phoneticPr fontId="1" type="noConversion"/>
  </si>
  <si>
    <t>数值分析</t>
    <phoneticPr fontId="1" type="noConversion"/>
  </si>
  <si>
    <t>中土世界</t>
    <phoneticPr fontId="1" type="noConversion"/>
  </si>
  <si>
    <t>上古卷轴5</t>
    <phoneticPr fontId="1" type="noConversion"/>
  </si>
  <si>
    <t>龙腾世纪</t>
    <phoneticPr fontId="1" type="noConversion"/>
  </si>
  <si>
    <t>龙之信条</t>
    <phoneticPr fontId="1" type="noConversion"/>
  </si>
  <si>
    <t>流放之路</t>
    <phoneticPr fontId="1" type="noConversion"/>
  </si>
  <si>
    <t>八方旅人</t>
    <phoneticPr fontId="1" type="noConversion"/>
  </si>
  <si>
    <t>星之海</t>
    <phoneticPr fontId="1" type="noConversion"/>
  </si>
  <si>
    <t>开拓者:正义之怒</t>
    <phoneticPr fontId="1" type="noConversion"/>
  </si>
  <si>
    <t>暂无</t>
    <phoneticPr fontId="1" type="noConversion"/>
  </si>
  <si>
    <t>**当前展示的主要是自行构建的数值框架</t>
    <phoneticPr fontId="1" type="noConversion"/>
  </si>
  <si>
    <t>恐怖黎明</t>
    <phoneticPr fontId="1" type="noConversion"/>
  </si>
  <si>
    <t>饰品</t>
    <phoneticPr fontId="1" type="noConversion"/>
  </si>
  <si>
    <t>左手</t>
    <phoneticPr fontId="1" type="noConversion"/>
  </si>
  <si>
    <t>右手</t>
    <phoneticPr fontId="1" type="noConversion"/>
  </si>
  <si>
    <t>鞋子</t>
    <phoneticPr fontId="1" type="noConversion"/>
  </si>
  <si>
    <t>装备战力表</t>
    <phoneticPr fontId="1" type="noConversion"/>
  </si>
  <si>
    <t>词条上限</t>
    <phoneticPr fontId="1" type="noConversion"/>
  </si>
  <si>
    <t>词条抽取池4</t>
  </si>
  <si>
    <t>词条抽取池5</t>
  </si>
  <si>
    <t>装备属性</t>
    <phoneticPr fontId="1" type="noConversion"/>
  </si>
  <si>
    <t>装备品质表</t>
    <phoneticPr fontId="1" type="noConversion"/>
  </si>
  <si>
    <t>近战</t>
    <phoneticPr fontId="1" type="noConversion"/>
  </si>
  <si>
    <t>力量</t>
  </si>
  <si>
    <t>体质</t>
  </si>
  <si>
    <t>物理装备</t>
    <phoneticPr fontId="1" type="noConversion"/>
  </si>
  <si>
    <t>装备品质</t>
    <phoneticPr fontId="1" type="noConversion"/>
  </si>
  <si>
    <t>装备重量</t>
    <phoneticPr fontId="1" type="noConversion"/>
  </si>
  <si>
    <t>防御类型</t>
    <phoneticPr fontId="1" type="noConversion"/>
  </si>
  <si>
    <t>秘能</t>
  </si>
  <si>
    <t>敏捷</t>
  </si>
  <si>
    <t>流血伤害</t>
  </si>
  <si>
    <t>腐化伤害</t>
  </si>
  <si>
    <t>奥数伤害</t>
  </si>
  <si>
    <t>冰霜伤害</t>
  </si>
  <si>
    <t>火焰伤害</t>
  </si>
  <si>
    <t xml:space="preserve">自然伤害 </t>
  </si>
  <si>
    <t>雷电伤害</t>
  </si>
  <si>
    <t>大地伤害</t>
  </si>
  <si>
    <t>神圣伤害</t>
  </si>
  <si>
    <t>暗影伤害</t>
  </si>
  <si>
    <t>设计内容</t>
    <phoneticPr fontId="1" type="noConversion"/>
  </si>
  <si>
    <t>词条效果</t>
    <phoneticPr fontId="1" type="noConversion"/>
  </si>
  <si>
    <t>词条配合</t>
    <phoneticPr fontId="1" type="noConversion"/>
  </si>
  <si>
    <t>词条数值随等级变化</t>
    <phoneticPr fontId="1" type="noConversion"/>
  </si>
  <si>
    <t>词条数值随品质变化</t>
    <phoneticPr fontId="1" type="noConversion"/>
  </si>
  <si>
    <t>不同词条的随机概率</t>
    <phoneticPr fontId="1" type="noConversion"/>
  </si>
  <si>
    <t>词条随不同装备变化</t>
    <phoneticPr fontId="1" type="noConversion"/>
  </si>
  <si>
    <t>冰霜抗性</t>
  </si>
  <si>
    <t>冰霜抗性</t>
    <phoneticPr fontId="1" type="noConversion"/>
  </si>
  <si>
    <t>火焰抗性</t>
  </si>
  <si>
    <t>火焰抗性</t>
    <phoneticPr fontId="1" type="noConversion"/>
  </si>
  <si>
    <t>自然抗性</t>
    <phoneticPr fontId="1" type="noConversion"/>
  </si>
  <si>
    <t>雷电抗性</t>
  </si>
  <si>
    <t>雷电抗性</t>
    <phoneticPr fontId="1" type="noConversion"/>
  </si>
  <si>
    <t>大地抗性</t>
  </si>
  <si>
    <t>大地抗性</t>
    <phoneticPr fontId="1" type="noConversion"/>
  </si>
  <si>
    <t>神圣抗性</t>
  </si>
  <si>
    <t>神圣抗性</t>
    <phoneticPr fontId="1" type="noConversion"/>
  </si>
  <si>
    <t>暗影抗性</t>
  </si>
  <si>
    <t>暗影抗性</t>
    <phoneticPr fontId="1" type="noConversion"/>
  </si>
  <si>
    <t>伤害属性</t>
    <phoneticPr fontId="1" type="noConversion"/>
  </si>
  <si>
    <t>装备面板</t>
    <phoneticPr fontId="1" type="noConversion"/>
  </si>
  <si>
    <t>装备词条</t>
    <phoneticPr fontId="1" type="noConversion"/>
  </si>
  <si>
    <t>怪物名称</t>
  </si>
  <si>
    <t>怪物1</t>
  </si>
  <si>
    <t>怪物表</t>
  </si>
  <si>
    <t>怪物等级</t>
  </si>
  <si>
    <t>怪物类型</t>
    <phoneticPr fontId="1" type="noConversion"/>
  </si>
  <si>
    <t>怪物参数表</t>
    <phoneticPr fontId="1" type="noConversion"/>
  </si>
  <si>
    <t>物理伤害修正</t>
    <phoneticPr fontId="1" type="noConversion"/>
  </si>
  <si>
    <t>魔法伤害修正</t>
    <phoneticPr fontId="1" type="noConversion"/>
  </si>
  <si>
    <t>命中率修正</t>
  </si>
  <si>
    <t>闪避率修正</t>
  </si>
  <si>
    <t>物理防御修正</t>
  </si>
  <si>
    <t>物理暴击修正</t>
  </si>
  <si>
    <t>魔法暴击修正</t>
  </si>
  <si>
    <t>暴击伤害修正</t>
  </si>
  <si>
    <t>移动速度修正</t>
  </si>
  <si>
    <t>怪物名称</t>
    <phoneticPr fontId="1" type="noConversion"/>
  </si>
  <si>
    <t>小怪</t>
    <phoneticPr fontId="1" type="noConversion"/>
  </si>
  <si>
    <t>怪物类型表</t>
    <phoneticPr fontId="1" type="noConversion"/>
  </si>
  <si>
    <t>精英</t>
    <phoneticPr fontId="1" type="noConversion"/>
  </si>
  <si>
    <t>小BOSS</t>
    <phoneticPr fontId="1" type="noConversion"/>
  </si>
  <si>
    <t>大BOSS</t>
    <phoneticPr fontId="1" type="noConversion"/>
  </si>
  <si>
    <t>怪物定位</t>
    <phoneticPr fontId="1" type="noConversion"/>
  </si>
  <si>
    <t>怪物定位表</t>
    <phoneticPr fontId="1" type="noConversion"/>
  </si>
  <si>
    <t>战士</t>
    <phoneticPr fontId="1" type="noConversion"/>
  </si>
  <si>
    <t>辅助</t>
    <phoneticPr fontId="1" type="noConversion"/>
  </si>
  <si>
    <t>坦克</t>
    <phoneticPr fontId="1" type="noConversion"/>
  </si>
  <si>
    <t>法师</t>
    <phoneticPr fontId="1" type="noConversion"/>
  </si>
  <si>
    <t>射手</t>
    <phoneticPr fontId="1" type="noConversion"/>
  </si>
  <si>
    <t>刺客</t>
    <phoneticPr fontId="1" type="noConversion"/>
  </si>
  <si>
    <t>猎人</t>
    <phoneticPr fontId="1" type="noConversion"/>
  </si>
  <si>
    <t>蛮族</t>
    <phoneticPr fontId="1" type="noConversion"/>
  </si>
  <si>
    <t>炮灰</t>
    <phoneticPr fontId="1" type="noConversion"/>
  </si>
  <si>
    <t>体力上限修正</t>
    <phoneticPr fontId="1" type="noConversion"/>
  </si>
  <si>
    <t>平均施法时长</t>
    <phoneticPr fontId="1" type="noConversion"/>
  </si>
  <si>
    <t>平均施法次数</t>
    <phoneticPr fontId="1" type="noConversion"/>
  </si>
  <si>
    <t xml:space="preserve">自然抗性 </t>
  </si>
  <si>
    <t>词条效果表</t>
    <phoneticPr fontId="1" type="noConversion"/>
  </si>
  <si>
    <t>攻击速度</t>
    <phoneticPr fontId="6" type="noConversion"/>
  </si>
  <si>
    <t>体力恢复</t>
    <phoneticPr fontId="6" type="noConversion"/>
  </si>
  <si>
    <t>魔力恢复</t>
    <phoneticPr fontId="6" type="noConversion"/>
  </si>
  <si>
    <t>决定单位的攻击速度</t>
    <phoneticPr fontId="6" type="noConversion"/>
  </si>
  <si>
    <t>决定单位的体力恢复</t>
    <phoneticPr fontId="6" type="noConversion"/>
  </si>
  <si>
    <t>决定单位的魔力恢复</t>
    <phoneticPr fontId="6" type="noConversion"/>
  </si>
  <si>
    <t>攻击速度修正</t>
    <phoneticPr fontId="6" type="noConversion"/>
  </si>
  <si>
    <t>战力计算公式</t>
    <phoneticPr fontId="1" type="noConversion"/>
  </si>
  <si>
    <t>战力公式</t>
    <phoneticPr fontId="1" type="noConversion"/>
  </si>
  <si>
    <t>角色战力</t>
    <phoneticPr fontId="1" type="noConversion"/>
  </si>
  <si>
    <t>装备战力</t>
    <phoneticPr fontId="1" type="noConversion"/>
  </si>
  <si>
    <t>属性战力</t>
    <phoneticPr fontId="1" type="noConversion"/>
  </si>
  <si>
    <t>=(1+等级修正参数*(攻方等级-守方等级))*守方物理防御/(攻方物理攻击+守方物理防御)</t>
    <phoneticPr fontId="1" type="noConversion"/>
  </si>
  <si>
    <t>=(1+等级修正参数*(攻方等级-守方等级))*守方魔法防御/(攻方魔法攻击+守方魔法防御)</t>
    <phoneticPr fontId="1" type="noConversion"/>
  </si>
  <si>
    <t>(装备战力总和+当前等级裸身属性战力)*等级修正参数</t>
    <phoneticPr fontId="1" type="noConversion"/>
  </si>
  <si>
    <t>(装备面板属性战力+装备词条战力)*等级修正参数</t>
    <phoneticPr fontId="1" type="noConversion"/>
  </si>
  <si>
    <t>力量*力量战力参数+秘能*秘能战力参数+敏捷*敏捷战力参数+体质*体质战力参数</t>
    <phoneticPr fontId="1" type="noConversion"/>
  </si>
  <si>
    <t>设计思路表</t>
    <phoneticPr fontId="1" type="noConversion"/>
  </si>
  <si>
    <t>技能效果</t>
    <phoneticPr fontId="1" type="noConversion"/>
  </si>
  <si>
    <t>技能配合</t>
    <phoneticPr fontId="1" type="noConversion"/>
  </si>
  <si>
    <t>技能数值随等级变化</t>
    <phoneticPr fontId="1" type="noConversion"/>
  </si>
  <si>
    <t>技能数值计算</t>
    <phoneticPr fontId="1" type="noConversion"/>
  </si>
  <si>
    <t>技能树解锁</t>
    <phoneticPr fontId="1" type="noConversion"/>
  </si>
  <si>
    <t>角色、伙伴、宠物和怪物技能区分</t>
    <phoneticPr fontId="1" type="noConversion"/>
  </si>
  <si>
    <t>不同职业技能区分</t>
    <phoneticPr fontId="1" type="noConversion"/>
  </si>
  <si>
    <t>掉落总表</t>
    <phoneticPr fontId="1" type="noConversion"/>
  </si>
  <si>
    <t>商店总表</t>
    <phoneticPr fontId="1" type="noConversion"/>
  </si>
  <si>
    <t>物品总表</t>
    <phoneticPr fontId="1" type="noConversion"/>
  </si>
  <si>
    <t>公会建设</t>
    <phoneticPr fontId="1" type="noConversion"/>
  </si>
  <si>
    <t>家园建设</t>
    <phoneticPr fontId="1" type="noConversion"/>
  </si>
  <si>
    <t>宝石投放</t>
    <phoneticPr fontId="1" type="noConversion"/>
  </si>
  <si>
    <t>金币投放</t>
    <phoneticPr fontId="1" type="noConversion"/>
  </si>
  <si>
    <t>带敲定细项后设计</t>
    <phoneticPr fontId="1" type="noConversion"/>
  </si>
  <si>
    <t>怪物掉落表</t>
    <phoneticPr fontId="1" type="noConversion"/>
  </si>
  <si>
    <t>怪物等级</t>
    <phoneticPr fontId="1" type="noConversion"/>
  </si>
  <si>
    <t>掉落金币</t>
    <phoneticPr fontId="1" type="noConversion"/>
  </si>
  <si>
    <t>掉落经验</t>
    <phoneticPr fontId="1" type="noConversion"/>
  </si>
  <si>
    <t>等级作用</t>
    <phoneticPr fontId="1" type="noConversion"/>
  </si>
  <si>
    <t>平均攻击次数(怪物）</t>
    <phoneticPr fontId="1" type="noConversion"/>
  </si>
  <si>
    <t>平均攻击次数(英雄）</t>
    <phoneticPr fontId="1" type="noConversion"/>
  </si>
  <si>
    <t>平均击杀时长</t>
    <phoneticPr fontId="1" type="noConversion"/>
  </si>
  <si>
    <t>平均战斗时长</t>
    <phoneticPr fontId="1" type="noConversion"/>
  </si>
  <si>
    <t>任务经验占比</t>
  </si>
  <si>
    <t>怪物经验占比</t>
  </si>
  <si>
    <t>升级怪物数量</t>
    <phoneticPr fontId="1" type="noConversion"/>
  </si>
  <si>
    <t>经验累计</t>
    <phoneticPr fontId="1" type="noConversion"/>
  </si>
  <si>
    <t>任务经验</t>
    <phoneticPr fontId="1" type="noConversion"/>
  </si>
  <si>
    <t>怪物经验</t>
    <phoneticPr fontId="1" type="noConversion"/>
  </si>
  <si>
    <t>24H</t>
    <phoneticPr fontId="1" type="noConversion"/>
  </si>
  <si>
    <t>12H</t>
    <phoneticPr fontId="1" type="noConversion"/>
  </si>
  <si>
    <t>每日杀怪数量</t>
    <phoneticPr fontId="1" type="noConversion"/>
  </si>
  <si>
    <t>平均遇敌时长</t>
    <phoneticPr fontId="1" type="noConversion"/>
  </si>
  <si>
    <t>每日产出金币</t>
    <phoneticPr fontId="1" type="noConversion"/>
  </si>
  <si>
    <t>每日产出经验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</si>
</sst>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C00000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0"/>
      <color theme="1"/>
      <name val="微软雅黑"/>
      <family val="2"/>
      <charset val="134"/>
    </font>
    <font>
      <b/>
      <sz val="10"/>
      <name val="微软雅黑"/>
      <family val="2"/>
      <charset val="134"/>
    </font>
    <font>
      <sz val="11"/>
      <color rgb="FF000000"/>
      <name val="等线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26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Continuous"/>
    </xf>
    <xf numFmtId="0" fontId="2" fillId="2" borderId="0" xfId="0" applyFont="1" applyFill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0" borderId="0" xfId="0" applyFont="1"/>
    <xf numFmtId="0" fontId="8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2" fillId="0" borderId="1" xfId="0" quotePrefix="1" applyFont="1" applyBorder="1" applyAlignment="1">
      <alignment horizontal="center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horizontal="left"/>
    </xf>
    <xf numFmtId="0" fontId="2" fillId="0" borderId="15" xfId="0" applyFont="1" applyBorder="1" applyAlignment="1">
      <alignment horizontal="left"/>
    </xf>
    <xf numFmtId="0" fontId="2" fillId="0" borderId="35" xfId="0" applyFont="1" applyBorder="1" applyAlignment="1">
      <alignment horizontal="left"/>
    </xf>
    <xf numFmtId="0" fontId="2" fillId="0" borderId="16" xfId="0" applyFont="1" applyBorder="1" applyAlignment="1">
      <alignment horizontal="left"/>
    </xf>
    <xf numFmtId="0" fontId="4" fillId="0" borderId="15" xfId="0" applyFont="1" applyBorder="1" applyAlignment="1">
      <alignment horizontal="center"/>
    </xf>
    <xf numFmtId="0" fontId="4" fillId="0" borderId="3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</cellXfs>
  <cellStyles count="1">
    <cellStyle name="常规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393"/>
      <color rgb="FF59AB8C"/>
      <color rgb="FFA70D91"/>
      <color rgb="FF6CA6DA"/>
      <color rgb="FF1C07E7"/>
      <color rgb="FF37CD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升级所需怪物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体验规划!$G$24:$G$83</c:f>
              <c:numCache>
                <c:formatCode>General</c:formatCode>
                <c:ptCount val="60"/>
                <c:pt idx="0">
                  <c:v>21</c:v>
                </c:pt>
                <c:pt idx="1">
                  <c:v>22</c:v>
                </c:pt>
                <c:pt idx="2">
                  <c:v>23</c:v>
                </c:pt>
                <c:pt idx="3">
                  <c:v>24</c:v>
                </c:pt>
                <c:pt idx="4">
                  <c:v>25</c:v>
                </c:pt>
                <c:pt idx="5">
                  <c:v>26</c:v>
                </c:pt>
                <c:pt idx="6">
                  <c:v>27</c:v>
                </c:pt>
                <c:pt idx="7">
                  <c:v>28</c:v>
                </c:pt>
                <c:pt idx="8">
                  <c:v>29</c:v>
                </c:pt>
                <c:pt idx="9">
                  <c:v>40</c:v>
                </c:pt>
                <c:pt idx="10">
                  <c:v>113</c:v>
                </c:pt>
                <c:pt idx="11">
                  <c:v>116</c:v>
                </c:pt>
                <c:pt idx="12">
                  <c:v>119</c:v>
                </c:pt>
                <c:pt idx="13">
                  <c:v>122</c:v>
                </c:pt>
                <c:pt idx="14">
                  <c:v>125</c:v>
                </c:pt>
                <c:pt idx="15">
                  <c:v>128</c:v>
                </c:pt>
                <c:pt idx="16">
                  <c:v>131</c:v>
                </c:pt>
                <c:pt idx="17">
                  <c:v>134</c:v>
                </c:pt>
                <c:pt idx="18">
                  <c:v>137</c:v>
                </c:pt>
                <c:pt idx="19">
                  <c:v>160</c:v>
                </c:pt>
                <c:pt idx="20">
                  <c:v>285</c:v>
                </c:pt>
                <c:pt idx="21">
                  <c:v>290</c:v>
                </c:pt>
                <c:pt idx="22">
                  <c:v>295</c:v>
                </c:pt>
                <c:pt idx="23">
                  <c:v>300</c:v>
                </c:pt>
                <c:pt idx="24">
                  <c:v>305</c:v>
                </c:pt>
                <c:pt idx="25">
                  <c:v>310</c:v>
                </c:pt>
                <c:pt idx="26">
                  <c:v>315</c:v>
                </c:pt>
                <c:pt idx="27">
                  <c:v>320</c:v>
                </c:pt>
                <c:pt idx="28">
                  <c:v>325</c:v>
                </c:pt>
                <c:pt idx="29">
                  <c:v>360</c:v>
                </c:pt>
                <c:pt idx="30">
                  <c:v>537</c:v>
                </c:pt>
                <c:pt idx="31">
                  <c:v>544</c:v>
                </c:pt>
                <c:pt idx="32">
                  <c:v>551</c:v>
                </c:pt>
                <c:pt idx="33">
                  <c:v>558</c:v>
                </c:pt>
                <c:pt idx="34">
                  <c:v>565</c:v>
                </c:pt>
                <c:pt idx="35">
                  <c:v>572</c:v>
                </c:pt>
                <c:pt idx="36">
                  <c:v>579</c:v>
                </c:pt>
                <c:pt idx="37">
                  <c:v>586</c:v>
                </c:pt>
                <c:pt idx="38">
                  <c:v>593</c:v>
                </c:pt>
                <c:pt idx="39">
                  <c:v>640</c:v>
                </c:pt>
                <c:pt idx="40">
                  <c:v>869</c:v>
                </c:pt>
                <c:pt idx="41">
                  <c:v>878</c:v>
                </c:pt>
                <c:pt idx="42">
                  <c:v>887</c:v>
                </c:pt>
                <c:pt idx="43">
                  <c:v>896</c:v>
                </c:pt>
                <c:pt idx="44">
                  <c:v>905</c:v>
                </c:pt>
                <c:pt idx="45">
                  <c:v>914</c:v>
                </c:pt>
                <c:pt idx="46">
                  <c:v>923</c:v>
                </c:pt>
                <c:pt idx="47">
                  <c:v>932</c:v>
                </c:pt>
                <c:pt idx="48">
                  <c:v>941</c:v>
                </c:pt>
                <c:pt idx="49">
                  <c:v>1000</c:v>
                </c:pt>
                <c:pt idx="50">
                  <c:v>1281</c:v>
                </c:pt>
                <c:pt idx="51">
                  <c:v>1292</c:v>
                </c:pt>
                <c:pt idx="52">
                  <c:v>1303</c:v>
                </c:pt>
                <c:pt idx="53">
                  <c:v>1314</c:v>
                </c:pt>
                <c:pt idx="54">
                  <c:v>1325</c:v>
                </c:pt>
                <c:pt idx="55">
                  <c:v>1336</c:v>
                </c:pt>
                <c:pt idx="56">
                  <c:v>1347</c:v>
                </c:pt>
                <c:pt idx="57">
                  <c:v>1358</c:v>
                </c:pt>
                <c:pt idx="58">
                  <c:v>1369</c:v>
                </c:pt>
                <c:pt idx="59">
                  <c:v>1440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DA-424B-9125-71C9FAB473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39455"/>
        <c:axId val="1102140415"/>
      </c:lineChart>
      <c:catAx>
        <c:axId val="1102139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02140415"/>
        <c:crosses val="autoZero"/>
        <c:auto val="1"/>
        <c:lblAlgn val="ctr"/>
        <c:lblOffset val="100"/>
        <c:noMultiLvlLbl val="0"/>
      </c:catAx>
      <c:valAx>
        <c:axId val="1102140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02139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升级天数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体验规划!$C$24:$C$83</c:f>
              <c:numCache>
                <c:formatCode>General</c:formatCode>
                <c:ptCount val="60"/>
                <c:pt idx="0">
                  <c:v>0.02</c:v>
                </c:pt>
                <c:pt idx="1">
                  <c:v>0.02</c:v>
                </c:pt>
                <c:pt idx="2">
                  <c:v>2.1000000000000001E-2</c:v>
                </c:pt>
                <c:pt idx="3">
                  <c:v>2.1000000000000001E-2</c:v>
                </c:pt>
                <c:pt idx="4">
                  <c:v>2.1000000000000001E-2</c:v>
                </c:pt>
                <c:pt idx="5">
                  <c:v>3.5000000000000003E-2</c:v>
                </c:pt>
                <c:pt idx="6">
                  <c:v>3.5999999999999997E-2</c:v>
                </c:pt>
                <c:pt idx="7">
                  <c:v>3.5999999999999997E-2</c:v>
                </c:pt>
                <c:pt idx="8">
                  <c:v>3.5999999999999997E-2</c:v>
                </c:pt>
                <c:pt idx="9">
                  <c:v>3.9E-2</c:v>
                </c:pt>
                <c:pt idx="10">
                  <c:v>7.3999999999999996E-2</c:v>
                </c:pt>
                <c:pt idx="11">
                  <c:v>7.4999999999999997E-2</c:v>
                </c:pt>
                <c:pt idx="12">
                  <c:v>7.5999999999999998E-2</c:v>
                </c:pt>
                <c:pt idx="13">
                  <c:v>7.6999999999999999E-2</c:v>
                </c:pt>
                <c:pt idx="14">
                  <c:v>7.8E-2</c:v>
                </c:pt>
                <c:pt idx="15">
                  <c:v>9.2999999999999999E-2</c:v>
                </c:pt>
                <c:pt idx="16">
                  <c:v>9.2999999999999999E-2</c:v>
                </c:pt>
                <c:pt idx="17">
                  <c:v>9.4E-2</c:v>
                </c:pt>
                <c:pt idx="18">
                  <c:v>9.5000000000000001E-2</c:v>
                </c:pt>
                <c:pt idx="19">
                  <c:v>0.10199999999999999</c:v>
                </c:pt>
                <c:pt idx="20">
                  <c:v>0.152</c:v>
                </c:pt>
                <c:pt idx="21">
                  <c:v>0.153</c:v>
                </c:pt>
                <c:pt idx="22">
                  <c:v>0.155</c:v>
                </c:pt>
                <c:pt idx="23">
                  <c:v>0.156</c:v>
                </c:pt>
                <c:pt idx="24">
                  <c:v>0.158</c:v>
                </c:pt>
                <c:pt idx="25">
                  <c:v>0.17299999999999999</c:v>
                </c:pt>
                <c:pt idx="26">
                  <c:v>0.17399999999999999</c:v>
                </c:pt>
                <c:pt idx="27">
                  <c:v>0.17599999999999999</c:v>
                </c:pt>
                <c:pt idx="28">
                  <c:v>0.17699999999999999</c:v>
                </c:pt>
                <c:pt idx="29">
                  <c:v>0.188</c:v>
                </c:pt>
                <c:pt idx="30">
                  <c:v>0.253</c:v>
                </c:pt>
                <c:pt idx="31">
                  <c:v>0.255</c:v>
                </c:pt>
                <c:pt idx="32">
                  <c:v>0.25700000000000001</c:v>
                </c:pt>
                <c:pt idx="33">
                  <c:v>0.25900000000000001</c:v>
                </c:pt>
                <c:pt idx="34">
                  <c:v>0.26100000000000001</c:v>
                </c:pt>
                <c:pt idx="35">
                  <c:v>0.27700000000000002</c:v>
                </c:pt>
                <c:pt idx="36">
                  <c:v>0.27900000000000003</c:v>
                </c:pt>
                <c:pt idx="37">
                  <c:v>0.28100000000000003</c:v>
                </c:pt>
                <c:pt idx="38">
                  <c:v>0.28299999999999997</c:v>
                </c:pt>
                <c:pt idx="39">
                  <c:v>0.29599999999999999</c:v>
                </c:pt>
                <c:pt idx="40">
                  <c:v>0.376</c:v>
                </c:pt>
                <c:pt idx="41">
                  <c:v>0.379</c:v>
                </c:pt>
                <c:pt idx="42">
                  <c:v>0.38200000000000001</c:v>
                </c:pt>
                <c:pt idx="43">
                  <c:v>0.38400000000000001</c:v>
                </c:pt>
                <c:pt idx="44">
                  <c:v>0.38700000000000001</c:v>
                </c:pt>
                <c:pt idx="45">
                  <c:v>0.40300000000000002</c:v>
                </c:pt>
                <c:pt idx="46">
                  <c:v>0.40600000000000003</c:v>
                </c:pt>
                <c:pt idx="47">
                  <c:v>0.40899999999999997</c:v>
                </c:pt>
                <c:pt idx="48">
                  <c:v>0.41099999999999998</c:v>
                </c:pt>
                <c:pt idx="49">
                  <c:v>0.42799999999999999</c:v>
                </c:pt>
                <c:pt idx="50">
                  <c:v>0.52300000000000002</c:v>
                </c:pt>
                <c:pt idx="51">
                  <c:v>0.52700000000000002</c:v>
                </c:pt>
                <c:pt idx="52">
                  <c:v>0.53</c:v>
                </c:pt>
                <c:pt idx="53">
                  <c:v>0.53300000000000003</c:v>
                </c:pt>
                <c:pt idx="54">
                  <c:v>0.53600000000000003</c:v>
                </c:pt>
                <c:pt idx="55">
                  <c:v>0.55300000000000005</c:v>
                </c:pt>
                <c:pt idx="56">
                  <c:v>0.55600000000000005</c:v>
                </c:pt>
                <c:pt idx="57">
                  <c:v>0.56000000000000005</c:v>
                </c:pt>
                <c:pt idx="58">
                  <c:v>0.56299999999999994</c:v>
                </c:pt>
                <c:pt idx="59">
                  <c:v>0.58299999999999996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DF-4CCA-BF34-C8CE42432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82944751"/>
        <c:axId val="1582945231"/>
      </c:lineChart>
      <c:catAx>
        <c:axId val="158294475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82945231"/>
        <c:crosses val="autoZero"/>
        <c:auto val="1"/>
        <c:lblAlgn val="ctr"/>
        <c:lblOffset val="100"/>
        <c:noMultiLvlLbl val="0"/>
      </c:catAx>
      <c:valAx>
        <c:axId val="1582945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82944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升级经验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升级规划!$C$4:$C$63</c:f>
              <c:numCache>
                <c:formatCode>General</c:formatCode>
                <c:ptCount val="60"/>
                <c:pt idx="0">
                  <c:v>551</c:v>
                </c:pt>
                <c:pt idx="1">
                  <c:v>605</c:v>
                </c:pt>
                <c:pt idx="2">
                  <c:v>661</c:v>
                </c:pt>
                <c:pt idx="3">
                  <c:v>720</c:v>
                </c:pt>
                <c:pt idx="4">
                  <c:v>781</c:v>
                </c:pt>
                <c:pt idx="5">
                  <c:v>845</c:v>
                </c:pt>
                <c:pt idx="6">
                  <c:v>911</c:v>
                </c:pt>
                <c:pt idx="7">
                  <c:v>980</c:v>
                </c:pt>
                <c:pt idx="8">
                  <c:v>1051</c:v>
                </c:pt>
                <c:pt idx="9">
                  <c:v>2000</c:v>
                </c:pt>
                <c:pt idx="10">
                  <c:v>10170</c:v>
                </c:pt>
                <c:pt idx="11">
                  <c:v>10730</c:v>
                </c:pt>
                <c:pt idx="12">
                  <c:v>11305</c:v>
                </c:pt>
                <c:pt idx="13">
                  <c:v>11895</c:v>
                </c:pt>
                <c:pt idx="14">
                  <c:v>12500</c:v>
                </c:pt>
                <c:pt idx="15">
                  <c:v>13120</c:v>
                </c:pt>
                <c:pt idx="16">
                  <c:v>13755</c:v>
                </c:pt>
                <c:pt idx="17">
                  <c:v>14405</c:v>
                </c:pt>
                <c:pt idx="18">
                  <c:v>15070</c:v>
                </c:pt>
                <c:pt idx="19">
                  <c:v>20000</c:v>
                </c:pt>
                <c:pt idx="20">
                  <c:v>50944</c:v>
                </c:pt>
                <c:pt idx="21">
                  <c:v>52925</c:v>
                </c:pt>
                <c:pt idx="22">
                  <c:v>54944</c:v>
                </c:pt>
                <c:pt idx="23">
                  <c:v>57000</c:v>
                </c:pt>
                <c:pt idx="24">
                  <c:v>59094</c:v>
                </c:pt>
                <c:pt idx="25">
                  <c:v>61225</c:v>
                </c:pt>
                <c:pt idx="26">
                  <c:v>63394</c:v>
                </c:pt>
                <c:pt idx="27">
                  <c:v>65600</c:v>
                </c:pt>
                <c:pt idx="28">
                  <c:v>67844</c:v>
                </c:pt>
                <c:pt idx="29">
                  <c:v>81000</c:v>
                </c:pt>
                <c:pt idx="30">
                  <c:v>157073</c:v>
                </c:pt>
                <c:pt idx="31">
                  <c:v>161840</c:v>
                </c:pt>
                <c:pt idx="32">
                  <c:v>166678</c:v>
                </c:pt>
                <c:pt idx="33">
                  <c:v>171585</c:v>
                </c:pt>
                <c:pt idx="34">
                  <c:v>176563</c:v>
                </c:pt>
                <c:pt idx="35">
                  <c:v>181610</c:v>
                </c:pt>
                <c:pt idx="36">
                  <c:v>186728</c:v>
                </c:pt>
                <c:pt idx="37">
                  <c:v>191915</c:v>
                </c:pt>
                <c:pt idx="38">
                  <c:v>197173</c:v>
                </c:pt>
                <c:pt idx="39">
                  <c:v>224000</c:v>
                </c:pt>
                <c:pt idx="40">
                  <c:v>374756</c:v>
                </c:pt>
                <c:pt idx="41">
                  <c:v>384125</c:v>
                </c:pt>
                <c:pt idx="42">
                  <c:v>393606</c:v>
                </c:pt>
                <c:pt idx="43">
                  <c:v>403200</c:v>
                </c:pt>
                <c:pt idx="44">
                  <c:v>412906</c:v>
                </c:pt>
                <c:pt idx="45">
                  <c:v>422725</c:v>
                </c:pt>
                <c:pt idx="46">
                  <c:v>432656</c:v>
                </c:pt>
                <c:pt idx="47">
                  <c:v>442700</c:v>
                </c:pt>
                <c:pt idx="48">
                  <c:v>452856</c:v>
                </c:pt>
                <c:pt idx="49">
                  <c:v>500000</c:v>
                </c:pt>
                <c:pt idx="50">
                  <c:v>762195</c:v>
                </c:pt>
                <c:pt idx="51">
                  <c:v>778430</c:v>
                </c:pt>
                <c:pt idx="52">
                  <c:v>794830</c:v>
                </c:pt>
                <c:pt idx="53">
                  <c:v>811395</c:v>
                </c:pt>
                <c:pt idx="54">
                  <c:v>828125</c:v>
                </c:pt>
                <c:pt idx="55">
                  <c:v>845020</c:v>
                </c:pt>
                <c:pt idx="56">
                  <c:v>862080</c:v>
                </c:pt>
                <c:pt idx="57">
                  <c:v>879305</c:v>
                </c:pt>
                <c:pt idx="58">
                  <c:v>896695</c:v>
                </c:pt>
                <c:pt idx="59">
                  <c:v>972000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10-499C-94C2-882BA5014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3919183"/>
        <c:axId val="1383919663"/>
      </c:lineChart>
      <c:catAx>
        <c:axId val="13839191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3919663"/>
        <c:crosses val="autoZero"/>
        <c:auto val="1"/>
        <c:lblAlgn val="ctr"/>
        <c:lblOffset val="100"/>
        <c:noMultiLvlLbl val="0"/>
      </c:catAx>
      <c:valAx>
        <c:axId val="1383919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3919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</xdr:row>
          <xdr:rowOff>198120</xdr:rowOff>
        </xdr:from>
        <xdr:to>
          <xdr:col>2</xdr:col>
          <xdr:colOff>7620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返回目录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4</xdr:row>
          <xdr:rowOff>7620</xdr:rowOff>
        </xdr:from>
        <xdr:to>
          <xdr:col>2</xdr:col>
          <xdr:colOff>7620</xdr:colOff>
          <xdr:row>4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框架总览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5</xdr:row>
          <xdr:rowOff>7620</xdr:rowOff>
        </xdr:from>
        <xdr:to>
          <xdr:col>2</xdr:col>
          <xdr:colOff>7620</xdr:colOff>
          <xdr:row>5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战斗养成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6</xdr:row>
          <xdr:rowOff>7620</xdr:rowOff>
        </xdr:from>
        <xdr:to>
          <xdr:col>2</xdr:col>
          <xdr:colOff>7620</xdr:colOff>
          <xdr:row>6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资源经济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3</xdr:row>
          <xdr:rowOff>0</xdr:rowOff>
        </xdr:from>
        <xdr:to>
          <xdr:col>2</xdr:col>
          <xdr:colOff>7620</xdr:colOff>
          <xdr:row>4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显示全部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</xdr:colOff>
      <xdr:row>22</xdr:row>
      <xdr:rowOff>7620</xdr:rowOff>
    </xdr:from>
    <xdr:to>
      <xdr:col>16</xdr:col>
      <xdr:colOff>929640</xdr:colOff>
      <xdr:row>36</xdr:row>
      <xdr:rowOff>49530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125DAD9-3AF7-6C4F-A8A9-6B0ECEA7A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</xdr:colOff>
      <xdr:row>36</xdr:row>
      <xdr:rowOff>68580</xdr:rowOff>
    </xdr:from>
    <xdr:to>
      <xdr:col>16</xdr:col>
      <xdr:colOff>929640</xdr:colOff>
      <xdr:row>50</xdr:row>
      <xdr:rowOff>102870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122D5BA0-9A0C-3C84-3995-1CE14E6A74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</xdr:colOff>
      <xdr:row>2</xdr:row>
      <xdr:rowOff>3810</xdr:rowOff>
    </xdr:from>
    <xdr:to>
      <xdr:col>13</xdr:col>
      <xdr:colOff>914400</xdr:colOff>
      <xdr:row>16</xdr:row>
      <xdr:rowOff>30480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66562723-9C14-BED9-FBC9-5C67B11C05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87127-B233-4900-A1A3-893DE02CEA48}">
  <sheetPr codeName="Sheet13"/>
  <dimension ref="B2:C19"/>
  <sheetViews>
    <sheetView tabSelected="1" workbookViewId="0">
      <selection activeCell="D26" sqref="D26"/>
    </sheetView>
  </sheetViews>
  <sheetFormatPr defaultColWidth="15.77734375" defaultRowHeight="15.6"/>
  <cols>
    <col min="1" max="2" width="15.77734375" style="1"/>
    <col min="3" max="3" width="31.5546875" style="1" customWidth="1"/>
    <col min="4" max="16384" width="15.77734375" style="1"/>
  </cols>
  <sheetData>
    <row r="2" spans="2:3" ht="16.2">
      <c r="B2" s="2" t="s">
        <v>395</v>
      </c>
    </row>
    <row r="3" spans="2:3" ht="16.2">
      <c r="B3" s="35" t="s">
        <v>396</v>
      </c>
      <c r="C3" s="35" t="s">
        <v>403</v>
      </c>
    </row>
    <row r="4" spans="2:3">
      <c r="B4" s="3" t="s">
        <v>397</v>
      </c>
      <c r="C4" s="3" t="s">
        <v>412</v>
      </c>
    </row>
    <row r="5" spans="2:3">
      <c r="B5" s="3" t="s">
        <v>398</v>
      </c>
      <c r="C5" s="3" t="s">
        <v>412</v>
      </c>
    </row>
    <row r="6" spans="2:3">
      <c r="B6" s="3" t="s">
        <v>399</v>
      </c>
      <c r="C6" s="3" t="s">
        <v>412</v>
      </c>
    </row>
    <row r="7" spans="2:3">
      <c r="B7" s="3" t="s">
        <v>400</v>
      </c>
      <c r="C7" s="3" t="s">
        <v>412</v>
      </c>
    </row>
    <row r="8" spans="2:3">
      <c r="B8" s="3" t="s">
        <v>401</v>
      </c>
      <c r="C8" s="3" t="s">
        <v>412</v>
      </c>
    </row>
    <row r="9" spans="2:3">
      <c r="B9" s="3" t="s">
        <v>402</v>
      </c>
      <c r="C9" s="3" t="s">
        <v>412</v>
      </c>
    </row>
    <row r="10" spans="2:3">
      <c r="B10" s="3" t="s">
        <v>404</v>
      </c>
      <c r="C10" s="3" t="s">
        <v>412</v>
      </c>
    </row>
    <row r="11" spans="2:3">
      <c r="B11" s="3" t="s">
        <v>405</v>
      </c>
      <c r="C11" s="3" t="s">
        <v>412</v>
      </c>
    </row>
    <row r="12" spans="2:3">
      <c r="B12" s="3" t="s">
        <v>406</v>
      </c>
      <c r="C12" s="3" t="s">
        <v>412</v>
      </c>
    </row>
    <row r="13" spans="2:3">
      <c r="B13" s="3" t="s">
        <v>407</v>
      </c>
      <c r="C13" s="3" t="s">
        <v>412</v>
      </c>
    </row>
    <row r="14" spans="2:3">
      <c r="B14" s="3" t="s">
        <v>408</v>
      </c>
      <c r="C14" s="3" t="s">
        <v>412</v>
      </c>
    </row>
    <row r="15" spans="2:3">
      <c r="B15" s="3" t="s">
        <v>409</v>
      </c>
      <c r="C15" s="3" t="s">
        <v>412</v>
      </c>
    </row>
    <row r="16" spans="2:3">
      <c r="B16" s="3" t="s">
        <v>410</v>
      </c>
      <c r="C16" s="3" t="s">
        <v>412</v>
      </c>
    </row>
    <row r="17" spans="2:3">
      <c r="B17" s="3" t="s">
        <v>411</v>
      </c>
      <c r="C17" s="3" t="s">
        <v>412</v>
      </c>
    </row>
    <row r="18" spans="2:3">
      <c r="B18" s="3" t="s">
        <v>414</v>
      </c>
      <c r="C18" s="3" t="s">
        <v>412</v>
      </c>
    </row>
    <row r="19" spans="2:3" ht="16.2">
      <c r="B19" s="51" t="s">
        <v>413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6173B-4B21-43E2-A526-F3D1091FCAB8}">
  <sheetPr codeName="Sheet3"/>
  <dimension ref="B2"/>
  <sheetViews>
    <sheetView workbookViewId="0">
      <selection activeCell="B10" sqref="B10"/>
    </sheetView>
  </sheetViews>
  <sheetFormatPr defaultColWidth="13.77734375" defaultRowHeight="15.6"/>
  <cols>
    <col min="1" max="16384" width="13.77734375" style="47"/>
  </cols>
  <sheetData>
    <row r="2" spans="2:2" ht="16.2">
      <c r="B2" s="2" t="s">
        <v>155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目录">
                <anchor moveWithCells="1" sizeWithCells="1">
                  <from>
                    <xdr:col>1</xdr:col>
                    <xdr:colOff>7620</xdr:colOff>
                    <xdr:row>1</xdr:row>
                    <xdr:rowOff>198120</xdr:rowOff>
                  </from>
                  <to>
                    <xdr:col>2</xdr:col>
                    <xdr:colOff>7620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跳转框架总览">
                <anchor moveWithCells="1" sizeWithCells="1">
                  <from>
                    <xdr:col>1</xdr:col>
                    <xdr:colOff>7620</xdr:colOff>
                    <xdr:row>4</xdr:row>
                    <xdr:rowOff>7620</xdr:rowOff>
                  </from>
                  <to>
                    <xdr:col>2</xdr:col>
                    <xdr:colOff>7620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跳转战斗养成">
                <anchor moveWithCells="1" sizeWithCells="1">
                  <from>
                    <xdr:col>1</xdr:col>
                    <xdr:colOff>7620</xdr:colOff>
                    <xdr:row>5</xdr:row>
                    <xdr:rowOff>7620</xdr:rowOff>
                  </from>
                  <to>
                    <xdr:col>2</xdr:col>
                    <xdr:colOff>7620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Button 12">
              <controlPr defaultSize="0" print="0" autoFill="0" autoPict="0" macro="[0]!跳转资源经济">
                <anchor moveWithCells="1" sizeWithCells="1">
                  <from>
                    <xdr:col>1</xdr:col>
                    <xdr:colOff>7620</xdr:colOff>
                    <xdr:row>6</xdr:row>
                    <xdr:rowOff>7620</xdr:rowOff>
                  </from>
                  <to>
                    <xdr:col>2</xdr:col>
                    <xdr:colOff>7620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显示全部">
                <anchor moveWithCells="1" sizeWithCells="1">
                  <from>
                    <xdr:col>1</xdr:col>
                    <xdr:colOff>7620</xdr:colOff>
                    <xdr:row>3</xdr:row>
                    <xdr:rowOff>0</xdr:rowOff>
                  </from>
                  <to>
                    <xdr:col>2</xdr:col>
                    <xdr:colOff>7620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V53"/>
  <sheetViews>
    <sheetView zoomScaleNormal="100" workbookViewId="0">
      <selection activeCell="C14" sqref="C14"/>
    </sheetView>
  </sheetViews>
  <sheetFormatPr defaultColWidth="13.77734375" defaultRowHeight="15.6"/>
  <cols>
    <col min="1" max="16384" width="13.77734375" style="1"/>
  </cols>
  <sheetData>
    <row r="2" spans="2:22" ht="16.2">
      <c r="B2" s="2" t="s">
        <v>36</v>
      </c>
    </row>
    <row r="3" spans="2:22" ht="16.2">
      <c r="B3" s="2" t="s">
        <v>65</v>
      </c>
      <c r="E3" s="2" t="s">
        <v>65</v>
      </c>
      <c r="H3" s="2" t="s">
        <v>67</v>
      </c>
    </row>
    <row r="4" spans="2:22">
      <c r="B4" s="3" t="s">
        <v>49</v>
      </c>
      <c r="C4" s="3" t="s">
        <v>50</v>
      </c>
      <c r="E4" s="3" t="s">
        <v>76</v>
      </c>
      <c r="F4" s="3" t="s">
        <v>207</v>
      </c>
      <c r="H4" s="4" t="s">
        <v>68</v>
      </c>
      <c r="I4" s="3">
        <v>500</v>
      </c>
    </row>
    <row r="5" spans="2:22">
      <c r="B5" s="3" t="s">
        <v>47</v>
      </c>
      <c r="C5" s="3">
        <v>1</v>
      </c>
      <c r="E5" s="3" t="s">
        <v>47</v>
      </c>
      <c r="F5" s="3">
        <v>1</v>
      </c>
      <c r="H5" s="4" t="s">
        <v>69</v>
      </c>
      <c r="I5" s="3">
        <v>10</v>
      </c>
    </row>
    <row r="6" spans="2:22">
      <c r="B6" s="3" t="s">
        <v>48</v>
      </c>
      <c r="C6" s="3">
        <v>1.5</v>
      </c>
      <c r="E6" s="3" t="s">
        <v>48</v>
      </c>
      <c r="F6" s="3">
        <v>1.5</v>
      </c>
      <c r="H6" s="4" t="s">
        <v>70</v>
      </c>
      <c r="I6" s="3">
        <v>100</v>
      </c>
    </row>
    <row r="7" spans="2:22">
      <c r="B7" s="3" t="s">
        <v>22</v>
      </c>
      <c r="C7" s="3">
        <v>2</v>
      </c>
      <c r="E7" s="3" t="s">
        <v>22</v>
      </c>
      <c r="F7" s="3">
        <v>2</v>
      </c>
      <c r="H7" s="4" t="s">
        <v>71</v>
      </c>
      <c r="I7" s="3">
        <v>10</v>
      </c>
    </row>
    <row r="8" spans="2:22">
      <c r="B8" s="3" t="s">
        <v>141</v>
      </c>
      <c r="C8" s="3">
        <v>2</v>
      </c>
      <c r="E8" s="3" t="s">
        <v>21</v>
      </c>
      <c r="F8" s="3">
        <v>2</v>
      </c>
      <c r="H8" s="4" t="s">
        <v>72</v>
      </c>
      <c r="I8" s="3">
        <v>10</v>
      </c>
    </row>
    <row r="9" spans="2:22">
      <c r="B9" s="3" t="s">
        <v>27</v>
      </c>
      <c r="C9" s="3">
        <v>5</v>
      </c>
      <c r="E9" s="3" t="s">
        <v>27</v>
      </c>
      <c r="F9" s="3">
        <v>5</v>
      </c>
      <c r="H9" s="4" t="s">
        <v>73</v>
      </c>
      <c r="I9" s="3">
        <v>10</v>
      </c>
    </row>
    <row r="10" spans="2:22">
      <c r="B10" s="3" t="s">
        <v>25</v>
      </c>
      <c r="C10" s="3">
        <v>5</v>
      </c>
      <c r="E10" s="3" t="s">
        <v>25</v>
      </c>
      <c r="F10" s="3">
        <v>5</v>
      </c>
      <c r="H10" s="4" t="s">
        <v>74</v>
      </c>
      <c r="I10" s="3">
        <v>100</v>
      </c>
    </row>
    <row r="12" spans="2:22" ht="16.8" thickBot="1">
      <c r="B12" s="2" t="s">
        <v>35</v>
      </c>
    </row>
    <row r="13" spans="2:22" ht="16.8" thickBot="1">
      <c r="B13" s="5" t="s">
        <v>6</v>
      </c>
      <c r="C13" s="6" t="s">
        <v>5</v>
      </c>
      <c r="D13" s="6" t="s">
        <v>7</v>
      </c>
      <c r="E13" s="6" t="s">
        <v>8</v>
      </c>
      <c r="F13" s="6" t="s">
        <v>9</v>
      </c>
      <c r="G13" s="6" t="s">
        <v>191</v>
      </c>
      <c r="H13" s="6" t="s">
        <v>37</v>
      </c>
      <c r="I13" s="6" t="s">
        <v>38</v>
      </c>
      <c r="J13" s="6" t="s">
        <v>39</v>
      </c>
      <c r="K13" s="6" t="s">
        <v>40</v>
      </c>
      <c r="L13" s="6" t="s">
        <v>56</v>
      </c>
      <c r="M13" s="6" t="s">
        <v>57</v>
      </c>
      <c r="N13" s="6" t="s">
        <v>41</v>
      </c>
      <c r="O13" s="6" t="s">
        <v>42</v>
      </c>
      <c r="P13" s="7" t="s">
        <v>43</v>
      </c>
      <c r="Q13" s="6" t="s">
        <v>118</v>
      </c>
      <c r="R13" s="6" t="s">
        <v>119</v>
      </c>
      <c r="S13" s="6" t="s">
        <v>153</v>
      </c>
      <c r="T13" s="7" t="s">
        <v>154</v>
      </c>
      <c r="U13" s="34" t="s">
        <v>124</v>
      </c>
      <c r="V13" s="8" t="s">
        <v>125</v>
      </c>
    </row>
    <row r="14" spans="2:22">
      <c r="B14" s="9">
        <v>1</v>
      </c>
      <c r="C14" s="10" t="s">
        <v>0</v>
      </c>
      <c r="D14" s="10" t="s">
        <v>16</v>
      </c>
      <c r="E14" s="10">
        <v>0</v>
      </c>
      <c r="F14" s="10">
        <v>0.4</v>
      </c>
      <c r="G14" s="10">
        <v>0</v>
      </c>
      <c r="H14" s="10">
        <f t="shared" ref="H14:H28" si="0">F14</f>
        <v>0.4</v>
      </c>
      <c r="I14" s="10">
        <v>0</v>
      </c>
      <c r="J14" s="10">
        <v>1</v>
      </c>
      <c r="K14" s="10">
        <v>1</v>
      </c>
      <c r="L14" s="10">
        <v>1</v>
      </c>
      <c r="M14" s="10">
        <v>1</v>
      </c>
      <c r="N14" s="10">
        <v>0</v>
      </c>
      <c r="O14" s="10">
        <v>0</v>
      </c>
      <c r="P14" s="11">
        <v>0</v>
      </c>
      <c r="Q14" s="11">
        <v>0</v>
      </c>
      <c r="R14" s="11">
        <v>0</v>
      </c>
      <c r="S14" s="11">
        <v>0</v>
      </c>
      <c r="T14" s="11">
        <v>0</v>
      </c>
      <c r="U14" s="12">
        <f t="shared" ref="U14:U46" si="1">SUM(H14:T14)</f>
        <v>4.4000000000000004</v>
      </c>
      <c r="V14" s="12">
        <f t="shared" ref="V14:V46" si="2">COUNTA(H14:T14)-COUNTIF(H14:T14,0)</f>
        <v>5</v>
      </c>
    </row>
    <row r="15" spans="2:22">
      <c r="B15" s="13">
        <v>2</v>
      </c>
      <c r="C15" s="3" t="s">
        <v>1</v>
      </c>
      <c r="D15" s="3" t="s">
        <v>17</v>
      </c>
      <c r="E15" s="3">
        <v>0</v>
      </c>
      <c r="F15" s="3">
        <v>0.3</v>
      </c>
      <c r="G15" s="3">
        <v>1</v>
      </c>
      <c r="H15" s="3">
        <f t="shared" si="0"/>
        <v>0.3</v>
      </c>
      <c r="I15" s="3">
        <v>0.3</v>
      </c>
      <c r="J15" s="3">
        <v>0</v>
      </c>
      <c r="K15" s="3">
        <v>0</v>
      </c>
      <c r="L15" s="3">
        <v>0</v>
      </c>
      <c r="M15" s="3">
        <v>0</v>
      </c>
      <c r="N15" s="3">
        <v>0.6</v>
      </c>
      <c r="O15" s="3">
        <v>0</v>
      </c>
      <c r="P15" s="14">
        <v>0</v>
      </c>
      <c r="Q15" s="14">
        <v>0.2</v>
      </c>
      <c r="R15" s="14">
        <v>0</v>
      </c>
      <c r="S15" s="14">
        <v>0</v>
      </c>
      <c r="T15" s="14">
        <v>0</v>
      </c>
      <c r="U15" s="15">
        <f t="shared" si="1"/>
        <v>1.4</v>
      </c>
      <c r="V15" s="15">
        <f t="shared" si="2"/>
        <v>4</v>
      </c>
    </row>
    <row r="16" spans="2:22">
      <c r="B16" s="13">
        <v>3</v>
      </c>
      <c r="C16" s="3" t="s">
        <v>2</v>
      </c>
      <c r="D16" s="3" t="s">
        <v>23</v>
      </c>
      <c r="E16" s="3">
        <v>5</v>
      </c>
      <c r="F16" s="3">
        <v>0.1</v>
      </c>
      <c r="G16" s="3">
        <v>0</v>
      </c>
      <c r="H16" s="3">
        <f t="shared" si="0"/>
        <v>0.1</v>
      </c>
      <c r="I16" s="3">
        <v>0.2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1</v>
      </c>
      <c r="P16" s="14">
        <v>0</v>
      </c>
      <c r="Q16" s="14">
        <v>0.1</v>
      </c>
      <c r="R16" s="14">
        <v>0</v>
      </c>
      <c r="S16" s="14">
        <v>0</v>
      </c>
      <c r="T16" s="14">
        <v>0</v>
      </c>
      <c r="U16" s="15">
        <f t="shared" si="1"/>
        <v>1.4000000000000001</v>
      </c>
      <c r="V16" s="15">
        <f t="shared" si="2"/>
        <v>4</v>
      </c>
    </row>
    <row r="17" spans="2:22">
      <c r="B17" s="13">
        <v>4</v>
      </c>
      <c r="C17" s="3" t="s">
        <v>142</v>
      </c>
      <c r="D17" s="3" t="s">
        <v>141</v>
      </c>
      <c r="E17" s="3">
        <v>10</v>
      </c>
      <c r="F17" s="3">
        <v>0.2</v>
      </c>
      <c r="G17" s="3">
        <v>0</v>
      </c>
      <c r="H17" s="3">
        <f t="shared" si="0"/>
        <v>0.2</v>
      </c>
      <c r="I17" s="3">
        <v>0.2</v>
      </c>
      <c r="J17" s="3">
        <v>0</v>
      </c>
      <c r="K17" s="3">
        <v>0</v>
      </c>
      <c r="L17" s="3">
        <v>0</v>
      </c>
      <c r="M17" s="3">
        <v>0</v>
      </c>
      <c r="N17" s="3">
        <v>0.4</v>
      </c>
      <c r="O17" s="3">
        <v>0</v>
      </c>
      <c r="P17" s="14">
        <v>0</v>
      </c>
      <c r="Q17" s="14">
        <v>0.2</v>
      </c>
      <c r="R17" s="14">
        <v>0</v>
      </c>
      <c r="S17" s="14">
        <v>0</v>
      </c>
      <c r="T17" s="14">
        <v>0</v>
      </c>
      <c r="U17" s="15">
        <f t="shared" si="1"/>
        <v>1</v>
      </c>
      <c r="V17" s="15">
        <f t="shared" si="2"/>
        <v>4</v>
      </c>
    </row>
    <row r="18" spans="2:22">
      <c r="B18" s="13">
        <v>5</v>
      </c>
      <c r="C18" s="3" t="s">
        <v>4</v>
      </c>
      <c r="D18" s="3" t="s">
        <v>28</v>
      </c>
      <c r="E18" s="3">
        <v>10</v>
      </c>
      <c r="F18" s="3">
        <v>0</v>
      </c>
      <c r="G18" s="3">
        <v>0</v>
      </c>
      <c r="H18" s="3">
        <f t="shared" si="0"/>
        <v>0</v>
      </c>
      <c r="I18" s="3">
        <v>0.2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14">
        <v>0.5</v>
      </c>
      <c r="Q18" s="14">
        <v>0.5</v>
      </c>
      <c r="R18" s="14">
        <v>0.5</v>
      </c>
      <c r="S18" s="14">
        <v>0.5</v>
      </c>
      <c r="T18" s="14">
        <v>0.5</v>
      </c>
      <c r="U18" s="15">
        <f t="shared" si="1"/>
        <v>2.7</v>
      </c>
      <c r="V18" s="15">
        <f t="shared" si="2"/>
        <v>6</v>
      </c>
    </row>
    <row r="19" spans="2:22" ht="16.2" thickBot="1">
      <c r="B19" s="16">
        <v>6</v>
      </c>
      <c r="C19" s="17" t="s">
        <v>3</v>
      </c>
      <c r="D19" s="17" t="s">
        <v>26</v>
      </c>
      <c r="E19" s="17">
        <v>20</v>
      </c>
      <c r="F19" s="17">
        <v>0</v>
      </c>
      <c r="G19" s="17">
        <v>0</v>
      </c>
      <c r="H19" s="17">
        <f t="shared" si="0"/>
        <v>0</v>
      </c>
      <c r="I19" s="17">
        <v>0.1</v>
      </c>
      <c r="J19" s="17">
        <v>0</v>
      </c>
      <c r="K19" s="17">
        <v>0</v>
      </c>
      <c r="L19" s="17">
        <v>0</v>
      </c>
      <c r="M19" s="17">
        <v>0</v>
      </c>
      <c r="N19" s="17">
        <v>0</v>
      </c>
      <c r="O19" s="17">
        <v>0</v>
      </c>
      <c r="P19" s="18">
        <v>0.5</v>
      </c>
      <c r="Q19" s="18">
        <v>0</v>
      </c>
      <c r="R19" s="18">
        <v>0.5</v>
      </c>
      <c r="S19" s="18">
        <v>0.5</v>
      </c>
      <c r="T19" s="18">
        <v>0.5</v>
      </c>
      <c r="U19" s="19">
        <f t="shared" si="1"/>
        <v>2.1</v>
      </c>
      <c r="V19" s="19">
        <f t="shared" si="2"/>
        <v>5</v>
      </c>
    </row>
    <row r="20" spans="2:22">
      <c r="B20" s="9">
        <v>7</v>
      </c>
      <c r="C20" s="10" t="s">
        <v>0</v>
      </c>
      <c r="D20" s="10" t="s">
        <v>10</v>
      </c>
      <c r="E20" s="10">
        <v>10</v>
      </c>
      <c r="F20" s="10">
        <v>0.2</v>
      </c>
      <c r="G20" s="10">
        <v>0</v>
      </c>
      <c r="H20" s="10">
        <f t="shared" si="0"/>
        <v>0.2</v>
      </c>
      <c r="I20" s="10">
        <v>0</v>
      </c>
      <c r="J20" s="10">
        <v>0.8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2">
        <f t="shared" si="1"/>
        <v>1</v>
      </c>
      <c r="V20" s="12">
        <f t="shared" si="2"/>
        <v>2</v>
      </c>
    </row>
    <row r="21" spans="2:22">
      <c r="B21" s="13">
        <v>8</v>
      </c>
      <c r="C21" s="3" t="s">
        <v>0</v>
      </c>
      <c r="D21" s="3" t="s">
        <v>20</v>
      </c>
      <c r="E21" s="3">
        <v>20</v>
      </c>
      <c r="F21" s="3">
        <v>0</v>
      </c>
      <c r="G21" s="3">
        <v>0</v>
      </c>
      <c r="H21" s="3">
        <f t="shared" si="0"/>
        <v>0</v>
      </c>
      <c r="I21" s="3">
        <v>0</v>
      </c>
      <c r="J21" s="3">
        <v>0</v>
      </c>
      <c r="K21" s="3">
        <v>1</v>
      </c>
      <c r="L21" s="3">
        <v>0</v>
      </c>
      <c r="M21" s="3">
        <v>0</v>
      </c>
      <c r="N21" s="3">
        <v>0</v>
      </c>
      <c r="O21" s="3">
        <v>0</v>
      </c>
      <c r="P21" s="14">
        <v>0</v>
      </c>
      <c r="Q21" s="14">
        <v>0</v>
      </c>
      <c r="R21" s="14">
        <v>0</v>
      </c>
      <c r="S21" s="14">
        <v>0</v>
      </c>
      <c r="T21" s="14">
        <v>0</v>
      </c>
      <c r="U21" s="15">
        <f t="shared" si="1"/>
        <v>1</v>
      </c>
      <c r="V21" s="15">
        <f t="shared" si="2"/>
        <v>1</v>
      </c>
    </row>
    <row r="22" spans="2:22">
      <c r="B22" s="13">
        <v>9</v>
      </c>
      <c r="C22" s="3" t="s">
        <v>0</v>
      </c>
      <c r="D22" s="3" t="s">
        <v>12</v>
      </c>
      <c r="E22" s="3">
        <v>30</v>
      </c>
      <c r="F22" s="3">
        <v>0.1</v>
      </c>
      <c r="G22" s="3">
        <v>0</v>
      </c>
      <c r="H22" s="3">
        <f t="shared" si="0"/>
        <v>0.1</v>
      </c>
      <c r="I22" s="3">
        <v>0</v>
      </c>
      <c r="J22" s="3">
        <v>0</v>
      </c>
      <c r="K22" s="3">
        <v>0</v>
      </c>
      <c r="L22" s="3">
        <v>1</v>
      </c>
      <c r="M22" s="3">
        <v>0</v>
      </c>
      <c r="N22" s="3">
        <v>0</v>
      </c>
      <c r="O22" s="3">
        <v>0</v>
      </c>
      <c r="P22" s="14">
        <v>0</v>
      </c>
      <c r="Q22" s="14">
        <v>0</v>
      </c>
      <c r="R22" s="14">
        <v>0</v>
      </c>
      <c r="S22" s="14">
        <v>0</v>
      </c>
      <c r="T22" s="14">
        <v>0</v>
      </c>
      <c r="U22" s="15">
        <f t="shared" si="1"/>
        <v>1.1000000000000001</v>
      </c>
      <c r="V22" s="15">
        <f t="shared" si="2"/>
        <v>2</v>
      </c>
    </row>
    <row r="23" spans="2:22">
      <c r="B23" s="13">
        <v>10</v>
      </c>
      <c r="C23" s="3" t="s">
        <v>0</v>
      </c>
      <c r="D23" s="3" t="s">
        <v>14</v>
      </c>
      <c r="E23" s="3">
        <v>30</v>
      </c>
      <c r="F23" s="3">
        <v>0.1</v>
      </c>
      <c r="G23" s="3">
        <v>0</v>
      </c>
      <c r="H23" s="3">
        <f t="shared" si="0"/>
        <v>0.1</v>
      </c>
      <c r="I23" s="3">
        <v>0</v>
      </c>
      <c r="J23" s="3">
        <v>0</v>
      </c>
      <c r="K23" s="3">
        <v>0</v>
      </c>
      <c r="L23" s="3">
        <v>0</v>
      </c>
      <c r="M23" s="3">
        <v>0</v>
      </c>
      <c r="N23" s="3">
        <v>0</v>
      </c>
      <c r="O23" s="3">
        <v>0</v>
      </c>
      <c r="P23" s="14">
        <v>0</v>
      </c>
      <c r="Q23" s="14">
        <v>0</v>
      </c>
      <c r="R23" s="14">
        <v>0</v>
      </c>
      <c r="S23" s="14">
        <v>0</v>
      </c>
      <c r="T23" s="14">
        <v>0</v>
      </c>
      <c r="U23" s="15">
        <f t="shared" si="1"/>
        <v>0.1</v>
      </c>
      <c r="V23" s="15">
        <f t="shared" si="2"/>
        <v>1</v>
      </c>
    </row>
    <row r="24" spans="2:22">
      <c r="B24" s="13">
        <v>11</v>
      </c>
      <c r="C24" s="3" t="s">
        <v>0</v>
      </c>
      <c r="D24" s="3" t="s">
        <v>11</v>
      </c>
      <c r="E24" s="3">
        <v>30</v>
      </c>
      <c r="F24" s="3">
        <v>0</v>
      </c>
      <c r="G24" s="3">
        <v>0</v>
      </c>
      <c r="H24" s="3">
        <f t="shared" si="0"/>
        <v>0</v>
      </c>
      <c r="I24" s="3">
        <v>0</v>
      </c>
      <c r="J24" s="3">
        <v>0.2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14">
        <v>0</v>
      </c>
      <c r="Q24" s="14">
        <v>0</v>
      </c>
      <c r="R24" s="14">
        <v>0</v>
      </c>
      <c r="S24" s="14">
        <v>0</v>
      </c>
      <c r="T24" s="14">
        <v>0</v>
      </c>
      <c r="U24" s="15">
        <f t="shared" si="1"/>
        <v>0.2</v>
      </c>
      <c r="V24" s="15">
        <f t="shared" si="2"/>
        <v>1</v>
      </c>
    </row>
    <row r="25" spans="2:22">
      <c r="B25" s="13">
        <v>12</v>
      </c>
      <c r="C25" s="3" t="s">
        <v>0</v>
      </c>
      <c r="D25" s="3" t="s">
        <v>13</v>
      </c>
      <c r="E25" s="3">
        <v>20</v>
      </c>
      <c r="F25" s="3">
        <v>0</v>
      </c>
      <c r="G25" s="3">
        <v>0</v>
      </c>
      <c r="H25" s="3">
        <f t="shared" si="0"/>
        <v>0</v>
      </c>
      <c r="I25" s="3">
        <v>0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0</v>
      </c>
      <c r="P25" s="14">
        <v>0</v>
      </c>
      <c r="Q25" s="14">
        <v>0</v>
      </c>
      <c r="R25" s="14">
        <v>0</v>
      </c>
      <c r="S25" s="14">
        <v>0</v>
      </c>
      <c r="T25" s="14">
        <v>0</v>
      </c>
      <c r="U25" s="15">
        <f t="shared" si="1"/>
        <v>0</v>
      </c>
      <c r="V25" s="15">
        <f t="shared" si="2"/>
        <v>0</v>
      </c>
    </row>
    <row r="26" spans="2:22" ht="16.2" thickBot="1">
      <c r="B26" s="16">
        <v>13</v>
      </c>
      <c r="C26" s="17" t="s">
        <v>0</v>
      </c>
      <c r="D26" s="17" t="s">
        <v>15</v>
      </c>
      <c r="E26" s="17">
        <v>30</v>
      </c>
      <c r="F26" s="17">
        <v>0</v>
      </c>
      <c r="G26" s="17">
        <v>0</v>
      </c>
      <c r="H26" s="17">
        <f t="shared" si="0"/>
        <v>0</v>
      </c>
      <c r="I26" s="17">
        <v>0</v>
      </c>
      <c r="J26" s="17">
        <v>0</v>
      </c>
      <c r="K26" s="17">
        <v>0</v>
      </c>
      <c r="L26" s="17">
        <v>0</v>
      </c>
      <c r="M26" s="17">
        <v>1</v>
      </c>
      <c r="N26" s="17">
        <v>0</v>
      </c>
      <c r="O26" s="17">
        <v>0</v>
      </c>
      <c r="P26" s="18">
        <v>0</v>
      </c>
      <c r="Q26" s="18">
        <v>0</v>
      </c>
      <c r="R26" s="18">
        <v>0</v>
      </c>
      <c r="S26" s="18">
        <v>0</v>
      </c>
      <c r="T26" s="18">
        <v>0</v>
      </c>
      <c r="U26" s="19">
        <f t="shared" si="1"/>
        <v>1</v>
      </c>
      <c r="V26" s="19">
        <f t="shared" si="2"/>
        <v>1</v>
      </c>
    </row>
    <row r="27" spans="2:22">
      <c r="B27" s="9">
        <v>14</v>
      </c>
      <c r="C27" s="10" t="s">
        <v>1</v>
      </c>
      <c r="D27" s="10" t="s">
        <v>18</v>
      </c>
      <c r="E27" s="10">
        <v>0</v>
      </c>
      <c r="F27" s="10">
        <v>0.3</v>
      </c>
      <c r="G27" s="10">
        <v>1</v>
      </c>
      <c r="H27" s="10">
        <f t="shared" si="0"/>
        <v>0.3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  <c r="O27" s="10">
        <v>0</v>
      </c>
      <c r="P27" s="11">
        <v>0</v>
      </c>
      <c r="Q27" s="11">
        <v>0</v>
      </c>
      <c r="R27" s="11">
        <v>0</v>
      </c>
      <c r="S27" s="11">
        <v>0</v>
      </c>
      <c r="T27" s="11">
        <v>0</v>
      </c>
      <c r="U27" s="12">
        <f t="shared" si="1"/>
        <v>0.3</v>
      </c>
      <c r="V27" s="12">
        <f t="shared" si="2"/>
        <v>1</v>
      </c>
    </row>
    <row r="28" spans="2:22">
      <c r="B28" s="13">
        <v>15</v>
      </c>
      <c r="C28" s="3" t="s">
        <v>1</v>
      </c>
      <c r="D28" s="3" t="s">
        <v>19</v>
      </c>
      <c r="E28" s="3">
        <v>20</v>
      </c>
      <c r="F28" s="3">
        <v>0</v>
      </c>
      <c r="G28" s="3">
        <v>0</v>
      </c>
      <c r="H28" s="3">
        <f t="shared" si="0"/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0.6</v>
      </c>
      <c r="O28" s="3">
        <v>0</v>
      </c>
      <c r="P28" s="14">
        <v>0</v>
      </c>
      <c r="Q28" s="14">
        <v>0</v>
      </c>
      <c r="R28" s="14">
        <v>0</v>
      </c>
      <c r="S28" s="14">
        <v>0</v>
      </c>
      <c r="T28" s="14">
        <v>0</v>
      </c>
      <c r="U28" s="15">
        <f t="shared" si="1"/>
        <v>0.6</v>
      </c>
      <c r="V28" s="15">
        <f t="shared" si="2"/>
        <v>1</v>
      </c>
    </row>
    <row r="29" spans="2:22">
      <c r="B29" s="20">
        <v>16</v>
      </c>
      <c r="C29" s="3" t="s">
        <v>1</v>
      </c>
      <c r="D29" s="21" t="s">
        <v>122</v>
      </c>
      <c r="E29" s="21">
        <v>0</v>
      </c>
      <c r="F29" s="21">
        <v>0</v>
      </c>
      <c r="G29" s="21">
        <v>0</v>
      </c>
      <c r="H29" s="21">
        <v>0</v>
      </c>
      <c r="I29" s="21">
        <v>0</v>
      </c>
      <c r="J29" s="21">
        <v>0</v>
      </c>
      <c r="K29" s="21">
        <v>0</v>
      </c>
      <c r="L29" s="21">
        <v>0</v>
      </c>
      <c r="M29" s="21">
        <v>0</v>
      </c>
      <c r="N29" s="21">
        <v>0</v>
      </c>
      <c r="O29" s="21">
        <v>0</v>
      </c>
      <c r="P29" s="22">
        <v>0</v>
      </c>
      <c r="Q29" s="22">
        <v>0.2</v>
      </c>
      <c r="R29" s="22">
        <v>0</v>
      </c>
      <c r="S29" s="22">
        <v>0</v>
      </c>
      <c r="T29" s="22">
        <v>0</v>
      </c>
      <c r="U29" s="15">
        <f t="shared" si="1"/>
        <v>0.2</v>
      </c>
      <c r="V29" s="15">
        <f t="shared" si="2"/>
        <v>1</v>
      </c>
    </row>
    <row r="30" spans="2:22" ht="16.2" thickBot="1">
      <c r="B30" s="16">
        <v>17</v>
      </c>
      <c r="C30" s="17" t="s">
        <v>24</v>
      </c>
      <c r="D30" s="17" t="s">
        <v>54</v>
      </c>
      <c r="E30" s="17">
        <v>20</v>
      </c>
      <c r="F30" s="17">
        <v>0</v>
      </c>
      <c r="G30" s="17">
        <v>0</v>
      </c>
      <c r="H30" s="17">
        <f>F30</f>
        <v>0</v>
      </c>
      <c r="I30" s="17">
        <v>0.3</v>
      </c>
      <c r="J30" s="17">
        <v>0</v>
      </c>
      <c r="K30" s="17">
        <v>0</v>
      </c>
      <c r="L30" s="17">
        <v>0</v>
      </c>
      <c r="M30" s="17">
        <v>0</v>
      </c>
      <c r="N30" s="17">
        <v>0</v>
      </c>
      <c r="O30" s="17">
        <v>0</v>
      </c>
      <c r="P30" s="18">
        <v>0</v>
      </c>
      <c r="Q30" s="18">
        <v>0</v>
      </c>
      <c r="R30" s="18">
        <v>0</v>
      </c>
      <c r="S30" s="18">
        <v>0</v>
      </c>
      <c r="T30" s="18">
        <v>0</v>
      </c>
      <c r="U30" s="19">
        <f t="shared" si="1"/>
        <v>0.3</v>
      </c>
      <c r="V30" s="19">
        <f t="shared" si="2"/>
        <v>1</v>
      </c>
    </row>
    <row r="31" spans="2:22">
      <c r="B31" s="9">
        <v>18</v>
      </c>
      <c r="C31" s="10" t="s">
        <v>2</v>
      </c>
      <c r="D31" s="10" t="s">
        <v>51</v>
      </c>
      <c r="E31" s="10">
        <v>5</v>
      </c>
      <c r="F31" s="10">
        <v>0.1</v>
      </c>
      <c r="G31" s="10">
        <v>0</v>
      </c>
      <c r="H31" s="10">
        <f>F31</f>
        <v>0.1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2">
        <f t="shared" si="1"/>
        <v>0.1</v>
      </c>
      <c r="V31" s="12">
        <f t="shared" si="2"/>
        <v>1</v>
      </c>
    </row>
    <row r="32" spans="2:22">
      <c r="B32" s="13">
        <v>19</v>
      </c>
      <c r="C32" s="3" t="s">
        <v>2</v>
      </c>
      <c r="D32" s="3" t="s">
        <v>52</v>
      </c>
      <c r="E32" s="3">
        <v>10</v>
      </c>
      <c r="F32" s="3">
        <v>0</v>
      </c>
      <c r="G32" s="3">
        <v>0</v>
      </c>
      <c r="H32" s="3">
        <f>F32</f>
        <v>0</v>
      </c>
      <c r="I32" s="3">
        <v>0</v>
      </c>
      <c r="J32" s="3">
        <v>0</v>
      </c>
      <c r="K32" s="3">
        <v>0</v>
      </c>
      <c r="L32" s="3">
        <v>0</v>
      </c>
      <c r="M32" s="3">
        <v>0</v>
      </c>
      <c r="N32" s="3">
        <v>0</v>
      </c>
      <c r="O32" s="3">
        <v>1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5">
        <f t="shared" si="1"/>
        <v>1</v>
      </c>
      <c r="V32" s="15">
        <f t="shared" si="2"/>
        <v>1</v>
      </c>
    </row>
    <row r="33" spans="2:22">
      <c r="B33" s="20">
        <v>20</v>
      </c>
      <c r="C33" s="3" t="s">
        <v>2</v>
      </c>
      <c r="D33" s="21" t="s">
        <v>123</v>
      </c>
      <c r="E33" s="21">
        <v>0</v>
      </c>
      <c r="F33" s="21">
        <v>0</v>
      </c>
      <c r="G33" s="21">
        <v>0</v>
      </c>
      <c r="H33" s="21">
        <v>0</v>
      </c>
      <c r="I33" s="21">
        <v>0</v>
      </c>
      <c r="J33" s="21">
        <v>0</v>
      </c>
      <c r="K33" s="21">
        <v>0</v>
      </c>
      <c r="L33" s="21">
        <v>0</v>
      </c>
      <c r="M33" s="21">
        <v>0</v>
      </c>
      <c r="N33" s="21">
        <v>0</v>
      </c>
      <c r="O33" s="21">
        <v>0</v>
      </c>
      <c r="P33" s="22">
        <v>0</v>
      </c>
      <c r="Q33" s="22">
        <v>0.1</v>
      </c>
      <c r="R33" s="22">
        <v>0</v>
      </c>
      <c r="S33" s="22">
        <v>0</v>
      </c>
      <c r="T33" s="22">
        <v>0</v>
      </c>
      <c r="U33" s="15">
        <f t="shared" si="1"/>
        <v>0.1</v>
      </c>
      <c r="V33" s="15">
        <f t="shared" si="2"/>
        <v>1</v>
      </c>
    </row>
    <row r="34" spans="2:22" ht="16.2" thickBot="1">
      <c r="B34" s="16">
        <v>21</v>
      </c>
      <c r="C34" s="17" t="s">
        <v>53</v>
      </c>
      <c r="D34" s="17" t="s">
        <v>55</v>
      </c>
      <c r="E34" s="17">
        <v>10</v>
      </c>
      <c r="F34" s="17">
        <v>0</v>
      </c>
      <c r="G34" s="17">
        <v>0</v>
      </c>
      <c r="H34" s="17">
        <f>F34</f>
        <v>0</v>
      </c>
      <c r="I34" s="17">
        <v>0.2</v>
      </c>
      <c r="J34" s="17">
        <v>0</v>
      </c>
      <c r="K34" s="17">
        <v>0</v>
      </c>
      <c r="L34" s="17">
        <v>0</v>
      </c>
      <c r="M34" s="17">
        <v>0</v>
      </c>
      <c r="N34" s="17">
        <v>0</v>
      </c>
      <c r="O34" s="17">
        <v>0</v>
      </c>
      <c r="P34" s="18">
        <v>0</v>
      </c>
      <c r="Q34" s="18">
        <v>0</v>
      </c>
      <c r="R34" s="18">
        <v>0</v>
      </c>
      <c r="S34" s="18">
        <v>0</v>
      </c>
      <c r="T34" s="18">
        <v>0</v>
      </c>
      <c r="U34" s="19">
        <f t="shared" si="1"/>
        <v>0.2</v>
      </c>
      <c r="V34" s="19">
        <f t="shared" si="2"/>
        <v>1</v>
      </c>
    </row>
    <row r="35" spans="2:22">
      <c r="B35" s="9">
        <v>22</v>
      </c>
      <c r="C35" s="10" t="s">
        <v>142</v>
      </c>
      <c r="D35" s="10" t="s">
        <v>143</v>
      </c>
      <c r="E35" s="10">
        <v>10</v>
      </c>
      <c r="F35" s="10">
        <v>0.2</v>
      </c>
      <c r="G35" s="10">
        <v>0</v>
      </c>
      <c r="H35" s="10">
        <f>F35</f>
        <v>0.2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1">
        <v>0</v>
      </c>
      <c r="Q35" s="11">
        <v>0</v>
      </c>
      <c r="R35" s="11">
        <v>0</v>
      </c>
      <c r="S35" s="11">
        <v>0</v>
      </c>
      <c r="T35" s="11">
        <v>0</v>
      </c>
      <c r="U35" s="12">
        <f t="shared" si="1"/>
        <v>0.2</v>
      </c>
      <c r="V35" s="12">
        <f t="shared" si="2"/>
        <v>1</v>
      </c>
    </row>
    <row r="36" spans="2:22">
      <c r="B36" s="13">
        <v>23</v>
      </c>
      <c r="C36" s="3" t="s">
        <v>142</v>
      </c>
      <c r="D36" s="3" t="s">
        <v>144</v>
      </c>
      <c r="E36" s="3">
        <v>20</v>
      </c>
      <c r="F36" s="3">
        <v>0</v>
      </c>
      <c r="G36" s="3">
        <v>0</v>
      </c>
      <c r="H36" s="3">
        <f>F36</f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0.4</v>
      </c>
      <c r="O36" s="3">
        <v>0</v>
      </c>
      <c r="P36" s="14">
        <v>0</v>
      </c>
      <c r="Q36" s="14">
        <v>0</v>
      </c>
      <c r="R36" s="14">
        <v>0</v>
      </c>
      <c r="S36" s="14">
        <v>0</v>
      </c>
      <c r="T36" s="14">
        <v>0</v>
      </c>
      <c r="U36" s="15">
        <f t="shared" si="1"/>
        <v>0.4</v>
      </c>
      <c r="V36" s="15">
        <f t="shared" si="2"/>
        <v>1</v>
      </c>
    </row>
    <row r="37" spans="2:22">
      <c r="B37" s="20">
        <v>24</v>
      </c>
      <c r="C37" s="3" t="s">
        <v>142</v>
      </c>
      <c r="D37" s="21" t="s">
        <v>145</v>
      </c>
      <c r="E37" s="21">
        <v>0</v>
      </c>
      <c r="F37" s="21">
        <v>0</v>
      </c>
      <c r="G37" s="21">
        <v>0</v>
      </c>
      <c r="H37" s="21">
        <v>0</v>
      </c>
      <c r="I37" s="21">
        <v>0</v>
      </c>
      <c r="J37" s="21">
        <v>0</v>
      </c>
      <c r="K37" s="21">
        <v>0</v>
      </c>
      <c r="L37" s="21">
        <v>0</v>
      </c>
      <c r="M37" s="21">
        <v>0</v>
      </c>
      <c r="N37" s="21">
        <v>0</v>
      </c>
      <c r="O37" s="21">
        <v>0</v>
      </c>
      <c r="P37" s="22">
        <v>0</v>
      </c>
      <c r="Q37" s="22">
        <v>0.2</v>
      </c>
      <c r="R37" s="22">
        <v>0</v>
      </c>
      <c r="S37" s="22">
        <v>0</v>
      </c>
      <c r="T37" s="22">
        <v>0</v>
      </c>
      <c r="U37" s="15">
        <f t="shared" si="1"/>
        <v>0.2</v>
      </c>
      <c r="V37" s="15">
        <f t="shared" si="2"/>
        <v>1</v>
      </c>
    </row>
    <row r="38" spans="2:22" ht="16.2" thickBot="1">
      <c r="B38" s="16">
        <v>25</v>
      </c>
      <c r="C38" s="17" t="s">
        <v>142</v>
      </c>
      <c r="D38" s="17" t="s">
        <v>146</v>
      </c>
      <c r="E38" s="17">
        <v>20</v>
      </c>
      <c r="F38" s="17">
        <v>0</v>
      </c>
      <c r="G38" s="17">
        <v>0</v>
      </c>
      <c r="H38" s="17">
        <f>F38</f>
        <v>0</v>
      </c>
      <c r="I38" s="17">
        <v>0.2</v>
      </c>
      <c r="J38" s="17">
        <v>0</v>
      </c>
      <c r="K38" s="17">
        <v>0</v>
      </c>
      <c r="L38" s="17">
        <v>0</v>
      </c>
      <c r="M38" s="17">
        <v>0</v>
      </c>
      <c r="N38" s="17">
        <v>0</v>
      </c>
      <c r="O38" s="17">
        <v>0</v>
      </c>
      <c r="P38" s="18">
        <v>0</v>
      </c>
      <c r="Q38" s="18">
        <v>0</v>
      </c>
      <c r="R38" s="18">
        <v>0</v>
      </c>
      <c r="S38" s="18">
        <v>0</v>
      </c>
      <c r="T38" s="18">
        <v>0</v>
      </c>
      <c r="U38" s="19">
        <f t="shared" si="1"/>
        <v>0.2</v>
      </c>
      <c r="V38" s="19">
        <f t="shared" si="2"/>
        <v>1</v>
      </c>
    </row>
    <row r="39" spans="2:22">
      <c r="B39" s="9">
        <v>26</v>
      </c>
      <c r="C39" s="10" t="s">
        <v>4</v>
      </c>
      <c r="D39" s="10" t="s">
        <v>29</v>
      </c>
      <c r="E39" s="10">
        <v>10</v>
      </c>
      <c r="F39" s="10">
        <v>0</v>
      </c>
      <c r="G39" s="10">
        <v>0</v>
      </c>
      <c r="H39" s="10">
        <f>F39</f>
        <v>0</v>
      </c>
      <c r="I39" s="10">
        <v>0</v>
      </c>
      <c r="J39" s="10">
        <v>0</v>
      </c>
      <c r="K39" s="10">
        <v>0</v>
      </c>
      <c r="L39" s="10">
        <v>0</v>
      </c>
      <c r="M39" s="10">
        <v>0</v>
      </c>
      <c r="N39" s="10">
        <v>0</v>
      </c>
      <c r="O39" s="10">
        <v>0</v>
      </c>
      <c r="P39" s="11">
        <v>0.5</v>
      </c>
      <c r="Q39" s="11">
        <v>0</v>
      </c>
      <c r="R39" s="11">
        <v>0</v>
      </c>
      <c r="S39" s="11">
        <v>0</v>
      </c>
      <c r="T39" s="11">
        <v>0</v>
      </c>
      <c r="U39" s="12">
        <f t="shared" si="1"/>
        <v>0.5</v>
      </c>
      <c r="V39" s="12">
        <f t="shared" si="2"/>
        <v>1</v>
      </c>
    </row>
    <row r="40" spans="2:22">
      <c r="B40" s="13">
        <v>27</v>
      </c>
      <c r="C40" s="3" t="s">
        <v>4</v>
      </c>
      <c r="D40" s="3" t="s">
        <v>30</v>
      </c>
      <c r="E40" s="3">
        <v>10</v>
      </c>
      <c r="F40" s="3">
        <v>0</v>
      </c>
      <c r="G40" s="3">
        <v>0</v>
      </c>
      <c r="H40" s="3">
        <f>F40</f>
        <v>0</v>
      </c>
      <c r="I40" s="3">
        <v>0.2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0</v>
      </c>
      <c r="P40" s="14">
        <v>0</v>
      </c>
      <c r="Q40" s="14">
        <v>0.5</v>
      </c>
      <c r="R40" s="14">
        <v>0</v>
      </c>
      <c r="S40" s="14">
        <v>0</v>
      </c>
      <c r="T40" s="14">
        <v>0</v>
      </c>
      <c r="U40" s="15">
        <f t="shared" si="1"/>
        <v>0.7</v>
      </c>
      <c r="V40" s="15">
        <f t="shared" si="2"/>
        <v>2</v>
      </c>
    </row>
    <row r="41" spans="2:22">
      <c r="B41" s="20">
        <v>28</v>
      </c>
      <c r="C41" s="3" t="s">
        <v>4</v>
      </c>
      <c r="D41" s="21" t="s">
        <v>120</v>
      </c>
      <c r="E41" s="21">
        <v>10</v>
      </c>
      <c r="F41" s="21">
        <v>0</v>
      </c>
      <c r="G41" s="21">
        <v>0</v>
      </c>
      <c r="H41" s="21">
        <v>0</v>
      </c>
      <c r="I41" s="21">
        <v>0</v>
      </c>
      <c r="J41" s="21">
        <v>0</v>
      </c>
      <c r="K41" s="21">
        <v>0</v>
      </c>
      <c r="L41" s="21">
        <v>0</v>
      </c>
      <c r="M41" s="21">
        <v>0</v>
      </c>
      <c r="N41" s="21">
        <v>0</v>
      </c>
      <c r="O41" s="21">
        <v>0</v>
      </c>
      <c r="P41" s="22">
        <v>0</v>
      </c>
      <c r="Q41" s="22">
        <v>0</v>
      </c>
      <c r="R41" s="22">
        <v>0.5</v>
      </c>
      <c r="S41" s="22">
        <v>0.5</v>
      </c>
      <c r="T41" s="22">
        <v>0.5</v>
      </c>
      <c r="U41" s="15">
        <f t="shared" si="1"/>
        <v>1.5</v>
      </c>
      <c r="V41" s="15">
        <f t="shared" si="2"/>
        <v>3</v>
      </c>
    </row>
    <row r="42" spans="2:22" ht="16.2" thickBot="1">
      <c r="B42" s="16">
        <v>29</v>
      </c>
      <c r="C42" s="17" t="s">
        <v>4</v>
      </c>
      <c r="D42" s="17" t="s">
        <v>33</v>
      </c>
      <c r="E42" s="17">
        <v>20</v>
      </c>
      <c r="F42" s="17">
        <v>0</v>
      </c>
      <c r="G42" s="17">
        <v>0</v>
      </c>
      <c r="H42" s="17">
        <f>F42</f>
        <v>0</v>
      </c>
      <c r="I42" s="17">
        <v>0</v>
      </c>
      <c r="J42" s="17">
        <v>0</v>
      </c>
      <c r="K42" s="17">
        <v>0</v>
      </c>
      <c r="L42" s="17">
        <v>0</v>
      </c>
      <c r="M42" s="17">
        <v>0</v>
      </c>
      <c r="N42" s="17">
        <v>0</v>
      </c>
      <c r="O42" s="17">
        <v>0</v>
      </c>
      <c r="P42" s="18">
        <v>0</v>
      </c>
      <c r="Q42" s="18">
        <v>0</v>
      </c>
      <c r="R42" s="18">
        <v>0</v>
      </c>
      <c r="S42" s="18">
        <v>0</v>
      </c>
      <c r="T42" s="18">
        <v>0</v>
      </c>
      <c r="U42" s="19">
        <f t="shared" si="1"/>
        <v>0</v>
      </c>
      <c r="V42" s="19">
        <f t="shared" si="2"/>
        <v>0</v>
      </c>
    </row>
    <row r="43" spans="2:22">
      <c r="B43" s="9">
        <v>30</v>
      </c>
      <c r="C43" s="10" t="s">
        <v>3</v>
      </c>
      <c r="D43" s="10" t="s">
        <v>31</v>
      </c>
      <c r="E43" s="10">
        <v>20</v>
      </c>
      <c r="F43" s="10">
        <v>0</v>
      </c>
      <c r="G43" s="10">
        <v>0</v>
      </c>
      <c r="H43" s="10">
        <f>F43</f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1">
        <v>0.5</v>
      </c>
      <c r="Q43" s="11">
        <v>0</v>
      </c>
      <c r="R43" s="11">
        <v>0</v>
      </c>
      <c r="S43" s="11">
        <v>0</v>
      </c>
      <c r="T43" s="11">
        <v>0</v>
      </c>
      <c r="U43" s="15">
        <f t="shared" si="1"/>
        <v>0.5</v>
      </c>
      <c r="V43" s="15">
        <f t="shared" si="2"/>
        <v>1</v>
      </c>
    </row>
    <row r="44" spans="2:22">
      <c r="B44" s="13">
        <v>31</v>
      </c>
      <c r="C44" s="3" t="s">
        <v>3</v>
      </c>
      <c r="D44" s="3" t="s">
        <v>32</v>
      </c>
      <c r="E44" s="3">
        <v>20</v>
      </c>
      <c r="F44" s="3">
        <v>0</v>
      </c>
      <c r="G44" s="3">
        <v>0</v>
      </c>
      <c r="H44" s="3">
        <f>F44</f>
        <v>0</v>
      </c>
      <c r="I44" s="3">
        <v>0.1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>
        <v>0</v>
      </c>
      <c r="P44" s="14">
        <v>0</v>
      </c>
      <c r="Q44" s="14">
        <v>0</v>
      </c>
      <c r="R44" s="14">
        <v>0</v>
      </c>
      <c r="S44" s="14">
        <v>0</v>
      </c>
      <c r="T44" s="14">
        <v>0</v>
      </c>
      <c r="U44" s="15">
        <f t="shared" si="1"/>
        <v>0.1</v>
      </c>
      <c r="V44" s="15">
        <f t="shared" si="2"/>
        <v>1</v>
      </c>
    </row>
    <row r="45" spans="2:22">
      <c r="B45" s="20">
        <v>32</v>
      </c>
      <c r="C45" s="3" t="s">
        <v>3</v>
      </c>
      <c r="D45" s="21" t="s">
        <v>121</v>
      </c>
      <c r="E45" s="21">
        <v>20</v>
      </c>
      <c r="F45" s="21">
        <v>0</v>
      </c>
      <c r="G45" s="21">
        <v>0</v>
      </c>
      <c r="H45" s="21">
        <v>0</v>
      </c>
      <c r="I45" s="21">
        <v>0</v>
      </c>
      <c r="J45" s="21">
        <v>0</v>
      </c>
      <c r="K45" s="21">
        <v>0</v>
      </c>
      <c r="L45" s="21">
        <v>0</v>
      </c>
      <c r="M45" s="21">
        <v>0</v>
      </c>
      <c r="N45" s="21">
        <v>0</v>
      </c>
      <c r="O45" s="21">
        <v>0</v>
      </c>
      <c r="P45" s="22">
        <v>0</v>
      </c>
      <c r="Q45" s="22">
        <v>0</v>
      </c>
      <c r="R45" s="22">
        <v>0.5</v>
      </c>
      <c r="S45" s="22">
        <v>0.5</v>
      </c>
      <c r="T45" s="22">
        <v>0.5</v>
      </c>
      <c r="U45" s="15">
        <f t="shared" si="1"/>
        <v>1.5</v>
      </c>
      <c r="V45" s="15">
        <f t="shared" si="2"/>
        <v>3</v>
      </c>
    </row>
    <row r="46" spans="2:22" ht="16.2" thickBot="1">
      <c r="B46" s="16">
        <v>33</v>
      </c>
      <c r="C46" s="17" t="s">
        <v>3</v>
      </c>
      <c r="D46" s="17" t="s">
        <v>34</v>
      </c>
      <c r="E46" s="17">
        <v>20</v>
      </c>
      <c r="F46" s="17">
        <v>0</v>
      </c>
      <c r="G46" s="17">
        <v>0</v>
      </c>
      <c r="H46" s="17">
        <f>F46</f>
        <v>0</v>
      </c>
      <c r="I46" s="17">
        <v>0</v>
      </c>
      <c r="J46" s="17">
        <v>0</v>
      </c>
      <c r="K46" s="17">
        <v>0</v>
      </c>
      <c r="L46" s="17">
        <v>0</v>
      </c>
      <c r="M46" s="17">
        <v>0</v>
      </c>
      <c r="N46" s="17">
        <v>0</v>
      </c>
      <c r="O46" s="17">
        <v>0</v>
      </c>
      <c r="P46" s="18">
        <v>0</v>
      </c>
      <c r="Q46" s="18">
        <v>0</v>
      </c>
      <c r="R46" s="18">
        <v>0</v>
      </c>
      <c r="S46" s="18">
        <v>0</v>
      </c>
      <c r="T46" s="18">
        <v>0</v>
      </c>
      <c r="U46" s="19">
        <f t="shared" si="1"/>
        <v>0</v>
      </c>
      <c r="V46" s="19">
        <f t="shared" si="2"/>
        <v>0</v>
      </c>
    </row>
    <row r="48" spans="2:22">
      <c r="B48" s="43" t="s">
        <v>46</v>
      </c>
      <c r="C48" s="43"/>
      <c r="D48" s="3" t="s">
        <v>16</v>
      </c>
      <c r="E48" s="3" t="s">
        <v>44</v>
      </c>
      <c r="F48" s="3" t="b">
        <f>AND(SUM(F$14:F$19)=1,SUM(F$20:F$26)=F$14)</f>
        <v>1</v>
      </c>
      <c r="G48" s="3" t="b">
        <f>AND(SUM(G$14:G$19)=1,SUM(G$20:G$26)=G$14)</f>
        <v>1</v>
      </c>
      <c r="H48" s="3" t="b">
        <f t="shared" ref="H48:T48" si="3">AND(SUM(H$14:H$19)=1,SUM(H$20:H$26)=H$14)</f>
        <v>1</v>
      </c>
      <c r="I48" s="3" t="b">
        <f t="shared" si="3"/>
        <v>1</v>
      </c>
      <c r="J48" s="3" t="b">
        <f t="shared" si="3"/>
        <v>1</v>
      </c>
      <c r="K48" s="3" t="b">
        <f t="shared" si="3"/>
        <v>1</v>
      </c>
      <c r="L48" s="3" t="b">
        <f t="shared" si="3"/>
        <v>1</v>
      </c>
      <c r="M48" s="3" t="b">
        <f t="shared" si="3"/>
        <v>1</v>
      </c>
      <c r="N48" s="3" t="b">
        <f t="shared" si="3"/>
        <v>1</v>
      </c>
      <c r="O48" s="3" t="b">
        <f t="shared" si="3"/>
        <v>1</v>
      </c>
      <c r="P48" s="3" t="b">
        <f t="shared" si="3"/>
        <v>1</v>
      </c>
      <c r="Q48" s="3" t="b">
        <f t="shared" si="3"/>
        <v>1</v>
      </c>
      <c r="R48" s="3" t="b">
        <f t="shared" si="3"/>
        <v>1</v>
      </c>
      <c r="S48" s="3" t="b">
        <f t="shared" si="3"/>
        <v>1</v>
      </c>
      <c r="T48" s="3" t="b">
        <f t="shared" si="3"/>
        <v>1</v>
      </c>
    </row>
    <row r="49" spans="2:20">
      <c r="B49" s="43" t="s">
        <v>45</v>
      </c>
      <c r="C49" s="43"/>
      <c r="D49" s="3" t="s">
        <v>17</v>
      </c>
      <c r="E49" s="3" t="s">
        <v>44</v>
      </c>
      <c r="F49" s="3" t="b">
        <f>AND(SUM(F$14:F$19)=1,SUM(F$27:F$30)=F$15)</f>
        <v>1</v>
      </c>
      <c r="G49" s="3" t="b">
        <f>AND(SUM(G$14:G$19)=1,SUM(G$27:G$30)=G$15)</f>
        <v>1</v>
      </c>
      <c r="H49" s="3" t="b">
        <f t="shared" ref="H49:T49" si="4">AND(SUM(H$14:H$19)=1,SUM(H$27:H$30)=H$15)</f>
        <v>1</v>
      </c>
      <c r="I49" s="3" t="b">
        <f t="shared" si="4"/>
        <v>1</v>
      </c>
      <c r="J49" s="3" t="b">
        <f t="shared" si="4"/>
        <v>1</v>
      </c>
      <c r="K49" s="3" t="b">
        <f t="shared" si="4"/>
        <v>1</v>
      </c>
      <c r="L49" s="3" t="b">
        <f t="shared" si="4"/>
        <v>1</v>
      </c>
      <c r="M49" s="3" t="b">
        <f t="shared" si="4"/>
        <v>1</v>
      </c>
      <c r="N49" s="3" t="b">
        <f t="shared" si="4"/>
        <v>1</v>
      </c>
      <c r="O49" s="3" t="b">
        <f t="shared" si="4"/>
        <v>1</v>
      </c>
      <c r="P49" s="3" t="b">
        <f t="shared" si="4"/>
        <v>1</v>
      </c>
      <c r="Q49" s="3" t="b">
        <f t="shared" si="4"/>
        <v>1</v>
      </c>
      <c r="R49" s="3" t="b">
        <f t="shared" si="4"/>
        <v>1</v>
      </c>
      <c r="S49" s="3" t="b">
        <f t="shared" si="4"/>
        <v>1</v>
      </c>
      <c r="T49" s="3" t="b">
        <f t="shared" si="4"/>
        <v>1</v>
      </c>
    </row>
    <row r="50" spans="2:20">
      <c r="B50" s="43" t="s">
        <v>45</v>
      </c>
      <c r="C50" s="43"/>
      <c r="D50" s="3" t="s">
        <v>23</v>
      </c>
      <c r="E50" s="3" t="s">
        <v>44</v>
      </c>
      <c r="F50" s="3" t="b">
        <f>AND(SUM(F$14:F$19)=1,SUM(F$31:F$34)=F$16)</f>
        <v>1</v>
      </c>
      <c r="G50" s="3" t="b">
        <f>AND(SUM(G$14:G$19)=1,SUM(G$31:G$34)=G$16)</f>
        <v>1</v>
      </c>
      <c r="H50" s="3" t="b">
        <f t="shared" ref="H50:T50" si="5">AND(SUM(H$14:H$19)=1,SUM(H$31:H$34)=H$16)</f>
        <v>1</v>
      </c>
      <c r="I50" s="3" t="b">
        <f t="shared" si="5"/>
        <v>1</v>
      </c>
      <c r="J50" s="3" t="b">
        <f t="shared" si="5"/>
        <v>1</v>
      </c>
      <c r="K50" s="3" t="b">
        <f t="shared" si="5"/>
        <v>1</v>
      </c>
      <c r="L50" s="3" t="b">
        <f t="shared" si="5"/>
        <v>1</v>
      </c>
      <c r="M50" s="3" t="b">
        <f t="shared" si="5"/>
        <v>1</v>
      </c>
      <c r="N50" s="3" t="b">
        <f t="shared" si="5"/>
        <v>1</v>
      </c>
      <c r="O50" s="3" t="b">
        <f t="shared" si="5"/>
        <v>1</v>
      </c>
      <c r="P50" s="3" t="b">
        <f t="shared" si="5"/>
        <v>1</v>
      </c>
      <c r="Q50" s="3" t="b">
        <f t="shared" si="5"/>
        <v>1</v>
      </c>
      <c r="R50" s="3" t="b">
        <f t="shared" si="5"/>
        <v>1</v>
      </c>
      <c r="S50" s="3" t="b">
        <f t="shared" si="5"/>
        <v>1</v>
      </c>
      <c r="T50" s="3" t="b">
        <f t="shared" si="5"/>
        <v>1</v>
      </c>
    </row>
    <row r="51" spans="2:20">
      <c r="B51" s="43" t="s">
        <v>45</v>
      </c>
      <c r="C51" s="43"/>
      <c r="D51" s="3" t="s">
        <v>141</v>
      </c>
      <c r="E51" s="3" t="s">
        <v>44</v>
      </c>
      <c r="F51" s="3" t="b">
        <f>AND(SUM(F$14:F$19)=1,SUM(F$35:F$38)=F$17)</f>
        <v>1</v>
      </c>
      <c r="G51" s="3" t="b">
        <f>AND(SUM(G$14:G$19)=1,SUM(G$35:G$38)=G$17)</f>
        <v>1</v>
      </c>
      <c r="H51" s="3" t="b">
        <f t="shared" ref="H51:T51" si="6">AND(SUM(H$14:H$19)=1,SUM(H$35:H$38)=H$17)</f>
        <v>1</v>
      </c>
      <c r="I51" s="3" t="b">
        <f t="shared" si="6"/>
        <v>1</v>
      </c>
      <c r="J51" s="3" t="b">
        <f t="shared" si="6"/>
        <v>1</v>
      </c>
      <c r="K51" s="3" t="b">
        <f t="shared" si="6"/>
        <v>1</v>
      </c>
      <c r="L51" s="3" t="b">
        <f t="shared" si="6"/>
        <v>1</v>
      </c>
      <c r="M51" s="3" t="b">
        <f t="shared" si="6"/>
        <v>1</v>
      </c>
      <c r="N51" s="3" t="b">
        <f t="shared" si="6"/>
        <v>1</v>
      </c>
      <c r="O51" s="3" t="b">
        <f t="shared" si="6"/>
        <v>1</v>
      </c>
      <c r="P51" s="3" t="b">
        <f t="shared" si="6"/>
        <v>1</v>
      </c>
      <c r="Q51" s="3" t="b">
        <f t="shared" si="6"/>
        <v>1</v>
      </c>
      <c r="R51" s="3" t="b">
        <f t="shared" si="6"/>
        <v>1</v>
      </c>
      <c r="S51" s="3" t="b">
        <f t="shared" si="6"/>
        <v>1</v>
      </c>
      <c r="T51" s="3" t="b">
        <f t="shared" si="6"/>
        <v>1</v>
      </c>
    </row>
    <row r="52" spans="2:20">
      <c r="B52" s="43" t="s">
        <v>45</v>
      </c>
      <c r="C52" s="43"/>
      <c r="D52" s="3" t="s">
        <v>28</v>
      </c>
      <c r="E52" s="3" t="s">
        <v>44</v>
      </c>
      <c r="F52" s="3" t="b">
        <f t="shared" ref="F52:T52" si="7">AND(SUM(F$14:F$19)=1,SUM(F$39:F$42)=F$18)</f>
        <v>1</v>
      </c>
      <c r="G52" s="3" t="b">
        <f t="shared" si="7"/>
        <v>1</v>
      </c>
      <c r="H52" s="3" t="b">
        <f t="shared" si="7"/>
        <v>1</v>
      </c>
      <c r="I52" s="3" t="b">
        <f t="shared" si="7"/>
        <v>1</v>
      </c>
      <c r="J52" s="3" t="b">
        <f t="shared" si="7"/>
        <v>1</v>
      </c>
      <c r="K52" s="3" t="b">
        <f t="shared" si="7"/>
        <v>1</v>
      </c>
      <c r="L52" s="3" t="b">
        <f t="shared" si="7"/>
        <v>1</v>
      </c>
      <c r="M52" s="3" t="b">
        <f t="shared" si="7"/>
        <v>1</v>
      </c>
      <c r="N52" s="3" t="b">
        <f t="shared" si="7"/>
        <v>1</v>
      </c>
      <c r="O52" s="3" t="b">
        <f t="shared" si="7"/>
        <v>1</v>
      </c>
      <c r="P52" s="3" t="b">
        <f t="shared" si="7"/>
        <v>1</v>
      </c>
      <c r="Q52" s="3" t="b">
        <f t="shared" si="7"/>
        <v>1</v>
      </c>
      <c r="R52" s="3" t="b">
        <f t="shared" si="7"/>
        <v>1</v>
      </c>
      <c r="S52" s="3" t="b">
        <f t="shared" si="7"/>
        <v>1</v>
      </c>
      <c r="T52" s="3" t="b">
        <f t="shared" si="7"/>
        <v>1</v>
      </c>
    </row>
    <row r="53" spans="2:20">
      <c r="B53" s="43" t="s">
        <v>45</v>
      </c>
      <c r="C53" s="43"/>
      <c r="D53" s="3" t="s">
        <v>26</v>
      </c>
      <c r="E53" s="3" t="s">
        <v>44</v>
      </c>
      <c r="F53" s="3" t="b">
        <f t="shared" ref="F53:T53" si="8">AND(SUM(F$14:F$19)=1,SUM(F$43:F$46)=F$19)</f>
        <v>1</v>
      </c>
      <c r="G53" s="3" t="b">
        <f t="shared" si="8"/>
        <v>1</v>
      </c>
      <c r="H53" s="3" t="b">
        <f t="shared" si="8"/>
        <v>1</v>
      </c>
      <c r="I53" s="3" t="b">
        <f t="shared" si="8"/>
        <v>1</v>
      </c>
      <c r="J53" s="3" t="b">
        <f t="shared" si="8"/>
        <v>1</v>
      </c>
      <c r="K53" s="3" t="b">
        <f t="shared" si="8"/>
        <v>1</v>
      </c>
      <c r="L53" s="3" t="b">
        <f t="shared" si="8"/>
        <v>1</v>
      </c>
      <c r="M53" s="3" t="b">
        <f t="shared" si="8"/>
        <v>1</v>
      </c>
      <c r="N53" s="3" t="b">
        <f t="shared" si="8"/>
        <v>1</v>
      </c>
      <c r="O53" s="3" t="b">
        <f t="shared" si="8"/>
        <v>1</v>
      </c>
      <c r="P53" s="3" t="b">
        <f t="shared" si="8"/>
        <v>1</v>
      </c>
      <c r="Q53" s="3" t="b">
        <f t="shared" si="8"/>
        <v>1</v>
      </c>
      <c r="R53" s="3" t="b">
        <f t="shared" si="8"/>
        <v>1</v>
      </c>
      <c r="S53" s="3" t="b">
        <f t="shared" si="8"/>
        <v>1</v>
      </c>
      <c r="T53" s="3" t="b">
        <f t="shared" si="8"/>
        <v>1</v>
      </c>
    </row>
  </sheetData>
  <protectedRanges>
    <protectedRange algorithmName="SHA-512" hashValue="8QVIzQL80tM+TppIhVOgLNQ0tf3JOjNxensoqmCA7edy/hxDSYi5tvGaLaV9Z04AjPyV9UT31mRm55DxIW1eWA==" saltValue="FeRIltwSkrs8NjXPa0KNCQ==" spinCount="100000" sqref="F11:G46 D4:D10 F1:G2 H48:T53 F48:G1048576" name="系统框架_战力产出"/>
  </protectedRanges>
  <phoneticPr fontId="1" type="noConversion"/>
  <conditionalFormatting sqref="F14:F19">
    <cfRule type="dataBar" priority="125">
      <dataBar>
        <cfvo type="min"/>
        <cfvo type="num" val="1"/>
        <color rgb="FFA70D91"/>
      </dataBar>
      <extLst>
        <ext xmlns:x14="http://schemas.microsoft.com/office/spreadsheetml/2009/9/main" uri="{B025F937-C7B1-47D3-B67F-A62EFF666E3E}">
          <x14:id>{01BA10A2-D6FE-45F2-AE63-0BB3D3D33922}</x14:id>
        </ext>
      </extLst>
    </cfRule>
  </conditionalFormatting>
  <conditionalFormatting sqref="F20:F26">
    <cfRule type="dataBar" priority="118">
      <dataBar>
        <cfvo type="min"/>
        <cfvo type="formula" val="$F$14"/>
        <color theme="9" tint="-0.249977111117893"/>
      </dataBar>
      <extLst>
        <ext xmlns:x14="http://schemas.microsoft.com/office/spreadsheetml/2009/9/main" uri="{B025F937-C7B1-47D3-B67F-A62EFF666E3E}">
          <x14:id>{CF9D41E3-BACE-4C71-92DA-CA100BA60B4B}</x14:id>
        </ext>
      </extLst>
    </cfRule>
  </conditionalFormatting>
  <conditionalFormatting sqref="F27:F30">
    <cfRule type="dataBar" priority="120">
      <dataBar>
        <cfvo type="min"/>
        <cfvo type="formula" val="$F$15"/>
        <color rgb="FFFFC000"/>
      </dataBar>
      <extLst>
        <ext xmlns:x14="http://schemas.microsoft.com/office/spreadsheetml/2009/9/main" uri="{B025F937-C7B1-47D3-B67F-A62EFF666E3E}">
          <x14:id>{73E1ABA4-E010-4FB9-BDEB-EEAE9D291AA6}</x14:id>
        </ext>
      </extLst>
    </cfRule>
  </conditionalFormatting>
  <conditionalFormatting sqref="F31:F34">
    <cfRule type="dataBar" priority="95">
      <dataBar>
        <cfvo type="min"/>
        <cfvo type="formula" val="$F$16"/>
        <color theme="9" tint="0.59999389629810485"/>
      </dataBar>
      <extLst>
        <ext xmlns:x14="http://schemas.microsoft.com/office/spreadsheetml/2009/9/main" uri="{B025F937-C7B1-47D3-B67F-A62EFF666E3E}">
          <x14:id>{F742D5A4-4A50-46F8-82EF-63D3EF3F4277}</x14:id>
        </ext>
      </extLst>
    </cfRule>
  </conditionalFormatting>
  <conditionalFormatting sqref="F35:F38">
    <cfRule type="dataBar" priority="94">
      <dataBar>
        <cfvo type="min"/>
        <cfvo type="formula" val="$F$17"/>
        <color rgb="FF638EC6"/>
      </dataBar>
      <extLst>
        <ext xmlns:x14="http://schemas.microsoft.com/office/spreadsheetml/2009/9/main" uri="{B025F937-C7B1-47D3-B67F-A62EFF666E3E}">
          <x14:id>{DA5E5CB3-37AD-4BC4-B37D-CC35094817DE}</x14:id>
        </ext>
      </extLst>
    </cfRule>
  </conditionalFormatting>
  <conditionalFormatting sqref="F39:F42">
    <cfRule type="dataBar" priority="99">
      <dataBar>
        <cfvo type="min"/>
        <cfvo type="formula" val="$F$18"/>
        <color theme="5" tint="-0.249977111117893"/>
      </dataBar>
      <extLst>
        <ext xmlns:x14="http://schemas.microsoft.com/office/spreadsheetml/2009/9/main" uri="{B025F937-C7B1-47D3-B67F-A62EFF666E3E}">
          <x14:id>{0E0A43A3-7523-4794-A5EA-048B5D27F239}</x14:id>
        </ext>
      </extLst>
    </cfRule>
  </conditionalFormatting>
  <conditionalFormatting sqref="F43:F46">
    <cfRule type="dataBar" priority="98">
      <dataBar>
        <cfvo type="min"/>
        <cfvo type="formula" val="$F$19"/>
        <color theme="7" tint="-0.499984740745262"/>
      </dataBar>
      <extLst>
        <ext xmlns:x14="http://schemas.microsoft.com/office/spreadsheetml/2009/9/main" uri="{B025F937-C7B1-47D3-B67F-A62EFF666E3E}">
          <x14:id>{CE55B8FF-5C0D-4BB0-BF6C-1720407390D5}</x14:id>
        </ext>
      </extLst>
    </cfRule>
  </conditionalFormatting>
  <conditionalFormatting sqref="F48:T53">
    <cfRule type="cellIs" dxfId="3" priority="96" operator="equal">
      <formula>FALSE</formula>
    </cfRule>
    <cfRule type="cellIs" dxfId="2" priority="97" operator="equal">
      <formula>TRUE</formula>
    </cfRule>
  </conditionalFormatting>
  <conditionalFormatting sqref="H14:H19">
    <cfRule type="dataBar" priority="113">
      <dataBar>
        <cfvo type="min"/>
        <cfvo type="num" val="1"/>
        <color rgb="FFA70D91"/>
      </dataBar>
      <extLst>
        <ext xmlns:x14="http://schemas.microsoft.com/office/spreadsheetml/2009/9/main" uri="{B025F937-C7B1-47D3-B67F-A62EFF666E3E}">
          <x14:id>{59B0D790-2E45-4894-8B9F-C8FE51BF2FDA}</x14:id>
        </ext>
      </extLst>
    </cfRule>
  </conditionalFormatting>
  <conditionalFormatting sqref="H20:H26">
    <cfRule type="dataBar" priority="107">
      <dataBar>
        <cfvo type="min"/>
        <cfvo type="formula" val="$H$14"/>
        <color theme="9" tint="-0.249977111117893"/>
      </dataBar>
      <extLst>
        <ext xmlns:x14="http://schemas.microsoft.com/office/spreadsheetml/2009/9/main" uri="{B025F937-C7B1-47D3-B67F-A62EFF666E3E}">
          <x14:id>{78894E99-9D29-4122-AF40-F0DADA161772}</x14:id>
        </ext>
      </extLst>
    </cfRule>
  </conditionalFormatting>
  <conditionalFormatting sqref="H27:H30">
    <cfRule type="dataBar" priority="93">
      <dataBar>
        <cfvo type="min"/>
        <cfvo type="formula" val="$H$15"/>
        <color rgb="FFFFC000"/>
      </dataBar>
      <extLst>
        <ext xmlns:x14="http://schemas.microsoft.com/office/spreadsheetml/2009/9/main" uri="{B025F937-C7B1-47D3-B67F-A62EFF666E3E}">
          <x14:id>{0A5DF541-2C44-4C96-92F9-D9A4B26D57BA}</x14:id>
        </ext>
      </extLst>
    </cfRule>
  </conditionalFormatting>
  <conditionalFormatting sqref="H31:H34">
    <cfRule type="dataBar" priority="86">
      <dataBar>
        <cfvo type="min"/>
        <cfvo type="formula" val="$H$16"/>
        <color theme="9" tint="0.59999389629810485"/>
      </dataBar>
      <extLst>
        <ext xmlns:x14="http://schemas.microsoft.com/office/spreadsheetml/2009/9/main" uri="{B025F937-C7B1-47D3-B67F-A62EFF666E3E}">
          <x14:id>{7DF5AFA6-FD61-45E3-BBB4-3A62CCCA11BB}</x14:id>
        </ext>
      </extLst>
    </cfRule>
  </conditionalFormatting>
  <conditionalFormatting sqref="H35:H38">
    <cfRule type="dataBar" priority="79">
      <dataBar>
        <cfvo type="min"/>
        <cfvo type="formula" val="$H$17"/>
        <color rgb="FF638EC6"/>
      </dataBar>
      <extLst>
        <ext xmlns:x14="http://schemas.microsoft.com/office/spreadsheetml/2009/9/main" uri="{B025F937-C7B1-47D3-B67F-A62EFF666E3E}">
          <x14:id>{03AE8CA7-4E53-4F3B-B185-0BC924F4E8D2}</x14:id>
        </ext>
      </extLst>
    </cfRule>
  </conditionalFormatting>
  <conditionalFormatting sqref="H39:H42">
    <cfRule type="dataBar" priority="72">
      <dataBar>
        <cfvo type="min"/>
        <cfvo type="formula" val="$H$18"/>
        <color theme="5" tint="-0.249977111117893"/>
      </dataBar>
      <extLst>
        <ext xmlns:x14="http://schemas.microsoft.com/office/spreadsheetml/2009/9/main" uri="{B025F937-C7B1-47D3-B67F-A62EFF666E3E}">
          <x14:id>{6EE796C1-0E14-4002-AF0C-70FACE2FAD8E}</x14:id>
        </ext>
      </extLst>
    </cfRule>
  </conditionalFormatting>
  <conditionalFormatting sqref="H43:H46">
    <cfRule type="dataBar" priority="65">
      <dataBar>
        <cfvo type="min"/>
        <cfvo type="formula" val="$H$19"/>
        <color theme="7" tint="-0.499984740745262"/>
      </dataBar>
      <extLst>
        <ext xmlns:x14="http://schemas.microsoft.com/office/spreadsheetml/2009/9/main" uri="{B025F937-C7B1-47D3-B67F-A62EFF666E3E}">
          <x14:id>{13CDB944-E31F-4A5D-8E9D-AE14FB252AD7}</x14:id>
        </ext>
      </extLst>
    </cfRule>
  </conditionalFormatting>
  <conditionalFormatting sqref="I14:I19">
    <cfRule type="dataBar" priority="106">
      <dataBar>
        <cfvo type="min"/>
        <cfvo type="num" val="1"/>
        <color rgb="FFA70D91"/>
      </dataBar>
      <extLst>
        <ext xmlns:x14="http://schemas.microsoft.com/office/spreadsheetml/2009/9/main" uri="{B025F937-C7B1-47D3-B67F-A62EFF666E3E}">
          <x14:id>{EC3BFDE6-C81C-40F7-BC4C-9F902345365A}</x14:id>
        </ext>
      </extLst>
    </cfRule>
  </conditionalFormatting>
  <conditionalFormatting sqref="I20:I26">
    <cfRule type="dataBar" priority="105">
      <dataBar>
        <cfvo type="min"/>
        <cfvo type="formula" val="$I$14"/>
        <color theme="9" tint="-0.249977111117893"/>
      </dataBar>
      <extLst>
        <ext xmlns:x14="http://schemas.microsoft.com/office/spreadsheetml/2009/9/main" uri="{B025F937-C7B1-47D3-B67F-A62EFF666E3E}">
          <x14:id>{3032B650-8997-4594-9185-3B86DB28A791}</x14:id>
        </ext>
      </extLst>
    </cfRule>
  </conditionalFormatting>
  <conditionalFormatting sqref="I27:I30">
    <cfRule type="dataBar" priority="92">
      <dataBar>
        <cfvo type="min"/>
        <cfvo type="formula" val="$I$15"/>
        <color rgb="FFFFC000"/>
      </dataBar>
      <extLst>
        <ext xmlns:x14="http://schemas.microsoft.com/office/spreadsheetml/2009/9/main" uri="{B025F937-C7B1-47D3-B67F-A62EFF666E3E}">
          <x14:id>{AC5D9522-08D6-4146-AFED-BC09B4827CED}</x14:id>
        </ext>
      </extLst>
    </cfRule>
  </conditionalFormatting>
  <conditionalFormatting sqref="I31:I34">
    <cfRule type="dataBar" priority="85">
      <dataBar>
        <cfvo type="min"/>
        <cfvo type="formula" val="$I$16"/>
        <color theme="9" tint="0.59999389629810485"/>
      </dataBar>
      <extLst>
        <ext xmlns:x14="http://schemas.microsoft.com/office/spreadsheetml/2009/9/main" uri="{B025F937-C7B1-47D3-B67F-A62EFF666E3E}">
          <x14:id>{E2AF73DC-1A2D-4D10-AEA9-ECC7E3E3003A}</x14:id>
        </ext>
      </extLst>
    </cfRule>
  </conditionalFormatting>
  <conditionalFormatting sqref="I35:I38">
    <cfRule type="dataBar" priority="78">
      <dataBar>
        <cfvo type="min"/>
        <cfvo type="formula" val="$I$17"/>
        <color rgb="FF638EC6"/>
      </dataBar>
      <extLst>
        <ext xmlns:x14="http://schemas.microsoft.com/office/spreadsheetml/2009/9/main" uri="{B025F937-C7B1-47D3-B67F-A62EFF666E3E}">
          <x14:id>{7135E21A-A096-4511-944D-D2348551ED03}</x14:id>
        </ext>
      </extLst>
    </cfRule>
  </conditionalFormatting>
  <conditionalFormatting sqref="I39:I42">
    <cfRule type="dataBar" priority="71">
      <dataBar>
        <cfvo type="min"/>
        <cfvo type="formula" val="$I$18"/>
        <color theme="5" tint="-0.249977111117893"/>
      </dataBar>
      <extLst>
        <ext xmlns:x14="http://schemas.microsoft.com/office/spreadsheetml/2009/9/main" uri="{B025F937-C7B1-47D3-B67F-A62EFF666E3E}">
          <x14:id>{4BC98E96-E02B-4098-A731-67D54367ACFC}</x14:id>
        </ext>
      </extLst>
    </cfRule>
  </conditionalFormatting>
  <conditionalFormatting sqref="I43:I46">
    <cfRule type="dataBar" priority="64">
      <dataBar>
        <cfvo type="min"/>
        <cfvo type="formula" val="$I$19"/>
        <color theme="7" tint="-0.499984740745262"/>
      </dataBar>
      <extLst>
        <ext xmlns:x14="http://schemas.microsoft.com/office/spreadsheetml/2009/9/main" uri="{B025F937-C7B1-47D3-B67F-A62EFF666E3E}">
          <x14:id>{A2434C79-3858-43FB-8F58-C2331354294E}</x14:id>
        </ext>
      </extLst>
    </cfRule>
  </conditionalFormatting>
  <conditionalFormatting sqref="J14:J19">
    <cfRule type="dataBar" priority="112">
      <dataBar>
        <cfvo type="min"/>
        <cfvo type="num" val="1"/>
        <color rgb="FFA70D91"/>
      </dataBar>
      <extLst>
        <ext xmlns:x14="http://schemas.microsoft.com/office/spreadsheetml/2009/9/main" uri="{B025F937-C7B1-47D3-B67F-A62EFF666E3E}">
          <x14:id>{9460B843-A6C5-493B-B6BB-6C910D2973B9}</x14:id>
        </ext>
      </extLst>
    </cfRule>
  </conditionalFormatting>
  <conditionalFormatting sqref="J20:J26">
    <cfRule type="dataBar" priority="104">
      <dataBar>
        <cfvo type="min"/>
        <cfvo type="formula" val="$J$14"/>
        <color theme="9" tint="-0.249977111117893"/>
      </dataBar>
      <extLst>
        <ext xmlns:x14="http://schemas.microsoft.com/office/spreadsheetml/2009/9/main" uri="{B025F937-C7B1-47D3-B67F-A62EFF666E3E}">
          <x14:id>{6C83FC1C-02D1-4B88-B175-FB4C9CEA2383}</x14:id>
        </ext>
      </extLst>
    </cfRule>
  </conditionalFormatting>
  <conditionalFormatting sqref="J27:J30">
    <cfRule type="dataBar" priority="91">
      <dataBar>
        <cfvo type="min"/>
        <cfvo type="formula" val="$J$15"/>
        <color rgb="FFFFC000"/>
      </dataBar>
      <extLst>
        <ext xmlns:x14="http://schemas.microsoft.com/office/spreadsheetml/2009/9/main" uri="{B025F937-C7B1-47D3-B67F-A62EFF666E3E}">
          <x14:id>{CF3E25B5-6C75-4D76-AA5E-7501B8A9DEE9}</x14:id>
        </ext>
      </extLst>
    </cfRule>
  </conditionalFormatting>
  <conditionalFormatting sqref="J31:J34">
    <cfRule type="dataBar" priority="84">
      <dataBar>
        <cfvo type="min"/>
        <cfvo type="formula" val="$J$16"/>
        <color theme="9" tint="0.59999389629810485"/>
      </dataBar>
      <extLst>
        <ext xmlns:x14="http://schemas.microsoft.com/office/spreadsheetml/2009/9/main" uri="{B025F937-C7B1-47D3-B67F-A62EFF666E3E}">
          <x14:id>{AE698825-06FB-4979-A4F5-9D50449720CA}</x14:id>
        </ext>
      </extLst>
    </cfRule>
  </conditionalFormatting>
  <conditionalFormatting sqref="J35:J38">
    <cfRule type="dataBar" priority="77">
      <dataBar>
        <cfvo type="min"/>
        <cfvo type="formula" val="$J$17"/>
        <color rgb="FF638EC6"/>
      </dataBar>
      <extLst>
        <ext xmlns:x14="http://schemas.microsoft.com/office/spreadsheetml/2009/9/main" uri="{B025F937-C7B1-47D3-B67F-A62EFF666E3E}">
          <x14:id>{64D5F0E6-88B8-41D0-A29A-06B801C4738C}</x14:id>
        </ext>
      </extLst>
    </cfRule>
  </conditionalFormatting>
  <conditionalFormatting sqref="J39:J42">
    <cfRule type="dataBar" priority="70">
      <dataBar>
        <cfvo type="min"/>
        <cfvo type="formula" val="$J$18"/>
        <color theme="5" tint="-0.249977111117893"/>
      </dataBar>
      <extLst>
        <ext xmlns:x14="http://schemas.microsoft.com/office/spreadsheetml/2009/9/main" uri="{B025F937-C7B1-47D3-B67F-A62EFF666E3E}">
          <x14:id>{35C7227B-4B95-4E1E-BE1A-3FB51330C15B}</x14:id>
        </ext>
      </extLst>
    </cfRule>
  </conditionalFormatting>
  <conditionalFormatting sqref="J43:J46">
    <cfRule type="dataBar" priority="63">
      <dataBar>
        <cfvo type="min"/>
        <cfvo type="formula" val="$J$19"/>
        <color theme="7" tint="-0.499984740745262"/>
      </dataBar>
      <extLst>
        <ext xmlns:x14="http://schemas.microsoft.com/office/spreadsheetml/2009/9/main" uri="{B025F937-C7B1-47D3-B67F-A62EFF666E3E}">
          <x14:id>{AA4E79FB-607F-48FC-BAC7-E95306EA2701}</x14:id>
        </ext>
      </extLst>
    </cfRule>
  </conditionalFormatting>
  <conditionalFormatting sqref="K14:M19">
    <cfRule type="dataBar" priority="111">
      <dataBar>
        <cfvo type="min"/>
        <cfvo type="num" val="1"/>
        <color rgb="FFA70D91"/>
      </dataBar>
      <extLst>
        <ext xmlns:x14="http://schemas.microsoft.com/office/spreadsheetml/2009/9/main" uri="{B025F937-C7B1-47D3-B67F-A62EFF666E3E}">
          <x14:id>{8563E73A-E713-4B43-9A7E-40D85071C9B6}</x14:id>
        </ext>
      </extLst>
    </cfRule>
  </conditionalFormatting>
  <conditionalFormatting sqref="K20:M26">
    <cfRule type="dataBar" priority="103">
      <dataBar>
        <cfvo type="min"/>
        <cfvo type="formula" val="$K$14"/>
        <color theme="9" tint="-0.249977111117893"/>
      </dataBar>
      <extLst>
        <ext xmlns:x14="http://schemas.microsoft.com/office/spreadsheetml/2009/9/main" uri="{B025F937-C7B1-47D3-B67F-A62EFF666E3E}">
          <x14:id>{847E7403-37A2-4504-9B48-1417DDAF78DD}</x14:id>
        </ext>
      </extLst>
    </cfRule>
  </conditionalFormatting>
  <conditionalFormatting sqref="K27:M30">
    <cfRule type="dataBar" priority="90">
      <dataBar>
        <cfvo type="min"/>
        <cfvo type="formula" val="$K$15"/>
        <color rgb="FFFFC000"/>
      </dataBar>
      <extLst>
        <ext xmlns:x14="http://schemas.microsoft.com/office/spreadsheetml/2009/9/main" uri="{B025F937-C7B1-47D3-B67F-A62EFF666E3E}">
          <x14:id>{932193AB-F097-477D-8441-AE9BCC231FC2}</x14:id>
        </ext>
      </extLst>
    </cfRule>
  </conditionalFormatting>
  <conditionalFormatting sqref="K31:M34">
    <cfRule type="dataBar" priority="83">
      <dataBar>
        <cfvo type="min"/>
        <cfvo type="formula" val="$K$16"/>
        <color theme="9" tint="0.59999389629810485"/>
      </dataBar>
      <extLst>
        <ext xmlns:x14="http://schemas.microsoft.com/office/spreadsheetml/2009/9/main" uri="{B025F937-C7B1-47D3-B67F-A62EFF666E3E}">
          <x14:id>{5F434EF6-D26B-463D-A40A-CA979FC7FF9D}</x14:id>
        </ext>
      </extLst>
    </cfRule>
  </conditionalFormatting>
  <conditionalFormatting sqref="K35:M38">
    <cfRule type="dataBar" priority="76">
      <dataBar>
        <cfvo type="min"/>
        <cfvo type="formula" val="$K$17"/>
        <color rgb="FF638EC6"/>
      </dataBar>
      <extLst>
        <ext xmlns:x14="http://schemas.microsoft.com/office/spreadsheetml/2009/9/main" uri="{B025F937-C7B1-47D3-B67F-A62EFF666E3E}">
          <x14:id>{81D513AB-1AB4-48DB-B917-1F8682BE40CF}</x14:id>
        </ext>
      </extLst>
    </cfRule>
  </conditionalFormatting>
  <conditionalFormatting sqref="K39:M42">
    <cfRule type="dataBar" priority="69">
      <dataBar>
        <cfvo type="min"/>
        <cfvo type="formula" val="$K$18"/>
        <color theme="5" tint="-0.249977111117893"/>
      </dataBar>
      <extLst>
        <ext xmlns:x14="http://schemas.microsoft.com/office/spreadsheetml/2009/9/main" uri="{B025F937-C7B1-47D3-B67F-A62EFF666E3E}">
          <x14:id>{05E87CB9-1E0C-4EA9-8610-7C382338928D}</x14:id>
        </ext>
      </extLst>
    </cfRule>
  </conditionalFormatting>
  <conditionalFormatting sqref="K43:M46">
    <cfRule type="dataBar" priority="62">
      <dataBar>
        <cfvo type="min"/>
        <cfvo type="formula" val="$K$19"/>
        <color theme="7" tint="-0.499984740745262"/>
      </dataBar>
      <extLst>
        <ext xmlns:x14="http://schemas.microsoft.com/office/spreadsheetml/2009/9/main" uri="{B025F937-C7B1-47D3-B67F-A62EFF666E3E}">
          <x14:id>{30C84797-E3AA-4731-B023-7CA59EF687FD}</x14:id>
        </ext>
      </extLst>
    </cfRule>
  </conditionalFormatting>
  <conditionalFormatting sqref="N14:N19">
    <cfRule type="dataBar" priority="110">
      <dataBar>
        <cfvo type="min"/>
        <cfvo type="num" val="1"/>
        <color rgb="FFA70D91"/>
      </dataBar>
      <extLst>
        <ext xmlns:x14="http://schemas.microsoft.com/office/spreadsheetml/2009/9/main" uri="{B025F937-C7B1-47D3-B67F-A62EFF666E3E}">
          <x14:id>{E7A327DE-85C2-4EBA-8D72-4D48E29642CB}</x14:id>
        </ext>
      </extLst>
    </cfRule>
  </conditionalFormatting>
  <conditionalFormatting sqref="N20:N26">
    <cfRule type="dataBar" priority="102">
      <dataBar>
        <cfvo type="min"/>
        <cfvo type="formula" val="$N$14"/>
        <color theme="9" tint="-0.249977111117893"/>
      </dataBar>
      <extLst>
        <ext xmlns:x14="http://schemas.microsoft.com/office/spreadsheetml/2009/9/main" uri="{B025F937-C7B1-47D3-B67F-A62EFF666E3E}">
          <x14:id>{CAA5BD22-34A5-42E7-BA2B-78E20AF8605E}</x14:id>
        </ext>
      </extLst>
    </cfRule>
  </conditionalFormatting>
  <conditionalFormatting sqref="N27:N30">
    <cfRule type="dataBar" priority="89">
      <dataBar>
        <cfvo type="min"/>
        <cfvo type="formula" val="$N$15"/>
        <color rgb="FFFFC000"/>
      </dataBar>
      <extLst>
        <ext xmlns:x14="http://schemas.microsoft.com/office/spreadsheetml/2009/9/main" uri="{B025F937-C7B1-47D3-B67F-A62EFF666E3E}">
          <x14:id>{76E20609-B04B-4AD1-98E6-65FAD0CDFE0B}</x14:id>
        </ext>
      </extLst>
    </cfRule>
  </conditionalFormatting>
  <conditionalFormatting sqref="N31:N34">
    <cfRule type="dataBar" priority="82">
      <dataBar>
        <cfvo type="min"/>
        <cfvo type="formula" val="$N$16"/>
        <color theme="9" tint="0.59999389629810485"/>
      </dataBar>
      <extLst>
        <ext xmlns:x14="http://schemas.microsoft.com/office/spreadsheetml/2009/9/main" uri="{B025F937-C7B1-47D3-B67F-A62EFF666E3E}">
          <x14:id>{86757058-3C7F-4368-800F-BF62AEA9592C}</x14:id>
        </ext>
      </extLst>
    </cfRule>
  </conditionalFormatting>
  <conditionalFormatting sqref="N35:N38">
    <cfRule type="dataBar" priority="75">
      <dataBar>
        <cfvo type="min"/>
        <cfvo type="formula" val="$N$17"/>
        <color rgb="FF638EC6"/>
      </dataBar>
      <extLst>
        <ext xmlns:x14="http://schemas.microsoft.com/office/spreadsheetml/2009/9/main" uri="{B025F937-C7B1-47D3-B67F-A62EFF666E3E}">
          <x14:id>{369A5C70-91A2-4A20-A146-E8E77E8CA4EC}</x14:id>
        </ext>
      </extLst>
    </cfRule>
  </conditionalFormatting>
  <conditionalFormatting sqref="N39:N42">
    <cfRule type="dataBar" priority="68">
      <dataBar>
        <cfvo type="min"/>
        <cfvo type="formula" val="$N$18"/>
        <color theme="5" tint="-0.249977111117893"/>
      </dataBar>
      <extLst>
        <ext xmlns:x14="http://schemas.microsoft.com/office/spreadsheetml/2009/9/main" uri="{B025F937-C7B1-47D3-B67F-A62EFF666E3E}">
          <x14:id>{58A1429F-D165-47C0-9FC4-5F94E1B14C3F}</x14:id>
        </ext>
      </extLst>
    </cfRule>
  </conditionalFormatting>
  <conditionalFormatting sqref="N43:N46">
    <cfRule type="dataBar" priority="61">
      <dataBar>
        <cfvo type="min"/>
        <cfvo type="formula" val="$N$19"/>
        <color theme="7" tint="-0.499984740745262"/>
      </dataBar>
      <extLst>
        <ext xmlns:x14="http://schemas.microsoft.com/office/spreadsheetml/2009/9/main" uri="{B025F937-C7B1-47D3-B67F-A62EFF666E3E}">
          <x14:id>{BB339B56-A346-4B95-8D20-B841463BB04F}</x14:id>
        </ext>
      </extLst>
    </cfRule>
  </conditionalFormatting>
  <conditionalFormatting sqref="O14:O19">
    <cfRule type="dataBar" priority="109">
      <dataBar>
        <cfvo type="min"/>
        <cfvo type="num" val="1"/>
        <color rgb="FFA70D91"/>
      </dataBar>
      <extLst>
        <ext xmlns:x14="http://schemas.microsoft.com/office/spreadsheetml/2009/9/main" uri="{B025F937-C7B1-47D3-B67F-A62EFF666E3E}">
          <x14:id>{06ECFDDC-7BE5-464D-81FE-260C243D7479}</x14:id>
        </ext>
      </extLst>
    </cfRule>
  </conditionalFormatting>
  <conditionalFormatting sqref="O20:O26">
    <cfRule type="dataBar" priority="101">
      <dataBar>
        <cfvo type="min"/>
        <cfvo type="formula" val="$O$14"/>
        <color theme="9" tint="-0.249977111117893"/>
      </dataBar>
      <extLst>
        <ext xmlns:x14="http://schemas.microsoft.com/office/spreadsheetml/2009/9/main" uri="{B025F937-C7B1-47D3-B67F-A62EFF666E3E}">
          <x14:id>{84F8955B-5927-4867-89D7-08B8E5505784}</x14:id>
        </ext>
      </extLst>
    </cfRule>
  </conditionalFormatting>
  <conditionalFormatting sqref="O27:O30">
    <cfRule type="dataBar" priority="88">
      <dataBar>
        <cfvo type="min"/>
        <cfvo type="formula" val="$O$15"/>
        <color rgb="FFFFC000"/>
      </dataBar>
      <extLst>
        <ext xmlns:x14="http://schemas.microsoft.com/office/spreadsheetml/2009/9/main" uri="{B025F937-C7B1-47D3-B67F-A62EFF666E3E}">
          <x14:id>{67B6FAFF-E195-442C-B112-966610B2B622}</x14:id>
        </ext>
      </extLst>
    </cfRule>
  </conditionalFormatting>
  <conditionalFormatting sqref="O31:O34">
    <cfRule type="dataBar" priority="81">
      <dataBar>
        <cfvo type="min"/>
        <cfvo type="formula" val="$O$16"/>
        <color theme="9" tint="0.59999389629810485"/>
      </dataBar>
      <extLst>
        <ext xmlns:x14="http://schemas.microsoft.com/office/spreadsheetml/2009/9/main" uri="{B025F937-C7B1-47D3-B67F-A62EFF666E3E}">
          <x14:id>{5906867C-2137-4508-9192-1F46AD785A0F}</x14:id>
        </ext>
      </extLst>
    </cfRule>
  </conditionalFormatting>
  <conditionalFormatting sqref="O35:O38">
    <cfRule type="dataBar" priority="74">
      <dataBar>
        <cfvo type="min"/>
        <cfvo type="formula" val="$O$17"/>
        <color rgb="FF638EC6"/>
      </dataBar>
      <extLst>
        <ext xmlns:x14="http://schemas.microsoft.com/office/spreadsheetml/2009/9/main" uri="{B025F937-C7B1-47D3-B67F-A62EFF666E3E}">
          <x14:id>{67C68324-A8B9-4FEA-A8F3-C9F64102FE4C}</x14:id>
        </ext>
      </extLst>
    </cfRule>
  </conditionalFormatting>
  <conditionalFormatting sqref="O39:O42">
    <cfRule type="dataBar" priority="67">
      <dataBar>
        <cfvo type="min"/>
        <cfvo type="formula" val="$O$18"/>
        <color theme="5" tint="-0.249977111117893"/>
      </dataBar>
      <extLst>
        <ext xmlns:x14="http://schemas.microsoft.com/office/spreadsheetml/2009/9/main" uri="{B025F937-C7B1-47D3-B67F-A62EFF666E3E}">
          <x14:id>{3F580D0C-EF67-4DE6-8A41-604EA8BA9AD2}</x14:id>
        </ext>
      </extLst>
    </cfRule>
  </conditionalFormatting>
  <conditionalFormatting sqref="O43:O46">
    <cfRule type="dataBar" priority="60">
      <dataBar>
        <cfvo type="min"/>
        <cfvo type="formula" val="$O$19"/>
        <color theme="7" tint="-0.499984740745262"/>
      </dataBar>
      <extLst>
        <ext xmlns:x14="http://schemas.microsoft.com/office/spreadsheetml/2009/9/main" uri="{B025F937-C7B1-47D3-B67F-A62EFF666E3E}">
          <x14:id>{B0D4DB33-5387-4C6A-A1CC-CF92E849AA0F}</x14:id>
        </ext>
      </extLst>
    </cfRule>
  </conditionalFormatting>
  <conditionalFormatting sqref="P14:P19">
    <cfRule type="dataBar" priority="108">
      <dataBar>
        <cfvo type="min"/>
        <cfvo type="num" val="1"/>
        <color rgb="FFA70D91"/>
      </dataBar>
      <extLst>
        <ext xmlns:x14="http://schemas.microsoft.com/office/spreadsheetml/2009/9/main" uri="{B025F937-C7B1-47D3-B67F-A62EFF666E3E}">
          <x14:id>{859965B2-F778-4AD1-B374-796948A6BAE4}</x14:id>
        </ext>
      </extLst>
    </cfRule>
  </conditionalFormatting>
  <conditionalFormatting sqref="P20:P26">
    <cfRule type="dataBar" priority="100">
      <dataBar>
        <cfvo type="min"/>
        <cfvo type="formula" val="$P$14"/>
        <color theme="9" tint="-0.249977111117893"/>
      </dataBar>
      <extLst>
        <ext xmlns:x14="http://schemas.microsoft.com/office/spreadsheetml/2009/9/main" uri="{B025F937-C7B1-47D3-B67F-A62EFF666E3E}">
          <x14:id>{CF38BD20-7580-43AE-A2D2-05FC12D560BE}</x14:id>
        </ext>
      </extLst>
    </cfRule>
  </conditionalFormatting>
  <conditionalFormatting sqref="P27:P30">
    <cfRule type="dataBar" priority="87">
      <dataBar>
        <cfvo type="min"/>
        <cfvo type="formula" val="$P$15"/>
        <color rgb="FFFFC000"/>
      </dataBar>
      <extLst>
        <ext xmlns:x14="http://schemas.microsoft.com/office/spreadsheetml/2009/9/main" uri="{B025F937-C7B1-47D3-B67F-A62EFF666E3E}">
          <x14:id>{1A9442C2-29BC-4D1D-98B2-BCC96A9EB60D}</x14:id>
        </ext>
      </extLst>
    </cfRule>
  </conditionalFormatting>
  <conditionalFormatting sqref="P31:P34">
    <cfRule type="dataBar" priority="80">
      <dataBar>
        <cfvo type="min"/>
        <cfvo type="formula" val="$P$16"/>
        <color theme="9" tint="0.59999389629810485"/>
      </dataBar>
      <extLst>
        <ext xmlns:x14="http://schemas.microsoft.com/office/spreadsheetml/2009/9/main" uri="{B025F937-C7B1-47D3-B67F-A62EFF666E3E}">
          <x14:id>{68F2EC53-137C-49D7-8399-BBE4D20F2F3F}</x14:id>
        </ext>
      </extLst>
    </cfRule>
  </conditionalFormatting>
  <conditionalFormatting sqref="P35:P38">
    <cfRule type="dataBar" priority="73">
      <dataBar>
        <cfvo type="min"/>
        <cfvo type="formula" val="$P$17"/>
        <color rgb="FF638EC6"/>
      </dataBar>
      <extLst>
        <ext xmlns:x14="http://schemas.microsoft.com/office/spreadsheetml/2009/9/main" uri="{B025F937-C7B1-47D3-B67F-A62EFF666E3E}">
          <x14:id>{BB85A925-2466-4B35-A3EA-B43B3A228B35}</x14:id>
        </ext>
      </extLst>
    </cfRule>
  </conditionalFormatting>
  <conditionalFormatting sqref="P39:P42">
    <cfRule type="dataBar" priority="66">
      <dataBar>
        <cfvo type="min"/>
        <cfvo type="formula" val="$P$18"/>
        <color theme="5" tint="-0.249977111117893"/>
      </dataBar>
      <extLst>
        <ext xmlns:x14="http://schemas.microsoft.com/office/spreadsheetml/2009/9/main" uri="{B025F937-C7B1-47D3-B67F-A62EFF666E3E}">
          <x14:id>{B7949D09-36DD-43D2-9BAA-944184B12E04}</x14:id>
        </ext>
      </extLst>
    </cfRule>
  </conditionalFormatting>
  <conditionalFormatting sqref="P43:P46">
    <cfRule type="dataBar" priority="59">
      <dataBar>
        <cfvo type="min"/>
        <cfvo type="formula" val="$P$19"/>
        <color theme="7" tint="-0.499984740745262"/>
      </dataBar>
      <extLst>
        <ext xmlns:x14="http://schemas.microsoft.com/office/spreadsheetml/2009/9/main" uri="{B025F937-C7B1-47D3-B67F-A62EFF666E3E}">
          <x14:id>{0B2AF709-8921-4B9B-AB60-9B93E6AB5663}</x14:id>
        </ext>
      </extLst>
    </cfRule>
  </conditionalFormatting>
  <conditionalFormatting sqref="Q14:Q19">
    <cfRule type="dataBar" priority="57">
      <dataBar>
        <cfvo type="min"/>
        <cfvo type="num" val="1"/>
        <color rgb="FFA70D91"/>
      </dataBar>
      <extLst>
        <ext xmlns:x14="http://schemas.microsoft.com/office/spreadsheetml/2009/9/main" uri="{B025F937-C7B1-47D3-B67F-A62EFF666E3E}">
          <x14:id>{F2DA279F-5B0D-4B40-A7AC-3D96DBA61F34}</x14:id>
        </ext>
      </extLst>
    </cfRule>
  </conditionalFormatting>
  <conditionalFormatting sqref="Q20:Q26">
    <cfRule type="dataBar" priority="53">
      <dataBar>
        <cfvo type="min"/>
        <cfvo type="formula" val="$Q$14"/>
        <color theme="9" tint="-0.249977111117893"/>
      </dataBar>
      <extLst>
        <ext xmlns:x14="http://schemas.microsoft.com/office/spreadsheetml/2009/9/main" uri="{B025F937-C7B1-47D3-B67F-A62EFF666E3E}">
          <x14:id>{2E52155A-32CF-4C07-8520-8A611F8B644C}</x14:id>
        </ext>
      </extLst>
    </cfRule>
  </conditionalFormatting>
  <conditionalFormatting sqref="Q27:Q30">
    <cfRule type="dataBar" priority="49">
      <dataBar>
        <cfvo type="min"/>
        <cfvo type="formula" val="$Q$15"/>
        <color rgb="FFFFC000"/>
      </dataBar>
      <extLst>
        <ext xmlns:x14="http://schemas.microsoft.com/office/spreadsheetml/2009/9/main" uri="{B025F937-C7B1-47D3-B67F-A62EFF666E3E}">
          <x14:id>{ED5193D7-8B90-4C1F-9CA3-1B7598DAE599}</x14:id>
        </ext>
      </extLst>
    </cfRule>
  </conditionalFormatting>
  <conditionalFormatting sqref="Q31:Q34">
    <cfRule type="dataBar" priority="45">
      <dataBar>
        <cfvo type="min"/>
        <cfvo type="formula" val="$Q$16"/>
        <color theme="9" tint="0.59999389629810485"/>
      </dataBar>
      <extLst>
        <ext xmlns:x14="http://schemas.microsoft.com/office/spreadsheetml/2009/9/main" uri="{B025F937-C7B1-47D3-B67F-A62EFF666E3E}">
          <x14:id>{3C68B69C-3DE9-4893-827E-9405362CD714}</x14:id>
        </ext>
      </extLst>
    </cfRule>
  </conditionalFormatting>
  <conditionalFormatting sqref="Q35:Q38">
    <cfRule type="dataBar" priority="41">
      <dataBar>
        <cfvo type="min"/>
        <cfvo type="formula" val="$Q$17"/>
        <color rgb="FF638EC6"/>
      </dataBar>
      <extLst>
        <ext xmlns:x14="http://schemas.microsoft.com/office/spreadsheetml/2009/9/main" uri="{B025F937-C7B1-47D3-B67F-A62EFF666E3E}">
          <x14:id>{CADCBC53-5C30-4513-9D80-AB2F7FB953E4}</x14:id>
        </ext>
      </extLst>
    </cfRule>
  </conditionalFormatting>
  <conditionalFormatting sqref="Q39:Q42">
    <cfRule type="dataBar" priority="37">
      <dataBar>
        <cfvo type="min"/>
        <cfvo type="formula" val="$Q$18"/>
        <color theme="5" tint="-0.249977111117893"/>
      </dataBar>
      <extLst>
        <ext xmlns:x14="http://schemas.microsoft.com/office/spreadsheetml/2009/9/main" uri="{B025F937-C7B1-47D3-B67F-A62EFF666E3E}">
          <x14:id>{3874A8F9-736B-4B25-85C7-F86842A63760}</x14:id>
        </ext>
      </extLst>
    </cfRule>
  </conditionalFormatting>
  <conditionalFormatting sqref="Q43:Q46">
    <cfRule type="dataBar" priority="33">
      <dataBar>
        <cfvo type="min"/>
        <cfvo type="formula" val="$Q$19"/>
        <color theme="7" tint="-0.499984740745262"/>
      </dataBar>
      <extLst>
        <ext xmlns:x14="http://schemas.microsoft.com/office/spreadsheetml/2009/9/main" uri="{B025F937-C7B1-47D3-B67F-A62EFF666E3E}">
          <x14:id>{B630FD34-8683-49E2-8910-9AF18219DA21}</x14:id>
        </ext>
      </extLst>
    </cfRule>
  </conditionalFormatting>
  <conditionalFormatting sqref="R14:S19">
    <cfRule type="dataBar" priority="56">
      <dataBar>
        <cfvo type="min"/>
        <cfvo type="num" val="1"/>
        <color rgb="FFA70D91"/>
      </dataBar>
      <extLst>
        <ext xmlns:x14="http://schemas.microsoft.com/office/spreadsheetml/2009/9/main" uri="{B025F937-C7B1-47D3-B67F-A62EFF666E3E}">
          <x14:id>{C42F5CAA-ED2B-43C0-8193-C611D774DE5E}</x14:id>
        </ext>
      </extLst>
    </cfRule>
  </conditionalFormatting>
  <conditionalFormatting sqref="R20:S26">
    <cfRule type="dataBar" priority="52">
      <dataBar>
        <cfvo type="min"/>
        <cfvo type="formula" val="$R$14"/>
        <color theme="9" tint="-0.249977111117893"/>
      </dataBar>
      <extLst>
        <ext xmlns:x14="http://schemas.microsoft.com/office/spreadsheetml/2009/9/main" uri="{B025F937-C7B1-47D3-B67F-A62EFF666E3E}">
          <x14:id>{68A5E2FC-6A0E-49C5-B83D-4882A102C11E}</x14:id>
        </ext>
      </extLst>
    </cfRule>
  </conditionalFormatting>
  <conditionalFormatting sqref="R27:S30">
    <cfRule type="dataBar" priority="48">
      <dataBar>
        <cfvo type="min"/>
        <cfvo type="formula" val="$R$15"/>
        <color rgb="FFFFC000"/>
      </dataBar>
      <extLst>
        <ext xmlns:x14="http://schemas.microsoft.com/office/spreadsheetml/2009/9/main" uri="{B025F937-C7B1-47D3-B67F-A62EFF666E3E}">
          <x14:id>{B6D6AB02-8AAA-48D5-AF5D-0299940166AD}</x14:id>
        </ext>
      </extLst>
    </cfRule>
  </conditionalFormatting>
  <conditionalFormatting sqref="R31:S34">
    <cfRule type="dataBar" priority="44">
      <dataBar>
        <cfvo type="min"/>
        <cfvo type="formula" val="$R$16"/>
        <color theme="9" tint="0.59999389629810485"/>
      </dataBar>
      <extLst>
        <ext xmlns:x14="http://schemas.microsoft.com/office/spreadsheetml/2009/9/main" uri="{B025F937-C7B1-47D3-B67F-A62EFF666E3E}">
          <x14:id>{3BAE9C24-24C6-4043-85BC-F476D6F48100}</x14:id>
        </ext>
      </extLst>
    </cfRule>
  </conditionalFormatting>
  <conditionalFormatting sqref="R35:S38">
    <cfRule type="dataBar" priority="40">
      <dataBar>
        <cfvo type="min"/>
        <cfvo type="formula" val="$R$17"/>
        <color rgb="FF638EC6"/>
      </dataBar>
      <extLst>
        <ext xmlns:x14="http://schemas.microsoft.com/office/spreadsheetml/2009/9/main" uri="{B025F937-C7B1-47D3-B67F-A62EFF666E3E}">
          <x14:id>{0A08D6F8-BC0E-49BD-A26A-180D9634789F}</x14:id>
        </ext>
      </extLst>
    </cfRule>
  </conditionalFormatting>
  <conditionalFormatting sqref="R39:S42">
    <cfRule type="dataBar" priority="36">
      <dataBar>
        <cfvo type="min"/>
        <cfvo type="formula" val="$R$18"/>
        <color theme="5" tint="-0.249977111117893"/>
      </dataBar>
      <extLst>
        <ext xmlns:x14="http://schemas.microsoft.com/office/spreadsheetml/2009/9/main" uri="{B025F937-C7B1-47D3-B67F-A62EFF666E3E}">
          <x14:id>{9539B4EB-12F0-49A1-8806-AB407BBEA9BB}</x14:id>
        </ext>
      </extLst>
    </cfRule>
  </conditionalFormatting>
  <conditionalFormatting sqref="R43:S46">
    <cfRule type="dataBar" priority="32">
      <dataBar>
        <cfvo type="min"/>
        <cfvo type="formula" val="$R$19"/>
        <color theme="7" tint="-0.499984740745262"/>
      </dataBar>
      <extLst>
        <ext xmlns:x14="http://schemas.microsoft.com/office/spreadsheetml/2009/9/main" uri="{B025F937-C7B1-47D3-B67F-A62EFF666E3E}">
          <x14:id>{CF9AD966-E081-4663-AB32-F7DD1BC68D05}</x14:id>
        </ext>
      </extLst>
    </cfRule>
  </conditionalFormatting>
  <conditionalFormatting sqref="T14:T19">
    <cfRule type="dataBar" priority="55">
      <dataBar>
        <cfvo type="min"/>
        <cfvo type="num" val="1"/>
        <color rgb="FFA70D91"/>
      </dataBar>
      <extLst>
        <ext xmlns:x14="http://schemas.microsoft.com/office/spreadsheetml/2009/9/main" uri="{B025F937-C7B1-47D3-B67F-A62EFF666E3E}">
          <x14:id>{B34EA865-1798-4FB1-9682-D5101D1ABFB4}</x14:id>
        </ext>
      </extLst>
    </cfRule>
  </conditionalFormatting>
  <conditionalFormatting sqref="T20:T26">
    <cfRule type="dataBar" priority="51">
      <dataBar>
        <cfvo type="min"/>
        <cfvo type="formula" val="$T$14"/>
        <color theme="9" tint="-0.249977111117893"/>
      </dataBar>
      <extLst>
        <ext xmlns:x14="http://schemas.microsoft.com/office/spreadsheetml/2009/9/main" uri="{B025F937-C7B1-47D3-B67F-A62EFF666E3E}">
          <x14:id>{DCCE6ED8-06A7-4E63-9B32-9A9BEC031B9B}</x14:id>
        </ext>
      </extLst>
    </cfRule>
  </conditionalFormatting>
  <conditionalFormatting sqref="T27:T30">
    <cfRule type="dataBar" priority="47">
      <dataBar>
        <cfvo type="min"/>
        <cfvo type="formula" val="$T$15"/>
        <color rgb="FFFFC000"/>
      </dataBar>
      <extLst>
        <ext xmlns:x14="http://schemas.microsoft.com/office/spreadsheetml/2009/9/main" uri="{B025F937-C7B1-47D3-B67F-A62EFF666E3E}">
          <x14:id>{1C1787AA-8E5B-47EB-9F05-90649726F47A}</x14:id>
        </ext>
      </extLst>
    </cfRule>
  </conditionalFormatting>
  <conditionalFormatting sqref="T31:T34">
    <cfRule type="dataBar" priority="43">
      <dataBar>
        <cfvo type="min"/>
        <cfvo type="formula" val="$T$16"/>
        <color theme="9" tint="0.59999389629810485"/>
      </dataBar>
      <extLst>
        <ext xmlns:x14="http://schemas.microsoft.com/office/spreadsheetml/2009/9/main" uri="{B025F937-C7B1-47D3-B67F-A62EFF666E3E}">
          <x14:id>{1B06B353-F4D2-485A-90A8-CC1227DBC7D6}</x14:id>
        </ext>
      </extLst>
    </cfRule>
  </conditionalFormatting>
  <conditionalFormatting sqref="T35:T38">
    <cfRule type="dataBar" priority="39">
      <dataBar>
        <cfvo type="min"/>
        <cfvo type="formula" val="$T$17"/>
        <color rgb="FF638EC6"/>
      </dataBar>
      <extLst>
        <ext xmlns:x14="http://schemas.microsoft.com/office/spreadsheetml/2009/9/main" uri="{B025F937-C7B1-47D3-B67F-A62EFF666E3E}">
          <x14:id>{E9AB9915-02D2-4BD8-8E0F-66C947C21EC5}</x14:id>
        </ext>
      </extLst>
    </cfRule>
  </conditionalFormatting>
  <conditionalFormatting sqref="T39:T42">
    <cfRule type="dataBar" priority="35">
      <dataBar>
        <cfvo type="min"/>
        <cfvo type="formula" val="$T$18"/>
        <color theme="5" tint="-0.249977111117893"/>
      </dataBar>
      <extLst>
        <ext xmlns:x14="http://schemas.microsoft.com/office/spreadsheetml/2009/9/main" uri="{B025F937-C7B1-47D3-B67F-A62EFF666E3E}">
          <x14:id>{65A9E495-C6BE-46D5-B48A-62246EBA0E1F}</x14:id>
        </ext>
      </extLst>
    </cfRule>
  </conditionalFormatting>
  <conditionalFormatting sqref="T43:T46">
    <cfRule type="dataBar" priority="31">
      <dataBar>
        <cfvo type="min"/>
        <cfvo type="formula" val="$T$19"/>
        <color theme="7" tint="-0.499984740745262"/>
      </dataBar>
      <extLst>
        <ext xmlns:x14="http://schemas.microsoft.com/office/spreadsheetml/2009/9/main" uri="{B025F937-C7B1-47D3-B67F-A62EFF666E3E}">
          <x14:id>{BD5159FC-7FDD-44E2-A723-AB9F7EFE8ADA}</x14:id>
        </ext>
      </extLst>
    </cfRule>
  </conditionalFormatting>
  <conditionalFormatting sqref="U20:U26">
    <cfRule type="dataBar" priority="25">
      <dataBar>
        <cfvo type="min"/>
        <cfvo type="max"/>
        <color rgb="FF6CA6DA"/>
      </dataBar>
      <extLst>
        <ext xmlns:x14="http://schemas.microsoft.com/office/spreadsheetml/2009/9/main" uri="{B025F937-C7B1-47D3-B67F-A62EFF666E3E}">
          <x14:id>{CBAC3F35-432D-43E2-90F9-5012701AC9F9}</x14:id>
        </ext>
      </extLst>
    </cfRule>
  </conditionalFormatting>
  <conditionalFormatting sqref="U14:U19">
    <cfRule type="dataBar" priority="23">
      <dataBar>
        <cfvo type="min"/>
        <cfvo type="max"/>
        <color theme="4" tint="-0.499984740745262"/>
      </dataBar>
      <extLst>
        <ext xmlns:x14="http://schemas.microsoft.com/office/spreadsheetml/2009/9/main" uri="{B025F937-C7B1-47D3-B67F-A62EFF666E3E}">
          <x14:id>{9699142E-01DF-406A-ABC7-CFC88C2397B8}</x14:id>
        </ext>
      </extLst>
    </cfRule>
  </conditionalFormatting>
  <conditionalFormatting sqref="V14:V19">
    <cfRule type="dataBar" priority="22">
      <dataBar>
        <cfvo type="min"/>
        <cfvo type="max"/>
        <color theme="4" tint="-0.499984740745262"/>
      </dataBar>
      <extLst>
        <ext xmlns:x14="http://schemas.microsoft.com/office/spreadsheetml/2009/9/main" uri="{B025F937-C7B1-47D3-B67F-A62EFF666E3E}">
          <x14:id>{9F51946C-0BAB-407B-BCF8-E629C8B98515}</x14:id>
        </ext>
      </extLst>
    </cfRule>
  </conditionalFormatting>
  <conditionalFormatting sqref="U27:U30">
    <cfRule type="dataBar" priority="18">
      <dataBar>
        <cfvo type="min"/>
        <cfvo type="max"/>
        <color rgb="FF6CA6DA"/>
      </dataBar>
      <extLst>
        <ext xmlns:x14="http://schemas.microsoft.com/office/spreadsheetml/2009/9/main" uri="{B025F937-C7B1-47D3-B67F-A62EFF666E3E}">
          <x14:id>{63BCE46C-DE99-44FD-A927-2B9E71659229}</x14:id>
        </ext>
      </extLst>
    </cfRule>
  </conditionalFormatting>
  <conditionalFormatting sqref="U31:U34">
    <cfRule type="dataBar" priority="17">
      <dataBar>
        <cfvo type="min"/>
        <cfvo type="max"/>
        <color rgb="FF6CA6DA"/>
      </dataBar>
      <extLst>
        <ext xmlns:x14="http://schemas.microsoft.com/office/spreadsheetml/2009/9/main" uri="{B025F937-C7B1-47D3-B67F-A62EFF666E3E}">
          <x14:id>{6672C762-7257-448B-B872-8EFA3F3E87C9}</x14:id>
        </ext>
      </extLst>
    </cfRule>
  </conditionalFormatting>
  <conditionalFormatting sqref="U35:U38">
    <cfRule type="dataBar" priority="16">
      <dataBar>
        <cfvo type="min"/>
        <cfvo type="max"/>
        <color rgb="FF6CA6DA"/>
      </dataBar>
      <extLst>
        <ext xmlns:x14="http://schemas.microsoft.com/office/spreadsheetml/2009/9/main" uri="{B025F937-C7B1-47D3-B67F-A62EFF666E3E}">
          <x14:id>{ABF385D3-EB7E-48AC-BB3E-76AE05B57780}</x14:id>
        </ext>
      </extLst>
    </cfRule>
  </conditionalFormatting>
  <conditionalFormatting sqref="U39:U42">
    <cfRule type="dataBar" priority="15">
      <dataBar>
        <cfvo type="min"/>
        <cfvo type="max"/>
        <color rgb="FF6CA6DA"/>
      </dataBar>
      <extLst>
        <ext xmlns:x14="http://schemas.microsoft.com/office/spreadsheetml/2009/9/main" uri="{B025F937-C7B1-47D3-B67F-A62EFF666E3E}">
          <x14:id>{0C155FD5-0DE6-49CB-8C3A-1B675156F958}</x14:id>
        </ext>
      </extLst>
    </cfRule>
  </conditionalFormatting>
  <conditionalFormatting sqref="U43:U46">
    <cfRule type="dataBar" priority="14">
      <dataBar>
        <cfvo type="min"/>
        <cfvo type="max"/>
        <color rgb="FF6CA6DA"/>
      </dataBar>
      <extLst>
        <ext xmlns:x14="http://schemas.microsoft.com/office/spreadsheetml/2009/9/main" uri="{B025F937-C7B1-47D3-B67F-A62EFF666E3E}">
          <x14:id>{52BA125D-576D-4350-85FB-7BCCCD84DCF0}</x14:id>
        </ext>
      </extLst>
    </cfRule>
  </conditionalFormatting>
  <conditionalFormatting sqref="V20:V26">
    <cfRule type="dataBar" priority="13">
      <dataBar>
        <cfvo type="min"/>
        <cfvo type="max"/>
        <color rgb="FF6CA6DA"/>
      </dataBar>
      <extLst>
        <ext xmlns:x14="http://schemas.microsoft.com/office/spreadsheetml/2009/9/main" uri="{B025F937-C7B1-47D3-B67F-A62EFF666E3E}">
          <x14:id>{27A4B51D-5F27-4195-BFE1-1CC3829671D2}</x14:id>
        </ext>
      </extLst>
    </cfRule>
  </conditionalFormatting>
  <conditionalFormatting sqref="V27:V30">
    <cfRule type="dataBar" priority="12">
      <dataBar>
        <cfvo type="min"/>
        <cfvo type="max"/>
        <color rgb="FF6CA6DA"/>
      </dataBar>
      <extLst>
        <ext xmlns:x14="http://schemas.microsoft.com/office/spreadsheetml/2009/9/main" uri="{B025F937-C7B1-47D3-B67F-A62EFF666E3E}">
          <x14:id>{72CB487A-28F7-4305-8F05-DEA765785DEA}</x14:id>
        </ext>
      </extLst>
    </cfRule>
  </conditionalFormatting>
  <conditionalFormatting sqref="V31:V34">
    <cfRule type="dataBar" priority="11">
      <dataBar>
        <cfvo type="min"/>
        <cfvo type="max"/>
        <color rgb="FF6CA6DA"/>
      </dataBar>
      <extLst>
        <ext xmlns:x14="http://schemas.microsoft.com/office/spreadsheetml/2009/9/main" uri="{B025F937-C7B1-47D3-B67F-A62EFF666E3E}">
          <x14:id>{D1E31A4D-B285-4870-83B3-D088D9CB02D5}</x14:id>
        </ext>
      </extLst>
    </cfRule>
  </conditionalFormatting>
  <conditionalFormatting sqref="V35:V38">
    <cfRule type="dataBar" priority="10">
      <dataBar>
        <cfvo type="min"/>
        <cfvo type="max"/>
        <color rgb="FF6CA6DA"/>
      </dataBar>
      <extLst>
        <ext xmlns:x14="http://schemas.microsoft.com/office/spreadsheetml/2009/9/main" uri="{B025F937-C7B1-47D3-B67F-A62EFF666E3E}">
          <x14:id>{13B2D8F1-4CCB-4C5D-AC3A-0604262EBDC8}</x14:id>
        </ext>
      </extLst>
    </cfRule>
  </conditionalFormatting>
  <conditionalFormatting sqref="V39:V42">
    <cfRule type="dataBar" priority="9">
      <dataBar>
        <cfvo type="min"/>
        <cfvo type="max"/>
        <color rgb="FF6CA6DA"/>
      </dataBar>
      <extLst>
        <ext xmlns:x14="http://schemas.microsoft.com/office/spreadsheetml/2009/9/main" uri="{B025F937-C7B1-47D3-B67F-A62EFF666E3E}">
          <x14:id>{93B1247F-1221-460E-854F-E63549B069BF}</x14:id>
        </ext>
      </extLst>
    </cfRule>
  </conditionalFormatting>
  <conditionalFormatting sqref="V43:V46">
    <cfRule type="dataBar" priority="8">
      <dataBar>
        <cfvo type="min"/>
        <cfvo type="max"/>
        <color rgb="FF6CA6DA"/>
      </dataBar>
      <extLst>
        <ext xmlns:x14="http://schemas.microsoft.com/office/spreadsheetml/2009/9/main" uri="{B025F937-C7B1-47D3-B67F-A62EFF666E3E}">
          <x14:id>{36EABEEB-E447-4486-976D-27E279DE5773}</x14:id>
        </ext>
      </extLst>
    </cfRule>
  </conditionalFormatting>
  <conditionalFormatting sqref="G14:G19">
    <cfRule type="dataBar" priority="7">
      <dataBar>
        <cfvo type="min"/>
        <cfvo type="num" val="1"/>
        <color rgb="FFA70D91"/>
      </dataBar>
      <extLst>
        <ext xmlns:x14="http://schemas.microsoft.com/office/spreadsheetml/2009/9/main" uri="{B025F937-C7B1-47D3-B67F-A62EFF666E3E}">
          <x14:id>{35C9A0B5-38BB-4B11-A53A-BCC6C9342FD2}</x14:id>
        </ext>
      </extLst>
    </cfRule>
  </conditionalFormatting>
  <conditionalFormatting sqref="G20:G26">
    <cfRule type="dataBar" priority="6">
      <dataBar>
        <cfvo type="min"/>
        <cfvo type="formula" val="$G$14"/>
        <color theme="9" tint="-0.249977111117893"/>
      </dataBar>
      <extLst>
        <ext xmlns:x14="http://schemas.microsoft.com/office/spreadsheetml/2009/9/main" uri="{B025F937-C7B1-47D3-B67F-A62EFF666E3E}">
          <x14:id>{541F961C-E25F-44CC-AEA7-378055E1E299}</x14:id>
        </ext>
      </extLst>
    </cfRule>
  </conditionalFormatting>
  <conditionalFormatting sqref="G27:G30">
    <cfRule type="dataBar" priority="5">
      <dataBar>
        <cfvo type="min"/>
        <cfvo type="formula" val="$G$15"/>
        <color rgb="FFFFC000"/>
      </dataBar>
      <extLst>
        <ext xmlns:x14="http://schemas.microsoft.com/office/spreadsheetml/2009/9/main" uri="{B025F937-C7B1-47D3-B67F-A62EFF666E3E}">
          <x14:id>{50FB6C31-B21A-4A69-B049-24FB4EB66474}</x14:id>
        </ext>
      </extLst>
    </cfRule>
  </conditionalFormatting>
  <conditionalFormatting sqref="G31:G34">
    <cfRule type="dataBar" priority="4">
      <dataBar>
        <cfvo type="min"/>
        <cfvo type="formula" val="$G$16"/>
        <color theme="9" tint="0.59999389629810485"/>
      </dataBar>
      <extLst>
        <ext xmlns:x14="http://schemas.microsoft.com/office/spreadsheetml/2009/9/main" uri="{B025F937-C7B1-47D3-B67F-A62EFF666E3E}">
          <x14:id>{E5725E86-FC08-4A05-953F-E666CF13FEE5}</x14:id>
        </ext>
      </extLst>
    </cfRule>
  </conditionalFormatting>
  <conditionalFormatting sqref="G35:G38">
    <cfRule type="dataBar" priority="3">
      <dataBar>
        <cfvo type="min"/>
        <cfvo type="formula" val="$G$17"/>
        <color rgb="FF638EC6"/>
      </dataBar>
      <extLst>
        <ext xmlns:x14="http://schemas.microsoft.com/office/spreadsheetml/2009/9/main" uri="{B025F937-C7B1-47D3-B67F-A62EFF666E3E}">
          <x14:id>{A77E58AF-AB94-4C5A-889E-F8FCAB94E28E}</x14:id>
        </ext>
      </extLst>
    </cfRule>
  </conditionalFormatting>
  <conditionalFormatting sqref="G39:G42">
    <cfRule type="dataBar" priority="2">
      <dataBar>
        <cfvo type="min"/>
        <cfvo type="formula" val="$G$18"/>
        <color theme="5" tint="-0.249977111117893"/>
      </dataBar>
      <extLst>
        <ext xmlns:x14="http://schemas.microsoft.com/office/spreadsheetml/2009/9/main" uri="{B025F937-C7B1-47D3-B67F-A62EFF666E3E}">
          <x14:id>{A90FB367-8127-4B96-B40A-49EB41FB63BA}</x14:id>
        </ext>
      </extLst>
    </cfRule>
  </conditionalFormatting>
  <conditionalFormatting sqref="G43:G46">
    <cfRule type="dataBar" priority="1">
      <dataBar>
        <cfvo type="min"/>
        <cfvo type="formula" val="$G$19"/>
        <color theme="7" tint="-0.499984740745262"/>
      </dataBar>
      <extLst>
        <ext xmlns:x14="http://schemas.microsoft.com/office/spreadsheetml/2009/9/main" uri="{B025F937-C7B1-47D3-B67F-A62EFF666E3E}">
          <x14:id>{9243A8E1-27B9-4F43-89C0-324A5AFC65F1}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1BA10A2-D6FE-45F2-AE63-0BB3D3D33922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F14:F19</xm:sqref>
        </x14:conditionalFormatting>
        <x14:conditionalFormatting xmlns:xm="http://schemas.microsoft.com/office/excel/2006/main">
          <x14:cfRule type="dataBar" id="{CF9D41E3-BACE-4C71-92DA-CA100BA60B4B}">
            <x14:dataBar minLength="0" maxLength="100" gradient="0">
              <x14:cfvo type="autoMin"/>
              <x14:cfvo type="formula">
                <xm:f>$F$14</xm:f>
              </x14:cfvo>
              <x14:negativeFillColor rgb="FFFF0000"/>
              <x14:axisColor rgb="FF000000"/>
            </x14:dataBar>
          </x14:cfRule>
          <xm:sqref>F20:F26</xm:sqref>
        </x14:conditionalFormatting>
        <x14:conditionalFormatting xmlns:xm="http://schemas.microsoft.com/office/excel/2006/main">
          <x14:cfRule type="dataBar" id="{73E1ABA4-E010-4FB9-BDEB-EEAE9D291AA6}">
            <x14:dataBar minLength="0" maxLength="100" gradient="0">
              <x14:cfvo type="autoMin"/>
              <x14:cfvo type="formula">
                <xm:f>$F$15</xm:f>
              </x14:cfvo>
              <x14:negativeFillColor rgb="FFFF0000"/>
              <x14:axisColor rgb="FF000000"/>
            </x14:dataBar>
          </x14:cfRule>
          <xm:sqref>F27:F30</xm:sqref>
        </x14:conditionalFormatting>
        <x14:conditionalFormatting xmlns:xm="http://schemas.microsoft.com/office/excel/2006/main">
          <x14:cfRule type="dataBar" id="{F742D5A4-4A50-46F8-82EF-63D3EF3F4277}">
            <x14:dataBar minLength="0" maxLength="100" gradient="0">
              <x14:cfvo type="autoMin"/>
              <x14:cfvo type="formula">
                <xm:f>$F$16</xm:f>
              </x14:cfvo>
              <x14:negativeFillColor rgb="FFFF0000"/>
              <x14:axisColor rgb="FF000000"/>
            </x14:dataBar>
          </x14:cfRule>
          <xm:sqref>F31:F34</xm:sqref>
        </x14:conditionalFormatting>
        <x14:conditionalFormatting xmlns:xm="http://schemas.microsoft.com/office/excel/2006/main">
          <x14:cfRule type="dataBar" id="{DA5E5CB3-37AD-4BC4-B37D-CC35094817DE}">
            <x14:dataBar minLength="0" maxLength="100" gradient="0">
              <x14:cfvo type="autoMin"/>
              <x14:cfvo type="formula">
                <xm:f>$F$17</xm:f>
              </x14:cfvo>
              <x14:negativeFillColor rgb="FFFF0000"/>
              <x14:axisColor rgb="FF000000"/>
            </x14:dataBar>
          </x14:cfRule>
          <xm:sqref>F35:F38</xm:sqref>
        </x14:conditionalFormatting>
        <x14:conditionalFormatting xmlns:xm="http://schemas.microsoft.com/office/excel/2006/main">
          <x14:cfRule type="dataBar" id="{0E0A43A3-7523-4794-A5EA-048B5D27F239}">
            <x14:dataBar minLength="0" maxLength="100" gradient="0">
              <x14:cfvo type="autoMin"/>
              <x14:cfvo type="formula">
                <xm:f>$F$18</xm:f>
              </x14:cfvo>
              <x14:negativeFillColor rgb="FFFF0000"/>
              <x14:axisColor rgb="FF000000"/>
            </x14:dataBar>
          </x14:cfRule>
          <xm:sqref>F39:F42</xm:sqref>
        </x14:conditionalFormatting>
        <x14:conditionalFormatting xmlns:xm="http://schemas.microsoft.com/office/excel/2006/main">
          <x14:cfRule type="dataBar" id="{CE55B8FF-5C0D-4BB0-BF6C-1720407390D5}">
            <x14:dataBar minLength="0" maxLength="100" gradient="0">
              <x14:cfvo type="autoMin"/>
              <x14:cfvo type="formula">
                <xm:f>$F$19</xm:f>
              </x14:cfvo>
              <x14:negativeFillColor rgb="FFFF0000"/>
              <x14:axisColor rgb="FF000000"/>
            </x14:dataBar>
          </x14:cfRule>
          <xm:sqref>F43:F46</xm:sqref>
        </x14:conditionalFormatting>
        <x14:conditionalFormatting xmlns:xm="http://schemas.microsoft.com/office/excel/2006/main">
          <x14:cfRule type="dataBar" id="{59B0D790-2E45-4894-8B9F-C8FE51BF2FDA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H14:H19</xm:sqref>
        </x14:conditionalFormatting>
        <x14:conditionalFormatting xmlns:xm="http://schemas.microsoft.com/office/excel/2006/main">
          <x14:cfRule type="dataBar" id="{78894E99-9D29-4122-AF40-F0DADA161772}">
            <x14:dataBar minLength="0" maxLength="100" gradient="0">
              <x14:cfvo type="autoMin"/>
              <x14:cfvo type="formula">
                <xm:f>$H$14</xm:f>
              </x14:cfvo>
              <x14:negativeFillColor rgb="FFFF0000"/>
              <x14:axisColor rgb="FF000000"/>
            </x14:dataBar>
          </x14:cfRule>
          <xm:sqref>H20:H26</xm:sqref>
        </x14:conditionalFormatting>
        <x14:conditionalFormatting xmlns:xm="http://schemas.microsoft.com/office/excel/2006/main">
          <x14:cfRule type="dataBar" id="{0A5DF541-2C44-4C96-92F9-D9A4B26D57BA}">
            <x14:dataBar minLength="0" maxLength="100" gradient="0">
              <x14:cfvo type="autoMin"/>
              <x14:cfvo type="formula">
                <xm:f>$H$15</xm:f>
              </x14:cfvo>
              <x14:negativeFillColor rgb="FFFF0000"/>
              <x14:axisColor rgb="FF000000"/>
            </x14:dataBar>
          </x14:cfRule>
          <xm:sqref>H27:H30</xm:sqref>
        </x14:conditionalFormatting>
        <x14:conditionalFormatting xmlns:xm="http://schemas.microsoft.com/office/excel/2006/main">
          <x14:cfRule type="dataBar" id="{7DF5AFA6-FD61-45E3-BBB4-3A62CCCA11BB}">
            <x14:dataBar minLength="0" maxLength="100" gradient="0">
              <x14:cfvo type="autoMin"/>
              <x14:cfvo type="formula">
                <xm:f>$H$16</xm:f>
              </x14:cfvo>
              <x14:negativeFillColor rgb="FFFF0000"/>
              <x14:axisColor rgb="FF000000"/>
            </x14:dataBar>
          </x14:cfRule>
          <xm:sqref>H31:H34</xm:sqref>
        </x14:conditionalFormatting>
        <x14:conditionalFormatting xmlns:xm="http://schemas.microsoft.com/office/excel/2006/main">
          <x14:cfRule type="dataBar" id="{03AE8CA7-4E53-4F3B-B185-0BC924F4E8D2}">
            <x14:dataBar minLength="0" maxLength="100" gradient="0">
              <x14:cfvo type="autoMin"/>
              <x14:cfvo type="formula">
                <xm:f>$H$17</xm:f>
              </x14:cfvo>
              <x14:negativeFillColor rgb="FFFF0000"/>
              <x14:axisColor rgb="FF000000"/>
            </x14:dataBar>
          </x14:cfRule>
          <xm:sqref>H35:H38</xm:sqref>
        </x14:conditionalFormatting>
        <x14:conditionalFormatting xmlns:xm="http://schemas.microsoft.com/office/excel/2006/main">
          <x14:cfRule type="dataBar" id="{6EE796C1-0E14-4002-AF0C-70FACE2FAD8E}">
            <x14:dataBar minLength="0" maxLength="100" gradient="0">
              <x14:cfvo type="autoMin"/>
              <x14:cfvo type="formula">
                <xm:f>$H$18</xm:f>
              </x14:cfvo>
              <x14:negativeFillColor rgb="FFFF0000"/>
              <x14:axisColor rgb="FF000000"/>
            </x14:dataBar>
          </x14:cfRule>
          <xm:sqref>H39:H42</xm:sqref>
        </x14:conditionalFormatting>
        <x14:conditionalFormatting xmlns:xm="http://schemas.microsoft.com/office/excel/2006/main">
          <x14:cfRule type="dataBar" id="{13CDB944-E31F-4A5D-8E9D-AE14FB252AD7}">
            <x14:dataBar minLength="0" maxLength="100" gradient="0">
              <x14:cfvo type="autoMin"/>
              <x14:cfvo type="formula">
                <xm:f>$H$19</xm:f>
              </x14:cfvo>
              <x14:negativeFillColor rgb="FFFF0000"/>
              <x14:axisColor rgb="FF000000"/>
            </x14:dataBar>
          </x14:cfRule>
          <xm:sqref>H43:H46</xm:sqref>
        </x14:conditionalFormatting>
        <x14:conditionalFormatting xmlns:xm="http://schemas.microsoft.com/office/excel/2006/main">
          <x14:cfRule type="dataBar" id="{EC3BFDE6-C81C-40F7-BC4C-9F902345365A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I14:I19</xm:sqref>
        </x14:conditionalFormatting>
        <x14:conditionalFormatting xmlns:xm="http://schemas.microsoft.com/office/excel/2006/main">
          <x14:cfRule type="dataBar" id="{3032B650-8997-4594-9185-3B86DB28A791}">
            <x14:dataBar minLength="0" maxLength="100" gradient="0">
              <x14:cfvo type="autoMin"/>
              <x14:cfvo type="formula">
                <xm:f>$I$14</xm:f>
              </x14:cfvo>
              <x14:negativeFillColor rgb="FFFF0000"/>
              <x14:axisColor rgb="FF000000"/>
            </x14:dataBar>
          </x14:cfRule>
          <xm:sqref>I20:I26</xm:sqref>
        </x14:conditionalFormatting>
        <x14:conditionalFormatting xmlns:xm="http://schemas.microsoft.com/office/excel/2006/main">
          <x14:cfRule type="dataBar" id="{AC5D9522-08D6-4146-AFED-BC09B4827CED}">
            <x14:dataBar minLength="0" maxLength="100" gradient="0">
              <x14:cfvo type="autoMin"/>
              <x14:cfvo type="formula">
                <xm:f>$I$15</xm:f>
              </x14:cfvo>
              <x14:negativeFillColor rgb="FFFF0000"/>
              <x14:axisColor rgb="FF000000"/>
            </x14:dataBar>
          </x14:cfRule>
          <xm:sqref>I27:I30</xm:sqref>
        </x14:conditionalFormatting>
        <x14:conditionalFormatting xmlns:xm="http://schemas.microsoft.com/office/excel/2006/main">
          <x14:cfRule type="dataBar" id="{E2AF73DC-1A2D-4D10-AEA9-ECC7E3E3003A}">
            <x14:dataBar minLength="0" maxLength="100" gradient="0">
              <x14:cfvo type="autoMin"/>
              <x14:cfvo type="formula">
                <xm:f>$I$16</xm:f>
              </x14:cfvo>
              <x14:negativeFillColor rgb="FFFF0000"/>
              <x14:axisColor rgb="FF000000"/>
            </x14:dataBar>
          </x14:cfRule>
          <xm:sqref>I31:I34</xm:sqref>
        </x14:conditionalFormatting>
        <x14:conditionalFormatting xmlns:xm="http://schemas.microsoft.com/office/excel/2006/main">
          <x14:cfRule type="dataBar" id="{7135E21A-A096-4511-944D-D2348551ED03}">
            <x14:dataBar minLength="0" maxLength="100" gradient="0">
              <x14:cfvo type="autoMin"/>
              <x14:cfvo type="formula">
                <xm:f>$I$17</xm:f>
              </x14:cfvo>
              <x14:negativeFillColor rgb="FFFF0000"/>
              <x14:axisColor rgb="FF000000"/>
            </x14:dataBar>
          </x14:cfRule>
          <xm:sqref>I35:I38</xm:sqref>
        </x14:conditionalFormatting>
        <x14:conditionalFormatting xmlns:xm="http://schemas.microsoft.com/office/excel/2006/main">
          <x14:cfRule type="dataBar" id="{4BC98E96-E02B-4098-A731-67D54367ACFC}">
            <x14:dataBar minLength="0" maxLength="100" gradient="0">
              <x14:cfvo type="autoMin"/>
              <x14:cfvo type="formula">
                <xm:f>$I$18</xm:f>
              </x14:cfvo>
              <x14:negativeFillColor rgb="FFFF0000"/>
              <x14:axisColor rgb="FF000000"/>
            </x14:dataBar>
          </x14:cfRule>
          <xm:sqref>I39:I42</xm:sqref>
        </x14:conditionalFormatting>
        <x14:conditionalFormatting xmlns:xm="http://schemas.microsoft.com/office/excel/2006/main">
          <x14:cfRule type="dataBar" id="{A2434C79-3858-43FB-8F58-C2331354294E}">
            <x14:dataBar minLength="0" maxLength="100" gradient="0">
              <x14:cfvo type="autoMin"/>
              <x14:cfvo type="formula">
                <xm:f>$I$19</xm:f>
              </x14:cfvo>
              <x14:negativeFillColor rgb="FFFF0000"/>
              <x14:axisColor rgb="FF000000"/>
            </x14:dataBar>
          </x14:cfRule>
          <xm:sqref>I43:I46</xm:sqref>
        </x14:conditionalFormatting>
        <x14:conditionalFormatting xmlns:xm="http://schemas.microsoft.com/office/excel/2006/main">
          <x14:cfRule type="dataBar" id="{9460B843-A6C5-493B-B6BB-6C910D2973B9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J14:J19</xm:sqref>
        </x14:conditionalFormatting>
        <x14:conditionalFormatting xmlns:xm="http://schemas.microsoft.com/office/excel/2006/main">
          <x14:cfRule type="dataBar" id="{6C83FC1C-02D1-4B88-B175-FB4C9CEA2383}">
            <x14:dataBar minLength="0" maxLength="100" gradient="0">
              <x14:cfvo type="autoMin"/>
              <x14:cfvo type="formula">
                <xm:f>$J$14</xm:f>
              </x14:cfvo>
              <x14:negativeFillColor rgb="FFFF0000"/>
              <x14:axisColor rgb="FF000000"/>
            </x14:dataBar>
          </x14:cfRule>
          <xm:sqref>J20:J26</xm:sqref>
        </x14:conditionalFormatting>
        <x14:conditionalFormatting xmlns:xm="http://schemas.microsoft.com/office/excel/2006/main">
          <x14:cfRule type="dataBar" id="{CF3E25B5-6C75-4D76-AA5E-7501B8A9DEE9}">
            <x14:dataBar minLength="0" maxLength="100" gradient="0">
              <x14:cfvo type="autoMin"/>
              <x14:cfvo type="formula">
                <xm:f>$J$15</xm:f>
              </x14:cfvo>
              <x14:negativeFillColor rgb="FFFF0000"/>
              <x14:axisColor rgb="FF000000"/>
            </x14:dataBar>
          </x14:cfRule>
          <xm:sqref>J27:J30</xm:sqref>
        </x14:conditionalFormatting>
        <x14:conditionalFormatting xmlns:xm="http://schemas.microsoft.com/office/excel/2006/main">
          <x14:cfRule type="dataBar" id="{AE698825-06FB-4979-A4F5-9D50449720CA}">
            <x14:dataBar minLength="0" maxLength="100" gradient="0">
              <x14:cfvo type="autoMin"/>
              <x14:cfvo type="formula">
                <xm:f>$J$16</xm:f>
              </x14:cfvo>
              <x14:negativeFillColor rgb="FFFF0000"/>
              <x14:axisColor rgb="FF000000"/>
            </x14:dataBar>
          </x14:cfRule>
          <xm:sqref>J31:J34</xm:sqref>
        </x14:conditionalFormatting>
        <x14:conditionalFormatting xmlns:xm="http://schemas.microsoft.com/office/excel/2006/main">
          <x14:cfRule type="dataBar" id="{64D5F0E6-88B8-41D0-A29A-06B801C4738C}">
            <x14:dataBar minLength="0" maxLength="100" gradient="0">
              <x14:cfvo type="autoMin"/>
              <x14:cfvo type="formula">
                <xm:f>$J$17</xm:f>
              </x14:cfvo>
              <x14:negativeFillColor rgb="FFFF0000"/>
              <x14:axisColor rgb="FF000000"/>
            </x14:dataBar>
          </x14:cfRule>
          <xm:sqref>J35:J38</xm:sqref>
        </x14:conditionalFormatting>
        <x14:conditionalFormatting xmlns:xm="http://schemas.microsoft.com/office/excel/2006/main">
          <x14:cfRule type="dataBar" id="{35C7227B-4B95-4E1E-BE1A-3FB51330C15B}">
            <x14:dataBar minLength="0" maxLength="100" gradient="0">
              <x14:cfvo type="autoMin"/>
              <x14:cfvo type="formula">
                <xm:f>$J$18</xm:f>
              </x14:cfvo>
              <x14:negativeFillColor rgb="FFFF0000"/>
              <x14:axisColor rgb="FF000000"/>
            </x14:dataBar>
          </x14:cfRule>
          <xm:sqref>J39:J42</xm:sqref>
        </x14:conditionalFormatting>
        <x14:conditionalFormatting xmlns:xm="http://schemas.microsoft.com/office/excel/2006/main">
          <x14:cfRule type="dataBar" id="{AA4E79FB-607F-48FC-BAC7-E95306EA2701}">
            <x14:dataBar minLength="0" maxLength="100" gradient="0">
              <x14:cfvo type="autoMin"/>
              <x14:cfvo type="formula">
                <xm:f>$J$19</xm:f>
              </x14:cfvo>
              <x14:negativeFillColor rgb="FFFF0000"/>
              <x14:axisColor rgb="FF000000"/>
            </x14:dataBar>
          </x14:cfRule>
          <xm:sqref>J43:J46</xm:sqref>
        </x14:conditionalFormatting>
        <x14:conditionalFormatting xmlns:xm="http://schemas.microsoft.com/office/excel/2006/main">
          <x14:cfRule type="dataBar" id="{8563E73A-E713-4B43-9A7E-40D85071C9B6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K14:M19</xm:sqref>
        </x14:conditionalFormatting>
        <x14:conditionalFormatting xmlns:xm="http://schemas.microsoft.com/office/excel/2006/main">
          <x14:cfRule type="dataBar" id="{847E7403-37A2-4504-9B48-1417DDAF78DD}">
            <x14:dataBar minLength="0" maxLength="100" gradient="0">
              <x14:cfvo type="autoMin"/>
              <x14:cfvo type="formula">
                <xm:f>$K$14</xm:f>
              </x14:cfvo>
              <x14:negativeFillColor rgb="FFFF0000"/>
              <x14:axisColor rgb="FF000000"/>
            </x14:dataBar>
          </x14:cfRule>
          <xm:sqref>K20:M26</xm:sqref>
        </x14:conditionalFormatting>
        <x14:conditionalFormatting xmlns:xm="http://schemas.microsoft.com/office/excel/2006/main">
          <x14:cfRule type="dataBar" id="{932193AB-F097-477D-8441-AE9BCC231FC2}">
            <x14:dataBar minLength="0" maxLength="100" gradient="0">
              <x14:cfvo type="autoMin"/>
              <x14:cfvo type="formula">
                <xm:f>$K$15</xm:f>
              </x14:cfvo>
              <x14:negativeFillColor rgb="FFFF0000"/>
              <x14:axisColor rgb="FF000000"/>
            </x14:dataBar>
          </x14:cfRule>
          <xm:sqref>K27:M30</xm:sqref>
        </x14:conditionalFormatting>
        <x14:conditionalFormatting xmlns:xm="http://schemas.microsoft.com/office/excel/2006/main">
          <x14:cfRule type="dataBar" id="{5F434EF6-D26B-463D-A40A-CA979FC7FF9D}">
            <x14:dataBar minLength="0" maxLength="100" gradient="0">
              <x14:cfvo type="autoMin"/>
              <x14:cfvo type="formula">
                <xm:f>$K$16</xm:f>
              </x14:cfvo>
              <x14:negativeFillColor rgb="FFFF0000"/>
              <x14:axisColor rgb="FF000000"/>
            </x14:dataBar>
          </x14:cfRule>
          <xm:sqref>K31:M34</xm:sqref>
        </x14:conditionalFormatting>
        <x14:conditionalFormatting xmlns:xm="http://schemas.microsoft.com/office/excel/2006/main">
          <x14:cfRule type="dataBar" id="{81D513AB-1AB4-48DB-B917-1F8682BE40CF}">
            <x14:dataBar minLength="0" maxLength="100" gradient="0">
              <x14:cfvo type="autoMin"/>
              <x14:cfvo type="formula">
                <xm:f>$K$17</xm:f>
              </x14:cfvo>
              <x14:negativeFillColor rgb="FFFF0000"/>
              <x14:axisColor rgb="FF000000"/>
            </x14:dataBar>
          </x14:cfRule>
          <xm:sqref>K35:M38</xm:sqref>
        </x14:conditionalFormatting>
        <x14:conditionalFormatting xmlns:xm="http://schemas.microsoft.com/office/excel/2006/main">
          <x14:cfRule type="dataBar" id="{05E87CB9-1E0C-4EA9-8610-7C382338928D}">
            <x14:dataBar minLength="0" maxLength="100" gradient="0">
              <x14:cfvo type="autoMin"/>
              <x14:cfvo type="formula">
                <xm:f>$K$18</xm:f>
              </x14:cfvo>
              <x14:negativeFillColor rgb="FFFF0000"/>
              <x14:axisColor rgb="FF000000"/>
            </x14:dataBar>
          </x14:cfRule>
          <xm:sqref>K39:M42</xm:sqref>
        </x14:conditionalFormatting>
        <x14:conditionalFormatting xmlns:xm="http://schemas.microsoft.com/office/excel/2006/main">
          <x14:cfRule type="dataBar" id="{30C84797-E3AA-4731-B023-7CA59EF687FD}">
            <x14:dataBar minLength="0" maxLength="100" gradient="0">
              <x14:cfvo type="autoMin"/>
              <x14:cfvo type="formula">
                <xm:f>$K$19</xm:f>
              </x14:cfvo>
              <x14:negativeFillColor rgb="FFFF0000"/>
              <x14:axisColor rgb="FF000000"/>
            </x14:dataBar>
          </x14:cfRule>
          <xm:sqref>K43:M46</xm:sqref>
        </x14:conditionalFormatting>
        <x14:conditionalFormatting xmlns:xm="http://schemas.microsoft.com/office/excel/2006/main">
          <x14:cfRule type="dataBar" id="{E7A327DE-85C2-4EBA-8D72-4D48E29642CB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N14:N19</xm:sqref>
        </x14:conditionalFormatting>
        <x14:conditionalFormatting xmlns:xm="http://schemas.microsoft.com/office/excel/2006/main">
          <x14:cfRule type="dataBar" id="{CAA5BD22-34A5-42E7-BA2B-78E20AF8605E}">
            <x14:dataBar minLength="0" maxLength="100" gradient="0">
              <x14:cfvo type="autoMin"/>
              <x14:cfvo type="formula">
                <xm:f>$N$14</xm:f>
              </x14:cfvo>
              <x14:negativeFillColor rgb="FFFF0000"/>
              <x14:axisColor rgb="FF000000"/>
            </x14:dataBar>
          </x14:cfRule>
          <xm:sqref>N20:N26</xm:sqref>
        </x14:conditionalFormatting>
        <x14:conditionalFormatting xmlns:xm="http://schemas.microsoft.com/office/excel/2006/main">
          <x14:cfRule type="dataBar" id="{76E20609-B04B-4AD1-98E6-65FAD0CDFE0B}">
            <x14:dataBar minLength="0" maxLength="100" gradient="0">
              <x14:cfvo type="autoMin"/>
              <x14:cfvo type="formula">
                <xm:f>$N$15</xm:f>
              </x14:cfvo>
              <x14:negativeFillColor rgb="FFFF0000"/>
              <x14:axisColor rgb="FF000000"/>
            </x14:dataBar>
          </x14:cfRule>
          <xm:sqref>N27:N30</xm:sqref>
        </x14:conditionalFormatting>
        <x14:conditionalFormatting xmlns:xm="http://schemas.microsoft.com/office/excel/2006/main">
          <x14:cfRule type="dataBar" id="{86757058-3C7F-4368-800F-BF62AEA9592C}">
            <x14:dataBar minLength="0" maxLength="100" gradient="0">
              <x14:cfvo type="autoMin"/>
              <x14:cfvo type="formula">
                <xm:f>$N$16</xm:f>
              </x14:cfvo>
              <x14:negativeFillColor rgb="FFFF0000"/>
              <x14:axisColor rgb="FF000000"/>
            </x14:dataBar>
          </x14:cfRule>
          <xm:sqref>N31:N34</xm:sqref>
        </x14:conditionalFormatting>
        <x14:conditionalFormatting xmlns:xm="http://schemas.microsoft.com/office/excel/2006/main">
          <x14:cfRule type="dataBar" id="{369A5C70-91A2-4A20-A146-E8E77E8CA4EC}">
            <x14:dataBar minLength="0" maxLength="100" gradient="0">
              <x14:cfvo type="autoMin"/>
              <x14:cfvo type="formula">
                <xm:f>$N$17</xm:f>
              </x14:cfvo>
              <x14:negativeFillColor rgb="FFFF0000"/>
              <x14:axisColor rgb="FF000000"/>
            </x14:dataBar>
          </x14:cfRule>
          <xm:sqref>N35:N38</xm:sqref>
        </x14:conditionalFormatting>
        <x14:conditionalFormatting xmlns:xm="http://schemas.microsoft.com/office/excel/2006/main">
          <x14:cfRule type="dataBar" id="{58A1429F-D165-47C0-9FC4-5F94E1B14C3F}">
            <x14:dataBar minLength="0" maxLength="100" gradient="0">
              <x14:cfvo type="autoMin"/>
              <x14:cfvo type="formula">
                <xm:f>$N$18</xm:f>
              </x14:cfvo>
              <x14:negativeFillColor rgb="FFFF0000"/>
              <x14:axisColor rgb="FF000000"/>
            </x14:dataBar>
          </x14:cfRule>
          <xm:sqref>N39:N42</xm:sqref>
        </x14:conditionalFormatting>
        <x14:conditionalFormatting xmlns:xm="http://schemas.microsoft.com/office/excel/2006/main">
          <x14:cfRule type="dataBar" id="{BB339B56-A346-4B95-8D20-B841463BB04F}">
            <x14:dataBar minLength="0" maxLength="100" gradient="0">
              <x14:cfvo type="autoMin"/>
              <x14:cfvo type="formula">
                <xm:f>$N$19</xm:f>
              </x14:cfvo>
              <x14:negativeFillColor rgb="FFFF0000"/>
              <x14:axisColor rgb="FF000000"/>
            </x14:dataBar>
          </x14:cfRule>
          <xm:sqref>N43:N46</xm:sqref>
        </x14:conditionalFormatting>
        <x14:conditionalFormatting xmlns:xm="http://schemas.microsoft.com/office/excel/2006/main">
          <x14:cfRule type="dataBar" id="{06ECFDDC-7BE5-464D-81FE-260C243D7479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O14:O19</xm:sqref>
        </x14:conditionalFormatting>
        <x14:conditionalFormatting xmlns:xm="http://schemas.microsoft.com/office/excel/2006/main">
          <x14:cfRule type="dataBar" id="{84F8955B-5927-4867-89D7-08B8E5505784}">
            <x14:dataBar minLength="0" maxLength="100" gradient="0">
              <x14:cfvo type="autoMin"/>
              <x14:cfvo type="formula">
                <xm:f>$O$14</xm:f>
              </x14:cfvo>
              <x14:negativeFillColor rgb="FFFF0000"/>
              <x14:axisColor rgb="FF000000"/>
            </x14:dataBar>
          </x14:cfRule>
          <xm:sqref>O20:O26</xm:sqref>
        </x14:conditionalFormatting>
        <x14:conditionalFormatting xmlns:xm="http://schemas.microsoft.com/office/excel/2006/main">
          <x14:cfRule type="dataBar" id="{67B6FAFF-E195-442C-B112-966610B2B622}">
            <x14:dataBar minLength="0" maxLength="100" gradient="0">
              <x14:cfvo type="autoMin"/>
              <x14:cfvo type="formula">
                <xm:f>$O$15</xm:f>
              </x14:cfvo>
              <x14:negativeFillColor rgb="FFFF0000"/>
              <x14:axisColor rgb="FF000000"/>
            </x14:dataBar>
          </x14:cfRule>
          <xm:sqref>O27:O30</xm:sqref>
        </x14:conditionalFormatting>
        <x14:conditionalFormatting xmlns:xm="http://schemas.microsoft.com/office/excel/2006/main">
          <x14:cfRule type="dataBar" id="{5906867C-2137-4508-9192-1F46AD785A0F}">
            <x14:dataBar minLength="0" maxLength="100" gradient="0">
              <x14:cfvo type="autoMin"/>
              <x14:cfvo type="formula">
                <xm:f>$O$16</xm:f>
              </x14:cfvo>
              <x14:negativeFillColor rgb="FFFF0000"/>
              <x14:axisColor rgb="FF000000"/>
            </x14:dataBar>
          </x14:cfRule>
          <xm:sqref>O31:O34</xm:sqref>
        </x14:conditionalFormatting>
        <x14:conditionalFormatting xmlns:xm="http://schemas.microsoft.com/office/excel/2006/main">
          <x14:cfRule type="dataBar" id="{67C68324-A8B9-4FEA-A8F3-C9F64102FE4C}">
            <x14:dataBar minLength="0" maxLength="100" gradient="0">
              <x14:cfvo type="autoMin"/>
              <x14:cfvo type="formula">
                <xm:f>$O$17</xm:f>
              </x14:cfvo>
              <x14:negativeFillColor rgb="FFFF0000"/>
              <x14:axisColor rgb="FF000000"/>
            </x14:dataBar>
          </x14:cfRule>
          <xm:sqref>O35:O38</xm:sqref>
        </x14:conditionalFormatting>
        <x14:conditionalFormatting xmlns:xm="http://schemas.microsoft.com/office/excel/2006/main">
          <x14:cfRule type="dataBar" id="{3F580D0C-EF67-4DE6-8A41-604EA8BA9AD2}">
            <x14:dataBar minLength="0" maxLength="100" gradient="0">
              <x14:cfvo type="autoMin"/>
              <x14:cfvo type="formula">
                <xm:f>$O$18</xm:f>
              </x14:cfvo>
              <x14:negativeFillColor rgb="FFFF0000"/>
              <x14:axisColor rgb="FF000000"/>
            </x14:dataBar>
          </x14:cfRule>
          <xm:sqref>O39:O42</xm:sqref>
        </x14:conditionalFormatting>
        <x14:conditionalFormatting xmlns:xm="http://schemas.microsoft.com/office/excel/2006/main">
          <x14:cfRule type="dataBar" id="{B0D4DB33-5387-4C6A-A1CC-CF92E849AA0F}">
            <x14:dataBar minLength="0" maxLength="100" gradient="0">
              <x14:cfvo type="autoMin"/>
              <x14:cfvo type="formula">
                <xm:f>$O$19</xm:f>
              </x14:cfvo>
              <x14:negativeFillColor rgb="FFFF0000"/>
              <x14:axisColor rgb="FF000000"/>
            </x14:dataBar>
          </x14:cfRule>
          <xm:sqref>O43:O46</xm:sqref>
        </x14:conditionalFormatting>
        <x14:conditionalFormatting xmlns:xm="http://schemas.microsoft.com/office/excel/2006/main">
          <x14:cfRule type="dataBar" id="{859965B2-F778-4AD1-B374-796948A6BAE4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P14:P19</xm:sqref>
        </x14:conditionalFormatting>
        <x14:conditionalFormatting xmlns:xm="http://schemas.microsoft.com/office/excel/2006/main">
          <x14:cfRule type="dataBar" id="{CF38BD20-7580-43AE-A2D2-05FC12D560BE}">
            <x14:dataBar minLength="0" maxLength="100" gradient="0">
              <x14:cfvo type="autoMin"/>
              <x14:cfvo type="formula">
                <xm:f>$P$14</xm:f>
              </x14:cfvo>
              <x14:negativeFillColor rgb="FFFF0000"/>
              <x14:axisColor rgb="FF000000"/>
            </x14:dataBar>
          </x14:cfRule>
          <xm:sqref>P20:P26</xm:sqref>
        </x14:conditionalFormatting>
        <x14:conditionalFormatting xmlns:xm="http://schemas.microsoft.com/office/excel/2006/main">
          <x14:cfRule type="dataBar" id="{1A9442C2-29BC-4D1D-98B2-BCC96A9EB60D}">
            <x14:dataBar minLength="0" maxLength="100" gradient="0">
              <x14:cfvo type="autoMin"/>
              <x14:cfvo type="formula">
                <xm:f>$P$15</xm:f>
              </x14:cfvo>
              <x14:negativeFillColor rgb="FFFF0000"/>
              <x14:axisColor rgb="FF000000"/>
            </x14:dataBar>
          </x14:cfRule>
          <xm:sqref>P27:P30</xm:sqref>
        </x14:conditionalFormatting>
        <x14:conditionalFormatting xmlns:xm="http://schemas.microsoft.com/office/excel/2006/main">
          <x14:cfRule type="dataBar" id="{68F2EC53-137C-49D7-8399-BBE4D20F2F3F}">
            <x14:dataBar minLength="0" maxLength="100" gradient="0">
              <x14:cfvo type="autoMin"/>
              <x14:cfvo type="formula">
                <xm:f>$P$16</xm:f>
              </x14:cfvo>
              <x14:negativeFillColor rgb="FFFF0000"/>
              <x14:axisColor rgb="FF000000"/>
            </x14:dataBar>
          </x14:cfRule>
          <xm:sqref>P31:P34</xm:sqref>
        </x14:conditionalFormatting>
        <x14:conditionalFormatting xmlns:xm="http://schemas.microsoft.com/office/excel/2006/main">
          <x14:cfRule type="dataBar" id="{BB85A925-2466-4B35-A3EA-B43B3A228B35}">
            <x14:dataBar minLength="0" maxLength="100" gradient="0">
              <x14:cfvo type="autoMin"/>
              <x14:cfvo type="formula">
                <xm:f>$P$17</xm:f>
              </x14:cfvo>
              <x14:negativeFillColor rgb="FFFF0000"/>
              <x14:axisColor rgb="FF000000"/>
            </x14:dataBar>
          </x14:cfRule>
          <xm:sqref>P35:P38</xm:sqref>
        </x14:conditionalFormatting>
        <x14:conditionalFormatting xmlns:xm="http://schemas.microsoft.com/office/excel/2006/main">
          <x14:cfRule type="dataBar" id="{B7949D09-36DD-43D2-9BAA-944184B12E04}">
            <x14:dataBar minLength="0" maxLength="100" gradient="0">
              <x14:cfvo type="autoMin"/>
              <x14:cfvo type="formula">
                <xm:f>$P$18</xm:f>
              </x14:cfvo>
              <x14:negativeFillColor rgb="FFFF0000"/>
              <x14:axisColor rgb="FF000000"/>
            </x14:dataBar>
          </x14:cfRule>
          <xm:sqref>P39:P42</xm:sqref>
        </x14:conditionalFormatting>
        <x14:conditionalFormatting xmlns:xm="http://schemas.microsoft.com/office/excel/2006/main">
          <x14:cfRule type="dataBar" id="{0B2AF709-8921-4B9B-AB60-9B93E6AB5663}">
            <x14:dataBar minLength="0" maxLength="100" gradient="0">
              <x14:cfvo type="autoMin"/>
              <x14:cfvo type="formula">
                <xm:f>$P$19</xm:f>
              </x14:cfvo>
              <x14:negativeFillColor rgb="FFFF0000"/>
              <x14:axisColor rgb="FF000000"/>
            </x14:dataBar>
          </x14:cfRule>
          <xm:sqref>P43:P46</xm:sqref>
        </x14:conditionalFormatting>
        <x14:conditionalFormatting xmlns:xm="http://schemas.microsoft.com/office/excel/2006/main">
          <x14:cfRule type="dataBar" id="{F2DA279F-5B0D-4B40-A7AC-3D96DBA61F34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Q14:Q19</xm:sqref>
        </x14:conditionalFormatting>
        <x14:conditionalFormatting xmlns:xm="http://schemas.microsoft.com/office/excel/2006/main">
          <x14:cfRule type="dataBar" id="{2E52155A-32CF-4C07-8520-8A611F8B644C}">
            <x14:dataBar minLength="0" maxLength="100" gradient="0">
              <x14:cfvo type="autoMin"/>
              <x14:cfvo type="formula">
                <xm:f>$Q$14</xm:f>
              </x14:cfvo>
              <x14:negativeFillColor rgb="FFFF0000"/>
              <x14:axisColor rgb="FF000000"/>
            </x14:dataBar>
          </x14:cfRule>
          <xm:sqref>Q20:Q26</xm:sqref>
        </x14:conditionalFormatting>
        <x14:conditionalFormatting xmlns:xm="http://schemas.microsoft.com/office/excel/2006/main">
          <x14:cfRule type="dataBar" id="{ED5193D7-8B90-4C1F-9CA3-1B7598DAE599}">
            <x14:dataBar minLength="0" maxLength="100" gradient="0">
              <x14:cfvo type="autoMin"/>
              <x14:cfvo type="formula">
                <xm:f>$Q$15</xm:f>
              </x14:cfvo>
              <x14:negativeFillColor rgb="FFFF0000"/>
              <x14:axisColor rgb="FF000000"/>
            </x14:dataBar>
          </x14:cfRule>
          <xm:sqref>Q27:Q30</xm:sqref>
        </x14:conditionalFormatting>
        <x14:conditionalFormatting xmlns:xm="http://schemas.microsoft.com/office/excel/2006/main">
          <x14:cfRule type="dataBar" id="{3C68B69C-3DE9-4893-827E-9405362CD714}">
            <x14:dataBar minLength="0" maxLength="100" gradient="0">
              <x14:cfvo type="autoMin"/>
              <x14:cfvo type="formula">
                <xm:f>$Q$16</xm:f>
              </x14:cfvo>
              <x14:negativeFillColor rgb="FFFF0000"/>
              <x14:axisColor rgb="FF000000"/>
            </x14:dataBar>
          </x14:cfRule>
          <xm:sqref>Q31:Q34</xm:sqref>
        </x14:conditionalFormatting>
        <x14:conditionalFormatting xmlns:xm="http://schemas.microsoft.com/office/excel/2006/main">
          <x14:cfRule type="dataBar" id="{CADCBC53-5C30-4513-9D80-AB2F7FB953E4}">
            <x14:dataBar minLength="0" maxLength="100" gradient="0">
              <x14:cfvo type="autoMin"/>
              <x14:cfvo type="formula">
                <xm:f>$Q$17</xm:f>
              </x14:cfvo>
              <x14:negativeFillColor rgb="FFFF0000"/>
              <x14:axisColor rgb="FF000000"/>
            </x14:dataBar>
          </x14:cfRule>
          <xm:sqref>Q35:Q38</xm:sqref>
        </x14:conditionalFormatting>
        <x14:conditionalFormatting xmlns:xm="http://schemas.microsoft.com/office/excel/2006/main">
          <x14:cfRule type="dataBar" id="{3874A8F9-736B-4B25-85C7-F86842A63760}">
            <x14:dataBar minLength="0" maxLength="100" gradient="0">
              <x14:cfvo type="autoMin"/>
              <x14:cfvo type="formula">
                <xm:f>$Q$18</xm:f>
              </x14:cfvo>
              <x14:negativeFillColor rgb="FFFF0000"/>
              <x14:axisColor rgb="FF000000"/>
            </x14:dataBar>
          </x14:cfRule>
          <xm:sqref>Q39:Q42</xm:sqref>
        </x14:conditionalFormatting>
        <x14:conditionalFormatting xmlns:xm="http://schemas.microsoft.com/office/excel/2006/main">
          <x14:cfRule type="dataBar" id="{B630FD34-8683-49E2-8910-9AF18219DA21}">
            <x14:dataBar minLength="0" maxLength="100" gradient="0">
              <x14:cfvo type="autoMin"/>
              <x14:cfvo type="formula">
                <xm:f>$Q$19</xm:f>
              </x14:cfvo>
              <x14:negativeFillColor rgb="FFFF0000"/>
              <x14:axisColor rgb="FF000000"/>
            </x14:dataBar>
          </x14:cfRule>
          <xm:sqref>Q43:Q46</xm:sqref>
        </x14:conditionalFormatting>
        <x14:conditionalFormatting xmlns:xm="http://schemas.microsoft.com/office/excel/2006/main">
          <x14:cfRule type="dataBar" id="{C42F5CAA-ED2B-43C0-8193-C611D774DE5E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R14:S19</xm:sqref>
        </x14:conditionalFormatting>
        <x14:conditionalFormatting xmlns:xm="http://schemas.microsoft.com/office/excel/2006/main">
          <x14:cfRule type="dataBar" id="{68A5E2FC-6A0E-49C5-B83D-4882A102C11E}">
            <x14:dataBar minLength="0" maxLength="100" gradient="0">
              <x14:cfvo type="autoMin"/>
              <x14:cfvo type="formula">
                <xm:f>$R$14</xm:f>
              </x14:cfvo>
              <x14:negativeFillColor rgb="FFFF0000"/>
              <x14:axisColor rgb="FF000000"/>
            </x14:dataBar>
          </x14:cfRule>
          <xm:sqref>R20:S26</xm:sqref>
        </x14:conditionalFormatting>
        <x14:conditionalFormatting xmlns:xm="http://schemas.microsoft.com/office/excel/2006/main">
          <x14:cfRule type="dataBar" id="{B6D6AB02-8AAA-48D5-AF5D-0299940166AD}">
            <x14:dataBar minLength="0" maxLength="100" gradient="0">
              <x14:cfvo type="autoMin"/>
              <x14:cfvo type="formula">
                <xm:f>$R$15</xm:f>
              </x14:cfvo>
              <x14:negativeFillColor rgb="FFFF0000"/>
              <x14:axisColor rgb="FF000000"/>
            </x14:dataBar>
          </x14:cfRule>
          <xm:sqref>R27:S30</xm:sqref>
        </x14:conditionalFormatting>
        <x14:conditionalFormatting xmlns:xm="http://schemas.microsoft.com/office/excel/2006/main">
          <x14:cfRule type="dataBar" id="{3BAE9C24-24C6-4043-85BC-F476D6F48100}">
            <x14:dataBar minLength="0" maxLength="100" gradient="0">
              <x14:cfvo type="autoMin"/>
              <x14:cfvo type="formula">
                <xm:f>$R$16</xm:f>
              </x14:cfvo>
              <x14:negativeFillColor rgb="FFFF0000"/>
              <x14:axisColor rgb="FF000000"/>
            </x14:dataBar>
          </x14:cfRule>
          <xm:sqref>R31:S34</xm:sqref>
        </x14:conditionalFormatting>
        <x14:conditionalFormatting xmlns:xm="http://schemas.microsoft.com/office/excel/2006/main">
          <x14:cfRule type="dataBar" id="{0A08D6F8-BC0E-49BD-A26A-180D9634789F}">
            <x14:dataBar minLength="0" maxLength="100" gradient="0">
              <x14:cfvo type="autoMin"/>
              <x14:cfvo type="formula">
                <xm:f>$R$17</xm:f>
              </x14:cfvo>
              <x14:negativeFillColor rgb="FFFF0000"/>
              <x14:axisColor rgb="FF000000"/>
            </x14:dataBar>
          </x14:cfRule>
          <xm:sqref>R35:S38</xm:sqref>
        </x14:conditionalFormatting>
        <x14:conditionalFormatting xmlns:xm="http://schemas.microsoft.com/office/excel/2006/main">
          <x14:cfRule type="dataBar" id="{9539B4EB-12F0-49A1-8806-AB407BBEA9BB}">
            <x14:dataBar minLength="0" maxLength="100" gradient="0">
              <x14:cfvo type="autoMin"/>
              <x14:cfvo type="formula">
                <xm:f>$R$18</xm:f>
              </x14:cfvo>
              <x14:negativeFillColor rgb="FFFF0000"/>
              <x14:axisColor rgb="FF000000"/>
            </x14:dataBar>
          </x14:cfRule>
          <xm:sqref>R39:S42</xm:sqref>
        </x14:conditionalFormatting>
        <x14:conditionalFormatting xmlns:xm="http://schemas.microsoft.com/office/excel/2006/main">
          <x14:cfRule type="dataBar" id="{CF9AD966-E081-4663-AB32-F7DD1BC68D05}">
            <x14:dataBar minLength="0" maxLength="100" gradient="0">
              <x14:cfvo type="autoMin"/>
              <x14:cfvo type="formula">
                <xm:f>$R$19</xm:f>
              </x14:cfvo>
              <x14:negativeFillColor rgb="FFFF0000"/>
              <x14:axisColor rgb="FF000000"/>
            </x14:dataBar>
          </x14:cfRule>
          <xm:sqref>R43:S46</xm:sqref>
        </x14:conditionalFormatting>
        <x14:conditionalFormatting xmlns:xm="http://schemas.microsoft.com/office/excel/2006/main">
          <x14:cfRule type="dataBar" id="{B34EA865-1798-4FB1-9682-D5101D1ABFB4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T14:T19</xm:sqref>
        </x14:conditionalFormatting>
        <x14:conditionalFormatting xmlns:xm="http://schemas.microsoft.com/office/excel/2006/main">
          <x14:cfRule type="dataBar" id="{DCCE6ED8-06A7-4E63-9B32-9A9BEC031B9B}">
            <x14:dataBar minLength="0" maxLength="100" gradient="0">
              <x14:cfvo type="autoMin"/>
              <x14:cfvo type="formula">
                <xm:f>$T$14</xm:f>
              </x14:cfvo>
              <x14:negativeFillColor rgb="FFFF0000"/>
              <x14:axisColor rgb="FF000000"/>
            </x14:dataBar>
          </x14:cfRule>
          <xm:sqref>T20:T26</xm:sqref>
        </x14:conditionalFormatting>
        <x14:conditionalFormatting xmlns:xm="http://schemas.microsoft.com/office/excel/2006/main">
          <x14:cfRule type="dataBar" id="{1C1787AA-8E5B-47EB-9F05-90649726F47A}">
            <x14:dataBar minLength="0" maxLength="100" gradient="0">
              <x14:cfvo type="autoMin"/>
              <x14:cfvo type="formula">
                <xm:f>$T$15</xm:f>
              </x14:cfvo>
              <x14:negativeFillColor rgb="FFFF0000"/>
              <x14:axisColor rgb="FF000000"/>
            </x14:dataBar>
          </x14:cfRule>
          <xm:sqref>T27:T30</xm:sqref>
        </x14:conditionalFormatting>
        <x14:conditionalFormatting xmlns:xm="http://schemas.microsoft.com/office/excel/2006/main">
          <x14:cfRule type="dataBar" id="{1B06B353-F4D2-485A-90A8-CC1227DBC7D6}">
            <x14:dataBar minLength="0" maxLength="100" gradient="0">
              <x14:cfvo type="autoMin"/>
              <x14:cfvo type="formula">
                <xm:f>$T$16</xm:f>
              </x14:cfvo>
              <x14:negativeFillColor rgb="FFFF0000"/>
              <x14:axisColor rgb="FF000000"/>
            </x14:dataBar>
          </x14:cfRule>
          <xm:sqref>T31:T34</xm:sqref>
        </x14:conditionalFormatting>
        <x14:conditionalFormatting xmlns:xm="http://schemas.microsoft.com/office/excel/2006/main">
          <x14:cfRule type="dataBar" id="{E9AB9915-02D2-4BD8-8E0F-66C947C21EC5}">
            <x14:dataBar minLength="0" maxLength="100" gradient="0">
              <x14:cfvo type="autoMin"/>
              <x14:cfvo type="formula">
                <xm:f>$T$17</xm:f>
              </x14:cfvo>
              <x14:negativeFillColor rgb="FFFF0000"/>
              <x14:axisColor rgb="FF000000"/>
            </x14:dataBar>
          </x14:cfRule>
          <xm:sqref>T35:T38</xm:sqref>
        </x14:conditionalFormatting>
        <x14:conditionalFormatting xmlns:xm="http://schemas.microsoft.com/office/excel/2006/main">
          <x14:cfRule type="dataBar" id="{65A9E495-C6BE-46D5-B48A-62246EBA0E1F}">
            <x14:dataBar minLength="0" maxLength="100" gradient="0">
              <x14:cfvo type="autoMin"/>
              <x14:cfvo type="formula">
                <xm:f>$T$18</xm:f>
              </x14:cfvo>
              <x14:negativeFillColor rgb="FFFF0000"/>
              <x14:axisColor rgb="FF000000"/>
            </x14:dataBar>
          </x14:cfRule>
          <xm:sqref>T39:T42</xm:sqref>
        </x14:conditionalFormatting>
        <x14:conditionalFormatting xmlns:xm="http://schemas.microsoft.com/office/excel/2006/main">
          <x14:cfRule type="dataBar" id="{BD5159FC-7FDD-44E2-A723-AB9F7EFE8ADA}">
            <x14:dataBar minLength="0" maxLength="100" gradient="0">
              <x14:cfvo type="autoMin"/>
              <x14:cfvo type="formula">
                <xm:f>$T$19</xm:f>
              </x14:cfvo>
              <x14:negativeFillColor rgb="FFFF0000"/>
              <x14:axisColor rgb="FF000000"/>
            </x14:dataBar>
          </x14:cfRule>
          <xm:sqref>T43:T46</xm:sqref>
        </x14:conditionalFormatting>
        <x14:conditionalFormatting xmlns:xm="http://schemas.microsoft.com/office/excel/2006/main">
          <x14:cfRule type="dataBar" id="{CBAC3F35-432D-43E2-90F9-5012701AC9F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U20:U26</xm:sqref>
        </x14:conditionalFormatting>
        <x14:conditionalFormatting xmlns:xm="http://schemas.microsoft.com/office/excel/2006/main">
          <x14:cfRule type="dataBar" id="{9699142E-01DF-406A-ABC7-CFC88C2397B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U14:U19</xm:sqref>
        </x14:conditionalFormatting>
        <x14:conditionalFormatting xmlns:xm="http://schemas.microsoft.com/office/excel/2006/main">
          <x14:cfRule type="dataBar" id="{9F51946C-0BAB-407B-BCF8-E629C8B9851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V14:V19</xm:sqref>
        </x14:conditionalFormatting>
        <x14:conditionalFormatting xmlns:xm="http://schemas.microsoft.com/office/excel/2006/main">
          <x14:cfRule type="dataBar" id="{63BCE46C-DE99-44FD-A927-2B9E7165922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U27:U30</xm:sqref>
        </x14:conditionalFormatting>
        <x14:conditionalFormatting xmlns:xm="http://schemas.microsoft.com/office/excel/2006/main">
          <x14:cfRule type="dataBar" id="{6672C762-7257-448B-B872-8EFA3F3E87C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U31:U34</xm:sqref>
        </x14:conditionalFormatting>
        <x14:conditionalFormatting xmlns:xm="http://schemas.microsoft.com/office/excel/2006/main">
          <x14:cfRule type="dataBar" id="{ABF385D3-EB7E-48AC-BB3E-76AE05B5778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U35:U38</xm:sqref>
        </x14:conditionalFormatting>
        <x14:conditionalFormatting xmlns:xm="http://schemas.microsoft.com/office/excel/2006/main">
          <x14:cfRule type="dataBar" id="{0C155FD5-0DE6-49CB-8C3A-1B675156F95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U39:U42</xm:sqref>
        </x14:conditionalFormatting>
        <x14:conditionalFormatting xmlns:xm="http://schemas.microsoft.com/office/excel/2006/main">
          <x14:cfRule type="dataBar" id="{52BA125D-576D-4350-85FB-7BCCCD84DCF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U43:U46</xm:sqref>
        </x14:conditionalFormatting>
        <x14:conditionalFormatting xmlns:xm="http://schemas.microsoft.com/office/excel/2006/main">
          <x14:cfRule type="dataBar" id="{27A4B51D-5F27-4195-BFE1-1CC3829671D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V20:V26</xm:sqref>
        </x14:conditionalFormatting>
        <x14:conditionalFormatting xmlns:xm="http://schemas.microsoft.com/office/excel/2006/main">
          <x14:cfRule type="dataBar" id="{72CB487A-28F7-4305-8F05-DEA765785DE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V27:V30</xm:sqref>
        </x14:conditionalFormatting>
        <x14:conditionalFormatting xmlns:xm="http://schemas.microsoft.com/office/excel/2006/main">
          <x14:cfRule type="dataBar" id="{D1E31A4D-B285-4870-83B3-D088D9CB02D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V31:V34</xm:sqref>
        </x14:conditionalFormatting>
        <x14:conditionalFormatting xmlns:xm="http://schemas.microsoft.com/office/excel/2006/main">
          <x14:cfRule type="dataBar" id="{13B2D8F1-4CCB-4C5D-AC3A-0604262EBDC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V35:V38</xm:sqref>
        </x14:conditionalFormatting>
        <x14:conditionalFormatting xmlns:xm="http://schemas.microsoft.com/office/excel/2006/main">
          <x14:cfRule type="dataBar" id="{93B1247F-1221-460E-854F-E63549B069B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V39:V42</xm:sqref>
        </x14:conditionalFormatting>
        <x14:conditionalFormatting xmlns:xm="http://schemas.microsoft.com/office/excel/2006/main">
          <x14:cfRule type="dataBar" id="{36EABEEB-E447-4486-976D-27E279DE577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V43:V46</xm:sqref>
        </x14:conditionalFormatting>
        <x14:conditionalFormatting xmlns:xm="http://schemas.microsoft.com/office/excel/2006/main">
          <x14:cfRule type="dataBar" id="{35C9A0B5-38BB-4B11-A53A-BCC6C9342FD2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G14:G19</xm:sqref>
        </x14:conditionalFormatting>
        <x14:conditionalFormatting xmlns:xm="http://schemas.microsoft.com/office/excel/2006/main">
          <x14:cfRule type="dataBar" id="{541F961C-E25F-44CC-AEA7-378055E1E299}">
            <x14:dataBar minLength="0" maxLength="100" gradient="0">
              <x14:cfvo type="autoMin"/>
              <x14:cfvo type="formula">
                <xm:f>$G$14</xm:f>
              </x14:cfvo>
              <x14:negativeFillColor rgb="FFFF0000"/>
              <x14:axisColor rgb="FF000000"/>
            </x14:dataBar>
          </x14:cfRule>
          <xm:sqref>G20:G26</xm:sqref>
        </x14:conditionalFormatting>
        <x14:conditionalFormatting xmlns:xm="http://schemas.microsoft.com/office/excel/2006/main">
          <x14:cfRule type="dataBar" id="{50FB6C31-B21A-4A69-B049-24FB4EB66474}">
            <x14:dataBar minLength="0" maxLength="100" gradient="0">
              <x14:cfvo type="autoMin"/>
              <x14:cfvo type="formula">
                <xm:f>$G$15</xm:f>
              </x14:cfvo>
              <x14:negativeFillColor rgb="FFFF0000"/>
              <x14:axisColor rgb="FF000000"/>
            </x14:dataBar>
          </x14:cfRule>
          <xm:sqref>G27:G30</xm:sqref>
        </x14:conditionalFormatting>
        <x14:conditionalFormatting xmlns:xm="http://schemas.microsoft.com/office/excel/2006/main">
          <x14:cfRule type="dataBar" id="{E5725E86-FC08-4A05-953F-E666CF13FEE5}">
            <x14:dataBar minLength="0" maxLength="100" gradient="0">
              <x14:cfvo type="autoMin"/>
              <x14:cfvo type="formula">
                <xm:f>$G$16</xm:f>
              </x14:cfvo>
              <x14:negativeFillColor rgb="FFFF0000"/>
              <x14:axisColor rgb="FF000000"/>
            </x14:dataBar>
          </x14:cfRule>
          <xm:sqref>G31:G34</xm:sqref>
        </x14:conditionalFormatting>
        <x14:conditionalFormatting xmlns:xm="http://schemas.microsoft.com/office/excel/2006/main">
          <x14:cfRule type="dataBar" id="{A77E58AF-AB94-4C5A-889E-F8FCAB94E28E}">
            <x14:dataBar minLength="0" maxLength="100" gradient="0">
              <x14:cfvo type="autoMin"/>
              <x14:cfvo type="formula">
                <xm:f>$G$17</xm:f>
              </x14:cfvo>
              <x14:negativeFillColor rgb="FFFF0000"/>
              <x14:axisColor rgb="FF000000"/>
            </x14:dataBar>
          </x14:cfRule>
          <xm:sqref>G35:G38</xm:sqref>
        </x14:conditionalFormatting>
        <x14:conditionalFormatting xmlns:xm="http://schemas.microsoft.com/office/excel/2006/main">
          <x14:cfRule type="dataBar" id="{A90FB367-8127-4B96-B40A-49EB41FB63BA}">
            <x14:dataBar minLength="0" maxLength="100" gradient="0">
              <x14:cfvo type="autoMin"/>
              <x14:cfvo type="formula">
                <xm:f>$G$18</xm:f>
              </x14:cfvo>
              <x14:negativeFillColor rgb="FFFF0000"/>
              <x14:axisColor rgb="FF000000"/>
            </x14:dataBar>
          </x14:cfRule>
          <xm:sqref>G39:G42</xm:sqref>
        </x14:conditionalFormatting>
        <x14:conditionalFormatting xmlns:xm="http://schemas.microsoft.com/office/excel/2006/main">
          <x14:cfRule type="dataBar" id="{9243A8E1-27B9-4F43-89C0-324A5AFC65F1}">
            <x14:dataBar minLength="0" maxLength="100" gradient="0">
              <x14:cfvo type="autoMin"/>
              <x14:cfvo type="formula">
                <xm:f>$G$19</xm:f>
              </x14:cfvo>
              <x14:negativeFillColor rgb="FFFF0000"/>
              <x14:axisColor rgb="FF000000"/>
            </x14:dataBar>
          </x14:cfRule>
          <xm:sqref>G43:G46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E7F03-3393-4034-9E91-5047076BF29B}">
  <sheetPr codeName="Sheet4"/>
  <dimension ref="B2:V47"/>
  <sheetViews>
    <sheetView zoomScaleNormal="100" workbookViewId="0">
      <selection activeCell="G11" sqref="G11"/>
    </sheetView>
  </sheetViews>
  <sheetFormatPr defaultColWidth="13.77734375" defaultRowHeight="15.6"/>
  <cols>
    <col min="1" max="16384" width="13.77734375" style="1"/>
  </cols>
  <sheetData>
    <row r="2" spans="2:22" ht="16.2">
      <c r="B2" s="2" t="s">
        <v>36</v>
      </c>
    </row>
    <row r="3" spans="2:22" ht="16.2">
      <c r="B3" s="2" t="s">
        <v>131</v>
      </c>
      <c r="E3" s="2" t="s">
        <v>131</v>
      </c>
      <c r="H3" s="2" t="s">
        <v>66</v>
      </c>
    </row>
    <row r="4" spans="2:22">
      <c r="B4" s="3" t="s">
        <v>132</v>
      </c>
      <c r="C4" s="3" t="s">
        <v>133</v>
      </c>
      <c r="E4" s="3" t="s">
        <v>76</v>
      </c>
      <c r="F4" s="3" t="s">
        <v>193</v>
      </c>
      <c r="H4" s="4" t="s">
        <v>58</v>
      </c>
      <c r="I4" s="3">
        <v>250</v>
      </c>
    </row>
    <row r="5" spans="2:22">
      <c r="B5" s="3" t="s">
        <v>47</v>
      </c>
      <c r="C5" s="3">
        <v>1</v>
      </c>
      <c r="E5" s="3" t="s">
        <v>47</v>
      </c>
      <c r="F5" s="3">
        <v>1</v>
      </c>
      <c r="H5" s="4" t="s">
        <v>59</v>
      </c>
      <c r="I5" s="3">
        <v>5</v>
      </c>
    </row>
    <row r="6" spans="2:22">
      <c r="B6" s="3" t="s">
        <v>48</v>
      </c>
      <c r="C6" s="3">
        <v>1.5</v>
      </c>
      <c r="E6" s="3" t="s">
        <v>48</v>
      </c>
      <c r="F6" s="3">
        <v>1.5</v>
      </c>
      <c r="H6" s="4" t="s">
        <v>60</v>
      </c>
      <c r="I6" s="3">
        <v>50</v>
      </c>
    </row>
    <row r="7" spans="2:22">
      <c r="B7" s="3" t="s">
        <v>22</v>
      </c>
      <c r="C7" s="3">
        <v>2</v>
      </c>
      <c r="E7" s="3" t="s">
        <v>22</v>
      </c>
      <c r="F7" s="3">
        <v>2</v>
      </c>
      <c r="H7" s="4" t="s">
        <v>64</v>
      </c>
      <c r="I7" s="3">
        <v>5</v>
      </c>
    </row>
    <row r="8" spans="2:22">
      <c r="B8" s="3" t="s">
        <v>21</v>
      </c>
      <c r="C8" s="3">
        <v>2</v>
      </c>
      <c r="E8" s="3" t="s">
        <v>21</v>
      </c>
      <c r="F8" s="3">
        <v>2</v>
      </c>
      <c r="H8" s="4" t="s">
        <v>61</v>
      </c>
      <c r="I8" s="3">
        <v>5</v>
      </c>
    </row>
    <row r="9" spans="2:22">
      <c r="B9" s="3" t="s">
        <v>27</v>
      </c>
      <c r="C9" s="3">
        <v>5</v>
      </c>
      <c r="E9" s="3" t="s">
        <v>27</v>
      </c>
      <c r="F9" s="3">
        <v>5</v>
      </c>
      <c r="H9" s="4" t="s">
        <v>62</v>
      </c>
      <c r="I9" s="3">
        <v>5</v>
      </c>
    </row>
    <row r="10" spans="2:22">
      <c r="B10" s="3" t="s">
        <v>25</v>
      </c>
      <c r="C10" s="3">
        <v>5</v>
      </c>
      <c r="E10" s="3" t="s">
        <v>25</v>
      </c>
      <c r="F10" s="3">
        <v>5</v>
      </c>
      <c r="H10" s="4" t="s">
        <v>63</v>
      </c>
      <c r="I10" s="3">
        <v>50</v>
      </c>
    </row>
    <row r="11" spans="2:22">
      <c r="E11" s="23"/>
      <c r="J11" s="23"/>
      <c r="M11" s="24"/>
    </row>
    <row r="12" spans="2:22" ht="16.8" thickBot="1">
      <c r="B12" s="2" t="s">
        <v>75</v>
      </c>
    </row>
    <row r="13" spans="2:22" ht="16.8" thickBot="1">
      <c r="B13" s="5" t="s">
        <v>6</v>
      </c>
      <c r="C13" s="6" t="s">
        <v>76</v>
      </c>
      <c r="D13" s="6" t="s">
        <v>77</v>
      </c>
      <c r="E13" s="6" t="s">
        <v>8</v>
      </c>
      <c r="F13" s="6" t="s">
        <v>147</v>
      </c>
      <c r="G13" s="6" t="s">
        <v>192</v>
      </c>
      <c r="H13" s="6" t="s">
        <v>78</v>
      </c>
      <c r="I13" s="6" t="s">
        <v>79</v>
      </c>
      <c r="J13" s="6" t="s">
        <v>80</v>
      </c>
      <c r="K13" s="6" t="s">
        <v>81</v>
      </c>
      <c r="L13" s="6" t="s">
        <v>82</v>
      </c>
      <c r="M13" s="6" t="s">
        <v>83</v>
      </c>
      <c r="N13" s="6" t="s">
        <v>84</v>
      </c>
      <c r="O13" s="6" t="s">
        <v>85</v>
      </c>
      <c r="P13" s="6" t="s">
        <v>86</v>
      </c>
      <c r="Q13" s="6" t="s">
        <v>126</v>
      </c>
      <c r="R13" s="6" t="s">
        <v>127</v>
      </c>
      <c r="S13" s="6" t="s">
        <v>128</v>
      </c>
      <c r="T13" s="8" t="s">
        <v>152</v>
      </c>
      <c r="U13" s="29" t="s">
        <v>129</v>
      </c>
      <c r="V13" s="29" t="s">
        <v>130</v>
      </c>
    </row>
    <row r="14" spans="2:22">
      <c r="B14" s="25">
        <v>1</v>
      </c>
      <c r="C14" s="26" t="s">
        <v>134</v>
      </c>
      <c r="D14" s="26" t="s">
        <v>98</v>
      </c>
      <c r="E14" s="26">
        <v>0</v>
      </c>
      <c r="F14" s="26" t="s">
        <v>151</v>
      </c>
      <c r="G14" s="26">
        <v>0.3</v>
      </c>
      <c r="H14" s="26">
        <v>0</v>
      </c>
      <c r="I14" s="26">
        <v>0</v>
      </c>
      <c r="J14" s="26">
        <v>0</v>
      </c>
      <c r="K14" s="26">
        <v>0</v>
      </c>
      <c r="L14" s="26">
        <v>0</v>
      </c>
      <c r="M14" s="26">
        <v>0</v>
      </c>
      <c r="N14" s="26">
        <v>0</v>
      </c>
      <c r="O14" s="26">
        <v>0</v>
      </c>
      <c r="P14" s="26">
        <v>0</v>
      </c>
      <c r="Q14" s="26">
        <v>0</v>
      </c>
      <c r="R14" s="26">
        <v>0</v>
      </c>
      <c r="S14" s="26">
        <v>0</v>
      </c>
      <c r="T14" s="36">
        <v>1</v>
      </c>
      <c r="U14" s="37">
        <f t="shared" ref="U14:U38" si="0">SUM(H14:T14)</f>
        <v>1</v>
      </c>
      <c r="V14" s="12">
        <f t="shared" ref="V14:V38" si="1">COUNTA(H14:T14)-COUNTIF(H14:T14,0)</f>
        <v>1</v>
      </c>
    </row>
    <row r="15" spans="2:22">
      <c r="B15" s="13">
        <v>2</v>
      </c>
      <c r="C15" s="3" t="s">
        <v>135</v>
      </c>
      <c r="D15" s="3" t="s">
        <v>116</v>
      </c>
      <c r="E15" s="3">
        <v>10</v>
      </c>
      <c r="F15" s="3" t="s">
        <v>151</v>
      </c>
      <c r="G15" s="3">
        <v>0</v>
      </c>
      <c r="H15" s="3">
        <v>0.2</v>
      </c>
      <c r="I15" s="3">
        <v>0.2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14">
        <v>0</v>
      </c>
      <c r="U15" s="38">
        <f t="shared" si="0"/>
        <v>0.4</v>
      </c>
      <c r="V15" s="15">
        <f t="shared" si="1"/>
        <v>2</v>
      </c>
    </row>
    <row r="16" spans="2:22">
      <c r="B16" s="13">
        <v>3</v>
      </c>
      <c r="C16" s="3" t="s">
        <v>136</v>
      </c>
      <c r="D16" s="3" t="s">
        <v>102</v>
      </c>
      <c r="E16" s="3">
        <v>10</v>
      </c>
      <c r="F16" s="3" t="s">
        <v>151</v>
      </c>
      <c r="G16" s="3">
        <v>0</v>
      </c>
      <c r="H16" s="3">
        <v>0.2</v>
      </c>
      <c r="I16" s="3">
        <v>0.2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1</v>
      </c>
      <c r="R16" s="3">
        <v>0</v>
      </c>
      <c r="S16" s="3">
        <v>0</v>
      </c>
      <c r="T16" s="14">
        <v>0</v>
      </c>
      <c r="U16" s="38">
        <f t="shared" si="0"/>
        <v>1.4</v>
      </c>
      <c r="V16" s="15">
        <f t="shared" si="1"/>
        <v>3</v>
      </c>
    </row>
    <row r="17" spans="2:22">
      <c r="B17" s="13">
        <v>4</v>
      </c>
      <c r="C17" s="3" t="s">
        <v>137</v>
      </c>
      <c r="D17" s="3" t="s">
        <v>90</v>
      </c>
      <c r="E17" s="3">
        <v>10</v>
      </c>
      <c r="F17" s="3" t="s">
        <v>151</v>
      </c>
      <c r="G17" s="3">
        <v>0</v>
      </c>
      <c r="H17" s="3">
        <v>0</v>
      </c>
      <c r="I17" s="3">
        <v>0.2</v>
      </c>
      <c r="J17" s="3">
        <v>0.2</v>
      </c>
      <c r="K17" s="3">
        <v>0.2</v>
      </c>
      <c r="L17" s="3">
        <v>0.2</v>
      </c>
      <c r="M17" s="3">
        <v>0.2</v>
      </c>
      <c r="N17" s="3">
        <v>0.2</v>
      </c>
      <c r="O17" s="3">
        <v>0.2</v>
      </c>
      <c r="P17" s="3">
        <v>0.2</v>
      </c>
      <c r="Q17" s="3">
        <v>0</v>
      </c>
      <c r="R17" s="3">
        <v>1</v>
      </c>
      <c r="S17" s="3">
        <v>1</v>
      </c>
      <c r="T17" s="14">
        <v>0</v>
      </c>
      <c r="U17" s="38">
        <f t="shared" si="0"/>
        <v>3.5999999999999996</v>
      </c>
      <c r="V17" s="15">
        <f t="shared" si="1"/>
        <v>10</v>
      </c>
    </row>
    <row r="18" spans="2:22">
      <c r="B18" s="13">
        <v>5</v>
      </c>
      <c r="C18" s="3" t="s">
        <v>138</v>
      </c>
      <c r="D18" s="3" t="s">
        <v>100</v>
      </c>
      <c r="E18" s="3">
        <v>10</v>
      </c>
      <c r="F18" s="3" t="s">
        <v>151</v>
      </c>
      <c r="G18" s="3">
        <v>0</v>
      </c>
      <c r="H18" s="3">
        <v>0</v>
      </c>
      <c r="I18" s="3">
        <v>0.2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14">
        <v>0</v>
      </c>
      <c r="U18" s="38">
        <f t="shared" si="0"/>
        <v>0.2</v>
      </c>
      <c r="V18" s="15">
        <f t="shared" si="1"/>
        <v>1</v>
      </c>
    </row>
    <row r="19" spans="2:22">
      <c r="B19" s="13">
        <v>6</v>
      </c>
      <c r="C19" s="3" t="s">
        <v>139</v>
      </c>
      <c r="D19" s="3" t="s">
        <v>110</v>
      </c>
      <c r="E19" s="3">
        <v>20</v>
      </c>
      <c r="F19" s="3" t="s">
        <v>151</v>
      </c>
      <c r="G19" s="3">
        <v>0.7</v>
      </c>
      <c r="H19" s="3">
        <v>0.6</v>
      </c>
      <c r="I19" s="3">
        <v>0.2</v>
      </c>
      <c r="J19" s="3">
        <v>0.8</v>
      </c>
      <c r="K19" s="3">
        <v>0.8</v>
      </c>
      <c r="L19" s="3">
        <v>0.8</v>
      </c>
      <c r="M19" s="3">
        <v>0.8</v>
      </c>
      <c r="N19" s="3">
        <v>0.8</v>
      </c>
      <c r="O19" s="3">
        <v>0.8</v>
      </c>
      <c r="P19" s="3">
        <v>0.8</v>
      </c>
      <c r="Q19" s="3">
        <v>0</v>
      </c>
      <c r="R19" s="3">
        <v>0</v>
      </c>
      <c r="S19" s="3">
        <v>0</v>
      </c>
      <c r="T19" s="14">
        <v>0</v>
      </c>
      <c r="U19" s="38">
        <f t="shared" si="0"/>
        <v>6.3999999999999995</v>
      </c>
      <c r="V19" s="15">
        <f t="shared" si="1"/>
        <v>9</v>
      </c>
    </row>
    <row r="20" spans="2:22" ht="16.2" thickBot="1">
      <c r="B20" s="16">
        <v>7</v>
      </c>
      <c r="C20" s="17" t="s">
        <v>140</v>
      </c>
      <c r="D20" s="17" t="s">
        <v>112</v>
      </c>
      <c r="E20" s="17">
        <v>20</v>
      </c>
      <c r="F20" s="17" t="s">
        <v>151</v>
      </c>
      <c r="G20" s="17">
        <v>0</v>
      </c>
      <c r="H20" s="17">
        <v>0</v>
      </c>
      <c r="I20" s="17">
        <v>0</v>
      </c>
      <c r="J20" s="17">
        <v>0</v>
      </c>
      <c r="K20" s="17">
        <v>0</v>
      </c>
      <c r="L20" s="17">
        <v>0</v>
      </c>
      <c r="M20" s="17">
        <v>0</v>
      </c>
      <c r="N20" s="17">
        <v>0</v>
      </c>
      <c r="O20" s="17">
        <v>0</v>
      </c>
      <c r="P20" s="17">
        <v>0</v>
      </c>
      <c r="Q20" s="17">
        <v>0</v>
      </c>
      <c r="R20" s="17">
        <v>0</v>
      </c>
      <c r="S20" s="17">
        <v>0</v>
      </c>
      <c r="T20" s="18">
        <v>0</v>
      </c>
      <c r="U20" s="38">
        <f t="shared" si="0"/>
        <v>0</v>
      </c>
      <c r="V20" s="15">
        <f t="shared" si="1"/>
        <v>0</v>
      </c>
    </row>
    <row r="21" spans="2:22">
      <c r="B21" s="9">
        <v>8</v>
      </c>
      <c r="C21" s="10" t="s">
        <v>87</v>
      </c>
      <c r="D21" s="10" t="s">
        <v>98</v>
      </c>
      <c r="E21" s="10">
        <v>0</v>
      </c>
      <c r="F21" s="10" t="s">
        <v>148</v>
      </c>
      <c r="G21" s="10">
        <v>0.3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2">
        <f t="shared" si="0"/>
        <v>0</v>
      </c>
      <c r="V21" s="12">
        <f t="shared" si="1"/>
        <v>0</v>
      </c>
    </row>
    <row r="22" spans="2:22">
      <c r="B22" s="25">
        <v>9</v>
      </c>
      <c r="C22" s="3" t="s">
        <v>88</v>
      </c>
      <c r="D22" s="26" t="s">
        <v>98</v>
      </c>
      <c r="E22" s="3">
        <v>10</v>
      </c>
      <c r="F22" s="3" t="s">
        <v>148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0</v>
      </c>
      <c r="U22" s="15">
        <f t="shared" si="0"/>
        <v>0</v>
      </c>
      <c r="V22" s="15">
        <f t="shared" si="1"/>
        <v>0</v>
      </c>
    </row>
    <row r="23" spans="2:22" ht="16.2" thickBot="1">
      <c r="B23" s="27">
        <v>10</v>
      </c>
      <c r="C23" s="39" t="s">
        <v>94</v>
      </c>
      <c r="D23" s="17" t="s">
        <v>98</v>
      </c>
      <c r="E23" s="17">
        <v>10</v>
      </c>
      <c r="F23" s="17" t="s">
        <v>148</v>
      </c>
      <c r="G23" s="17">
        <v>0</v>
      </c>
      <c r="H23" s="17">
        <v>0</v>
      </c>
      <c r="I23" s="17">
        <v>0</v>
      </c>
      <c r="J23" s="17">
        <v>0</v>
      </c>
      <c r="K23" s="17">
        <v>0</v>
      </c>
      <c r="L23" s="17">
        <v>0</v>
      </c>
      <c r="M23" s="17">
        <v>0</v>
      </c>
      <c r="N23" s="17">
        <v>0</v>
      </c>
      <c r="O23" s="17">
        <v>0</v>
      </c>
      <c r="P23" s="17">
        <v>0</v>
      </c>
      <c r="Q23" s="17">
        <v>0</v>
      </c>
      <c r="R23" s="17">
        <v>0</v>
      </c>
      <c r="S23" s="17">
        <v>0</v>
      </c>
      <c r="T23" s="17">
        <v>0</v>
      </c>
      <c r="U23" s="19">
        <f t="shared" si="0"/>
        <v>0</v>
      </c>
      <c r="V23" s="19">
        <f t="shared" si="1"/>
        <v>0</v>
      </c>
    </row>
    <row r="24" spans="2:22">
      <c r="B24" s="25">
        <v>11</v>
      </c>
      <c r="C24" s="26" t="s">
        <v>113</v>
      </c>
      <c r="D24" s="26" t="s">
        <v>116</v>
      </c>
      <c r="E24" s="26">
        <v>10</v>
      </c>
      <c r="F24" s="26" t="s">
        <v>148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6">
        <v>0</v>
      </c>
      <c r="T24" s="26">
        <v>0</v>
      </c>
      <c r="U24" s="15">
        <f t="shared" si="0"/>
        <v>0</v>
      </c>
      <c r="V24" s="15">
        <f t="shared" si="1"/>
        <v>0</v>
      </c>
    </row>
    <row r="25" spans="2:22">
      <c r="B25" s="13">
        <v>12</v>
      </c>
      <c r="C25" s="3" t="s">
        <v>114</v>
      </c>
      <c r="D25" s="3" t="s">
        <v>116</v>
      </c>
      <c r="E25" s="3">
        <v>10</v>
      </c>
      <c r="F25" s="3" t="s">
        <v>148</v>
      </c>
      <c r="G25" s="3">
        <v>0</v>
      </c>
      <c r="H25" s="3">
        <v>0</v>
      </c>
      <c r="I25" s="3">
        <v>0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15">
        <f t="shared" si="0"/>
        <v>0</v>
      </c>
      <c r="V25" s="15">
        <f t="shared" si="1"/>
        <v>0</v>
      </c>
    </row>
    <row r="26" spans="2:22" ht="16.2" thickBot="1">
      <c r="B26" s="16">
        <v>13</v>
      </c>
      <c r="C26" s="17" t="s">
        <v>117</v>
      </c>
      <c r="D26" s="17" t="s">
        <v>116</v>
      </c>
      <c r="E26" s="17">
        <v>10</v>
      </c>
      <c r="F26" s="17" t="s">
        <v>150</v>
      </c>
      <c r="G26" s="17">
        <v>0</v>
      </c>
      <c r="H26" s="17">
        <v>0.2</v>
      </c>
      <c r="I26" s="17">
        <v>0.2</v>
      </c>
      <c r="J26" s="17">
        <v>0</v>
      </c>
      <c r="K26" s="17">
        <v>0</v>
      </c>
      <c r="L26" s="17">
        <v>0</v>
      </c>
      <c r="M26" s="17">
        <v>0</v>
      </c>
      <c r="N26" s="17">
        <v>0</v>
      </c>
      <c r="O26" s="17">
        <v>0</v>
      </c>
      <c r="P26" s="17">
        <v>0</v>
      </c>
      <c r="Q26" s="17">
        <v>0</v>
      </c>
      <c r="R26" s="17">
        <v>0</v>
      </c>
      <c r="S26" s="17">
        <v>0</v>
      </c>
      <c r="T26" s="17">
        <v>0</v>
      </c>
      <c r="U26" s="19">
        <f t="shared" si="0"/>
        <v>0.4</v>
      </c>
      <c r="V26" s="19">
        <f t="shared" si="1"/>
        <v>2</v>
      </c>
    </row>
    <row r="27" spans="2:22">
      <c r="B27" s="9">
        <v>14</v>
      </c>
      <c r="C27" s="28" t="s">
        <v>105</v>
      </c>
      <c r="D27" s="10" t="s">
        <v>102</v>
      </c>
      <c r="E27" s="10">
        <v>10</v>
      </c>
      <c r="F27" s="10" t="s">
        <v>150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  <c r="T27" s="10">
        <v>0</v>
      </c>
      <c r="U27" s="12">
        <f t="shared" si="0"/>
        <v>0</v>
      </c>
      <c r="V27" s="12">
        <f t="shared" si="1"/>
        <v>0</v>
      </c>
    </row>
    <row r="28" spans="2:22">
      <c r="B28" s="25">
        <v>15</v>
      </c>
      <c r="C28" s="3" t="s">
        <v>103</v>
      </c>
      <c r="D28" s="3" t="s">
        <v>102</v>
      </c>
      <c r="E28" s="3">
        <v>10</v>
      </c>
      <c r="F28" s="3" t="s">
        <v>150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0.5</v>
      </c>
      <c r="R28" s="3">
        <v>0</v>
      </c>
      <c r="S28" s="3">
        <v>0</v>
      </c>
      <c r="T28" s="3">
        <v>0</v>
      </c>
      <c r="U28" s="15">
        <f t="shared" si="0"/>
        <v>0.5</v>
      </c>
      <c r="V28" s="15">
        <f t="shared" si="1"/>
        <v>1</v>
      </c>
    </row>
    <row r="29" spans="2:22">
      <c r="B29" s="25">
        <v>16</v>
      </c>
      <c r="C29" s="3" t="s">
        <v>104</v>
      </c>
      <c r="D29" s="3" t="s">
        <v>102</v>
      </c>
      <c r="E29" s="3">
        <v>10</v>
      </c>
      <c r="F29" s="3" t="s">
        <v>150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N29" s="3">
        <v>0</v>
      </c>
      <c r="O29" s="3">
        <v>0</v>
      </c>
      <c r="P29" s="3">
        <v>0</v>
      </c>
      <c r="Q29" s="3">
        <v>0.5</v>
      </c>
      <c r="R29" s="3">
        <v>0</v>
      </c>
      <c r="S29" s="3">
        <v>0</v>
      </c>
      <c r="T29" s="3">
        <v>0</v>
      </c>
      <c r="U29" s="15">
        <f t="shared" si="0"/>
        <v>0.5</v>
      </c>
      <c r="V29" s="15">
        <f t="shared" si="1"/>
        <v>1</v>
      </c>
    </row>
    <row r="30" spans="2:22" ht="16.2" thickBot="1">
      <c r="B30" s="27">
        <v>17</v>
      </c>
      <c r="C30" s="17" t="s">
        <v>106</v>
      </c>
      <c r="D30" s="17" t="s">
        <v>102</v>
      </c>
      <c r="E30" s="17">
        <v>10</v>
      </c>
      <c r="F30" s="17" t="s">
        <v>149</v>
      </c>
      <c r="G30" s="17">
        <v>0</v>
      </c>
      <c r="H30" s="17">
        <v>0.2</v>
      </c>
      <c r="I30" s="17">
        <v>0.2</v>
      </c>
      <c r="J30" s="17">
        <v>0</v>
      </c>
      <c r="K30" s="17">
        <v>0</v>
      </c>
      <c r="L30" s="17">
        <v>0</v>
      </c>
      <c r="M30" s="17">
        <v>0</v>
      </c>
      <c r="N30" s="17">
        <v>0</v>
      </c>
      <c r="O30" s="17">
        <v>0</v>
      </c>
      <c r="P30" s="17">
        <v>0</v>
      </c>
      <c r="Q30" s="17">
        <v>0</v>
      </c>
      <c r="R30" s="17">
        <v>0</v>
      </c>
      <c r="S30" s="17">
        <v>0</v>
      </c>
      <c r="T30" s="17">
        <v>0</v>
      </c>
      <c r="U30" s="19">
        <f t="shared" si="0"/>
        <v>0.4</v>
      </c>
      <c r="V30" s="19">
        <f t="shared" si="1"/>
        <v>2</v>
      </c>
    </row>
    <row r="31" spans="2:22">
      <c r="B31" s="9">
        <v>18</v>
      </c>
      <c r="C31" s="10" t="s">
        <v>93</v>
      </c>
      <c r="D31" s="10" t="s">
        <v>90</v>
      </c>
      <c r="E31" s="10">
        <v>10</v>
      </c>
      <c r="F31" s="10" t="s">
        <v>149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2">
        <f t="shared" si="0"/>
        <v>0</v>
      </c>
      <c r="V31" s="12">
        <f t="shared" si="1"/>
        <v>0</v>
      </c>
    </row>
    <row r="32" spans="2:22">
      <c r="B32" s="25">
        <v>19</v>
      </c>
      <c r="C32" s="3" t="s">
        <v>91</v>
      </c>
      <c r="D32" s="3" t="s">
        <v>90</v>
      </c>
      <c r="E32" s="3">
        <v>10</v>
      </c>
      <c r="F32" s="3" t="s">
        <v>149</v>
      </c>
      <c r="G32" s="3">
        <v>0</v>
      </c>
      <c r="H32" s="3">
        <v>0</v>
      </c>
      <c r="I32" s="3">
        <v>0.2</v>
      </c>
      <c r="J32" s="3">
        <v>0.2</v>
      </c>
      <c r="K32" s="3">
        <v>0.2</v>
      </c>
      <c r="L32" s="3">
        <v>0.2</v>
      </c>
      <c r="M32" s="3">
        <v>0.2</v>
      </c>
      <c r="N32" s="3">
        <v>0.2</v>
      </c>
      <c r="O32" s="3">
        <v>0.2</v>
      </c>
      <c r="P32" s="3">
        <v>0.2</v>
      </c>
      <c r="Q32" s="3">
        <v>0</v>
      </c>
      <c r="R32" s="3">
        <v>0</v>
      </c>
      <c r="S32" s="3">
        <v>1</v>
      </c>
      <c r="T32" s="3">
        <v>0</v>
      </c>
      <c r="U32" s="15">
        <f t="shared" si="0"/>
        <v>2.5999999999999996</v>
      </c>
      <c r="V32" s="15">
        <f t="shared" si="1"/>
        <v>9</v>
      </c>
    </row>
    <row r="33" spans="2:22" ht="16.2" thickBot="1">
      <c r="B33" s="27">
        <v>20</v>
      </c>
      <c r="C33" s="17" t="s">
        <v>92</v>
      </c>
      <c r="D33" s="17" t="s">
        <v>90</v>
      </c>
      <c r="E33" s="17">
        <v>10</v>
      </c>
      <c r="F33" s="17" t="s">
        <v>149</v>
      </c>
      <c r="G33" s="17">
        <v>0</v>
      </c>
      <c r="H33" s="17">
        <v>0</v>
      </c>
      <c r="I33" s="17">
        <v>0</v>
      </c>
      <c r="J33" s="17">
        <v>0</v>
      </c>
      <c r="K33" s="17">
        <v>0</v>
      </c>
      <c r="L33" s="17">
        <v>0</v>
      </c>
      <c r="M33" s="17">
        <v>0</v>
      </c>
      <c r="N33" s="17">
        <v>0</v>
      </c>
      <c r="O33" s="17">
        <v>0</v>
      </c>
      <c r="P33" s="17">
        <v>0</v>
      </c>
      <c r="Q33" s="17">
        <v>0</v>
      </c>
      <c r="R33" s="17">
        <v>1</v>
      </c>
      <c r="S33" s="17">
        <v>0</v>
      </c>
      <c r="T33" s="17">
        <v>0</v>
      </c>
      <c r="U33" s="19">
        <f t="shared" si="0"/>
        <v>1</v>
      </c>
      <c r="V33" s="19">
        <f t="shared" si="1"/>
        <v>1</v>
      </c>
    </row>
    <row r="34" spans="2:22">
      <c r="B34" s="9">
        <v>21</v>
      </c>
      <c r="C34" s="10" t="s">
        <v>95</v>
      </c>
      <c r="D34" s="10" t="s">
        <v>100</v>
      </c>
      <c r="E34" s="10">
        <v>30</v>
      </c>
      <c r="F34" s="10" t="s">
        <v>149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2">
        <f t="shared" si="0"/>
        <v>0</v>
      </c>
      <c r="V34" s="12">
        <f t="shared" si="1"/>
        <v>0</v>
      </c>
    </row>
    <row r="35" spans="2:22" ht="16.2" thickBot="1">
      <c r="B35" s="33">
        <v>22</v>
      </c>
      <c r="C35" s="21" t="s">
        <v>96</v>
      </c>
      <c r="D35" s="21" t="s">
        <v>100</v>
      </c>
      <c r="E35" s="21">
        <v>30</v>
      </c>
      <c r="F35" s="21" t="s">
        <v>149</v>
      </c>
      <c r="G35" s="21">
        <v>0</v>
      </c>
      <c r="H35" s="21">
        <v>0</v>
      </c>
      <c r="I35" s="21">
        <v>0.2</v>
      </c>
      <c r="J35" s="21">
        <v>0</v>
      </c>
      <c r="K35" s="21">
        <v>0</v>
      </c>
      <c r="L35" s="21">
        <v>0</v>
      </c>
      <c r="M35" s="21">
        <v>0</v>
      </c>
      <c r="N35" s="21">
        <v>0</v>
      </c>
      <c r="O35" s="21">
        <v>0</v>
      </c>
      <c r="P35" s="21">
        <v>0</v>
      </c>
      <c r="Q35" s="21">
        <v>0</v>
      </c>
      <c r="R35" s="21">
        <v>0</v>
      </c>
      <c r="S35" s="21">
        <v>0</v>
      </c>
      <c r="T35" s="21">
        <v>0</v>
      </c>
      <c r="U35" s="15">
        <f t="shared" si="0"/>
        <v>0.2</v>
      </c>
      <c r="V35" s="15">
        <f t="shared" si="1"/>
        <v>1</v>
      </c>
    </row>
    <row r="36" spans="2:22">
      <c r="B36" s="9">
        <v>23</v>
      </c>
      <c r="C36" s="10" t="s">
        <v>107</v>
      </c>
      <c r="D36" s="10" t="s">
        <v>110</v>
      </c>
      <c r="E36" s="10">
        <v>20</v>
      </c>
      <c r="F36" s="10" t="s">
        <v>150</v>
      </c>
      <c r="G36" s="10">
        <v>0</v>
      </c>
      <c r="H36" s="10">
        <v>0.2</v>
      </c>
      <c r="I36" s="10">
        <v>0.2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31">
        <v>0</v>
      </c>
      <c r="U36" s="28">
        <f t="shared" si="0"/>
        <v>0.4</v>
      </c>
      <c r="V36" s="12">
        <f t="shared" si="1"/>
        <v>2</v>
      </c>
    </row>
    <row r="37" spans="2:22" ht="16.2" thickBot="1">
      <c r="B37" s="20">
        <v>24</v>
      </c>
      <c r="C37" s="21" t="s">
        <v>156</v>
      </c>
      <c r="D37" s="21" t="s">
        <v>158</v>
      </c>
      <c r="E37" s="21">
        <v>20</v>
      </c>
      <c r="F37" s="21" t="s">
        <v>157</v>
      </c>
      <c r="G37" s="21">
        <v>0.7</v>
      </c>
      <c r="H37" s="21">
        <v>0.4</v>
      </c>
      <c r="I37" s="21">
        <v>0</v>
      </c>
      <c r="J37" s="21">
        <v>0.8</v>
      </c>
      <c r="K37" s="21">
        <v>0.8</v>
      </c>
      <c r="L37" s="21">
        <v>0.8</v>
      </c>
      <c r="M37" s="21">
        <v>0.8</v>
      </c>
      <c r="N37" s="21">
        <v>0.8</v>
      </c>
      <c r="O37" s="21">
        <v>0.8</v>
      </c>
      <c r="P37" s="21">
        <v>0.8</v>
      </c>
      <c r="Q37" s="21">
        <v>0</v>
      </c>
      <c r="R37" s="21">
        <v>0</v>
      </c>
      <c r="S37" s="21">
        <v>0</v>
      </c>
      <c r="T37" s="40">
        <v>0</v>
      </c>
      <c r="U37" s="1">
        <f t="shared" si="0"/>
        <v>5.9999999999999991</v>
      </c>
      <c r="V37" s="19">
        <f t="shared" si="1"/>
        <v>8</v>
      </c>
    </row>
    <row r="38" spans="2:22">
      <c r="B38" s="9">
        <v>25</v>
      </c>
      <c r="C38" s="10" t="s">
        <v>108</v>
      </c>
      <c r="D38" s="10" t="s">
        <v>112</v>
      </c>
      <c r="E38" s="10">
        <v>50</v>
      </c>
      <c r="F38" s="10" t="s">
        <v>148</v>
      </c>
      <c r="G38" s="10">
        <v>0</v>
      </c>
      <c r="H38" s="10">
        <v>0</v>
      </c>
      <c r="I38" s="10">
        <v>0</v>
      </c>
      <c r="J38" s="10">
        <v>0</v>
      </c>
      <c r="K38" s="10">
        <v>0</v>
      </c>
      <c r="L38" s="10">
        <v>0</v>
      </c>
      <c r="M38" s="10">
        <v>0</v>
      </c>
      <c r="N38" s="10">
        <v>0</v>
      </c>
      <c r="O38" s="10">
        <v>0</v>
      </c>
      <c r="P38" s="10">
        <v>0</v>
      </c>
      <c r="Q38" s="10">
        <v>0</v>
      </c>
      <c r="R38" s="10">
        <v>0</v>
      </c>
      <c r="S38" s="10">
        <v>0</v>
      </c>
      <c r="T38" s="31">
        <v>0</v>
      </c>
      <c r="U38" s="28">
        <f t="shared" si="0"/>
        <v>0</v>
      </c>
      <c r="V38" s="12">
        <f t="shared" si="1"/>
        <v>0</v>
      </c>
    </row>
    <row r="39" spans="2:22" ht="16.2" thickBot="1">
      <c r="B39" s="16">
        <v>26</v>
      </c>
      <c r="C39" s="17" t="s">
        <v>160</v>
      </c>
      <c r="D39" s="17" t="s">
        <v>159</v>
      </c>
      <c r="E39" s="17">
        <v>50</v>
      </c>
      <c r="F39" s="17" t="s">
        <v>161</v>
      </c>
      <c r="G39" s="17">
        <v>0</v>
      </c>
      <c r="H39" s="17">
        <v>0</v>
      </c>
      <c r="I39" s="17">
        <v>0</v>
      </c>
      <c r="J39" s="17">
        <v>0</v>
      </c>
      <c r="K39" s="17">
        <v>0</v>
      </c>
      <c r="L39" s="17">
        <v>0</v>
      </c>
      <c r="M39" s="17">
        <v>0</v>
      </c>
      <c r="N39" s="17">
        <v>0</v>
      </c>
      <c r="O39" s="17">
        <v>0</v>
      </c>
      <c r="P39" s="17">
        <v>0</v>
      </c>
      <c r="Q39" s="17">
        <v>0</v>
      </c>
      <c r="R39" s="17">
        <v>0</v>
      </c>
      <c r="S39" s="17">
        <v>0</v>
      </c>
      <c r="T39" s="32">
        <v>0</v>
      </c>
      <c r="U39" s="39">
        <v>0</v>
      </c>
      <c r="V39" s="19">
        <v>0</v>
      </c>
    </row>
    <row r="41" spans="2:22">
      <c r="B41" s="43" t="s">
        <v>46</v>
      </c>
      <c r="C41" s="43"/>
      <c r="D41" s="3" t="s">
        <v>97</v>
      </c>
      <c r="E41" s="3" t="s">
        <v>44</v>
      </c>
      <c r="F41" s="3" t="s">
        <v>44</v>
      </c>
      <c r="G41" s="30" t="b">
        <f t="shared" ref="G41:T41" si="2">AND(SUM(G$14:G$20)=1,SUM(G$21:G$23)=G$14)</f>
        <v>1</v>
      </c>
      <c r="H41" s="30" t="b">
        <f t="shared" si="2"/>
        <v>1</v>
      </c>
      <c r="I41" s="30" t="b">
        <f t="shared" si="2"/>
        <v>1</v>
      </c>
      <c r="J41" s="30" t="b">
        <f t="shared" si="2"/>
        <v>1</v>
      </c>
      <c r="K41" s="30" t="b">
        <f t="shared" si="2"/>
        <v>1</v>
      </c>
      <c r="L41" s="30" t="b">
        <f t="shared" si="2"/>
        <v>1</v>
      </c>
      <c r="M41" s="30" t="b">
        <f t="shared" si="2"/>
        <v>1</v>
      </c>
      <c r="N41" s="30" t="b">
        <f t="shared" si="2"/>
        <v>1</v>
      </c>
      <c r="O41" s="30" t="b">
        <f t="shared" si="2"/>
        <v>1</v>
      </c>
      <c r="P41" s="30" t="b">
        <f t="shared" si="2"/>
        <v>1</v>
      </c>
      <c r="Q41" s="30" t="b">
        <f t="shared" si="2"/>
        <v>1</v>
      </c>
      <c r="R41" s="30" t="b">
        <f t="shared" si="2"/>
        <v>1</v>
      </c>
      <c r="S41" s="30" t="b">
        <f t="shared" si="2"/>
        <v>1</v>
      </c>
      <c r="T41" s="30" t="b">
        <f t="shared" si="2"/>
        <v>0</v>
      </c>
    </row>
    <row r="42" spans="2:22">
      <c r="B42" s="43" t="s">
        <v>46</v>
      </c>
      <c r="C42" s="43"/>
      <c r="D42" s="3" t="s">
        <v>115</v>
      </c>
      <c r="E42" s="3" t="s">
        <v>44</v>
      </c>
      <c r="F42" s="3" t="s">
        <v>44</v>
      </c>
      <c r="G42" s="30" t="b">
        <f t="shared" ref="G42:T42" si="3">AND(SUM(G$14:G$20)=1,SUM(G$24:G$26)=G$15)</f>
        <v>1</v>
      </c>
      <c r="H42" s="30" t="b">
        <f t="shared" si="3"/>
        <v>1</v>
      </c>
      <c r="I42" s="30" t="b">
        <f t="shared" si="3"/>
        <v>1</v>
      </c>
      <c r="J42" s="30" t="b">
        <f t="shared" si="3"/>
        <v>1</v>
      </c>
      <c r="K42" s="30" t="b">
        <f t="shared" si="3"/>
        <v>1</v>
      </c>
      <c r="L42" s="30" t="b">
        <f t="shared" si="3"/>
        <v>1</v>
      </c>
      <c r="M42" s="30" t="b">
        <f t="shared" si="3"/>
        <v>1</v>
      </c>
      <c r="N42" s="30" t="b">
        <f t="shared" si="3"/>
        <v>1</v>
      </c>
      <c r="O42" s="30" t="b">
        <f t="shared" si="3"/>
        <v>1</v>
      </c>
      <c r="P42" s="30" t="b">
        <f t="shared" si="3"/>
        <v>1</v>
      </c>
      <c r="Q42" s="30" t="b">
        <f t="shared" si="3"/>
        <v>1</v>
      </c>
      <c r="R42" s="30" t="b">
        <f t="shared" si="3"/>
        <v>1</v>
      </c>
      <c r="S42" s="30" t="b">
        <f t="shared" si="3"/>
        <v>1</v>
      </c>
      <c r="T42" s="30" t="b">
        <f t="shared" si="3"/>
        <v>1</v>
      </c>
    </row>
    <row r="43" spans="2:22">
      <c r="B43" s="43" t="s">
        <v>46</v>
      </c>
      <c r="C43" s="43"/>
      <c r="D43" s="3" t="s">
        <v>101</v>
      </c>
      <c r="E43" s="3" t="s">
        <v>44</v>
      </c>
      <c r="F43" s="3" t="s">
        <v>44</v>
      </c>
      <c r="G43" s="30" t="b">
        <f t="shared" ref="G43:T43" si="4">AND(SUM(G$14:G$20)=1,SUM(G$27:G$30)=G$16)</f>
        <v>1</v>
      </c>
      <c r="H43" s="30" t="b">
        <f t="shared" si="4"/>
        <v>1</v>
      </c>
      <c r="I43" s="30" t="b">
        <f t="shared" si="4"/>
        <v>1</v>
      </c>
      <c r="J43" s="30" t="b">
        <f t="shared" si="4"/>
        <v>1</v>
      </c>
      <c r="K43" s="30" t="b">
        <f t="shared" si="4"/>
        <v>1</v>
      </c>
      <c r="L43" s="30" t="b">
        <f t="shared" si="4"/>
        <v>1</v>
      </c>
      <c r="M43" s="30" t="b">
        <f t="shared" si="4"/>
        <v>1</v>
      </c>
      <c r="N43" s="30" t="b">
        <f t="shared" si="4"/>
        <v>1</v>
      </c>
      <c r="O43" s="30" t="b">
        <f t="shared" si="4"/>
        <v>1</v>
      </c>
      <c r="P43" s="30" t="b">
        <f t="shared" si="4"/>
        <v>1</v>
      </c>
      <c r="Q43" s="30" t="b">
        <f t="shared" si="4"/>
        <v>1</v>
      </c>
      <c r="R43" s="30" t="b">
        <f t="shared" si="4"/>
        <v>1</v>
      </c>
      <c r="S43" s="30" t="b">
        <f t="shared" si="4"/>
        <v>1</v>
      </c>
      <c r="T43" s="30" t="b">
        <f t="shared" si="4"/>
        <v>1</v>
      </c>
    </row>
    <row r="44" spans="2:22">
      <c r="B44" s="43" t="s">
        <v>46</v>
      </c>
      <c r="C44" s="43"/>
      <c r="D44" s="3" t="s">
        <v>89</v>
      </c>
      <c r="E44" s="3" t="s">
        <v>44</v>
      </c>
      <c r="F44" s="3" t="s">
        <v>44</v>
      </c>
      <c r="G44" s="30" t="b">
        <f t="shared" ref="G44:T44" si="5">AND(SUM(G$14:G$20)=1,SUM(G$31:G$33)=G$17)</f>
        <v>1</v>
      </c>
      <c r="H44" s="30" t="b">
        <f t="shared" si="5"/>
        <v>1</v>
      </c>
      <c r="I44" s="30" t="b">
        <f t="shared" si="5"/>
        <v>1</v>
      </c>
      <c r="J44" s="30" t="b">
        <f t="shared" si="5"/>
        <v>1</v>
      </c>
      <c r="K44" s="30" t="b">
        <f t="shared" si="5"/>
        <v>1</v>
      </c>
      <c r="L44" s="30" t="b">
        <f t="shared" si="5"/>
        <v>1</v>
      </c>
      <c r="M44" s="30" t="b">
        <f t="shared" si="5"/>
        <v>1</v>
      </c>
      <c r="N44" s="30" t="b">
        <f t="shared" si="5"/>
        <v>1</v>
      </c>
      <c r="O44" s="30" t="b">
        <f t="shared" si="5"/>
        <v>1</v>
      </c>
      <c r="P44" s="30" t="b">
        <f t="shared" si="5"/>
        <v>1</v>
      </c>
      <c r="Q44" s="30" t="b">
        <f t="shared" si="5"/>
        <v>1</v>
      </c>
      <c r="R44" s="30" t="b">
        <f t="shared" si="5"/>
        <v>1</v>
      </c>
      <c r="S44" s="30" t="b">
        <f t="shared" si="5"/>
        <v>1</v>
      </c>
      <c r="T44" s="30" t="b">
        <f t="shared" si="5"/>
        <v>1</v>
      </c>
    </row>
    <row r="45" spans="2:22">
      <c r="B45" s="43" t="s">
        <v>46</v>
      </c>
      <c r="C45" s="43"/>
      <c r="D45" s="3" t="s">
        <v>99</v>
      </c>
      <c r="E45" s="3" t="s">
        <v>44</v>
      </c>
      <c r="F45" s="3" t="s">
        <v>44</v>
      </c>
      <c r="G45" s="30" t="b">
        <f t="shared" ref="G45:T45" si="6">AND(SUM(G$14:G$20)=1,SUM(G$34:G$35)=G$18)</f>
        <v>1</v>
      </c>
      <c r="H45" s="30" t="b">
        <f t="shared" si="6"/>
        <v>1</v>
      </c>
      <c r="I45" s="30" t="b">
        <f t="shared" si="6"/>
        <v>1</v>
      </c>
      <c r="J45" s="30" t="b">
        <f t="shared" si="6"/>
        <v>1</v>
      </c>
      <c r="K45" s="30" t="b">
        <f t="shared" si="6"/>
        <v>1</v>
      </c>
      <c r="L45" s="30" t="b">
        <f t="shared" si="6"/>
        <v>1</v>
      </c>
      <c r="M45" s="30" t="b">
        <f t="shared" si="6"/>
        <v>1</v>
      </c>
      <c r="N45" s="30" t="b">
        <f t="shared" si="6"/>
        <v>1</v>
      </c>
      <c r="O45" s="30" t="b">
        <f t="shared" si="6"/>
        <v>1</v>
      </c>
      <c r="P45" s="30" t="b">
        <f t="shared" si="6"/>
        <v>1</v>
      </c>
      <c r="Q45" s="30" t="b">
        <f t="shared" si="6"/>
        <v>1</v>
      </c>
      <c r="R45" s="30" t="b">
        <f t="shared" si="6"/>
        <v>1</v>
      </c>
      <c r="S45" s="30" t="b">
        <f t="shared" si="6"/>
        <v>1</v>
      </c>
      <c r="T45" s="30" t="b">
        <f t="shared" si="6"/>
        <v>1</v>
      </c>
    </row>
    <row r="46" spans="2:22">
      <c r="B46" s="43" t="s">
        <v>46</v>
      </c>
      <c r="C46" s="43"/>
      <c r="D46" s="3" t="s">
        <v>109</v>
      </c>
      <c r="E46" s="3" t="s">
        <v>44</v>
      </c>
      <c r="F46" s="3" t="s">
        <v>44</v>
      </c>
      <c r="G46" s="30" t="b">
        <f t="shared" ref="G46:T46" si="7">AND(SUM(G$14:G$20)=1,SUM(G$36:G$37)=G$19)</f>
        <v>1</v>
      </c>
      <c r="H46" s="30" t="b">
        <f t="shared" si="7"/>
        <v>1</v>
      </c>
      <c r="I46" s="30" t="b">
        <f t="shared" si="7"/>
        <v>1</v>
      </c>
      <c r="J46" s="30" t="b">
        <f t="shared" si="7"/>
        <v>1</v>
      </c>
      <c r="K46" s="30" t="b">
        <f t="shared" si="7"/>
        <v>1</v>
      </c>
      <c r="L46" s="30" t="b">
        <f t="shared" si="7"/>
        <v>1</v>
      </c>
      <c r="M46" s="30" t="b">
        <f t="shared" si="7"/>
        <v>1</v>
      </c>
      <c r="N46" s="30" t="b">
        <f t="shared" si="7"/>
        <v>1</v>
      </c>
      <c r="O46" s="30" t="b">
        <f t="shared" si="7"/>
        <v>1</v>
      </c>
      <c r="P46" s="30" t="b">
        <f t="shared" si="7"/>
        <v>1</v>
      </c>
      <c r="Q46" s="30" t="b">
        <f t="shared" si="7"/>
        <v>1</v>
      </c>
      <c r="R46" s="30" t="b">
        <f t="shared" si="7"/>
        <v>1</v>
      </c>
      <c r="S46" s="30" t="b">
        <f t="shared" si="7"/>
        <v>1</v>
      </c>
      <c r="T46" s="30" t="b">
        <f t="shared" si="7"/>
        <v>1</v>
      </c>
    </row>
    <row r="47" spans="2:22">
      <c r="B47" s="43" t="s">
        <v>46</v>
      </c>
      <c r="C47" s="43"/>
      <c r="D47" s="3" t="s">
        <v>111</v>
      </c>
      <c r="E47" s="3" t="s">
        <v>44</v>
      </c>
      <c r="F47" s="3" t="s">
        <v>44</v>
      </c>
      <c r="G47" s="30" t="b">
        <f t="shared" ref="G47:T47" si="8">AND(SUM(G$14:G$20)=1,SUM(G$38:G$39)=G$20)</f>
        <v>1</v>
      </c>
      <c r="H47" s="30" t="b">
        <f t="shared" si="8"/>
        <v>1</v>
      </c>
      <c r="I47" s="30" t="b">
        <f t="shared" si="8"/>
        <v>1</v>
      </c>
      <c r="J47" s="30" t="b">
        <f t="shared" si="8"/>
        <v>1</v>
      </c>
      <c r="K47" s="30" t="b">
        <f t="shared" si="8"/>
        <v>1</v>
      </c>
      <c r="L47" s="30" t="b">
        <f t="shared" si="8"/>
        <v>1</v>
      </c>
      <c r="M47" s="30" t="b">
        <f t="shared" si="8"/>
        <v>1</v>
      </c>
      <c r="N47" s="30" t="b">
        <f t="shared" si="8"/>
        <v>1</v>
      </c>
      <c r="O47" s="30" t="b">
        <f t="shared" si="8"/>
        <v>1</v>
      </c>
      <c r="P47" s="30" t="b">
        <f t="shared" si="8"/>
        <v>1</v>
      </c>
      <c r="Q47" s="30" t="b">
        <f t="shared" si="8"/>
        <v>1</v>
      </c>
      <c r="R47" s="30" t="b">
        <f t="shared" si="8"/>
        <v>1</v>
      </c>
      <c r="S47" s="30" t="b">
        <f t="shared" si="8"/>
        <v>1</v>
      </c>
      <c r="T47" s="30" t="b">
        <f t="shared" si="8"/>
        <v>1</v>
      </c>
    </row>
  </sheetData>
  <protectedRanges>
    <protectedRange algorithmName="SHA-512" hashValue="8QVIzQL80tM+TppIhVOgLNQ0tf3JOjNxensoqmCA7edy/hxDSYi5tvGaLaV9Z04AjPyV9UT31mRm55DxIW1eWA==" saltValue="FeRIltwSkrs8NjXPa0KNCQ==" spinCount="100000" sqref="D11 F11:H11" name="系统框架_战力产出_1"/>
    <protectedRange algorithmName="SHA-512" hashValue="8QVIzQL80tM+TppIhVOgLNQ0tf3JOjNxensoqmCA7edy/hxDSYi5tvGaLaV9Z04AjPyV9UT31mRm55DxIW1eWA==" saltValue="FeRIltwSkrs8NjXPa0KNCQ==" spinCount="100000" sqref="D4:D10 I3:J10 F1:H2" name="系统框架_战力产出_3"/>
    <protectedRange algorithmName="SHA-512" hashValue="8QVIzQL80tM+TppIhVOgLNQ0tf3JOjNxensoqmCA7edy/hxDSYi5tvGaLaV9Z04AjPyV9UT31mRm55DxIW1eWA==" saltValue="FeRIltwSkrs8NjXPa0KNCQ==" spinCount="100000" sqref="G41:T47" name="系统框架_战力产出_4"/>
  </protectedRanges>
  <phoneticPr fontId="1" type="noConversion"/>
  <conditionalFormatting sqref="G41:T47">
    <cfRule type="cellIs" dxfId="1" priority="166" operator="equal">
      <formula>FALSE</formula>
    </cfRule>
    <cfRule type="cellIs" dxfId="0" priority="167" operator="equal">
      <formula>TRUE</formula>
    </cfRule>
  </conditionalFormatting>
  <conditionalFormatting sqref="U15:U20">
    <cfRule type="dataBar" priority="165">
      <dataBar>
        <cfvo type="min"/>
        <cfvo type="max"/>
        <color theme="4" tint="-0.499984740745262"/>
      </dataBar>
      <extLst>
        <ext xmlns:x14="http://schemas.microsoft.com/office/spreadsheetml/2009/9/main" uri="{B025F937-C7B1-47D3-B67F-A62EFF666E3E}">
          <x14:id>{59D69522-B767-4541-B2C3-1E9EC35E9624}</x14:id>
        </ext>
      </extLst>
    </cfRule>
  </conditionalFormatting>
  <conditionalFormatting sqref="U14:U20">
    <cfRule type="dataBar" priority="161">
      <dataBar>
        <cfvo type="min"/>
        <cfvo type="max"/>
        <color theme="4" tint="-0.499984740745262"/>
      </dataBar>
      <extLst>
        <ext xmlns:x14="http://schemas.microsoft.com/office/spreadsheetml/2009/9/main" uri="{B025F937-C7B1-47D3-B67F-A62EFF666E3E}">
          <x14:id>{8BC8D1C5-C101-4534-B175-4B30E5931E07}</x14:id>
        </ext>
      </extLst>
    </cfRule>
  </conditionalFormatting>
  <conditionalFormatting sqref="U27:U30">
    <cfRule type="dataBar" priority="159">
      <dataBar>
        <cfvo type="min"/>
        <cfvo type="max"/>
        <color rgb="FF6CA6DA"/>
      </dataBar>
      <extLst>
        <ext xmlns:x14="http://schemas.microsoft.com/office/spreadsheetml/2009/9/main" uri="{B025F937-C7B1-47D3-B67F-A62EFF666E3E}">
          <x14:id>{CC354A88-4763-4F29-AD7D-E97A92E8F0E1}</x14:id>
        </ext>
      </extLst>
    </cfRule>
  </conditionalFormatting>
  <conditionalFormatting sqref="U31:U33">
    <cfRule type="dataBar" priority="158">
      <dataBar>
        <cfvo type="min"/>
        <cfvo type="max"/>
        <color rgb="FF6CA6DA"/>
      </dataBar>
      <extLst>
        <ext xmlns:x14="http://schemas.microsoft.com/office/spreadsheetml/2009/9/main" uri="{B025F937-C7B1-47D3-B67F-A62EFF666E3E}">
          <x14:id>{9ED0D5E2-5049-4946-84FF-9CE31E08BBA5}</x14:id>
        </ext>
      </extLst>
    </cfRule>
  </conditionalFormatting>
  <conditionalFormatting sqref="U34:U35">
    <cfRule type="dataBar" priority="157">
      <dataBar>
        <cfvo type="min"/>
        <cfvo type="max"/>
        <color rgb="FF6CA6DA"/>
      </dataBar>
      <extLst>
        <ext xmlns:x14="http://schemas.microsoft.com/office/spreadsheetml/2009/9/main" uri="{B025F937-C7B1-47D3-B67F-A62EFF666E3E}">
          <x14:id>{56D0D512-18DE-4702-82AC-F65969CD4D99}</x14:id>
        </ext>
      </extLst>
    </cfRule>
  </conditionalFormatting>
  <conditionalFormatting sqref="U36:U39">
    <cfRule type="dataBar" priority="156">
      <dataBar>
        <cfvo type="min"/>
        <cfvo type="max"/>
        <color rgb="FF6CA6DA"/>
      </dataBar>
      <extLst>
        <ext xmlns:x14="http://schemas.microsoft.com/office/spreadsheetml/2009/9/main" uri="{B025F937-C7B1-47D3-B67F-A62EFF666E3E}">
          <x14:id>{4D9CA4F2-642A-483E-A1BC-AE92E7645DD5}</x14:id>
        </ext>
      </extLst>
    </cfRule>
  </conditionalFormatting>
  <conditionalFormatting sqref="V15:V20">
    <cfRule type="dataBar" priority="147">
      <dataBar>
        <cfvo type="min"/>
        <cfvo type="max"/>
        <color theme="4" tint="-0.499984740745262"/>
      </dataBar>
      <extLst>
        <ext xmlns:x14="http://schemas.microsoft.com/office/spreadsheetml/2009/9/main" uri="{B025F937-C7B1-47D3-B67F-A62EFF666E3E}">
          <x14:id>{CFCB0288-BA15-41C9-9C0C-E686D22E484A}</x14:id>
        </ext>
      </extLst>
    </cfRule>
  </conditionalFormatting>
  <conditionalFormatting sqref="V14:V20">
    <cfRule type="dataBar" priority="145">
      <dataBar>
        <cfvo type="min"/>
        <cfvo type="max"/>
        <color theme="4" tint="-0.499984740745262"/>
      </dataBar>
      <extLst>
        <ext xmlns:x14="http://schemas.microsoft.com/office/spreadsheetml/2009/9/main" uri="{B025F937-C7B1-47D3-B67F-A62EFF666E3E}">
          <x14:id>{3452D423-CCB2-4437-8F0D-F16AB08EB8F0}</x14:id>
        </ext>
      </extLst>
    </cfRule>
  </conditionalFormatting>
  <conditionalFormatting sqref="V27:V30">
    <cfRule type="dataBar" priority="143">
      <dataBar>
        <cfvo type="min"/>
        <cfvo type="max"/>
        <color rgb="FF6CA6DA"/>
      </dataBar>
      <extLst>
        <ext xmlns:x14="http://schemas.microsoft.com/office/spreadsheetml/2009/9/main" uri="{B025F937-C7B1-47D3-B67F-A62EFF666E3E}">
          <x14:id>{E3589DBE-87D5-4C85-B54B-1105A8DC9CB0}</x14:id>
        </ext>
      </extLst>
    </cfRule>
  </conditionalFormatting>
  <conditionalFormatting sqref="V31:V33">
    <cfRule type="dataBar" priority="142">
      <dataBar>
        <cfvo type="min"/>
        <cfvo type="max"/>
        <color rgb="FF6CA6DA"/>
      </dataBar>
      <extLst>
        <ext xmlns:x14="http://schemas.microsoft.com/office/spreadsheetml/2009/9/main" uri="{B025F937-C7B1-47D3-B67F-A62EFF666E3E}">
          <x14:id>{462B87EA-A210-43C2-8501-258634FC18D0}</x14:id>
        </ext>
      </extLst>
    </cfRule>
  </conditionalFormatting>
  <conditionalFormatting sqref="V34:V35">
    <cfRule type="dataBar" priority="141">
      <dataBar>
        <cfvo type="min"/>
        <cfvo type="max"/>
        <color rgb="FF6CA6DA"/>
      </dataBar>
      <extLst>
        <ext xmlns:x14="http://schemas.microsoft.com/office/spreadsheetml/2009/9/main" uri="{B025F937-C7B1-47D3-B67F-A62EFF666E3E}">
          <x14:id>{6505997D-86E4-4B2D-8A04-C04D1ED53014}</x14:id>
        </ext>
      </extLst>
    </cfRule>
  </conditionalFormatting>
  <conditionalFormatting sqref="H14:H20">
    <cfRule type="dataBar" priority="140">
      <dataBar>
        <cfvo type="min"/>
        <cfvo type="num" val="1"/>
        <color rgb="FFA70D91"/>
      </dataBar>
      <extLst>
        <ext xmlns:x14="http://schemas.microsoft.com/office/spreadsheetml/2009/9/main" uri="{B025F937-C7B1-47D3-B67F-A62EFF666E3E}">
          <x14:id>{C6BF4AD4-8BA6-4B70-8FE5-CB94B6770CCD}</x14:id>
        </ext>
      </extLst>
    </cfRule>
  </conditionalFormatting>
  <conditionalFormatting sqref="I14:I20">
    <cfRule type="dataBar" priority="139">
      <dataBar>
        <cfvo type="min"/>
        <cfvo type="num" val="1"/>
        <color rgb="FFA70D91"/>
      </dataBar>
      <extLst>
        <ext xmlns:x14="http://schemas.microsoft.com/office/spreadsheetml/2009/9/main" uri="{B025F937-C7B1-47D3-B67F-A62EFF666E3E}">
          <x14:id>{0CF0D41E-F2AE-410B-ADAA-2D9B168E3D02}</x14:id>
        </ext>
      </extLst>
    </cfRule>
  </conditionalFormatting>
  <conditionalFormatting sqref="J14:J20">
    <cfRule type="dataBar" priority="138">
      <dataBar>
        <cfvo type="min"/>
        <cfvo type="num" val="1"/>
        <color rgb="FFA70D91"/>
      </dataBar>
      <extLst>
        <ext xmlns:x14="http://schemas.microsoft.com/office/spreadsheetml/2009/9/main" uri="{B025F937-C7B1-47D3-B67F-A62EFF666E3E}">
          <x14:id>{181AC7B3-EB85-4B78-B01C-47A64C5BCB1C}</x14:id>
        </ext>
      </extLst>
    </cfRule>
  </conditionalFormatting>
  <conditionalFormatting sqref="K14:K20">
    <cfRule type="dataBar" priority="137">
      <dataBar>
        <cfvo type="min"/>
        <cfvo type="num" val="1"/>
        <color rgb="FFA70D91"/>
      </dataBar>
      <extLst>
        <ext xmlns:x14="http://schemas.microsoft.com/office/spreadsheetml/2009/9/main" uri="{B025F937-C7B1-47D3-B67F-A62EFF666E3E}">
          <x14:id>{C1BAC3EF-2CB2-4944-9DA8-48495422EE46}</x14:id>
        </ext>
      </extLst>
    </cfRule>
  </conditionalFormatting>
  <conditionalFormatting sqref="L14:L20">
    <cfRule type="dataBar" priority="136">
      <dataBar>
        <cfvo type="min"/>
        <cfvo type="num" val="1"/>
        <color rgb="FFA70D91"/>
      </dataBar>
      <extLst>
        <ext xmlns:x14="http://schemas.microsoft.com/office/spreadsheetml/2009/9/main" uri="{B025F937-C7B1-47D3-B67F-A62EFF666E3E}">
          <x14:id>{38258051-2DD3-4A83-9924-90F7A706D238}</x14:id>
        </ext>
      </extLst>
    </cfRule>
  </conditionalFormatting>
  <conditionalFormatting sqref="M14:M20">
    <cfRule type="dataBar" priority="135">
      <dataBar>
        <cfvo type="min"/>
        <cfvo type="num" val="1"/>
        <color rgb="FFA70D91"/>
      </dataBar>
      <extLst>
        <ext xmlns:x14="http://schemas.microsoft.com/office/spreadsheetml/2009/9/main" uri="{B025F937-C7B1-47D3-B67F-A62EFF666E3E}">
          <x14:id>{7605781C-6ED2-4453-B03B-C00DAB208F25}</x14:id>
        </ext>
      </extLst>
    </cfRule>
  </conditionalFormatting>
  <conditionalFormatting sqref="N14:N20">
    <cfRule type="dataBar" priority="134">
      <dataBar>
        <cfvo type="min"/>
        <cfvo type="num" val="1"/>
        <color rgb="FFA70D91"/>
      </dataBar>
      <extLst>
        <ext xmlns:x14="http://schemas.microsoft.com/office/spreadsheetml/2009/9/main" uri="{B025F937-C7B1-47D3-B67F-A62EFF666E3E}">
          <x14:id>{0579D507-74D3-415D-B7EE-9FB6E1A76685}</x14:id>
        </ext>
      </extLst>
    </cfRule>
  </conditionalFormatting>
  <conditionalFormatting sqref="O14:O20">
    <cfRule type="dataBar" priority="133">
      <dataBar>
        <cfvo type="min"/>
        <cfvo type="num" val="1"/>
        <color rgb="FFA70D91"/>
      </dataBar>
      <extLst>
        <ext xmlns:x14="http://schemas.microsoft.com/office/spreadsheetml/2009/9/main" uri="{B025F937-C7B1-47D3-B67F-A62EFF666E3E}">
          <x14:id>{7EA668B1-4CB6-4318-9E1F-005E43AF0F10}</x14:id>
        </ext>
      </extLst>
    </cfRule>
  </conditionalFormatting>
  <conditionalFormatting sqref="P14:P20">
    <cfRule type="dataBar" priority="132">
      <dataBar>
        <cfvo type="min"/>
        <cfvo type="num" val="1"/>
        <color rgb="FFA70D91"/>
      </dataBar>
      <extLst>
        <ext xmlns:x14="http://schemas.microsoft.com/office/spreadsheetml/2009/9/main" uri="{B025F937-C7B1-47D3-B67F-A62EFF666E3E}">
          <x14:id>{0B72C979-6FAC-4CE5-A98E-B026ED3A310F}</x14:id>
        </ext>
      </extLst>
    </cfRule>
  </conditionalFormatting>
  <conditionalFormatting sqref="Q14:Q20">
    <cfRule type="dataBar" priority="131">
      <dataBar>
        <cfvo type="min"/>
        <cfvo type="num" val="1"/>
        <color rgb="FFA70D91"/>
      </dataBar>
      <extLst>
        <ext xmlns:x14="http://schemas.microsoft.com/office/spreadsheetml/2009/9/main" uri="{B025F937-C7B1-47D3-B67F-A62EFF666E3E}">
          <x14:id>{C69696FB-586A-479C-BE5B-4372B08D1E51}</x14:id>
        </ext>
      </extLst>
    </cfRule>
  </conditionalFormatting>
  <conditionalFormatting sqref="R14:R20">
    <cfRule type="dataBar" priority="130">
      <dataBar>
        <cfvo type="min"/>
        <cfvo type="num" val="1"/>
        <color rgb="FFA70D91"/>
      </dataBar>
      <extLst>
        <ext xmlns:x14="http://schemas.microsoft.com/office/spreadsheetml/2009/9/main" uri="{B025F937-C7B1-47D3-B67F-A62EFF666E3E}">
          <x14:id>{1588AABD-3E7F-4072-ACBE-451D7FDB6B41}</x14:id>
        </ext>
      </extLst>
    </cfRule>
  </conditionalFormatting>
  <conditionalFormatting sqref="S14:S20">
    <cfRule type="dataBar" priority="129">
      <dataBar>
        <cfvo type="min"/>
        <cfvo type="num" val="1"/>
        <color rgb="FFA70D91"/>
      </dataBar>
      <extLst>
        <ext xmlns:x14="http://schemas.microsoft.com/office/spreadsheetml/2009/9/main" uri="{B025F937-C7B1-47D3-B67F-A62EFF666E3E}">
          <x14:id>{BABC5C19-CEF4-40CB-85E6-0F08659A646D}</x14:id>
        </ext>
      </extLst>
    </cfRule>
  </conditionalFormatting>
  <conditionalFormatting sqref="T14:T20">
    <cfRule type="dataBar" priority="128">
      <dataBar>
        <cfvo type="min"/>
        <cfvo type="num" val="1"/>
        <color rgb="FFA70D91"/>
      </dataBar>
      <extLst>
        <ext xmlns:x14="http://schemas.microsoft.com/office/spreadsheetml/2009/9/main" uri="{B025F937-C7B1-47D3-B67F-A62EFF666E3E}">
          <x14:id>{E6884EC5-4821-4A8F-9F7A-0A8AED226CD2}</x14:id>
        </ext>
      </extLst>
    </cfRule>
  </conditionalFormatting>
  <conditionalFormatting sqref="H27:H30">
    <cfRule type="dataBar" priority="101">
      <dataBar>
        <cfvo type="min"/>
        <cfvo type="formula" val="$H$16"/>
        <color theme="9" tint="0.59999389629810485"/>
      </dataBar>
      <extLst>
        <ext xmlns:x14="http://schemas.microsoft.com/office/spreadsheetml/2009/9/main" uri="{B025F937-C7B1-47D3-B67F-A62EFF666E3E}">
          <x14:id>{E45EF0EA-231F-4674-A2C7-2DDBA899014A}</x14:id>
        </ext>
      </extLst>
    </cfRule>
  </conditionalFormatting>
  <conditionalFormatting sqref="I27:I30">
    <cfRule type="dataBar" priority="100">
      <dataBar>
        <cfvo type="min"/>
        <cfvo type="formula" val="$I$16"/>
        <color theme="9" tint="0.59999389629810485"/>
      </dataBar>
      <extLst>
        <ext xmlns:x14="http://schemas.microsoft.com/office/spreadsheetml/2009/9/main" uri="{B025F937-C7B1-47D3-B67F-A62EFF666E3E}">
          <x14:id>{58992366-8CEF-4B7E-B470-7A4970B70EE6}</x14:id>
        </ext>
      </extLst>
    </cfRule>
  </conditionalFormatting>
  <conditionalFormatting sqref="J27:J30">
    <cfRule type="dataBar" priority="99">
      <dataBar>
        <cfvo type="min"/>
        <cfvo type="formula" val="$J$16"/>
        <color theme="9" tint="0.59999389629810485"/>
      </dataBar>
      <extLst>
        <ext xmlns:x14="http://schemas.microsoft.com/office/spreadsheetml/2009/9/main" uri="{B025F937-C7B1-47D3-B67F-A62EFF666E3E}">
          <x14:id>{E840E780-AD2F-45F4-B53E-48531C7D168C}</x14:id>
        </ext>
      </extLst>
    </cfRule>
  </conditionalFormatting>
  <conditionalFormatting sqref="K27:K30">
    <cfRule type="dataBar" priority="98">
      <dataBar>
        <cfvo type="min"/>
        <cfvo type="formula" val="$K$16"/>
        <color theme="9" tint="0.59999389629810485"/>
      </dataBar>
      <extLst>
        <ext xmlns:x14="http://schemas.microsoft.com/office/spreadsheetml/2009/9/main" uri="{B025F937-C7B1-47D3-B67F-A62EFF666E3E}">
          <x14:id>{9FC9A20F-A449-4387-8BD6-6EE6B952D734}</x14:id>
        </ext>
      </extLst>
    </cfRule>
  </conditionalFormatting>
  <conditionalFormatting sqref="L27:L30">
    <cfRule type="dataBar" priority="97">
      <dataBar>
        <cfvo type="min"/>
        <cfvo type="formula" val="$L$16"/>
        <color theme="9" tint="0.59999389629810485"/>
      </dataBar>
      <extLst>
        <ext xmlns:x14="http://schemas.microsoft.com/office/spreadsheetml/2009/9/main" uri="{B025F937-C7B1-47D3-B67F-A62EFF666E3E}">
          <x14:id>{351CC99C-5B5F-467C-9EAC-67B5CCB7BCAE}</x14:id>
        </ext>
      </extLst>
    </cfRule>
  </conditionalFormatting>
  <conditionalFormatting sqref="M27:M30">
    <cfRule type="dataBar" priority="96">
      <dataBar>
        <cfvo type="min"/>
        <cfvo type="formula" val="$M$16"/>
        <color theme="9" tint="0.59999389629810485"/>
      </dataBar>
      <extLst>
        <ext xmlns:x14="http://schemas.microsoft.com/office/spreadsheetml/2009/9/main" uri="{B025F937-C7B1-47D3-B67F-A62EFF666E3E}">
          <x14:id>{0B57EFE2-F53F-408C-81B2-F2BC3CE6847D}</x14:id>
        </ext>
      </extLst>
    </cfRule>
  </conditionalFormatting>
  <conditionalFormatting sqref="N27:N30">
    <cfRule type="dataBar" priority="95">
      <dataBar>
        <cfvo type="min"/>
        <cfvo type="formula" val="$N$16"/>
        <color theme="9" tint="0.59999389629810485"/>
      </dataBar>
      <extLst>
        <ext xmlns:x14="http://schemas.microsoft.com/office/spreadsheetml/2009/9/main" uri="{B025F937-C7B1-47D3-B67F-A62EFF666E3E}">
          <x14:id>{EFE552B9-7638-4CC2-8BA2-94230F26FF08}</x14:id>
        </ext>
      </extLst>
    </cfRule>
  </conditionalFormatting>
  <conditionalFormatting sqref="O27:O30">
    <cfRule type="dataBar" priority="94">
      <dataBar>
        <cfvo type="min"/>
        <cfvo type="formula" val="$O$16"/>
        <color theme="9" tint="0.59999389629810485"/>
      </dataBar>
      <extLst>
        <ext xmlns:x14="http://schemas.microsoft.com/office/spreadsheetml/2009/9/main" uri="{B025F937-C7B1-47D3-B67F-A62EFF666E3E}">
          <x14:id>{6427036F-94EB-465E-9C9B-C271C746FF0E}</x14:id>
        </ext>
      </extLst>
    </cfRule>
  </conditionalFormatting>
  <conditionalFormatting sqref="P27:P30">
    <cfRule type="dataBar" priority="93">
      <dataBar>
        <cfvo type="min"/>
        <cfvo type="formula" val="$P$16"/>
        <color theme="9" tint="0.59999389629810485"/>
      </dataBar>
      <extLst>
        <ext xmlns:x14="http://schemas.microsoft.com/office/spreadsheetml/2009/9/main" uri="{B025F937-C7B1-47D3-B67F-A62EFF666E3E}">
          <x14:id>{15647759-A8CA-4D54-9D07-A50A2D9FF5D3}</x14:id>
        </ext>
      </extLst>
    </cfRule>
  </conditionalFormatting>
  <conditionalFormatting sqref="Q27:Q30">
    <cfRule type="dataBar" priority="92">
      <dataBar>
        <cfvo type="min"/>
        <cfvo type="formula" val="$Q$16"/>
        <color theme="9" tint="0.59999389629810485"/>
      </dataBar>
      <extLst>
        <ext xmlns:x14="http://schemas.microsoft.com/office/spreadsheetml/2009/9/main" uri="{B025F937-C7B1-47D3-B67F-A62EFF666E3E}">
          <x14:id>{9DD5B6C1-7715-4FBA-AE22-02DDCC658013}</x14:id>
        </ext>
      </extLst>
    </cfRule>
  </conditionalFormatting>
  <conditionalFormatting sqref="R27:R30">
    <cfRule type="dataBar" priority="91">
      <dataBar>
        <cfvo type="min"/>
        <cfvo type="formula" val="$R$16"/>
        <color theme="9" tint="0.59999389629810485"/>
      </dataBar>
      <extLst>
        <ext xmlns:x14="http://schemas.microsoft.com/office/spreadsheetml/2009/9/main" uri="{B025F937-C7B1-47D3-B67F-A62EFF666E3E}">
          <x14:id>{8BE69BC2-7462-4AE0-B928-15AD9FBFAA86}</x14:id>
        </ext>
      </extLst>
    </cfRule>
  </conditionalFormatting>
  <conditionalFormatting sqref="S27:S30">
    <cfRule type="dataBar" priority="90">
      <dataBar>
        <cfvo type="min"/>
        <cfvo type="formula" val="$S$16"/>
        <color theme="9" tint="0.59999389629810485"/>
      </dataBar>
      <extLst>
        <ext xmlns:x14="http://schemas.microsoft.com/office/spreadsheetml/2009/9/main" uri="{B025F937-C7B1-47D3-B67F-A62EFF666E3E}">
          <x14:id>{A5434E93-D66B-4AAD-9694-82FE3D09073D}</x14:id>
        </ext>
      </extLst>
    </cfRule>
  </conditionalFormatting>
  <conditionalFormatting sqref="T27:T30">
    <cfRule type="dataBar" priority="89">
      <dataBar>
        <cfvo type="min"/>
        <cfvo type="formula" val="$T$16"/>
        <color theme="9" tint="0.59999389629810485"/>
      </dataBar>
      <extLst>
        <ext xmlns:x14="http://schemas.microsoft.com/office/spreadsheetml/2009/9/main" uri="{B025F937-C7B1-47D3-B67F-A62EFF666E3E}">
          <x14:id>{3453F8F3-AD35-4CD9-A634-1CEBA7267EAD}</x14:id>
        </ext>
      </extLst>
    </cfRule>
  </conditionalFormatting>
  <conditionalFormatting sqref="H31:H33">
    <cfRule type="dataBar" priority="88">
      <dataBar>
        <cfvo type="min"/>
        <cfvo type="formula" val="$H$17"/>
        <color rgb="FF638EC6"/>
      </dataBar>
      <extLst>
        <ext xmlns:x14="http://schemas.microsoft.com/office/spreadsheetml/2009/9/main" uri="{B025F937-C7B1-47D3-B67F-A62EFF666E3E}">
          <x14:id>{8A8ABB63-A613-4474-8D89-743B1643A22F}</x14:id>
        </ext>
      </extLst>
    </cfRule>
  </conditionalFormatting>
  <conditionalFormatting sqref="I31:I33">
    <cfRule type="dataBar" priority="87">
      <dataBar>
        <cfvo type="min"/>
        <cfvo type="formula" val="$I$17"/>
        <color rgb="FF638EC6"/>
      </dataBar>
      <extLst>
        <ext xmlns:x14="http://schemas.microsoft.com/office/spreadsheetml/2009/9/main" uri="{B025F937-C7B1-47D3-B67F-A62EFF666E3E}">
          <x14:id>{BBA764B3-1E98-4ED0-A7DC-5B0F71953506}</x14:id>
        </ext>
      </extLst>
    </cfRule>
  </conditionalFormatting>
  <conditionalFormatting sqref="J31:J33">
    <cfRule type="dataBar" priority="86">
      <dataBar>
        <cfvo type="min"/>
        <cfvo type="formula" val="$J$17"/>
        <color rgb="FF638EC6"/>
      </dataBar>
      <extLst>
        <ext xmlns:x14="http://schemas.microsoft.com/office/spreadsheetml/2009/9/main" uri="{B025F937-C7B1-47D3-B67F-A62EFF666E3E}">
          <x14:id>{F9D99AC6-223B-4D8E-B383-275DAB3DF28A}</x14:id>
        </ext>
      </extLst>
    </cfRule>
  </conditionalFormatting>
  <conditionalFormatting sqref="K31:K33">
    <cfRule type="dataBar" priority="85">
      <dataBar>
        <cfvo type="min"/>
        <cfvo type="formula" val="$K$17"/>
        <color rgb="FF638EC6"/>
      </dataBar>
      <extLst>
        <ext xmlns:x14="http://schemas.microsoft.com/office/spreadsheetml/2009/9/main" uri="{B025F937-C7B1-47D3-B67F-A62EFF666E3E}">
          <x14:id>{E0B136BE-ADA0-4F5C-87A5-641ECF970846}</x14:id>
        </ext>
      </extLst>
    </cfRule>
  </conditionalFormatting>
  <conditionalFormatting sqref="L31:L33">
    <cfRule type="dataBar" priority="84">
      <dataBar>
        <cfvo type="min"/>
        <cfvo type="formula" val="$L$17"/>
        <color rgb="FF638EC6"/>
      </dataBar>
      <extLst>
        <ext xmlns:x14="http://schemas.microsoft.com/office/spreadsheetml/2009/9/main" uri="{B025F937-C7B1-47D3-B67F-A62EFF666E3E}">
          <x14:id>{C45446B5-8565-408C-9194-156EC574BFC2}</x14:id>
        </ext>
      </extLst>
    </cfRule>
  </conditionalFormatting>
  <conditionalFormatting sqref="M31:M33">
    <cfRule type="dataBar" priority="83">
      <dataBar>
        <cfvo type="min"/>
        <cfvo type="formula" val="$M$17"/>
        <color rgb="FF638EC6"/>
      </dataBar>
      <extLst>
        <ext xmlns:x14="http://schemas.microsoft.com/office/spreadsheetml/2009/9/main" uri="{B025F937-C7B1-47D3-B67F-A62EFF666E3E}">
          <x14:id>{413394D9-A9A4-42CF-8B87-2BB680C54FFF}</x14:id>
        </ext>
      </extLst>
    </cfRule>
  </conditionalFormatting>
  <conditionalFormatting sqref="N31:N33">
    <cfRule type="dataBar" priority="82">
      <dataBar>
        <cfvo type="min"/>
        <cfvo type="formula" val="$N$17"/>
        <color rgb="FF638EC6"/>
      </dataBar>
      <extLst>
        <ext xmlns:x14="http://schemas.microsoft.com/office/spreadsheetml/2009/9/main" uri="{B025F937-C7B1-47D3-B67F-A62EFF666E3E}">
          <x14:id>{616E0B1C-9F9C-4C5F-8C48-C2BAEB07E78A}</x14:id>
        </ext>
      </extLst>
    </cfRule>
  </conditionalFormatting>
  <conditionalFormatting sqref="O31:O33">
    <cfRule type="dataBar" priority="81">
      <dataBar>
        <cfvo type="min"/>
        <cfvo type="formula" val="$O$17"/>
        <color rgb="FF638EC6"/>
      </dataBar>
      <extLst>
        <ext xmlns:x14="http://schemas.microsoft.com/office/spreadsheetml/2009/9/main" uri="{B025F937-C7B1-47D3-B67F-A62EFF666E3E}">
          <x14:id>{EFE68455-194A-4E1D-9282-465F964221C8}</x14:id>
        </ext>
      </extLst>
    </cfRule>
  </conditionalFormatting>
  <conditionalFormatting sqref="P31:P33">
    <cfRule type="dataBar" priority="80">
      <dataBar>
        <cfvo type="min"/>
        <cfvo type="formula" val="$P$17"/>
        <color rgb="FF638EC6"/>
      </dataBar>
      <extLst>
        <ext xmlns:x14="http://schemas.microsoft.com/office/spreadsheetml/2009/9/main" uri="{B025F937-C7B1-47D3-B67F-A62EFF666E3E}">
          <x14:id>{03F08A77-755B-4925-B529-AC956AFA19E4}</x14:id>
        </ext>
      </extLst>
    </cfRule>
  </conditionalFormatting>
  <conditionalFormatting sqref="Q31:Q33">
    <cfRule type="dataBar" priority="79">
      <dataBar>
        <cfvo type="min"/>
        <cfvo type="formula" val="$Q$17"/>
        <color rgb="FF638EC6"/>
      </dataBar>
      <extLst>
        <ext xmlns:x14="http://schemas.microsoft.com/office/spreadsheetml/2009/9/main" uri="{B025F937-C7B1-47D3-B67F-A62EFF666E3E}">
          <x14:id>{D54E09C4-3C24-44F9-B88C-2C1203A6F12A}</x14:id>
        </ext>
      </extLst>
    </cfRule>
  </conditionalFormatting>
  <conditionalFormatting sqref="R31:R33">
    <cfRule type="dataBar" priority="78">
      <dataBar>
        <cfvo type="min"/>
        <cfvo type="formula" val="$R$17"/>
        <color rgb="FF638EC6"/>
      </dataBar>
      <extLst>
        <ext xmlns:x14="http://schemas.microsoft.com/office/spreadsheetml/2009/9/main" uri="{B025F937-C7B1-47D3-B67F-A62EFF666E3E}">
          <x14:id>{4459D1A3-1356-4DD5-985C-04AEB25C9625}</x14:id>
        </ext>
      </extLst>
    </cfRule>
  </conditionalFormatting>
  <conditionalFormatting sqref="S31:S33">
    <cfRule type="dataBar" priority="77">
      <dataBar>
        <cfvo type="min"/>
        <cfvo type="formula" val="$S$17"/>
        <color rgb="FF638EC6"/>
      </dataBar>
      <extLst>
        <ext xmlns:x14="http://schemas.microsoft.com/office/spreadsheetml/2009/9/main" uri="{B025F937-C7B1-47D3-B67F-A62EFF666E3E}">
          <x14:id>{C028D319-9671-40CC-8DE3-75E963FF36EF}</x14:id>
        </ext>
      </extLst>
    </cfRule>
  </conditionalFormatting>
  <conditionalFormatting sqref="T31:T33">
    <cfRule type="dataBar" priority="76">
      <dataBar>
        <cfvo type="min"/>
        <cfvo type="formula" val="$T$17"/>
        <color rgb="FF638EC6"/>
      </dataBar>
      <extLst>
        <ext xmlns:x14="http://schemas.microsoft.com/office/spreadsheetml/2009/9/main" uri="{B025F937-C7B1-47D3-B67F-A62EFF666E3E}">
          <x14:id>{BA5A396A-0B71-47FD-91D9-A5BC4948AC2A}</x14:id>
        </ext>
      </extLst>
    </cfRule>
  </conditionalFormatting>
  <conditionalFormatting sqref="H34:H35">
    <cfRule type="dataBar" priority="75">
      <dataBar>
        <cfvo type="min"/>
        <cfvo type="formula" val="$H$18"/>
        <color theme="5" tint="-0.249977111117893"/>
      </dataBar>
      <extLst>
        <ext xmlns:x14="http://schemas.microsoft.com/office/spreadsheetml/2009/9/main" uri="{B025F937-C7B1-47D3-B67F-A62EFF666E3E}">
          <x14:id>{F18C61BF-2D63-4AD2-A839-2371F04FA1C6}</x14:id>
        </ext>
      </extLst>
    </cfRule>
  </conditionalFormatting>
  <conditionalFormatting sqref="I34:I35">
    <cfRule type="dataBar" priority="62">
      <dataBar>
        <cfvo type="min"/>
        <cfvo type="formula" val="$I$18"/>
        <color theme="5" tint="-0.249977111117893"/>
      </dataBar>
      <extLst>
        <ext xmlns:x14="http://schemas.microsoft.com/office/spreadsheetml/2009/9/main" uri="{B025F937-C7B1-47D3-B67F-A62EFF666E3E}">
          <x14:id>{C73FE416-D6EF-4D9A-A220-31A6F6E27C56}</x14:id>
        </ext>
      </extLst>
    </cfRule>
  </conditionalFormatting>
  <conditionalFormatting sqref="J34:J35">
    <cfRule type="dataBar" priority="61">
      <dataBar>
        <cfvo type="min"/>
        <cfvo type="formula" val="$J$18"/>
        <color theme="5" tint="-0.249977111117893"/>
      </dataBar>
      <extLst>
        <ext xmlns:x14="http://schemas.microsoft.com/office/spreadsheetml/2009/9/main" uri="{B025F937-C7B1-47D3-B67F-A62EFF666E3E}">
          <x14:id>{9353B7DB-83F9-4877-9874-86A8BF4F8742}</x14:id>
        </ext>
      </extLst>
    </cfRule>
  </conditionalFormatting>
  <conditionalFormatting sqref="K34:K35">
    <cfRule type="dataBar" priority="60">
      <dataBar>
        <cfvo type="min"/>
        <cfvo type="formula" val="$K$18"/>
        <color theme="5" tint="-0.249977111117893"/>
      </dataBar>
      <extLst>
        <ext xmlns:x14="http://schemas.microsoft.com/office/spreadsheetml/2009/9/main" uri="{B025F937-C7B1-47D3-B67F-A62EFF666E3E}">
          <x14:id>{1B63094A-473E-448D-974A-EF71A4E04D81}</x14:id>
        </ext>
      </extLst>
    </cfRule>
  </conditionalFormatting>
  <conditionalFormatting sqref="L34:L35">
    <cfRule type="dataBar" priority="59">
      <dataBar>
        <cfvo type="min"/>
        <cfvo type="formula" val="$L$18"/>
        <color theme="5" tint="-0.249977111117893"/>
      </dataBar>
      <extLst>
        <ext xmlns:x14="http://schemas.microsoft.com/office/spreadsheetml/2009/9/main" uri="{B025F937-C7B1-47D3-B67F-A62EFF666E3E}">
          <x14:id>{D855168F-9D2F-4277-B2A7-63B4AE6F0EDF}</x14:id>
        </ext>
      </extLst>
    </cfRule>
  </conditionalFormatting>
  <conditionalFormatting sqref="M34:M35">
    <cfRule type="dataBar" priority="58">
      <dataBar>
        <cfvo type="min"/>
        <cfvo type="formula" val="$M$18"/>
        <color theme="5" tint="-0.249977111117893"/>
      </dataBar>
      <extLst>
        <ext xmlns:x14="http://schemas.microsoft.com/office/spreadsheetml/2009/9/main" uri="{B025F937-C7B1-47D3-B67F-A62EFF666E3E}">
          <x14:id>{D0A970B6-358C-4535-967E-07005D5EB5BC}</x14:id>
        </ext>
      </extLst>
    </cfRule>
  </conditionalFormatting>
  <conditionalFormatting sqref="N34:N35">
    <cfRule type="dataBar" priority="57">
      <dataBar>
        <cfvo type="min"/>
        <cfvo type="formula" val="$N$18"/>
        <color theme="5" tint="-0.249977111117893"/>
      </dataBar>
      <extLst>
        <ext xmlns:x14="http://schemas.microsoft.com/office/spreadsheetml/2009/9/main" uri="{B025F937-C7B1-47D3-B67F-A62EFF666E3E}">
          <x14:id>{83FAFFD0-1774-44C8-AABF-DBE6076F2A00}</x14:id>
        </ext>
      </extLst>
    </cfRule>
  </conditionalFormatting>
  <conditionalFormatting sqref="O34:O35">
    <cfRule type="dataBar" priority="56">
      <dataBar>
        <cfvo type="min"/>
        <cfvo type="formula" val="$O$18"/>
        <color theme="5" tint="-0.249977111117893"/>
      </dataBar>
      <extLst>
        <ext xmlns:x14="http://schemas.microsoft.com/office/spreadsheetml/2009/9/main" uri="{B025F937-C7B1-47D3-B67F-A62EFF666E3E}">
          <x14:id>{6465CDCA-1C95-4641-8855-0097C64611E3}</x14:id>
        </ext>
      </extLst>
    </cfRule>
  </conditionalFormatting>
  <conditionalFormatting sqref="P34:P35">
    <cfRule type="dataBar" priority="55">
      <dataBar>
        <cfvo type="min"/>
        <cfvo type="formula" val="$P$18"/>
        <color theme="5" tint="-0.249977111117893"/>
      </dataBar>
      <extLst>
        <ext xmlns:x14="http://schemas.microsoft.com/office/spreadsheetml/2009/9/main" uri="{B025F937-C7B1-47D3-B67F-A62EFF666E3E}">
          <x14:id>{E84FDF7E-0916-42A0-9782-2E0CB9FC26A9}</x14:id>
        </ext>
      </extLst>
    </cfRule>
  </conditionalFormatting>
  <conditionalFormatting sqref="Q34:Q35">
    <cfRule type="dataBar" priority="54">
      <dataBar>
        <cfvo type="min"/>
        <cfvo type="formula" val="$Q$18"/>
        <color theme="5" tint="-0.249977111117893"/>
      </dataBar>
      <extLst>
        <ext xmlns:x14="http://schemas.microsoft.com/office/spreadsheetml/2009/9/main" uri="{B025F937-C7B1-47D3-B67F-A62EFF666E3E}">
          <x14:id>{EC37B2A1-5D76-4C5B-9768-2089946C4E27}</x14:id>
        </ext>
      </extLst>
    </cfRule>
  </conditionalFormatting>
  <conditionalFormatting sqref="R34:R35">
    <cfRule type="dataBar" priority="53">
      <dataBar>
        <cfvo type="min"/>
        <cfvo type="formula" val="$R$18"/>
        <color theme="5" tint="-0.249977111117893"/>
      </dataBar>
      <extLst>
        <ext xmlns:x14="http://schemas.microsoft.com/office/spreadsheetml/2009/9/main" uri="{B025F937-C7B1-47D3-B67F-A62EFF666E3E}">
          <x14:id>{78D914AA-E841-4369-AD54-D6DA6A1E326C}</x14:id>
        </ext>
      </extLst>
    </cfRule>
  </conditionalFormatting>
  <conditionalFormatting sqref="S34:S35">
    <cfRule type="dataBar" priority="52">
      <dataBar>
        <cfvo type="min"/>
        <cfvo type="formula" val="$S$18"/>
        <color theme="5" tint="-0.249977111117893"/>
      </dataBar>
      <extLst>
        <ext xmlns:x14="http://schemas.microsoft.com/office/spreadsheetml/2009/9/main" uri="{B025F937-C7B1-47D3-B67F-A62EFF666E3E}">
          <x14:id>{CB690CFD-F5E1-44B5-AED7-3D392EF7F7E1}</x14:id>
        </ext>
      </extLst>
    </cfRule>
  </conditionalFormatting>
  <conditionalFormatting sqref="T34:T35">
    <cfRule type="dataBar" priority="51">
      <dataBar>
        <cfvo type="min"/>
        <cfvo type="formula" val="$T$18"/>
        <color theme="5" tint="-0.249977111117893"/>
      </dataBar>
      <extLst>
        <ext xmlns:x14="http://schemas.microsoft.com/office/spreadsheetml/2009/9/main" uri="{B025F937-C7B1-47D3-B67F-A62EFF666E3E}">
          <x14:id>{761160F0-34E6-4D45-9A5F-6A36919B5298}</x14:id>
        </ext>
      </extLst>
    </cfRule>
  </conditionalFormatting>
  <conditionalFormatting sqref="H36:H37">
    <cfRule type="dataBar" priority="50">
      <dataBar>
        <cfvo type="min"/>
        <cfvo type="formula" val="$H$19"/>
        <color theme="7" tint="-0.499984740745262"/>
      </dataBar>
      <extLst>
        <ext xmlns:x14="http://schemas.microsoft.com/office/spreadsheetml/2009/9/main" uri="{B025F937-C7B1-47D3-B67F-A62EFF666E3E}">
          <x14:id>{3A218C3F-4A70-4BEC-9866-401D29491E0E}</x14:id>
        </ext>
      </extLst>
    </cfRule>
  </conditionalFormatting>
  <conditionalFormatting sqref="U24:U26">
    <cfRule type="dataBar" priority="168">
      <dataBar>
        <cfvo type="min"/>
        <cfvo type="max"/>
        <color rgb="FF6CA6DA"/>
      </dataBar>
      <extLst>
        <ext xmlns:x14="http://schemas.microsoft.com/office/spreadsheetml/2009/9/main" uri="{B025F937-C7B1-47D3-B67F-A62EFF666E3E}">
          <x14:id>{FBA83F14-1DB1-436E-9A0A-B9CCF893F440}</x14:id>
        </ext>
      </extLst>
    </cfRule>
  </conditionalFormatting>
  <conditionalFormatting sqref="V24:V26">
    <cfRule type="dataBar" priority="169">
      <dataBar>
        <cfvo type="min"/>
        <cfvo type="max"/>
        <color rgb="FF6CA6DA"/>
      </dataBar>
      <extLst>
        <ext xmlns:x14="http://schemas.microsoft.com/office/spreadsheetml/2009/9/main" uri="{B025F937-C7B1-47D3-B67F-A62EFF666E3E}">
          <x14:id>{6308AF84-C8E8-40FE-9760-C99500761F1B}</x14:id>
        </ext>
      </extLst>
    </cfRule>
  </conditionalFormatting>
  <conditionalFormatting sqref="H24:H26">
    <cfRule type="dataBar" priority="170">
      <dataBar>
        <cfvo type="min"/>
        <cfvo type="formula" val="$H$15"/>
        <color rgb="FFFFC000"/>
      </dataBar>
      <extLst>
        <ext xmlns:x14="http://schemas.microsoft.com/office/spreadsheetml/2009/9/main" uri="{B025F937-C7B1-47D3-B67F-A62EFF666E3E}">
          <x14:id>{66273BE4-E53B-4B08-907C-4279F3DA70A9}</x14:id>
        </ext>
      </extLst>
    </cfRule>
  </conditionalFormatting>
  <conditionalFormatting sqref="I24:I26">
    <cfRule type="dataBar" priority="171">
      <dataBar>
        <cfvo type="min"/>
        <cfvo type="formula" val="$I$15"/>
        <color rgb="FFFFC000"/>
      </dataBar>
      <extLst>
        <ext xmlns:x14="http://schemas.microsoft.com/office/spreadsheetml/2009/9/main" uri="{B025F937-C7B1-47D3-B67F-A62EFF666E3E}">
          <x14:id>{83C62CC6-2AF7-4553-8EFB-DD2EB8604763}</x14:id>
        </ext>
      </extLst>
    </cfRule>
  </conditionalFormatting>
  <conditionalFormatting sqref="J24:J26">
    <cfRule type="dataBar" priority="172">
      <dataBar>
        <cfvo type="min"/>
        <cfvo type="formula" val="$J$15"/>
        <color rgb="FFFFC000"/>
      </dataBar>
      <extLst>
        <ext xmlns:x14="http://schemas.microsoft.com/office/spreadsheetml/2009/9/main" uri="{B025F937-C7B1-47D3-B67F-A62EFF666E3E}">
          <x14:id>{3AEEB154-9D89-47C9-984A-E6F72C42B934}</x14:id>
        </ext>
      </extLst>
    </cfRule>
  </conditionalFormatting>
  <conditionalFormatting sqref="K24:K26">
    <cfRule type="dataBar" priority="173">
      <dataBar>
        <cfvo type="min"/>
        <cfvo type="formula" val="$K$15"/>
        <color rgb="FFFFC000"/>
      </dataBar>
      <extLst>
        <ext xmlns:x14="http://schemas.microsoft.com/office/spreadsheetml/2009/9/main" uri="{B025F937-C7B1-47D3-B67F-A62EFF666E3E}">
          <x14:id>{90C1EC1C-0B3F-476F-9F8D-437C406405AB}</x14:id>
        </ext>
      </extLst>
    </cfRule>
  </conditionalFormatting>
  <conditionalFormatting sqref="L24:L26">
    <cfRule type="dataBar" priority="174">
      <dataBar>
        <cfvo type="min"/>
        <cfvo type="formula" val="$L$15"/>
        <color rgb="FFFFC000"/>
      </dataBar>
      <extLst>
        <ext xmlns:x14="http://schemas.microsoft.com/office/spreadsheetml/2009/9/main" uri="{B025F937-C7B1-47D3-B67F-A62EFF666E3E}">
          <x14:id>{08C9904C-328B-4AB4-8C1E-9EC0C8C414F7}</x14:id>
        </ext>
      </extLst>
    </cfRule>
  </conditionalFormatting>
  <conditionalFormatting sqref="M24:M26">
    <cfRule type="dataBar" priority="175">
      <dataBar>
        <cfvo type="min"/>
        <cfvo type="formula" val="$M$15"/>
        <color rgb="FFFFC000"/>
      </dataBar>
      <extLst>
        <ext xmlns:x14="http://schemas.microsoft.com/office/spreadsheetml/2009/9/main" uri="{B025F937-C7B1-47D3-B67F-A62EFF666E3E}">
          <x14:id>{5598FF85-85BD-4EE0-B8FA-851ADEE7ED5E}</x14:id>
        </ext>
      </extLst>
    </cfRule>
  </conditionalFormatting>
  <conditionalFormatting sqref="N24:N26">
    <cfRule type="dataBar" priority="176">
      <dataBar>
        <cfvo type="min"/>
        <cfvo type="formula" val="$N$15"/>
        <color rgb="FFFFC000"/>
      </dataBar>
      <extLst>
        <ext xmlns:x14="http://schemas.microsoft.com/office/spreadsheetml/2009/9/main" uri="{B025F937-C7B1-47D3-B67F-A62EFF666E3E}">
          <x14:id>{DFC2D165-E257-4CFB-8E84-ABB99DA9E8C2}</x14:id>
        </ext>
      </extLst>
    </cfRule>
  </conditionalFormatting>
  <conditionalFormatting sqref="O24:O26">
    <cfRule type="dataBar" priority="177">
      <dataBar>
        <cfvo type="min"/>
        <cfvo type="formula" val="$O$15"/>
        <color rgb="FFFFC000"/>
      </dataBar>
      <extLst>
        <ext xmlns:x14="http://schemas.microsoft.com/office/spreadsheetml/2009/9/main" uri="{B025F937-C7B1-47D3-B67F-A62EFF666E3E}">
          <x14:id>{EF308A2A-1077-4335-8B15-8BD32D6A5853}</x14:id>
        </ext>
      </extLst>
    </cfRule>
  </conditionalFormatting>
  <conditionalFormatting sqref="P24:P26">
    <cfRule type="dataBar" priority="178">
      <dataBar>
        <cfvo type="min"/>
        <cfvo type="formula" val="$P$15"/>
        <color rgb="FFFFC000"/>
      </dataBar>
      <extLst>
        <ext xmlns:x14="http://schemas.microsoft.com/office/spreadsheetml/2009/9/main" uri="{B025F937-C7B1-47D3-B67F-A62EFF666E3E}">
          <x14:id>{EA7C379A-B81C-4F14-90E4-BE2991A24ED4}</x14:id>
        </ext>
      </extLst>
    </cfRule>
  </conditionalFormatting>
  <conditionalFormatting sqref="Q24:Q26">
    <cfRule type="dataBar" priority="179">
      <dataBar>
        <cfvo type="min"/>
        <cfvo type="formula" val="$Q$15"/>
        <color rgb="FFFFC000"/>
      </dataBar>
      <extLst>
        <ext xmlns:x14="http://schemas.microsoft.com/office/spreadsheetml/2009/9/main" uri="{B025F937-C7B1-47D3-B67F-A62EFF666E3E}">
          <x14:id>{715B7D75-D0E9-48CB-BE04-479CA3A6DC68}</x14:id>
        </ext>
      </extLst>
    </cfRule>
  </conditionalFormatting>
  <conditionalFormatting sqref="R24:R26">
    <cfRule type="dataBar" priority="180">
      <dataBar>
        <cfvo type="min"/>
        <cfvo type="formula" val="$R$15"/>
        <color rgb="FFFFC000"/>
      </dataBar>
      <extLst>
        <ext xmlns:x14="http://schemas.microsoft.com/office/spreadsheetml/2009/9/main" uri="{B025F937-C7B1-47D3-B67F-A62EFF666E3E}">
          <x14:id>{F431A5D6-E20A-450F-AC3F-C674266CBC03}</x14:id>
        </ext>
      </extLst>
    </cfRule>
  </conditionalFormatting>
  <conditionalFormatting sqref="S24:S26">
    <cfRule type="dataBar" priority="181">
      <dataBar>
        <cfvo type="min"/>
        <cfvo type="formula" val="$S$15"/>
        <color rgb="FFFFC000"/>
      </dataBar>
      <extLst>
        <ext xmlns:x14="http://schemas.microsoft.com/office/spreadsheetml/2009/9/main" uri="{B025F937-C7B1-47D3-B67F-A62EFF666E3E}">
          <x14:id>{FD34627A-990F-405E-A5AE-A123A6A4433E}</x14:id>
        </ext>
      </extLst>
    </cfRule>
  </conditionalFormatting>
  <conditionalFormatting sqref="T24:T26">
    <cfRule type="dataBar" priority="182">
      <dataBar>
        <cfvo type="min"/>
        <cfvo type="formula" val="$T$15"/>
        <color rgb="FFFFC000"/>
      </dataBar>
      <extLst>
        <ext xmlns:x14="http://schemas.microsoft.com/office/spreadsheetml/2009/9/main" uri="{B025F937-C7B1-47D3-B67F-A62EFF666E3E}">
          <x14:id>{86866766-0FDF-42A0-A743-3D79A57DAC56}</x14:id>
        </ext>
      </extLst>
    </cfRule>
  </conditionalFormatting>
  <conditionalFormatting sqref="V36:V37">
    <cfRule type="dataBar" priority="46">
      <dataBar>
        <cfvo type="min"/>
        <cfvo type="max"/>
        <color rgb="FF6CA6DA"/>
      </dataBar>
      <extLst>
        <ext xmlns:x14="http://schemas.microsoft.com/office/spreadsheetml/2009/9/main" uri="{B025F937-C7B1-47D3-B67F-A62EFF666E3E}">
          <x14:id>{31949E22-1FE6-4283-B451-61E415F07891}</x14:id>
        </ext>
      </extLst>
    </cfRule>
  </conditionalFormatting>
  <conditionalFormatting sqref="V38:V39">
    <cfRule type="dataBar" priority="45">
      <dataBar>
        <cfvo type="min"/>
        <cfvo type="max"/>
        <color rgb="FF6CA6DA"/>
      </dataBar>
      <extLst>
        <ext xmlns:x14="http://schemas.microsoft.com/office/spreadsheetml/2009/9/main" uri="{B025F937-C7B1-47D3-B67F-A62EFF666E3E}">
          <x14:id>{4110E31E-F443-4A31-8961-149F34232E77}</x14:id>
        </ext>
      </extLst>
    </cfRule>
  </conditionalFormatting>
  <conditionalFormatting sqref="I36:I37">
    <cfRule type="dataBar" priority="44">
      <dataBar>
        <cfvo type="min"/>
        <cfvo type="formula" val="$I$19"/>
        <color theme="7" tint="-0.499984740745262"/>
      </dataBar>
      <extLst>
        <ext xmlns:x14="http://schemas.microsoft.com/office/spreadsheetml/2009/9/main" uri="{B025F937-C7B1-47D3-B67F-A62EFF666E3E}">
          <x14:id>{C5FFF675-BE1D-40E5-9892-2E3BDE925794}</x14:id>
        </ext>
      </extLst>
    </cfRule>
  </conditionalFormatting>
  <conditionalFormatting sqref="J36:J37">
    <cfRule type="dataBar" priority="43">
      <dataBar>
        <cfvo type="min"/>
        <cfvo type="formula" val="$J$19"/>
        <color theme="7" tint="-0.499984740745262"/>
      </dataBar>
      <extLst>
        <ext xmlns:x14="http://schemas.microsoft.com/office/spreadsheetml/2009/9/main" uri="{B025F937-C7B1-47D3-B67F-A62EFF666E3E}">
          <x14:id>{46461CDA-4A72-4087-B683-33B3DD9AEA37}</x14:id>
        </ext>
      </extLst>
    </cfRule>
  </conditionalFormatting>
  <conditionalFormatting sqref="K36:K37">
    <cfRule type="dataBar" priority="42">
      <dataBar>
        <cfvo type="min"/>
        <cfvo type="formula" val="$K$19"/>
        <color theme="7" tint="-0.499984740745262"/>
      </dataBar>
      <extLst>
        <ext xmlns:x14="http://schemas.microsoft.com/office/spreadsheetml/2009/9/main" uri="{B025F937-C7B1-47D3-B67F-A62EFF666E3E}">
          <x14:id>{B3A407AC-82A9-47E1-80EA-143571371B37}</x14:id>
        </ext>
      </extLst>
    </cfRule>
  </conditionalFormatting>
  <conditionalFormatting sqref="L36:L37">
    <cfRule type="dataBar" priority="41">
      <dataBar>
        <cfvo type="min"/>
        <cfvo type="formula" val="$L$19"/>
        <color theme="7" tint="-0.499984740745262"/>
      </dataBar>
      <extLst>
        <ext xmlns:x14="http://schemas.microsoft.com/office/spreadsheetml/2009/9/main" uri="{B025F937-C7B1-47D3-B67F-A62EFF666E3E}">
          <x14:id>{7E1D073C-EBE0-4F73-8650-4F996730661D}</x14:id>
        </ext>
      </extLst>
    </cfRule>
  </conditionalFormatting>
  <conditionalFormatting sqref="M36:M37">
    <cfRule type="dataBar" priority="40">
      <dataBar>
        <cfvo type="min"/>
        <cfvo type="formula" val="$M$19"/>
        <color theme="7" tint="-0.499984740745262"/>
      </dataBar>
      <extLst>
        <ext xmlns:x14="http://schemas.microsoft.com/office/spreadsheetml/2009/9/main" uri="{B025F937-C7B1-47D3-B67F-A62EFF666E3E}">
          <x14:id>{E47DE778-BF9B-447D-A806-FE86EBBDAA5F}</x14:id>
        </ext>
      </extLst>
    </cfRule>
  </conditionalFormatting>
  <conditionalFormatting sqref="N36:N37">
    <cfRule type="dataBar" priority="39">
      <dataBar>
        <cfvo type="min"/>
        <cfvo type="formula" val="$N$19"/>
        <color theme="7" tint="-0.499984740745262"/>
      </dataBar>
      <extLst>
        <ext xmlns:x14="http://schemas.microsoft.com/office/spreadsheetml/2009/9/main" uri="{B025F937-C7B1-47D3-B67F-A62EFF666E3E}">
          <x14:id>{CC78973D-C900-49DC-B469-F71511CF0269}</x14:id>
        </ext>
      </extLst>
    </cfRule>
  </conditionalFormatting>
  <conditionalFormatting sqref="O36:O37">
    <cfRule type="dataBar" priority="38">
      <dataBar>
        <cfvo type="min"/>
        <cfvo type="formula" val="$O$19"/>
        <color theme="7" tint="-0.499984740745262"/>
      </dataBar>
      <extLst>
        <ext xmlns:x14="http://schemas.microsoft.com/office/spreadsheetml/2009/9/main" uri="{B025F937-C7B1-47D3-B67F-A62EFF666E3E}">
          <x14:id>{73F95BA9-3B26-47C9-AFD4-6FB0667B2D53}</x14:id>
        </ext>
      </extLst>
    </cfRule>
  </conditionalFormatting>
  <conditionalFormatting sqref="P36:P37">
    <cfRule type="dataBar" priority="37">
      <dataBar>
        <cfvo type="min"/>
        <cfvo type="formula" val="$P$19"/>
        <color theme="7" tint="-0.499984740745262"/>
      </dataBar>
      <extLst>
        <ext xmlns:x14="http://schemas.microsoft.com/office/spreadsheetml/2009/9/main" uri="{B025F937-C7B1-47D3-B67F-A62EFF666E3E}">
          <x14:id>{E82E1BAB-4721-4142-9289-D5A307696735}</x14:id>
        </ext>
      </extLst>
    </cfRule>
  </conditionalFormatting>
  <conditionalFormatting sqref="Q36:Q37">
    <cfRule type="dataBar" priority="36">
      <dataBar>
        <cfvo type="min"/>
        <cfvo type="formula" val="$Q$19"/>
        <color theme="7" tint="-0.499984740745262"/>
      </dataBar>
      <extLst>
        <ext xmlns:x14="http://schemas.microsoft.com/office/spreadsheetml/2009/9/main" uri="{B025F937-C7B1-47D3-B67F-A62EFF666E3E}">
          <x14:id>{5CEFCBC3-C6C1-4312-9875-B97BB2B46236}</x14:id>
        </ext>
      </extLst>
    </cfRule>
  </conditionalFormatting>
  <conditionalFormatting sqref="R36:R37">
    <cfRule type="dataBar" priority="35">
      <dataBar>
        <cfvo type="min"/>
        <cfvo type="formula" val="$R$19"/>
        <color theme="7" tint="-0.499984740745262"/>
      </dataBar>
      <extLst>
        <ext xmlns:x14="http://schemas.microsoft.com/office/spreadsheetml/2009/9/main" uri="{B025F937-C7B1-47D3-B67F-A62EFF666E3E}">
          <x14:id>{40C116F3-19B8-479E-944A-1DBD3625B70A}</x14:id>
        </ext>
      </extLst>
    </cfRule>
  </conditionalFormatting>
  <conditionalFormatting sqref="S36:S37">
    <cfRule type="dataBar" priority="34">
      <dataBar>
        <cfvo type="min"/>
        <cfvo type="formula" val="$S$19"/>
        <color theme="7" tint="-0.499984740745262"/>
      </dataBar>
      <extLst>
        <ext xmlns:x14="http://schemas.microsoft.com/office/spreadsheetml/2009/9/main" uri="{B025F937-C7B1-47D3-B67F-A62EFF666E3E}">
          <x14:id>{86CFB7FF-CBA3-446C-9047-EE4C1C02C2ED}</x14:id>
        </ext>
      </extLst>
    </cfRule>
  </conditionalFormatting>
  <conditionalFormatting sqref="T36:T37">
    <cfRule type="dataBar" priority="33">
      <dataBar>
        <cfvo type="min"/>
        <cfvo type="formula" val="$T$19"/>
        <color theme="7" tint="-0.499984740745262"/>
      </dataBar>
      <extLst>
        <ext xmlns:x14="http://schemas.microsoft.com/office/spreadsheetml/2009/9/main" uri="{B025F937-C7B1-47D3-B67F-A62EFF666E3E}">
          <x14:id>{2B2A0CFD-406A-4C5C-8082-DE5E0C4538C8}</x14:id>
        </ext>
      </extLst>
    </cfRule>
  </conditionalFormatting>
  <conditionalFormatting sqref="H38:H39">
    <cfRule type="dataBar" priority="32">
      <dataBar>
        <cfvo type="min"/>
        <cfvo type="formula" val="$H$20"/>
        <color rgb="FFFF9393"/>
      </dataBar>
      <extLst>
        <ext xmlns:x14="http://schemas.microsoft.com/office/spreadsheetml/2009/9/main" uri="{B025F937-C7B1-47D3-B67F-A62EFF666E3E}">
          <x14:id>{137245B9-AE5F-44DF-9955-63CDC76174A7}</x14:id>
        </ext>
      </extLst>
    </cfRule>
  </conditionalFormatting>
  <conditionalFormatting sqref="I38:I39">
    <cfRule type="dataBar" priority="31">
      <dataBar>
        <cfvo type="min"/>
        <cfvo type="formula" val="$I$20"/>
        <color rgb="FFFF9393"/>
      </dataBar>
      <extLst>
        <ext xmlns:x14="http://schemas.microsoft.com/office/spreadsheetml/2009/9/main" uri="{B025F937-C7B1-47D3-B67F-A62EFF666E3E}">
          <x14:id>{711C7421-0025-4133-879E-73A221CC56CE}</x14:id>
        </ext>
      </extLst>
    </cfRule>
  </conditionalFormatting>
  <conditionalFormatting sqref="J38:J39">
    <cfRule type="dataBar" priority="19">
      <dataBar>
        <cfvo type="min"/>
        <cfvo type="formula" val="$J$20"/>
        <color rgb="FFFF9393"/>
      </dataBar>
      <extLst>
        <ext xmlns:x14="http://schemas.microsoft.com/office/spreadsheetml/2009/9/main" uri="{B025F937-C7B1-47D3-B67F-A62EFF666E3E}">
          <x14:id>{E1AEFE87-AE44-400D-97B3-4977C06DCA28}</x14:id>
        </ext>
      </extLst>
    </cfRule>
  </conditionalFormatting>
  <conditionalFormatting sqref="K38:K39">
    <cfRule type="dataBar" priority="18">
      <dataBar>
        <cfvo type="min"/>
        <cfvo type="formula" val="$K$20"/>
        <color rgb="FFFF9393"/>
      </dataBar>
      <extLst>
        <ext xmlns:x14="http://schemas.microsoft.com/office/spreadsheetml/2009/9/main" uri="{B025F937-C7B1-47D3-B67F-A62EFF666E3E}">
          <x14:id>{A041DE57-6D85-48EA-AEEB-401509FCE35D}</x14:id>
        </ext>
      </extLst>
    </cfRule>
  </conditionalFormatting>
  <conditionalFormatting sqref="L38:L39">
    <cfRule type="dataBar" priority="17">
      <dataBar>
        <cfvo type="min"/>
        <cfvo type="formula" val="$L$20"/>
        <color rgb="FFFF9393"/>
      </dataBar>
      <extLst>
        <ext xmlns:x14="http://schemas.microsoft.com/office/spreadsheetml/2009/9/main" uri="{B025F937-C7B1-47D3-B67F-A62EFF666E3E}">
          <x14:id>{50727DEB-3C35-4AA9-BAB9-E309E027B010}</x14:id>
        </ext>
      </extLst>
    </cfRule>
  </conditionalFormatting>
  <conditionalFormatting sqref="M38:M39">
    <cfRule type="dataBar" priority="16">
      <dataBar>
        <cfvo type="min"/>
        <cfvo type="formula" val="$M$20"/>
        <color rgb="FFFF9393"/>
      </dataBar>
      <extLst>
        <ext xmlns:x14="http://schemas.microsoft.com/office/spreadsheetml/2009/9/main" uri="{B025F937-C7B1-47D3-B67F-A62EFF666E3E}">
          <x14:id>{F85ADF7B-5F4F-4EEB-BDE2-C17714F0866F}</x14:id>
        </ext>
      </extLst>
    </cfRule>
  </conditionalFormatting>
  <conditionalFormatting sqref="N38:N39">
    <cfRule type="dataBar" priority="15">
      <dataBar>
        <cfvo type="min"/>
        <cfvo type="formula" val="$N$20"/>
        <color rgb="FFFF9393"/>
      </dataBar>
      <extLst>
        <ext xmlns:x14="http://schemas.microsoft.com/office/spreadsheetml/2009/9/main" uri="{B025F937-C7B1-47D3-B67F-A62EFF666E3E}">
          <x14:id>{BE505137-A209-41BD-A8BE-D12943784F0C}</x14:id>
        </ext>
      </extLst>
    </cfRule>
  </conditionalFormatting>
  <conditionalFormatting sqref="O38:O39">
    <cfRule type="dataBar" priority="14">
      <dataBar>
        <cfvo type="min"/>
        <cfvo type="formula" val="$O$20"/>
        <color rgb="FFFF9393"/>
      </dataBar>
      <extLst>
        <ext xmlns:x14="http://schemas.microsoft.com/office/spreadsheetml/2009/9/main" uri="{B025F937-C7B1-47D3-B67F-A62EFF666E3E}">
          <x14:id>{446CA288-939E-43D2-AE60-DDECFB51AF01}</x14:id>
        </ext>
      </extLst>
    </cfRule>
  </conditionalFormatting>
  <conditionalFormatting sqref="P38:P39">
    <cfRule type="dataBar" priority="13">
      <dataBar>
        <cfvo type="min"/>
        <cfvo type="formula" val="$P$20"/>
        <color rgb="FFFF9393"/>
      </dataBar>
      <extLst>
        <ext xmlns:x14="http://schemas.microsoft.com/office/spreadsheetml/2009/9/main" uri="{B025F937-C7B1-47D3-B67F-A62EFF666E3E}">
          <x14:id>{FC1D549D-82DF-43BB-9D18-EA20BB2D29CF}</x14:id>
        </ext>
      </extLst>
    </cfRule>
  </conditionalFormatting>
  <conditionalFormatting sqref="Q38:Q39">
    <cfRule type="dataBar" priority="12">
      <dataBar>
        <cfvo type="min"/>
        <cfvo type="formula" val="$Q$20"/>
        <color rgb="FFFF9393"/>
      </dataBar>
      <extLst>
        <ext xmlns:x14="http://schemas.microsoft.com/office/spreadsheetml/2009/9/main" uri="{B025F937-C7B1-47D3-B67F-A62EFF666E3E}">
          <x14:id>{5383E950-1872-4D70-A43A-41A49A85C7F9}</x14:id>
        </ext>
      </extLst>
    </cfRule>
  </conditionalFormatting>
  <conditionalFormatting sqref="R38:R39">
    <cfRule type="dataBar" priority="11">
      <dataBar>
        <cfvo type="min"/>
        <cfvo type="formula" val="$R$20"/>
        <color rgb="FFFF9393"/>
      </dataBar>
      <extLst>
        <ext xmlns:x14="http://schemas.microsoft.com/office/spreadsheetml/2009/9/main" uri="{B025F937-C7B1-47D3-B67F-A62EFF666E3E}">
          <x14:id>{93B35FB5-0A6F-442F-AEF0-18B9ABE1A057}</x14:id>
        </ext>
      </extLst>
    </cfRule>
  </conditionalFormatting>
  <conditionalFormatting sqref="S38:S39">
    <cfRule type="dataBar" priority="10">
      <dataBar>
        <cfvo type="min"/>
        <cfvo type="formula" val="$S$20"/>
        <color rgb="FFFF9393"/>
      </dataBar>
      <extLst>
        <ext xmlns:x14="http://schemas.microsoft.com/office/spreadsheetml/2009/9/main" uri="{B025F937-C7B1-47D3-B67F-A62EFF666E3E}">
          <x14:id>{33F5D14A-2C69-447E-B490-888B36509E65}</x14:id>
        </ext>
      </extLst>
    </cfRule>
  </conditionalFormatting>
  <conditionalFormatting sqref="T38:T39">
    <cfRule type="dataBar" priority="9">
      <dataBar>
        <cfvo type="min"/>
        <cfvo type="formula" val="$T$20"/>
        <color rgb="FFFF9393"/>
      </dataBar>
      <extLst>
        <ext xmlns:x14="http://schemas.microsoft.com/office/spreadsheetml/2009/9/main" uri="{B025F937-C7B1-47D3-B67F-A62EFF666E3E}">
          <x14:id>{668E502A-5E76-4339-B675-70553771BCBA}</x14:id>
        </ext>
      </extLst>
    </cfRule>
  </conditionalFormatting>
  <conditionalFormatting sqref="G14:G20">
    <cfRule type="dataBar" priority="8">
      <dataBar>
        <cfvo type="min"/>
        <cfvo type="num" val="1"/>
        <color rgb="FFA70D91"/>
      </dataBar>
      <extLst>
        <ext xmlns:x14="http://schemas.microsoft.com/office/spreadsheetml/2009/9/main" uri="{B025F937-C7B1-47D3-B67F-A62EFF666E3E}">
          <x14:id>{927DCEB6-384C-4138-BF2A-13ADE34E71CD}</x14:id>
        </ext>
      </extLst>
    </cfRule>
  </conditionalFormatting>
  <conditionalFormatting sqref="G24:G26">
    <cfRule type="dataBar" priority="6">
      <dataBar>
        <cfvo type="min"/>
        <cfvo type="formula" val="$G$15"/>
        <color rgb="FFFFC000"/>
      </dataBar>
      <extLst>
        <ext xmlns:x14="http://schemas.microsoft.com/office/spreadsheetml/2009/9/main" uri="{B025F937-C7B1-47D3-B67F-A62EFF666E3E}">
          <x14:id>{E4F6201C-EA11-4AE0-AA8A-61549DA71E48}</x14:id>
        </ext>
      </extLst>
    </cfRule>
  </conditionalFormatting>
  <conditionalFormatting sqref="G27:G30">
    <cfRule type="dataBar" priority="5">
      <dataBar>
        <cfvo type="min"/>
        <cfvo type="formula" val="$G$16"/>
        <color theme="9" tint="0.59999389629810485"/>
      </dataBar>
      <extLst>
        <ext xmlns:x14="http://schemas.microsoft.com/office/spreadsheetml/2009/9/main" uri="{B025F937-C7B1-47D3-B67F-A62EFF666E3E}">
          <x14:id>{64FD95F0-D363-40E2-B896-6C7AFD179178}</x14:id>
        </ext>
      </extLst>
    </cfRule>
  </conditionalFormatting>
  <conditionalFormatting sqref="G31:G33">
    <cfRule type="dataBar" priority="4">
      <dataBar>
        <cfvo type="min"/>
        <cfvo type="formula" val="$G$17"/>
        <color rgb="FF638EC6"/>
      </dataBar>
      <extLst>
        <ext xmlns:x14="http://schemas.microsoft.com/office/spreadsheetml/2009/9/main" uri="{B025F937-C7B1-47D3-B67F-A62EFF666E3E}">
          <x14:id>{784E8C0B-87D0-484D-B324-BF0B755EB0BC}</x14:id>
        </ext>
      </extLst>
    </cfRule>
  </conditionalFormatting>
  <conditionalFormatting sqref="G34:G35">
    <cfRule type="dataBar" priority="3">
      <dataBar>
        <cfvo type="min"/>
        <cfvo type="formula" val="$G$18"/>
        <color theme="5" tint="-0.249977111117893"/>
      </dataBar>
      <extLst>
        <ext xmlns:x14="http://schemas.microsoft.com/office/spreadsheetml/2009/9/main" uri="{B025F937-C7B1-47D3-B67F-A62EFF666E3E}">
          <x14:id>{AB7AF8C3-8683-4843-AF4B-AB3E108D57ED}</x14:id>
        </ext>
      </extLst>
    </cfRule>
  </conditionalFormatting>
  <conditionalFormatting sqref="G36:G37">
    <cfRule type="dataBar" priority="2">
      <dataBar>
        <cfvo type="min"/>
        <cfvo type="formula" val="$G$19"/>
        <color theme="7" tint="-0.499984740745262"/>
      </dataBar>
      <extLst>
        <ext xmlns:x14="http://schemas.microsoft.com/office/spreadsheetml/2009/9/main" uri="{B025F937-C7B1-47D3-B67F-A62EFF666E3E}">
          <x14:id>{29D715BD-0949-4779-BBD6-D2B3AC82B3DD}</x14:id>
        </ext>
      </extLst>
    </cfRule>
  </conditionalFormatting>
  <conditionalFormatting sqref="G38:G39">
    <cfRule type="dataBar" priority="1">
      <dataBar>
        <cfvo type="min"/>
        <cfvo type="formula" val="$G$20"/>
        <color rgb="FFFF9393"/>
      </dataBar>
      <extLst>
        <ext xmlns:x14="http://schemas.microsoft.com/office/spreadsheetml/2009/9/main" uri="{B025F937-C7B1-47D3-B67F-A62EFF666E3E}">
          <x14:id>{F075BFDC-5CF8-4E18-A2E1-EA00B8D1EB81}</x14:id>
        </ext>
      </extLst>
    </cfRule>
  </conditionalFormatting>
  <conditionalFormatting sqref="U21:U23">
    <cfRule type="dataBar" priority="183">
      <dataBar>
        <cfvo type="min"/>
        <cfvo type="max"/>
        <color rgb="FF6CA6DA"/>
      </dataBar>
      <extLst>
        <ext xmlns:x14="http://schemas.microsoft.com/office/spreadsheetml/2009/9/main" uri="{B025F937-C7B1-47D3-B67F-A62EFF666E3E}">
          <x14:id>{3A8F4156-F779-4611-B418-E9133A287759}</x14:id>
        </ext>
      </extLst>
    </cfRule>
  </conditionalFormatting>
  <conditionalFormatting sqref="V21:V23">
    <cfRule type="dataBar" priority="184">
      <dataBar>
        <cfvo type="min"/>
        <cfvo type="max"/>
        <color rgb="FF6CA6DA"/>
      </dataBar>
      <extLst>
        <ext xmlns:x14="http://schemas.microsoft.com/office/spreadsheetml/2009/9/main" uri="{B025F937-C7B1-47D3-B67F-A62EFF666E3E}">
          <x14:id>{5ACE6DA8-E8AD-4F73-ADDA-3E71803F7A75}</x14:id>
        </ext>
      </extLst>
    </cfRule>
  </conditionalFormatting>
  <conditionalFormatting sqref="H21:H23">
    <cfRule type="dataBar" priority="185">
      <dataBar>
        <cfvo type="min"/>
        <cfvo type="formula" val="$H$14"/>
        <color theme="9" tint="-0.249977111117893"/>
      </dataBar>
      <extLst>
        <ext xmlns:x14="http://schemas.microsoft.com/office/spreadsheetml/2009/9/main" uri="{B025F937-C7B1-47D3-B67F-A62EFF666E3E}">
          <x14:id>{7627143A-B57A-4904-AA0B-0C12F911232B}</x14:id>
        </ext>
      </extLst>
    </cfRule>
  </conditionalFormatting>
  <conditionalFormatting sqref="I21:I23">
    <cfRule type="dataBar" priority="186">
      <dataBar>
        <cfvo type="min"/>
        <cfvo type="formula" val="$I$14"/>
        <color theme="9" tint="-0.249977111117893"/>
      </dataBar>
      <extLst>
        <ext xmlns:x14="http://schemas.microsoft.com/office/spreadsheetml/2009/9/main" uri="{B025F937-C7B1-47D3-B67F-A62EFF666E3E}">
          <x14:id>{4712A265-1893-439E-A1F8-F66964E80FA6}</x14:id>
        </ext>
      </extLst>
    </cfRule>
  </conditionalFormatting>
  <conditionalFormatting sqref="J21:J23">
    <cfRule type="dataBar" priority="187">
      <dataBar>
        <cfvo type="min"/>
        <cfvo type="formula" val="$J$14"/>
        <color theme="9" tint="-0.249977111117893"/>
      </dataBar>
      <extLst>
        <ext xmlns:x14="http://schemas.microsoft.com/office/spreadsheetml/2009/9/main" uri="{B025F937-C7B1-47D3-B67F-A62EFF666E3E}">
          <x14:id>{EF9B5325-437D-47D0-884B-552E714F0269}</x14:id>
        </ext>
      </extLst>
    </cfRule>
  </conditionalFormatting>
  <conditionalFormatting sqref="K21:K23">
    <cfRule type="dataBar" priority="188">
      <dataBar>
        <cfvo type="min"/>
        <cfvo type="formula" val="$K$14"/>
        <color theme="9" tint="-0.249977111117893"/>
      </dataBar>
      <extLst>
        <ext xmlns:x14="http://schemas.microsoft.com/office/spreadsheetml/2009/9/main" uri="{B025F937-C7B1-47D3-B67F-A62EFF666E3E}">
          <x14:id>{8A968F30-EE57-4BEA-BF30-65EC113B36AC}</x14:id>
        </ext>
      </extLst>
    </cfRule>
  </conditionalFormatting>
  <conditionalFormatting sqref="L21:L23">
    <cfRule type="dataBar" priority="189">
      <dataBar>
        <cfvo type="min"/>
        <cfvo type="formula" val="$L$14"/>
        <color theme="9" tint="-0.249977111117893"/>
      </dataBar>
      <extLst>
        <ext xmlns:x14="http://schemas.microsoft.com/office/spreadsheetml/2009/9/main" uri="{B025F937-C7B1-47D3-B67F-A62EFF666E3E}">
          <x14:id>{AC12E118-162E-49E7-90C5-690AC85DF875}</x14:id>
        </ext>
      </extLst>
    </cfRule>
  </conditionalFormatting>
  <conditionalFormatting sqref="M21:M23">
    <cfRule type="dataBar" priority="190">
      <dataBar>
        <cfvo type="min"/>
        <cfvo type="formula" val="$M$14"/>
        <color theme="9" tint="-0.249977111117893"/>
      </dataBar>
      <extLst>
        <ext xmlns:x14="http://schemas.microsoft.com/office/spreadsheetml/2009/9/main" uri="{B025F937-C7B1-47D3-B67F-A62EFF666E3E}">
          <x14:id>{4E676C8E-C436-4A21-9311-82631626E4CD}</x14:id>
        </ext>
      </extLst>
    </cfRule>
  </conditionalFormatting>
  <conditionalFormatting sqref="N21:N23">
    <cfRule type="dataBar" priority="191">
      <dataBar>
        <cfvo type="min"/>
        <cfvo type="formula" val="$N$14"/>
        <color theme="9" tint="-0.249977111117893"/>
      </dataBar>
      <extLst>
        <ext xmlns:x14="http://schemas.microsoft.com/office/spreadsheetml/2009/9/main" uri="{B025F937-C7B1-47D3-B67F-A62EFF666E3E}">
          <x14:id>{10D7C73F-4A65-40E3-9569-BB9E2651F8A6}</x14:id>
        </ext>
      </extLst>
    </cfRule>
  </conditionalFormatting>
  <conditionalFormatting sqref="O21:O23">
    <cfRule type="dataBar" priority="192">
      <dataBar>
        <cfvo type="min"/>
        <cfvo type="formula" val="$O$14"/>
        <color theme="9" tint="-0.249977111117893"/>
      </dataBar>
      <extLst>
        <ext xmlns:x14="http://schemas.microsoft.com/office/spreadsheetml/2009/9/main" uri="{B025F937-C7B1-47D3-B67F-A62EFF666E3E}">
          <x14:id>{6ECC19C7-594D-453B-897E-4E0E4E23E31D}</x14:id>
        </ext>
      </extLst>
    </cfRule>
  </conditionalFormatting>
  <conditionalFormatting sqref="P21:P23">
    <cfRule type="dataBar" priority="193">
      <dataBar>
        <cfvo type="min"/>
        <cfvo type="formula" val="$P$14"/>
        <color theme="9" tint="-0.249977111117893"/>
      </dataBar>
      <extLst>
        <ext xmlns:x14="http://schemas.microsoft.com/office/spreadsheetml/2009/9/main" uri="{B025F937-C7B1-47D3-B67F-A62EFF666E3E}">
          <x14:id>{86460233-794A-42C1-90C2-95C11E30D5E5}</x14:id>
        </ext>
      </extLst>
    </cfRule>
  </conditionalFormatting>
  <conditionalFormatting sqref="Q21:Q23">
    <cfRule type="dataBar" priority="194">
      <dataBar>
        <cfvo type="min"/>
        <cfvo type="formula" val="$Q$14"/>
        <color theme="9" tint="-0.249977111117893"/>
      </dataBar>
      <extLst>
        <ext xmlns:x14="http://schemas.microsoft.com/office/spreadsheetml/2009/9/main" uri="{B025F937-C7B1-47D3-B67F-A62EFF666E3E}">
          <x14:id>{86C17A00-D2B8-44CA-AF6C-60C05D2D4145}</x14:id>
        </ext>
      </extLst>
    </cfRule>
  </conditionalFormatting>
  <conditionalFormatting sqref="R21:R23">
    <cfRule type="dataBar" priority="195">
      <dataBar>
        <cfvo type="min"/>
        <cfvo type="formula" val="$R$14"/>
        <color theme="9" tint="-0.249977111117893"/>
      </dataBar>
      <extLst>
        <ext xmlns:x14="http://schemas.microsoft.com/office/spreadsheetml/2009/9/main" uri="{B025F937-C7B1-47D3-B67F-A62EFF666E3E}">
          <x14:id>{775C530F-9614-4134-808C-85ADFEF5D4BF}</x14:id>
        </ext>
      </extLst>
    </cfRule>
  </conditionalFormatting>
  <conditionalFormatting sqref="S21:S23">
    <cfRule type="dataBar" priority="196">
      <dataBar>
        <cfvo type="min"/>
        <cfvo type="formula" val="$S$14"/>
        <color theme="9" tint="-0.249977111117893"/>
      </dataBar>
      <extLst>
        <ext xmlns:x14="http://schemas.microsoft.com/office/spreadsheetml/2009/9/main" uri="{B025F937-C7B1-47D3-B67F-A62EFF666E3E}">
          <x14:id>{A3260C55-D2FB-4E38-A2E5-A93DA4364C6E}</x14:id>
        </ext>
      </extLst>
    </cfRule>
  </conditionalFormatting>
  <conditionalFormatting sqref="T21:T23">
    <cfRule type="dataBar" priority="197">
      <dataBar>
        <cfvo type="min"/>
        <cfvo type="formula" val="$T$14"/>
        <color theme="9" tint="-0.249977111117893"/>
      </dataBar>
      <extLst>
        <ext xmlns:x14="http://schemas.microsoft.com/office/spreadsheetml/2009/9/main" uri="{B025F937-C7B1-47D3-B67F-A62EFF666E3E}">
          <x14:id>{A089CFD8-9EF4-473D-A364-92DAD1700763}</x14:id>
        </ext>
      </extLst>
    </cfRule>
  </conditionalFormatting>
  <conditionalFormatting sqref="G21:G23">
    <cfRule type="dataBar" priority="198">
      <dataBar>
        <cfvo type="min"/>
        <cfvo type="formula" val="$G$14"/>
        <color theme="9" tint="-0.249977111117893"/>
      </dataBar>
      <extLst>
        <ext xmlns:x14="http://schemas.microsoft.com/office/spreadsheetml/2009/9/main" uri="{B025F937-C7B1-47D3-B67F-A62EFF666E3E}">
          <x14:id>{D89F4D0D-9409-4E85-B578-848D3E1F46C0}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9D69522-B767-4541-B2C3-1E9EC35E96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U15:U20</xm:sqref>
        </x14:conditionalFormatting>
        <x14:conditionalFormatting xmlns:xm="http://schemas.microsoft.com/office/excel/2006/main">
          <x14:cfRule type="dataBar" id="{8BC8D1C5-C101-4534-B175-4B30E5931E0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U14:U20</xm:sqref>
        </x14:conditionalFormatting>
        <x14:conditionalFormatting xmlns:xm="http://schemas.microsoft.com/office/excel/2006/main">
          <x14:cfRule type="dataBar" id="{CC354A88-4763-4F29-AD7D-E97A92E8F0E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U27:U30</xm:sqref>
        </x14:conditionalFormatting>
        <x14:conditionalFormatting xmlns:xm="http://schemas.microsoft.com/office/excel/2006/main">
          <x14:cfRule type="dataBar" id="{9ED0D5E2-5049-4946-84FF-9CE31E08BBA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U31:U33</xm:sqref>
        </x14:conditionalFormatting>
        <x14:conditionalFormatting xmlns:xm="http://schemas.microsoft.com/office/excel/2006/main">
          <x14:cfRule type="dataBar" id="{56D0D512-18DE-4702-82AC-F65969CD4D9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U34:U35</xm:sqref>
        </x14:conditionalFormatting>
        <x14:conditionalFormatting xmlns:xm="http://schemas.microsoft.com/office/excel/2006/main">
          <x14:cfRule type="dataBar" id="{4D9CA4F2-642A-483E-A1BC-AE92E7645DD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U36:U39</xm:sqref>
        </x14:conditionalFormatting>
        <x14:conditionalFormatting xmlns:xm="http://schemas.microsoft.com/office/excel/2006/main">
          <x14:cfRule type="dataBar" id="{CFCB0288-BA15-41C9-9C0C-E686D22E484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V15:V20</xm:sqref>
        </x14:conditionalFormatting>
        <x14:conditionalFormatting xmlns:xm="http://schemas.microsoft.com/office/excel/2006/main">
          <x14:cfRule type="dataBar" id="{3452D423-CCB2-4437-8F0D-F16AB08EB8F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V14:V20</xm:sqref>
        </x14:conditionalFormatting>
        <x14:conditionalFormatting xmlns:xm="http://schemas.microsoft.com/office/excel/2006/main">
          <x14:cfRule type="dataBar" id="{E3589DBE-87D5-4C85-B54B-1105A8DC9CB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V27:V30</xm:sqref>
        </x14:conditionalFormatting>
        <x14:conditionalFormatting xmlns:xm="http://schemas.microsoft.com/office/excel/2006/main">
          <x14:cfRule type="dataBar" id="{462B87EA-A210-43C2-8501-258634FC18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V31:V33</xm:sqref>
        </x14:conditionalFormatting>
        <x14:conditionalFormatting xmlns:xm="http://schemas.microsoft.com/office/excel/2006/main">
          <x14:cfRule type="dataBar" id="{6505997D-86E4-4B2D-8A04-C04D1ED5301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V34:V35</xm:sqref>
        </x14:conditionalFormatting>
        <x14:conditionalFormatting xmlns:xm="http://schemas.microsoft.com/office/excel/2006/main">
          <x14:cfRule type="dataBar" id="{C6BF4AD4-8BA6-4B70-8FE5-CB94B6770CCD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H14:H20</xm:sqref>
        </x14:conditionalFormatting>
        <x14:conditionalFormatting xmlns:xm="http://schemas.microsoft.com/office/excel/2006/main">
          <x14:cfRule type="dataBar" id="{0CF0D41E-F2AE-410B-ADAA-2D9B168E3D02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I14:I20</xm:sqref>
        </x14:conditionalFormatting>
        <x14:conditionalFormatting xmlns:xm="http://schemas.microsoft.com/office/excel/2006/main">
          <x14:cfRule type="dataBar" id="{181AC7B3-EB85-4B78-B01C-47A64C5BCB1C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J14:J20</xm:sqref>
        </x14:conditionalFormatting>
        <x14:conditionalFormatting xmlns:xm="http://schemas.microsoft.com/office/excel/2006/main">
          <x14:cfRule type="dataBar" id="{C1BAC3EF-2CB2-4944-9DA8-48495422EE46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K14:K20</xm:sqref>
        </x14:conditionalFormatting>
        <x14:conditionalFormatting xmlns:xm="http://schemas.microsoft.com/office/excel/2006/main">
          <x14:cfRule type="dataBar" id="{38258051-2DD3-4A83-9924-90F7A706D238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L14:L20</xm:sqref>
        </x14:conditionalFormatting>
        <x14:conditionalFormatting xmlns:xm="http://schemas.microsoft.com/office/excel/2006/main">
          <x14:cfRule type="dataBar" id="{7605781C-6ED2-4453-B03B-C00DAB208F25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M14:M20</xm:sqref>
        </x14:conditionalFormatting>
        <x14:conditionalFormatting xmlns:xm="http://schemas.microsoft.com/office/excel/2006/main">
          <x14:cfRule type="dataBar" id="{0579D507-74D3-415D-B7EE-9FB6E1A76685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N14:N20</xm:sqref>
        </x14:conditionalFormatting>
        <x14:conditionalFormatting xmlns:xm="http://schemas.microsoft.com/office/excel/2006/main">
          <x14:cfRule type="dataBar" id="{7EA668B1-4CB6-4318-9E1F-005E43AF0F10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O14:O20</xm:sqref>
        </x14:conditionalFormatting>
        <x14:conditionalFormatting xmlns:xm="http://schemas.microsoft.com/office/excel/2006/main">
          <x14:cfRule type="dataBar" id="{0B72C979-6FAC-4CE5-A98E-B026ED3A310F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P14:P20</xm:sqref>
        </x14:conditionalFormatting>
        <x14:conditionalFormatting xmlns:xm="http://schemas.microsoft.com/office/excel/2006/main">
          <x14:cfRule type="dataBar" id="{C69696FB-586A-479C-BE5B-4372B08D1E51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Q14:Q20</xm:sqref>
        </x14:conditionalFormatting>
        <x14:conditionalFormatting xmlns:xm="http://schemas.microsoft.com/office/excel/2006/main">
          <x14:cfRule type="dataBar" id="{1588AABD-3E7F-4072-ACBE-451D7FDB6B41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R14:R20</xm:sqref>
        </x14:conditionalFormatting>
        <x14:conditionalFormatting xmlns:xm="http://schemas.microsoft.com/office/excel/2006/main">
          <x14:cfRule type="dataBar" id="{BABC5C19-CEF4-40CB-85E6-0F08659A646D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S14:S20</xm:sqref>
        </x14:conditionalFormatting>
        <x14:conditionalFormatting xmlns:xm="http://schemas.microsoft.com/office/excel/2006/main">
          <x14:cfRule type="dataBar" id="{E6884EC5-4821-4A8F-9F7A-0A8AED226CD2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T14:T20</xm:sqref>
        </x14:conditionalFormatting>
        <x14:conditionalFormatting xmlns:xm="http://schemas.microsoft.com/office/excel/2006/main">
          <x14:cfRule type="dataBar" id="{E45EF0EA-231F-4674-A2C7-2DDBA899014A}">
            <x14:dataBar minLength="0" maxLength="100" gradient="0">
              <x14:cfvo type="autoMin"/>
              <x14:cfvo type="formula">
                <xm:f>$H$16</xm:f>
              </x14:cfvo>
              <x14:negativeFillColor rgb="FFFF0000"/>
              <x14:axisColor rgb="FF000000"/>
            </x14:dataBar>
          </x14:cfRule>
          <xm:sqref>H27:H30</xm:sqref>
        </x14:conditionalFormatting>
        <x14:conditionalFormatting xmlns:xm="http://schemas.microsoft.com/office/excel/2006/main">
          <x14:cfRule type="dataBar" id="{58992366-8CEF-4B7E-B470-7A4970B70EE6}">
            <x14:dataBar minLength="0" maxLength="100" gradient="0">
              <x14:cfvo type="autoMin"/>
              <x14:cfvo type="formula">
                <xm:f>$I$16</xm:f>
              </x14:cfvo>
              <x14:negativeFillColor rgb="FFFF0000"/>
              <x14:axisColor rgb="FF000000"/>
            </x14:dataBar>
          </x14:cfRule>
          <xm:sqref>I27:I30</xm:sqref>
        </x14:conditionalFormatting>
        <x14:conditionalFormatting xmlns:xm="http://schemas.microsoft.com/office/excel/2006/main">
          <x14:cfRule type="dataBar" id="{E840E780-AD2F-45F4-B53E-48531C7D168C}">
            <x14:dataBar minLength="0" maxLength="100" gradient="0">
              <x14:cfvo type="autoMin"/>
              <x14:cfvo type="formula">
                <xm:f>$J$16</xm:f>
              </x14:cfvo>
              <x14:negativeFillColor rgb="FFFF0000"/>
              <x14:axisColor rgb="FF000000"/>
            </x14:dataBar>
          </x14:cfRule>
          <xm:sqref>J27:J30</xm:sqref>
        </x14:conditionalFormatting>
        <x14:conditionalFormatting xmlns:xm="http://schemas.microsoft.com/office/excel/2006/main">
          <x14:cfRule type="dataBar" id="{9FC9A20F-A449-4387-8BD6-6EE6B952D734}">
            <x14:dataBar minLength="0" maxLength="100" gradient="0">
              <x14:cfvo type="autoMin"/>
              <x14:cfvo type="formula">
                <xm:f>$K$16</xm:f>
              </x14:cfvo>
              <x14:negativeFillColor rgb="FFFF0000"/>
              <x14:axisColor rgb="FF000000"/>
            </x14:dataBar>
          </x14:cfRule>
          <xm:sqref>K27:K30</xm:sqref>
        </x14:conditionalFormatting>
        <x14:conditionalFormatting xmlns:xm="http://schemas.microsoft.com/office/excel/2006/main">
          <x14:cfRule type="dataBar" id="{351CC99C-5B5F-467C-9EAC-67B5CCB7BCAE}">
            <x14:dataBar minLength="0" maxLength="100" gradient="0">
              <x14:cfvo type="autoMin"/>
              <x14:cfvo type="formula">
                <xm:f>$L$16</xm:f>
              </x14:cfvo>
              <x14:negativeFillColor rgb="FFFF0000"/>
              <x14:axisColor rgb="FF000000"/>
            </x14:dataBar>
          </x14:cfRule>
          <xm:sqref>L27:L30</xm:sqref>
        </x14:conditionalFormatting>
        <x14:conditionalFormatting xmlns:xm="http://schemas.microsoft.com/office/excel/2006/main">
          <x14:cfRule type="dataBar" id="{0B57EFE2-F53F-408C-81B2-F2BC3CE6847D}">
            <x14:dataBar minLength="0" maxLength="100" gradient="0">
              <x14:cfvo type="autoMin"/>
              <x14:cfvo type="formula">
                <xm:f>$M$16</xm:f>
              </x14:cfvo>
              <x14:negativeFillColor rgb="FFFF0000"/>
              <x14:axisColor rgb="FF000000"/>
            </x14:dataBar>
          </x14:cfRule>
          <xm:sqref>M27:M30</xm:sqref>
        </x14:conditionalFormatting>
        <x14:conditionalFormatting xmlns:xm="http://schemas.microsoft.com/office/excel/2006/main">
          <x14:cfRule type="dataBar" id="{EFE552B9-7638-4CC2-8BA2-94230F26FF08}">
            <x14:dataBar minLength="0" maxLength="100" gradient="0">
              <x14:cfvo type="autoMin"/>
              <x14:cfvo type="formula">
                <xm:f>$N$16</xm:f>
              </x14:cfvo>
              <x14:negativeFillColor rgb="FFFF0000"/>
              <x14:axisColor rgb="FF000000"/>
            </x14:dataBar>
          </x14:cfRule>
          <xm:sqref>N27:N30</xm:sqref>
        </x14:conditionalFormatting>
        <x14:conditionalFormatting xmlns:xm="http://schemas.microsoft.com/office/excel/2006/main">
          <x14:cfRule type="dataBar" id="{6427036F-94EB-465E-9C9B-C271C746FF0E}">
            <x14:dataBar minLength="0" maxLength="100" gradient="0">
              <x14:cfvo type="autoMin"/>
              <x14:cfvo type="formula">
                <xm:f>$O$16</xm:f>
              </x14:cfvo>
              <x14:negativeFillColor rgb="FFFF0000"/>
              <x14:axisColor rgb="FF000000"/>
            </x14:dataBar>
          </x14:cfRule>
          <xm:sqref>O27:O30</xm:sqref>
        </x14:conditionalFormatting>
        <x14:conditionalFormatting xmlns:xm="http://schemas.microsoft.com/office/excel/2006/main">
          <x14:cfRule type="dataBar" id="{15647759-A8CA-4D54-9D07-A50A2D9FF5D3}">
            <x14:dataBar minLength="0" maxLength="100" gradient="0">
              <x14:cfvo type="autoMin"/>
              <x14:cfvo type="formula">
                <xm:f>$P$16</xm:f>
              </x14:cfvo>
              <x14:negativeFillColor rgb="FFFF0000"/>
              <x14:axisColor rgb="FF000000"/>
            </x14:dataBar>
          </x14:cfRule>
          <xm:sqref>P27:P30</xm:sqref>
        </x14:conditionalFormatting>
        <x14:conditionalFormatting xmlns:xm="http://schemas.microsoft.com/office/excel/2006/main">
          <x14:cfRule type="dataBar" id="{9DD5B6C1-7715-4FBA-AE22-02DDCC658013}">
            <x14:dataBar minLength="0" maxLength="100" gradient="0">
              <x14:cfvo type="autoMin"/>
              <x14:cfvo type="formula">
                <xm:f>$Q$16</xm:f>
              </x14:cfvo>
              <x14:negativeFillColor rgb="FFFF0000"/>
              <x14:axisColor rgb="FF000000"/>
            </x14:dataBar>
          </x14:cfRule>
          <xm:sqref>Q27:Q30</xm:sqref>
        </x14:conditionalFormatting>
        <x14:conditionalFormatting xmlns:xm="http://schemas.microsoft.com/office/excel/2006/main">
          <x14:cfRule type="dataBar" id="{8BE69BC2-7462-4AE0-B928-15AD9FBFAA86}">
            <x14:dataBar minLength="0" maxLength="100" gradient="0">
              <x14:cfvo type="autoMin"/>
              <x14:cfvo type="formula">
                <xm:f>$R$16</xm:f>
              </x14:cfvo>
              <x14:negativeFillColor rgb="FFFF0000"/>
              <x14:axisColor rgb="FF000000"/>
            </x14:dataBar>
          </x14:cfRule>
          <xm:sqref>R27:R30</xm:sqref>
        </x14:conditionalFormatting>
        <x14:conditionalFormatting xmlns:xm="http://schemas.microsoft.com/office/excel/2006/main">
          <x14:cfRule type="dataBar" id="{A5434E93-D66B-4AAD-9694-82FE3D09073D}">
            <x14:dataBar minLength="0" maxLength="100" gradient="0">
              <x14:cfvo type="autoMin"/>
              <x14:cfvo type="formula">
                <xm:f>$S$16</xm:f>
              </x14:cfvo>
              <x14:negativeFillColor rgb="FFFF0000"/>
              <x14:axisColor rgb="FF000000"/>
            </x14:dataBar>
          </x14:cfRule>
          <xm:sqref>S27:S30</xm:sqref>
        </x14:conditionalFormatting>
        <x14:conditionalFormatting xmlns:xm="http://schemas.microsoft.com/office/excel/2006/main">
          <x14:cfRule type="dataBar" id="{3453F8F3-AD35-4CD9-A634-1CEBA7267EAD}">
            <x14:dataBar minLength="0" maxLength="100" gradient="0">
              <x14:cfvo type="autoMin"/>
              <x14:cfvo type="formula">
                <xm:f>$T$16</xm:f>
              </x14:cfvo>
              <x14:negativeFillColor rgb="FFFF0000"/>
              <x14:axisColor rgb="FF000000"/>
            </x14:dataBar>
          </x14:cfRule>
          <xm:sqref>T27:T30</xm:sqref>
        </x14:conditionalFormatting>
        <x14:conditionalFormatting xmlns:xm="http://schemas.microsoft.com/office/excel/2006/main">
          <x14:cfRule type="dataBar" id="{8A8ABB63-A613-4474-8D89-743B1643A22F}">
            <x14:dataBar minLength="0" maxLength="100" gradient="0">
              <x14:cfvo type="autoMin"/>
              <x14:cfvo type="formula">
                <xm:f>$H$17</xm:f>
              </x14:cfvo>
              <x14:negativeFillColor rgb="FFFF0000"/>
              <x14:axisColor rgb="FF000000"/>
            </x14:dataBar>
          </x14:cfRule>
          <xm:sqref>H31:H33</xm:sqref>
        </x14:conditionalFormatting>
        <x14:conditionalFormatting xmlns:xm="http://schemas.microsoft.com/office/excel/2006/main">
          <x14:cfRule type="dataBar" id="{BBA764B3-1E98-4ED0-A7DC-5B0F71953506}">
            <x14:dataBar minLength="0" maxLength="100" gradient="0">
              <x14:cfvo type="autoMin"/>
              <x14:cfvo type="formula">
                <xm:f>$I$17</xm:f>
              </x14:cfvo>
              <x14:negativeFillColor rgb="FFFF0000"/>
              <x14:axisColor rgb="FF000000"/>
            </x14:dataBar>
          </x14:cfRule>
          <xm:sqref>I31:I33</xm:sqref>
        </x14:conditionalFormatting>
        <x14:conditionalFormatting xmlns:xm="http://schemas.microsoft.com/office/excel/2006/main">
          <x14:cfRule type="dataBar" id="{F9D99AC6-223B-4D8E-B383-275DAB3DF28A}">
            <x14:dataBar minLength="0" maxLength="100" gradient="0">
              <x14:cfvo type="autoMin"/>
              <x14:cfvo type="formula">
                <xm:f>$J$17</xm:f>
              </x14:cfvo>
              <x14:negativeFillColor rgb="FFFF0000"/>
              <x14:axisColor rgb="FF000000"/>
            </x14:dataBar>
          </x14:cfRule>
          <xm:sqref>J31:J33</xm:sqref>
        </x14:conditionalFormatting>
        <x14:conditionalFormatting xmlns:xm="http://schemas.microsoft.com/office/excel/2006/main">
          <x14:cfRule type="dataBar" id="{E0B136BE-ADA0-4F5C-87A5-641ECF970846}">
            <x14:dataBar minLength="0" maxLength="100" gradient="0">
              <x14:cfvo type="autoMin"/>
              <x14:cfvo type="formula">
                <xm:f>$K$17</xm:f>
              </x14:cfvo>
              <x14:negativeFillColor rgb="FFFF0000"/>
              <x14:axisColor rgb="FF000000"/>
            </x14:dataBar>
          </x14:cfRule>
          <xm:sqref>K31:K33</xm:sqref>
        </x14:conditionalFormatting>
        <x14:conditionalFormatting xmlns:xm="http://schemas.microsoft.com/office/excel/2006/main">
          <x14:cfRule type="dataBar" id="{C45446B5-8565-408C-9194-156EC574BFC2}">
            <x14:dataBar minLength="0" maxLength="100" gradient="0">
              <x14:cfvo type="autoMin"/>
              <x14:cfvo type="formula">
                <xm:f>$L$17</xm:f>
              </x14:cfvo>
              <x14:negativeFillColor rgb="FFFF0000"/>
              <x14:axisColor rgb="FF000000"/>
            </x14:dataBar>
          </x14:cfRule>
          <xm:sqref>L31:L33</xm:sqref>
        </x14:conditionalFormatting>
        <x14:conditionalFormatting xmlns:xm="http://schemas.microsoft.com/office/excel/2006/main">
          <x14:cfRule type="dataBar" id="{413394D9-A9A4-42CF-8B87-2BB680C54FFF}">
            <x14:dataBar minLength="0" maxLength="100" gradient="0">
              <x14:cfvo type="autoMin"/>
              <x14:cfvo type="formula">
                <xm:f>$M$17</xm:f>
              </x14:cfvo>
              <x14:negativeFillColor rgb="FFFF0000"/>
              <x14:axisColor rgb="FF000000"/>
            </x14:dataBar>
          </x14:cfRule>
          <xm:sqref>M31:M33</xm:sqref>
        </x14:conditionalFormatting>
        <x14:conditionalFormatting xmlns:xm="http://schemas.microsoft.com/office/excel/2006/main">
          <x14:cfRule type="dataBar" id="{616E0B1C-9F9C-4C5F-8C48-C2BAEB07E78A}">
            <x14:dataBar minLength="0" maxLength="100" gradient="0">
              <x14:cfvo type="autoMin"/>
              <x14:cfvo type="formula">
                <xm:f>$N$17</xm:f>
              </x14:cfvo>
              <x14:negativeFillColor rgb="FFFF0000"/>
              <x14:axisColor rgb="FF000000"/>
            </x14:dataBar>
          </x14:cfRule>
          <xm:sqref>N31:N33</xm:sqref>
        </x14:conditionalFormatting>
        <x14:conditionalFormatting xmlns:xm="http://schemas.microsoft.com/office/excel/2006/main">
          <x14:cfRule type="dataBar" id="{EFE68455-194A-4E1D-9282-465F964221C8}">
            <x14:dataBar minLength="0" maxLength="100" gradient="0">
              <x14:cfvo type="autoMin"/>
              <x14:cfvo type="formula">
                <xm:f>$O$17</xm:f>
              </x14:cfvo>
              <x14:negativeFillColor rgb="FFFF0000"/>
              <x14:axisColor rgb="FF000000"/>
            </x14:dataBar>
          </x14:cfRule>
          <xm:sqref>O31:O33</xm:sqref>
        </x14:conditionalFormatting>
        <x14:conditionalFormatting xmlns:xm="http://schemas.microsoft.com/office/excel/2006/main">
          <x14:cfRule type="dataBar" id="{03F08A77-755B-4925-B529-AC956AFA19E4}">
            <x14:dataBar minLength="0" maxLength="100" gradient="0">
              <x14:cfvo type="autoMin"/>
              <x14:cfvo type="formula">
                <xm:f>$P$17</xm:f>
              </x14:cfvo>
              <x14:negativeFillColor rgb="FFFF0000"/>
              <x14:axisColor rgb="FF000000"/>
            </x14:dataBar>
          </x14:cfRule>
          <xm:sqref>P31:P33</xm:sqref>
        </x14:conditionalFormatting>
        <x14:conditionalFormatting xmlns:xm="http://schemas.microsoft.com/office/excel/2006/main">
          <x14:cfRule type="dataBar" id="{D54E09C4-3C24-44F9-B88C-2C1203A6F12A}">
            <x14:dataBar minLength="0" maxLength="100" gradient="0">
              <x14:cfvo type="autoMin"/>
              <x14:cfvo type="formula">
                <xm:f>$Q$17</xm:f>
              </x14:cfvo>
              <x14:negativeFillColor rgb="FFFF0000"/>
              <x14:axisColor rgb="FF000000"/>
            </x14:dataBar>
          </x14:cfRule>
          <xm:sqref>Q31:Q33</xm:sqref>
        </x14:conditionalFormatting>
        <x14:conditionalFormatting xmlns:xm="http://schemas.microsoft.com/office/excel/2006/main">
          <x14:cfRule type="dataBar" id="{4459D1A3-1356-4DD5-985C-04AEB25C9625}">
            <x14:dataBar minLength="0" maxLength="100" gradient="0">
              <x14:cfvo type="autoMin"/>
              <x14:cfvo type="formula">
                <xm:f>$R$17</xm:f>
              </x14:cfvo>
              <x14:negativeFillColor rgb="FFFF0000"/>
              <x14:axisColor rgb="FF000000"/>
            </x14:dataBar>
          </x14:cfRule>
          <xm:sqref>R31:R33</xm:sqref>
        </x14:conditionalFormatting>
        <x14:conditionalFormatting xmlns:xm="http://schemas.microsoft.com/office/excel/2006/main">
          <x14:cfRule type="dataBar" id="{C028D319-9671-40CC-8DE3-75E963FF36EF}">
            <x14:dataBar minLength="0" maxLength="100" gradient="0">
              <x14:cfvo type="autoMin"/>
              <x14:cfvo type="formula">
                <xm:f>$S$17</xm:f>
              </x14:cfvo>
              <x14:negativeFillColor rgb="FFFF0000"/>
              <x14:axisColor rgb="FF000000"/>
            </x14:dataBar>
          </x14:cfRule>
          <xm:sqref>S31:S33</xm:sqref>
        </x14:conditionalFormatting>
        <x14:conditionalFormatting xmlns:xm="http://schemas.microsoft.com/office/excel/2006/main">
          <x14:cfRule type="dataBar" id="{BA5A396A-0B71-47FD-91D9-A5BC4948AC2A}">
            <x14:dataBar minLength="0" maxLength="100" gradient="0">
              <x14:cfvo type="autoMin"/>
              <x14:cfvo type="formula">
                <xm:f>$T$17</xm:f>
              </x14:cfvo>
              <x14:negativeFillColor rgb="FFFF0000"/>
              <x14:axisColor rgb="FF000000"/>
            </x14:dataBar>
          </x14:cfRule>
          <xm:sqref>T31:T33</xm:sqref>
        </x14:conditionalFormatting>
        <x14:conditionalFormatting xmlns:xm="http://schemas.microsoft.com/office/excel/2006/main">
          <x14:cfRule type="dataBar" id="{F18C61BF-2D63-4AD2-A839-2371F04FA1C6}">
            <x14:dataBar minLength="0" maxLength="100" gradient="0">
              <x14:cfvo type="autoMin"/>
              <x14:cfvo type="formula">
                <xm:f>$H$18</xm:f>
              </x14:cfvo>
              <x14:negativeFillColor rgb="FFFF0000"/>
              <x14:axisColor rgb="FF000000"/>
            </x14:dataBar>
          </x14:cfRule>
          <xm:sqref>H34:H35</xm:sqref>
        </x14:conditionalFormatting>
        <x14:conditionalFormatting xmlns:xm="http://schemas.microsoft.com/office/excel/2006/main">
          <x14:cfRule type="dataBar" id="{C73FE416-D6EF-4D9A-A220-31A6F6E27C56}">
            <x14:dataBar minLength="0" maxLength="100" gradient="0">
              <x14:cfvo type="autoMin"/>
              <x14:cfvo type="formula">
                <xm:f>$I$18</xm:f>
              </x14:cfvo>
              <x14:negativeFillColor rgb="FFFF0000"/>
              <x14:axisColor rgb="FF000000"/>
            </x14:dataBar>
          </x14:cfRule>
          <xm:sqref>I34:I35</xm:sqref>
        </x14:conditionalFormatting>
        <x14:conditionalFormatting xmlns:xm="http://schemas.microsoft.com/office/excel/2006/main">
          <x14:cfRule type="dataBar" id="{9353B7DB-83F9-4877-9874-86A8BF4F8742}">
            <x14:dataBar minLength="0" maxLength="100" gradient="0">
              <x14:cfvo type="autoMin"/>
              <x14:cfvo type="formula">
                <xm:f>$J$18</xm:f>
              </x14:cfvo>
              <x14:negativeFillColor rgb="FFFF0000"/>
              <x14:axisColor rgb="FF000000"/>
            </x14:dataBar>
          </x14:cfRule>
          <xm:sqref>J34:J35</xm:sqref>
        </x14:conditionalFormatting>
        <x14:conditionalFormatting xmlns:xm="http://schemas.microsoft.com/office/excel/2006/main">
          <x14:cfRule type="dataBar" id="{1B63094A-473E-448D-974A-EF71A4E04D81}">
            <x14:dataBar minLength="0" maxLength="100" gradient="0">
              <x14:cfvo type="autoMin"/>
              <x14:cfvo type="formula">
                <xm:f>$K$18</xm:f>
              </x14:cfvo>
              <x14:negativeFillColor rgb="FFFF0000"/>
              <x14:axisColor rgb="FF000000"/>
            </x14:dataBar>
          </x14:cfRule>
          <xm:sqref>K34:K35</xm:sqref>
        </x14:conditionalFormatting>
        <x14:conditionalFormatting xmlns:xm="http://schemas.microsoft.com/office/excel/2006/main">
          <x14:cfRule type="dataBar" id="{D855168F-9D2F-4277-B2A7-63B4AE6F0EDF}">
            <x14:dataBar minLength="0" maxLength="100" gradient="0">
              <x14:cfvo type="autoMin"/>
              <x14:cfvo type="formula">
                <xm:f>$L$18</xm:f>
              </x14:cfvo>
              <x14:negativeFillColor rgb="FFFF0000"/>
              <x14:axisColor rgb="FF000000"/>
            </x14:dataBar>
          </x14:cfRule>
          <xm:sqref>L34:L35</xm:sqref>
        </x14:conditionalFormatting>
        <x14:conditionalFormatting xmlns:xm="http://schemas.microsoft.com/office/excel/2006/main">
          <x14:cfRule type="dataBar" id="{D0A970B6-358C-4535-967E-07005D5EB5BC}">
            <x14:dataBar minLength="0" maxLength="100" gradient="0">
              <x14:cfvo type="autoMin"/>
              <x14:cfvo type="formula">
                <xm:f>$M$18</xm:f>
              </x14:cfvo>
              <x14:negativeFillColor rgb="FFFF0000"/>
              <x14:axisColor rgb="FF000000"/>
            </x14:dataBar>
          </x14:cfRule>
          <xm:sqref>M34:M35</xm:sqref>
        </x14:conditionalFormatting>
        <x14:conditionalFormatting xmlns:xm="http://schemas.microsoft.com/office/excel/2006/main">
          <x14:cfRule type="dataBar" id="{83FAFFD0-1774-44C8-AABF-DBE6076F2A00}">
            <x14:dataBar minLength="0" maxLength="100" gradient="0">
              <x14:cfvo type="autoMin"/>
              <x14:cfvo type="formula">
                <xm:f>$N$18</xm:f>
              </x14:cfvo>
              <x14:negativeFillColor rgb="FFFF0000"/>
              <x14:axisColor rgb="FF000000"/>
            </x14:dataBar>
          </x14:cfRule>
          <xm:sqref>N34:N35</xm:sqref>
        </x14:conditionalFormatting>
        <x14:conditionalFormatting xmlns:xm="http://schemas.microsoft.com/office/excel/2006/main">
          <x14:cfRule type="dataBar" id="{6465CDCA-1C95-4641-8855-0097C64611E3}">
            <x14:dataBar minLength="0" maxLength="100" gradient="0">
              <x14:cfvo type="autoMin"/>
              <x14:cfvo type="formula">
                <xm:f>$O$18</xm:f>
              </x14:cfvo>
              <x14:negativeFillColor rgb="FFFF0000"/>
              <x14:axisColor rgb="FF000000"/>
            </x14:dataBar>
          </x14:cfRule>
          <xm:sqref>O34:O35</xm:sqref>
        </x14:conditionalFormatting>
        <x14:conditionalFormatting xmlns:xm="http://schemas.microsoft.com/office/excel/2006/main">
          <x14:cfRule type="dataBar" id="{E84FDF7E-0916-42A0-9782-2E0CB9FC26A9}">
            <x14:dataBar minLength="0" maxLength="100" gradient="0">
              <x14:cfvo type="autoMin"/>
              <x14:cfvo type="formula">
                <xm:f>$P$18</xm:f>
              </x14:cfvo>
              <x14:negativeFillColor rgb="FFFF0000"/>
              <x14:axisColor rgb="FF000000"/>
            </x14:dataBar>
          </x14:cfRule>
          <xm:sqref>P34:P35</xm:sqref>
        </x14:conditionalFormatting>
        <x14:conditionalFormatting xmlns:xm="http://schemas.microsoft.com/office/excel/2006/main">
          <x14:cfRule type="dataBar" id="{EC37B2A1-5D76-4C5B-9768-2089946C4E27}">
            <x14:dataBar minLength="0" maxLength="100" gradient="0">
              <x14:cfvo type="autoMin"/>
              <x14:cfvo type="formula">
                <xm:f>$Q$18</xm:f>
              </x14:cfvo>
              <x14:negativeFillColor rgb="FFFF0000"/>
              <x14:axisColor rgb="FF000000"/>
            </x14:dataBar>
          </x14:cfRule>
          <xm:sqref>Q34:Q35</xm:sqref>
        </x14:conditionalFormatting>
        <x14:conditionalFormatting xmlns:xm="http://schemas.microsoft.com/office/excel/2006/main">
          <x14:cfRule type="dataBar" id="{78D914AA-E841-4369-AD54-D6DA6A1E326C}">
            <x14:dataBar minLength="0" maxLength="100" gradient="0">
              <x14:cfvo type="autoMin"/>
              <x14:cfvo type="formula">
                <xm:f>$R$18</xm:f>
              </x14:cfvo>
              <x14:negativeFillColor rgb="FFFF0000"/>
              <x14:axisColor rgb="FF000000"/>
            </x14:dataBar>
          </x14:cfRule>
          <xm:sqref>R34:R35</xm:sqref>
        </x14:conditionalFormatting>
        <x14:conditionalFormatting xmlns:xm="http://schemas.microsoft.com/office/excel/2006/main">
          <x14:cfRule type="dataBar" id="{CB690CFD-F5E1-44B5-AED7-3D392EF7F7E1}">
            <x14:dataBar minLength="0" maxLength="100" gradient="0">
              <x14:cfvo type="autoMin"/>
              <x14:cfvo type="formula">
                <xm:f>$S$18</xm:f>
              </x14:cfvo>
              <x14:negativeFillColor rgb="FFFF0000"/>
              <x14:axisColor rgb="FF000000"/>
            </x14:dataBar>
          </x14:cfRule>
          <xm:sqref>S34:S35</xm:sqref>
        </x14:conditionalFormatting>
        <x14:conditionalFormatting xmlns:xm="http://schemas.microsoft.com/office/excel/2006/main">
          <x14:cfRule type="dataBar" id="{761160F0-34E6-4D45-9A5F-6A36919B5298}">
            <x14:dataBar minLength="0" maxLength="100" gradient="0">
              <x14:cfvo type="autoMin"/>
              <x14:cfvo type="formula">
                <xm:f>$T$18</xm:f>
              </x14:cfvo>
              <x14:negativeFillColor rgb="FFFF0000"/>
              <x14:axisColor rgb="FF000000"/>
            </x14:dataBar>
          </x14:cfRule>
          <xm:sqref>T34:T35</xm:sqref>
        </x14:conditionalFormatting>
        <x14:conditionalFormatting xmlns:xm="http://schemas.microsoft.com/office/excel/2006/main">
          <x14:cfRule type="dataBar" id="{3A218C3F-4A70-4BEC-9866-401D29491E0E}">
            <x14:dataBar minLength="0" maxLength="100" gradient="0">
              <x14:cfvo type="autoMin"/>
              <x14:cfvo type="formula">
                <xm:f>$H$19</xm:f>
              </x14:cfvo>
              <x14:negativeFillColor rgb="FFFF0000"/>
              <x14:axisColor rgb="FF000000"/>
            </x14:dataBar>
          </x14:cfRule>
          <xm:sqref>H36:H37</xm:sqref>
        </x14:conditionalFormatting>
        <x14:conditionalFormatting xmlns:xm="http://schemas.microsoft.com/office/excel/2006/main">
          <x14:cfRule type="dataBar" id="{FBA83F14-1DB1-436E-9A0A-B9CCF893F44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U24:U26</xm:sqref>
        </x14:conditionalFormatting>
        <x14:conditionalFormatting xmlns:xm="http://schemas.microsoft.com/office/excel/2006/main">
          <x14:cfRule type="dataBar" id="{6308AF84-C8E8-40FE-9760-C99500761F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V24:V26</xm:sqref>
        </x14:conditionalFormatting>
        <x14:conditionalFormatting xmlns:xm="http://schemas.microsoft.com/office/excel/2006/main">
          <x14:cfRule type="dataBar" id="{66273BE4-E53B-4B08-907C-4279F3DA70A9}">
            <x14:dataBar minLength="0" maxLength="100" gradient="0">
              <x14:cfvo type="autoMin"/>
              <x14:cfvo type="formula">
                <xm:f>$H$15</xm:f>
              </x14:cfvo>
              <x14:negativeFillColor rgb="FFFF0000"/>
              <x14:axisColor rgb="FF000000"/>
            </x14:dataBar>
          </x14:cfRule>
          <xm:sqref>H24:H26</xm:sqref>
        </x14:conditionalFormatting>
        <x14:conditionalFormatting xmlns:xm="http://schemas.microsoft.com/office/excel/2006/main">
          <x14:cfRule type="dataBar" id="{83C62CC6-2AF7-4553-8EFB-DD2EB8604763}">
            <x14:dataBar minLength="0" maxLength="100" gradient="0">
              <x14:cfvo type="autoMin"/>
              <x14:cfvo type="formula">
                <xm:f>$I$15</xm:f>
              </x14:cfvo>
              <x14:negativeFillColor rgb="FFFF0000"/>
              <x14:axisColor rgb="FF000000"/>
            </x14:dataBar>
          </x14:cfRule>
          <xm:sqref>I24:I26</xm:sqref>
        </x14:conditionalFormatting>
        <x14:conditionalFormatting xmlns:xm="http://schemas.microsoft.com/office/excel/2006/main">
          <x14:cfRule type="dataBar" id="{3AEEB154-9D89-47C9-984A-E6F72C42B934}">
            <x14:dataBar minLength="0" maxLength="100" gradient="0">
              <x14:cfvo type="autoMin"/>
              <x14:cfvo type="formula">
                <xm:f>$J$15</xm:f>
              </x14:cfvo>
              <x14:negativeFillColor rgb="FFFF0000"/>
              <x14:axisColor rgb="FF000000"/>
            </x14:dataBar>
          </x14:cfRule>
          <xm:sqref>J24:J26</xm:sqref>
        </x14:conditionalFormatting>
        <x14:conditionalFormatting xmlns:xm="http://schemas.microsoft.com/office/excel/2006/main">
          <x14:cfRule type="dataBar" id="{90C1EC1C-0B3F-476F-9F8D-437C406405AB}">
            <x14:dataBar minLength="0" maxLength="100" gradient="0">
              <x14:cfvo type="autoMin"/>
              <x14:cfvo type="formula">
                <xm:f>$K$15</xm:f>
              </x14:cfvo>
              <x14:negativeFillColor rgb="FFFF0000"/>
              <x14:axisColor rgb="FF000000"/>
            </x14:dataBar>
          </x14:cfRule>
          <xm:sqref>K24:K26</xm:sqref>
        </x14:conditionalFormatting>
        <x14:conditionalFormatting xmlns:xm="http://schemas.microsoft.com/office/excel/2006/main">
          <x14:cfRule type="dataBar" id="{08C9904C-328B-4AB4-8C1E-9EC0C8C414F7}">
            <x14:dataBar minLength="0" maxLength="100" gradient="0">
              <x14:cfvo type="autoMin"/>
              <x14:cfvo type="formula">
                <xm:f>$L$15</xm:f>
              </x14:cfvo>
              <x14:negativeFillColor rgb="FFFF0000"/>
              <x14:axisColor rgb="FF000000"/>
            </x14:dataBar>
          </x14:cfRule>
          <xm:sqref>L24:L26</xm:sqref>
        </x14:conditionalFormatting>
        <x14:conditionalFormatting xmlns:xm="http://schemas.microsoft.com/office/excel/2006/main">
          <x14:cfRule type="dataBar" id="{5598FF85-85BD-4EE0-B8FA-851ADEE7ED5E}">
            <x14:dataBar minLength="0" maxLength="100" gradient="0">
              <x14:cfvo type="autoMin"/>
              <x14:cfvo type="formula">
                <xm:f>$M$15</xm:f>
              </x14:cfvo>
              <x14:negativeFillColor rgb="FFFF0000"/>
              <x14:axisColor rgb="FF000000"/>
            </x14:dataBar>
          </x14:cfRule>
          <xm:sqref>M24:M26</xm:sqref>
        </x14:conditionalFormatting>
        <x14:conditionalFormatting xmlns:xm="http://schemas.microsoft.com/office/excel/2006/main">
          <x14:cfRule type="dataBar" id="{DFC2D165-E257-4CFB-8E84-ABB99DA9E8C2}">
            <x14:dataBar minLength="0" maxLength="100" gradient="0">
              <x14:cfvo type="autoMin"/>
              <x14:cfvo type="formula">
                <xm:f>$N$15</xm:f>
              </x14:cfvo>
              <x14:negativeFillColor rgb="FFFF0000"/>
              <x14:axisColor rgb="FF000000"/>
            </x14:dataBar>
          </x14:cfRule>
          <xm:sqref>N24:N26</xm:sqref>
        </x14:conditionalFormatting>
        <x14:conditionalFormatting xmlns:xm="http://schemas.microsoft.com/office/excel/2006/main">
          <x14:cfRule type="dataBar" id="{EF308A2A-1077-4335-8B15-8BD32D6A5853}">
            <x14:dataBar minLength="0" maxLength="100" gradient="0">
              <x14:cfvo type="autoMin"/>
              <x14:cfvo type="formula">
                <xm:f>$O$15</xm:f>
              </x14:cfvo>
              <x14:negativeFillColor rgb="FFFF0000"/>
              <x14:axisColor rgb="FF000000"/>
            </x14:dataBar>
          </x14:cfRule>
          <xm:sqref>O24:O26</xm:sqref>
        </x14:conditionalFormatting>
        <x14:conditionalFormatting xmlns:xm="http://schemas.microsoft.com/office/excel/2006/main">
          <x14:cfRule type="dataBar" id="{EA7C379A-B81C-4F14-90E4-BE2991A24ED4}">
            <x14:dataBar minLength="0" maxLength="100" gradient="0">
              <x14:cfvo type="autoMin"/>
              <x14:cfvo type="formula">
                <xm:f>$P$15</xm:f>
              </x14:cfvo>
              <x14:negativeFillColor rgb="FFFF0000"/>
              <x14:axisColor rgb="FF000000"/>
            </x14:dataBar>
          </x14:cfRule>
          <xm:sqref>P24:P26</xm:sqref>
        </x14:conditionalFormatting>
        <x14:conditionalFormatting xmlns:xm="http://schemas.microsoft.com/office/excel/2006/main">
          <x14:cfRule type="dataBar" id="{715B7D75-D0E9-48CB-BE04-479CA3A6DC68}">
            <x14:dataBar minLength="0" maxLength="100" gradient="0">
              <x14:cfvo type="autoMin"/>
              <x14:cfvo type="formula">
                <xm:f>$Q$15</xm:f>
              </x14:cfvo>
              <x14:negativeFillColor rgb="FFFF0000"/>
              <x14:axisColor rgb="FF000000"/>
            </x14:dataBar>
          </x14:cfRule>
          <xm:sqref>Q24:Q26</xm:sqref>
        </x14:conditionalFormatting>
        <x14:conditionalFormatting xmlns:xm="http://schemas.microsoft.com/office/excel/2006/main">
          <x14:cfRule type="dataBar" id="{F431A5D6-E20A-450F-AC3F-C674266CBC03}">
            <x14:dataBar minLength="0" maxLength="100" gradient="0">
              <x14:cfvo type="autoMin"/>
              <x14:cfvo type="formula">
                <xm:f>$R$15</xm:f>
              </x14:cfvo>
              <x14:negativeFillColor rgb="FFFF0000"/>
              <x14:axisColor rgb="FF000000"/>
            </x14:dataBar>
          </x14:cfRule>
          <xm:sqref>R24:R26</xm:sqref>
        </x14:conditionalFormatting>
        <x14:conditionalFormatting xmlns:xm="http://schemas.microsoft.com/office/excel/2006/main">
          <x14:cfRule type="dataBar" id="{FD34627A-990F-405E-A5AE-A123A6A4433E}">
            <x14:dataBar minLength="0" maxLength="100" gradient="0">
              <x14:cfvo type="autoMin"/>
              <x14:cfvo type="formula">
                <xm:f>$S$15</xm:f>
              </x14:cfvo>
              <x14:negativeFillColor rgb="FFFF0000"/>
              <x14:axisColor rgb="FF000000"/>
            </x14:dataBar>
          </x14:cfRule>
          <xm:sqref>S24:S26</xm:sqref>
        </x14:conditionalFormatting>
        <x14:conditionalFormatting xmlns:xm="http://schemas.microsoft.com/office/excel/2006/main">
          <x14:cfRule type="dataBar" id="{86866766-0FDF-42A0-A743-3D79A57DAC56}">
            <x14:dataBar minLength="0" maxLength="100" gradient="0">
              <x14:cfvo type="autoMin"/>
              <x14:cfvo type="formula">
                <xm:f>$T$15</xm:f>
              </x14:cfvo>
              <x14:negativeFillColor rgb="FFFF0000"/>
              <x14:axisColor rgb="FF000000"/>
            </x14:dataBar>
          </x14:cfRule>
          <xm:sqref>T24:T26</xm:sqref>
        </x14:conditionalFormatting>
        <x14:conditionalFormatting xmlns:xm="http://schemas.microsoft.com/office/excel/2006/main">
          <x14:cfRule type="dataBar" id="{31949E22-1FE6-4283-B451-61E415F0789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V36:V37</xm:sqref>
        </x14:conditionalFormatting>
        <x14:conditionalFormatting xmlns:xm="http://schemas.microsoft.com/office/excel/2006/main">
          <x14:cfRule type="dataBar" id="{4110E31E-F443-4A31-8961-149F34232E7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V38:V39</xm:sqref>
        </x14:conditionalFormatting>
        <x14:conditionalFormatting xmlns:xm="http://schemas.microsoft.com/office/excel/2006/main">
          <x14:cfRule type="dataBar" id="{C5FFF675-BE1D-40E5-9892-2E3BDE925794}">
            <x14:dataBar minLength="0" maxLength="100" gradient="0">
              <x14:cfvo type="autoMin"/>
              <x14:cfvo type="formula">
                <xm:f>$I$19</xm:f>
              </x14:cfvo>
              <x14:negativeFillColor rgb="FFFF0000"/>
              <x14:axisColor rgb="FF000000"/>
            </x14:dataBar>
          </x14:cfRule>
          <xm:sqref>I36:I37</xm:sqref>
        </x14:conditionalFormatting>
        <x14:conditionalFormatting xmlns:xm="http://schemas.microsoft.com/office/excel/2006/main">
          <x14:cfRule type="dataBar" id="{46461CDA-4A72-4087-B683-33B3DD9AEA37}">
            <x14:dataBar minLength="0" maxLength="100" gradient="0">
              <x14:cfvo type="autoMin"/>
              <x14:cfvo type="formula">
                <xm:f>$J$19</xm:f>
              </x14:cfvo>
              <x14:negativeFillColor rgb="FFFF0000"/>
              <x14:axisColor rgb="FF000000"/>
            </x14:dataBar>
          </x14:cfRule>
          <xm:sqref>J36:J37</xm:sqref>
        </x14:conditionalFormatting>
        <x14:conditionalFormatting xmlns:xm="http://schemas.microsoft.com/office/excel/2006/main">
          <x14:cfRule type="dataBar" id="{B3A407AC-82A9-47E1-80EA-143571371B37}">
            <x14:dataBar minLength="0" maxLength="100" gradient="0">
              <x14:cfvo type="autoMin"/>
              <x14:cfvo type="formula">
                <xm:f>$K$19</xm:f>
              </x14:cfvo>
              <x14:negativeFillColor rgb="FFFF0000"/>
              <x14:axisColor rgb="FF000000"/>
            </x14:dataBar>
          </x14:cfRule>
          <xm:sqref>K36:K37</xm:sqref>
        </x14:conditionalFormatting>
        <x14:conditionalFormatting xmlns:xm="http://schemas.microsoft.com/office/excel/2006/main">
          <x14:cfRule type="dataBar" id="{7E1D073C-EBE0-4F73-8650-4F996730661D}">
            <x14:dataBar minLength="0" maxLength="100" gradient="0">
              <x14:cfvo type="autoMin"/>
              <x14:cfvo type="formula">
                <xm:f>$L$19</xm:f>
              </x14:cfvo>
              <x14:negativeFillColor rgb="FFFF0000"/>
              <x14:axisColor rgb="FF000000"/>
            </x14:dataBar>
          </x14:cfRule>
          <xm:sqref>L36:L37</xm:sqref>
        </x14:conditionalFormatting>
        <x14:conditionalFormatting xmlns:xm="http://schemas.microsoft.com/office/excel/2006/main">
          <x14:cfRule type="dataBar" id="{E47DE778-BF9B-447D-A806-FE86EBBDAA5F}">
            <x14:dataBar minLength="0" maxLength="100" gradient="0">
              <x14:cfvo type="autoMin"/>
              <x14:cfvo type="formula">
                <xm:f>$M$19</xm:f>
              </x14:cfvo>
              <x14:negativeFillColor rgb="FFFF0000"/>
              <x14:axisColor rgb="FF000000"/>
            </x14:dataBar>
          </x14:cfRule>
          <xm:sqref>M36:M37</xm:sqref>
        </x14:conditionalFormatting>
        <x14:conditionalFormatting xmlns:xm="http://schemas.microsoft.com/office/excel/2006/main">
          <x14:cfRule type="dataBar" id="{CC78973D-C900-49DC-B469-F71511CF0269}">
            <x14:dataBar minLength="0" maxLength="100" gradient="0">
              <x14:cfvo type="autoMin"/>
              <x14:cfvo type="formula">
                <xm:f>$N$19</xm:f>
              </x14:cfvo>
              <x14:negativeFillColor rgb="FFFF0000"/>
              <x14:axisColor rgb="FF000000"/>
            </x14:dataBar>
          </x14:cfRule>
          <xm:sqref>N36:N37</xm:sqref>
        </x14:conditionalFormatting>
        <x14:conditionalFormatting xmlns:xm="http://schemas.microsoft.com/office/excel/2006/main">
          <x14:cfRule type="dataBar" id="{73F95BA9-3B26-47C9-AFD4-6FB0667B2D53}">
            <x14:dataBar minLength="0" maxLength="100" gradient="0">
              <x14:cfvo type="autoMin"/>
              <x14:cfvo type="formula">
                <xm:f>$O$19</xm:f>
              </x14:cfvo>
              <x14:negativeFillColor rgb="FFFF0000"/>
              <x14:axisColor rgb="FF000000"/>
            </x14:dataBar>
          </x14:cfRule>
          <xm:sqref>O36:O37</xm:sqref>
        </x14:conditionalFormatting>
        <x14:conditionalFormatting xmlns:xm="http://schemas.microsoft.com/office/excel/2006/main">
          <x14:cfRule type="dataBar" id="{E82E1BAB-4721-4142-9289-D5A307696735}">
            <x14:dataBar minLength="0" maxLength="100" gradient="0">
              <x14:cfvo type="autoMin"/>
              <x14:cfvo type="formula">
                <xm:f>$P$19</xm:f>
              </x14:cfvo>
              <x14:negativeFillColor rgb="FFFF0000"/>
              <x14:axisColor rgb="FF000000"/>
            </x14:dataBar>
          </x14:cfRule>
          <xm:sqref>P36:P37</xm:sqref>
        </x14:conditionalFormatting>
        <x14:conditionalFormatting xmlns:xm="http://schemas.microsoft.com/office/excel/2006/main">
          <x14:cfRule type="dataBar" id="{5CEFCBC3-C6C1-4312-9875-B97BB2B46236}">
            <x14:dataBar minLength="0" maxLength="100" gradient="0">
              <x14:cfvo type="autoMin"/>
              <x14:cfvo type="formula">
                <xm:f>$Q$19</xm:f>
              </x14:cfvo>
              <x14:negativeFillColor rgb="FFFF0000"/>
              <x14:axisColor rgb="FF000000"/>
            </x14:dataBar>
          </x14:cfRule>
          <xm:sqref>Q36:Q37</xm:sqref>
        </x14:conditionalFormatting>
        <x14:conditionalFormatting xmlns:xm="http://schemas.microsoft.com/office/excel/2006/main">
          <x14:cfRule type="dataBar" id="{40C116F3-19B8-479E-944A-1DBD3625B70A}">
            <x14:dataBar minLength="0" maxLength="100" gradient="0">
              <x14:cfvo type="autoMin"/>
              <x14:cfvo type="formula">
                <xm:f>$R$19</xm:f>
              </x14:cfvo>
              <x14:negativeFillColor rgb="FFFF0000"/>
              <x14:axisColor rgb="FF000000"/>
            </x14:dataBar>
          </x14:cfRule>
          <xm:sqref>R36:R37</xm:sqref>
        </x14:conditionalFormatting>
        <x14:conditionalFormatting xmlns:xm="http://schemas.microsoft.com/office/excel/2006/main">
          <x14:cfRule type="dataBar" id="{86CFB7FF-CBA3-446C-9047-EE4C1C02C2ED}">
            <x14:dataBar minLength="0" maxLength="100" gradient="0">
              <x14:cfvo type="autoMin"/>
              <x14:cfvo type="formula">
                <xm:f>$S$19</xm:f>
              </x14:cfvo>
              <x14:negativeFillColor rgb="FFFF0000"/>
              <x14:axisColor rgb="FF000000"/>
            </x14:dataBar>
          </x14:cfRule>
          <xm:sqref>S36:S37</xm:sqref>
        </x14:conditionalFormatting>
        <x14:conditionalFormatting xmlns:xm="http://schemas.microsoft.com/office/excel/2006/main">
          <x14:cfRule type="dataBar" id="{2B2A0CFD-406A-4C5C-8082-DE5E0C4538C8}">
            <x14:dataBar minLength="0" maxLength="100" gradient="0">
              <x14:cfvo type="autoMin"/>
              <x14:cfvo type="formula">
                <xm:f>$T$19</xm:f>
              </x14:cfvo>
              <x14:negativeFillColor rgb="FFFF0000"/>
              <x14:axisColor rgb="FF000000"/>
            </x14:dataBar>
          </x14:cfRule>
          <xm:sqref>T36:T37</xm:sqref>
        </x14:conditionalFormatting>
        <x14:conditionalFormatting xmlns:xm="http://schemas.microsoft.com/office/excel/2006/main">
          <x14:cfRule type="dataBar" id="{137245B9-AE5F-44DF-9955-63CDC76174A7}">
            <x14:dataBar minLength="0" maxLength="100" gradient="0">
              <x14:cfvo type="autoMin"/>
              <x14:cfvo type="formula">
                <xm:f>$H$20</xm:f>
              </x14:cfvo>
              <x14:negativeFillColor rgb="FFFF0000"/>
              <x14:axisColor rgb="FF000000"/>
            </x14:dataBar>
          </x14:cfRule>
          <xm:sqref>H38:H39</xm:sqref>
        </x14:conditionalFormatting>
        <x14:conditionalFormatting xmlns:xm="http://schemas.microsoft.com/office/excel/2006/main">
          <x14:cfRule type="dataBar" id="{711C7421-0025-4133-879E-73A221CC56CE}">
            <x14:dataBar minLength="0" maxLength="100" gradient="0">
              <x14:cfvo type="autoMin"/>
              <x14:cfvo type="formula">
                <xm:f>$I$20</xm:f>
              </x14:cfvo>
              <x14:negativeFillColor rgb="FFFF0000"/>
              <x14:axisColor rgb="FF000000"/>
            </x14:dataBar>
          </x14:cfRule>
          <xm:sqref>I38:I39</xm:sqref>
        </x14:conditionalFormatting>
        <x14:conditionalFormatting xmlns:xm="http://schemas.microsoft.com/office/excel/2006/main">
          <x14:cfRule type="dataBar" id="{E1AEFE87-AE44-400D-97B3-4977C06DCA28}">
            <x14:dataBar minLength="0" maxLength="100" gradient="0">
              <x14:cfvo type="autoMin"/>
              <x14:cfvo type="formula">
                <xm:f>$J$20</xm:f>
              </x14:cfvo>
              <x14:negativeFillColor rgb="FFFF0000"/>
              <x14:axisColor rgb="FF000000"/>
            </x14:dataBar>
          </x14:cfRule>
          <xm:sqref>J38:J39</xm:sqref>
        </x14:conditionalFormatting>
        <x14:conditionalFormatting xmlns:xm="http://schemas.microsoft.com/office/excel/2006/main">
          <x14:cfRule type="dataBar" id="{A041DE57-6D85-48EA-AEEB-401509FCE35D}">
            <x14:dataBar minLength="0" maxLength="100" gradient="0">
              <x14:cfvo type="autoMin"/>
              <x14:cfvo type="formula">
                <xm:f>$K$20</xm:f>
              </x14:cfvo>
              <x14:negativeFillColor rgb="FFFF0000"/>
              <x14:axisColor rgb="FF000000"/>
            </x14:dataBar>
          </x14:cfRule>
          <xm:sqref>K38:K39</xm:sqref>
        </x14:conditionalFormatting>
        <x14:conditionalFormatting xmlns:xm="http://schemas.microsoft.com/office/excel/2006/main">
          <x14:cfRule type="dataBar" id="{50727DEB-3C35-4AA9-BAB9-E309E027B010}">
            <x14:dataBar minLength="0" maxLength="100" gradient="0">
              <x14:cfvo type="autoMin"/>
              <x14:cfvo type="formula">
                <xm:f>$L$20</xm:f>
              </x14:cfvo>
              <x14:negativeFillColor rgb="FFFF0000"/>
              <x14:axisColor rgb="FF000000"/>
            </x14:dataBar>
          </x14:cfRule>
          <xm:sqref>L38:L39</xm:sqref>
        </x14:conditionalFormatting>
        <x14:conditionalFormatting xmlns:xm="http://schemas.microsoft.com/office/excel/2006/main">
          <x14:cfRule type="dataBar" id="{F85ADF7B-5F4F-4EEB-BDE2-C17714F0866F}">
            <x14:dataBar minLength="0" maxLength="100" gradient="0">
              <x14:cfvo type="autoMin"/>
              <x14:cfvo type="formula">
                <xm:f>$M$20</xm:f>
              </x14:cfvo>
              <x14:negativeFillColor rgb="FFFF0000"/>
              <x14:axisColor rgb="FF000000"/>
            </x14:dataBar>
          </x14:cfRule>
          <xm:sqref>M38:M39</xm:sqref>
        </x14:conditionalFormatting>
        <x14:conditionalFormatting xmlns:xm="http://schemas.microsoft.com/office/excel/2006/main">
          <x14:cfRule type="dataBar" id="{BE505137-A209-41BD-A8BE-D12943784F0C}">
            <x14:dataBar minLength="0" maxLength="100" gradient="0">
              <x14:cfvo type="autoMin"/>
              <x14:cfvo type="formula">
                <xm:f>$N$20</xm:f>
              </x14:cfvo>
              <x14:negativeFillColor rgb="FFFF0000"/>
              <x14:axisColor rgb="FF000000"/>
            </x14:dataBar>
          </x14:cfRule>
          <xm:sqref>N38:N39</xm:sqref>
        </x14:conditionalFormatting>
        <x14:conditionalFormatting xmlns:xm="http://schemas.microsoft.com/office/excel/2006/main">
          <x14:cfRule type="dataBar" id="{446CA288-939E-43D2-AE60-DDECFB51AF01}">
            <x14:dataBar minLength="0" maxLength="100" gradient="0">
              <x14:cfvo type="autoMin"/>
              <x14:cfvo type="formula">
                <xm:f>$O$20</xm:f>
              </x14:cfvo>
              <x14:negativeFillColor rgb="FFFF0000"/>
              <x14:axisColor rgb="FF000000"/>
            </x14:dataBar>
          </x14:cfRule>
          <xm:sqref>O38:O39</xm:sqref>
        </x14:conditionalFormatting>
        <x14:conditionalFormatting xmlns:xm="http://schemas.microsoft.com/office/excel/2006/main">
          <x14:cfRule type="dataBar" id="{FC1D549D-82DF-43BB-9D18-EA20BB2D29CF}">
            <x14:dataBar minLength="0" maxLength="100" gradient="0">
              <x14:cfvo type="autoMin"/>
              <x14:cfvo type="formula">
                <xm:f>$P$20</xm:f>
              </x14:cfvo>
              <x14:negativeFillColor rgb="FFFF0000"/>
              <x14:axisColor rgb="FF000000"/>
            </x14:dataBar>
          </x14:cfRule>
          <xm:sqref>P38:P39</xm:sqref>
        </x14:conditionalFormatting>
        <x14:conditionalFormatting xmlns:xm="http://schemas.microsoft.com/office/excel/2006/main">
          <x14:cfRule type="dataBar" id="{5383E950-1872-4D70-A43A-41A49A85C7F9}">
            <x14:dataBar minLength="0" maxLength="100" gradient="0">
              <x14:cfvo type="autoMin"/>
              <x14:cfvo type="formula">
                <xm:f>$Q$20</xm:f>
              </x14:cfvo>
              <x14:negativeFillColor rgb="FFFF0000"/>
              <x14:axisColor rgb="FF000000"/>
            </x14:dataBar>
          </x14:cfRule>
          <xm:sqref>Q38:Q39</xm:sqref>
        </x14:conditionalFormatting>
        <x14:conditionalFormatting xmlns:xm="http://schemas.microsoft.com/office/excel/2006/main">
          <x14:cfRule type="dataBar" id="{93B35FB5-0A6F-442F-AEF0-18B9ABE1A057}">
            <x14:dataBar minLength="0" maxLength="100" gradient="0">
              <x14:cfvo type="autoMin"/>
              <x14:cfvo type="formula">
                <xm:f>$R$20</xm:f>
              </x14:cfvo>
              <x14:negativeFillColor rgb="FFFF0000"/>
              <x14:axisColor rgb="FF000000"/>
            </x14:dataBar>
          </x14:cfRule>
          <xm:sqref>R38:R39</xm:sqref>
        </x14:conditionalFormatting>
        <x14:conditionalFormatting xmlns:xm="http://schemas.microsoft.com/office/excel/2006/main">
          <x14:cfRule type="dataBar" id="{33F5D14A-2C69-447E-B490-888B36509E65}">
            <x14:dataBar minLength="0" maxLength="100" gradient="0">
              <x14:cfvo type="autoMin"/>
              <x14:cfvo type="formula">
                <xm:f>$S$20</xm:f>
              </x14:cfvo>
              <x14:negativeFillColor rgb="FFFF0000"/>
              <x14:axisColor rgb="FF000000"/>
            </x14:dataBar>
          </x14:cfRule>
          <xm:sqref>S38:S39</xm:sqref>
        </x14:conditionalFormatting>
        <x14:conditionalFormatting xmlns:xm="http://schemas.microsoft.com/office/excel/2006/main">
          <x14:cfRule type="dataBar" id="{668E502A-5E76-4339-B675-70553771BCBA}">
            <x14:dataBar minLength="0" maxLength="100" gradient="0">
              <x14:cfvo type="autoMin"/>
              <x14:cfvo type="formula">
                <xm:f>$T$20</xm:f>
              </x14:cfvo>
              <x14:negativeFillColor rgb="FFFF0000"/>
              <x14:axisColor rgb="FF000000"/>
            </x14:dataBar>
          </x14:cfRule>
          <xm:sqref>T38:T39</xm:sqref>
        </x14:conditionalFormatting>
        <x14:conditionalFormatting xmlns:xm="http://schemas.microsoft.com/office/excel/2006/main">
          <x14:cfRule type="dataBar" id="{927DCEB6-384C-4138-BF2A-13ADE34E71CD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G14:G20</xm:sqref>
        </x14:conditionalFormatting>
        <x14:conditionalFormatting xmlns:xm="http://schemas.microsoft.com/office/excel/2006/main">
          <x14:cfRule type="dataBar" id="{E4F6201C-EA11-4AE0-AA8A-61549DA71E48}">
            <x14:dataBar minLength="0" maxLength="100" gradient="0">
              <x14:cfvo type="autoMin"/>
              <x14:cfvo type="formula">
                <xm:f>$G$15</xm:f>
              </x14:cfvo>
              <x14:negativeFillColor rgb="FFFF0000"/>
              <x14:axisColor rgb="FF000000"/>
            </x14:dataBar>
          </x14:cfRule>
          <xm:sqref>G24:G26</xm:sqref>
        </x14:conditionalFormatting>
        <x14:conditionalFormatting xmlns:xm="http://schemas.microsoft.com/office/excel/2006/main">
          <x14:cfRule type="dataBar" id="{64FD95F0-D363-40E2-B896-6C7AFD179178}">
            <x14:dataBar minLength="0" maxLength="100" gradient="0">
              <x14:cfvo type="autoMin"/>
              <x14:cfvo type="formula">
                <xm:f>$G$16</xm:f>
              </x14:cfvo>
              <x14:negativeFillColor rgb="FFFF0000"/>
              <x14:axisColor rgb="FF000000"/>
            </x14:dataBar>
          </x14:cfRule>
          <xm:sqref>G27:G30</xm:sqref>
        </x14:conditionalFormatting>
        <x14:conditionalFormatting xmlns:xm="http://schemas.microsoft.com/office/excel/2006/main">
          <x14:cfRule type="dataBar" id="{784E8C0B-87D0-484D-B324-BF0B755EB0BC}">
            <x14:dataBar minLength="0" maxLength="100" gradient="0">
              <x14:cfvo type="autoMin"/>
              <x14:cfvo type="formula">
                <xm:f>$G$17</xm:f>
              </x14:cfvo>
              <x14:negativeFillColor rgb="FFFF0000"/>
              <x14:axisColor rgb="FF000000"/>
            </x14:dataBar>
          </x14:cfRule>
          <xm:sqref>G31:G33</xm:sqref>
        </x14:conditionalFormatting>
        <x14:conditionalFormatting xmlns:xm="http://schemas.microsoft.com/office/excel/2006/main">
          <x14:cfRule type="dataBar" id="{AB7AF8C3-8683-4843-AF4B-AB3E108D57ED}">
            <x14:dataBar minLength="0" maxLength="100" gradient="0">
              <x14:cfvo type="autoMin"/>
              <x14:cfvo type="formula">
                <xm:f>$G$18</xm:f>
              </x14:cfvo>
              <x14:negativeFillColor rgb="FFFF0000"/>
              <x14:axisColor rgb="FF000000"/>
            </x14:dataBar>
          </x14:cfRule>
          <xm:sqref>G34:G35</xm:sqref>
        </x14:conditionalFormatting>
        <x14:conditionalFormatting xmlns:xm="http://schemas.microsoft.com/office/excel/2006/main">
          <x14:cfRule type="dataBar" id="{29D715BD-0949-4779-BBD6-D2B3AC82B3DD}">
            <x14:dataBar minLength="0" maxLength="100" gradient="0">
              <x14:cfvo type="autoMin"/>
              <x14:cfvo type="formula">
                <xm:f>$G$19</xm:f>
              </x14:cfvo>
              <x14:negativeFillColor rgb="FFFF0000"/>
              <x14:axisColor rgb="FF000000"/>
            </x14:dataBar>
          </x14:cfRule>
          <xm:sqref>G36:G37</xm:sqref>
        </x14:conditionalFormatting>
        <x14:conditionalFormatting xmlns:xm="http://schemas.microsoft.com/office/excel/2006/main">
          <x14:cfRule type="dataBar" id="{F075BFDC-5CF8-4E18-A2E1-EA00B8D1EB81}">
            <x14:dataBar minLength="0" maxLength="100" gradient="0">
              <x14:cfvo type="autoMin"/>
              <x14:cfvo type="formula">
                <xm:f>$G$20</xm:f>
              </x14:cfvo>
              <x14:negativeFillColor rgb="FFFF0000"/>
              <x14:axisColor rgb="FF000000"/>
            </x14:dataBar>
          </x14:cfRule>
          <xm:sqref>G38:G39</xm:sqref>
        </x14:conditionalFormatting>
        <x14:conditionalFormatting xmlns:xm="http://schemas.microsoft.com/office/excel/2006/main">
          <x14:cfRule type="dataBar" id="{3A8F4156-F779-4611-B418-E9133A28775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U21:U23</xm:sqref>
        </x14:conditionalFormatting>
        <x14:conditionalFormatting xmlns:xm="http://schemas.microsoft.com/office/excel/2006/main">
          <x14:cfRule type="dataBar" id="{5ACE6DA8-E8AD-4F73-ADDA-3E71803F7A7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V21:V23</xm:sqref>
        </x14:conditionalFormatting>
        <x14:conditionalFormatting xmlns:xm="http://schemas.microsoft.com/office/excel/2006/main">
          <x14:cfRule type="dataBar" id="{7627143A-B57A-4904-AA0B-0C12F911232B}">
            <x14:dataBar minLength="0" maxLength="100" gradient="0">
              <x14:cfvo type="autoMin"/>
              <x14:cfvo type="formula">
                <xm:f>$H$14</xm:f>
              </x14:cfvo>
              <x14:negativeFillColor rgb="FFFF0000"/>
              <x14:axisColor rgb="FF000000"/>
            </x14:dataBar>
          </x14:cfRule>
          <xm:sqref>H21:H23</xm:sqref>
        </x14:conditionalFormatting>
        <x14:conditionalFormatting xmlns:xm="http://schemas.microsoft.com/office/excel/2006/main">
          <x14:cfRule type="dataBar" id="{4712A265-1893-439E-A1F8-F66964E80FA6}">
            <x14:dataBar minLength="0" maxLength="100" gradient="0">
              <x14:cfvo type="autoMin"/>
              <x14:cfvo type="formula">
                <xm:f>$I$14</xm:f>
              </x14:cfvo>
              <x14:negativeFillColor rgb="FFFF0000"/>
              <x14:axisColor rgb="FF000000"/>
            </x14:dataBar>
          </x14:cfRule>
          <xm:sqref>I21:I23</xm:sqref>
        </x14:conditionalFormatting>
        <x14:conditionalFormatting xmlns:xm="http://schemas.microsoft.com/office/excel/2006/main">
          <x14:cfRule type="dataBar" id="{EF9B5325-437D-47D0-884B-552E714F0269}">
            <x14:dataBar minLength="0" maxLength="100" gradient="0">
              <x14:cfvo type="autoMin"/>
              <x14:cfvo type="formula">
                <xm:f>$J$14</xm:f>
              </x14:cfvo>
              <x14:negativeFillColor rgb="FFFF0000"/>
              <x14:axisColor rgb="FF000000"/>
            </x14:dataBar>
          </x14:cfRule>
          <xm:sqref>J21:J23</xm:sqref>
        </x14:conditionalFormatting>
        <x14:conditionalFormatting xmlns:xm="http://schemas.microsoft.com/office/excel/2006/main">
          <x14:cfRule type="dataBar" id="{8A968F30-EE57-4BEA-BF30-65EC113B36AC}">
            <x14:dataBar minLength="0" maxLength="100" gradient="0">
              <x14:cfvo type="autoMin"/>
              <x14:cfvo type="formula">
                <xm:f>$K$14</xm:f>
              </x14:cfvo>
              <x14:negativeFillColor rgb="FFFF0000"/>
              <x14:axisColor rgb="FF000000"/>
            </x14:dataBar>
          </x14:cfRule>
          <xm:sqref>K21:K23</xm:sqref>
        </x14:conditionalFormatting>
        <x14:conditionalFormatting xmlns:xm="http://schemas.microsoft.com/office/excel/2006/main">
          <x14:cfRule type="dataBar" id="{AC12E118-162E-49E7-90C5-690AC85DF875}">
            <x14:dataBar minLength="0" maxLength="100" gradient="0">
              <x14:cfvo type="autoMin"/>
              <x14:cfvo type="formula">
                <xm:f>$L$14</xm:f>
              </x14:cfvo>
              <x14:negativeFillColor rgb="FFFF0000"/>
              <x14:axisColor rgb="FF000000"/>
            </x14:dataBar>
          </x14:cfRule>
          <xm:sqref>L21:L23</xm:sqref>
        </x14:conditionalFormatting>
        <x14:conditionalFormatting xmlns:xm="http://schemas.microsoft.com/office/excel/2006/main">
          <x14:cfRule type="dataBar" id="{4E676C8E-C436-4A21-9311-82631626E4CD}">
            <x14:dataBar minLength="0" maxLength="100" gradient="0">
              <x14:cfvo type="autoMin"/>
              <x14:cfvo type="formula">
                <xm:f>$M$14</xm:f>
              </x14:cfvo>
              <x14:negativeFillColor rgb="FFFF0000"/>
              <x14:axisColor rgb="FF000000"/>
            </x14:dataBar>
          </x14:cfRule>
          <xm:sqref>M21:M23</xm:sqref>
        </x14:conditionalFormatting>
        <x14:conditionalFormatting xmlns:xm="http://schemas.microsoft.com/office/excel/2006/main">
          <x14:cfRule type="dataBar" id="{10D7C73F-4A65-40E3-9569-BB9E2651F8A6}">
            <x14:dataBar minLength="0" maxLength="100" gradient="0">
              <x14:cfvo type="autoMin"/>
              <x14:cfvo type="formula">
                <xm:f>$N$14</xm:f>
              </x14:cfvo>
              <x14:negativeFillColor rgb="FFFF0000"/>
              <x14:axisColor rgb="FF000000"/>
            </x14:dataBar>
          </x14:cfRule>
          <xm:sqref>N21:N23</xm:sqref>
        </x14:conditionalFormatting>
        <x14:conditionalFormatting xmlns:xm="http://schemas.microsoft.com/office/excel/2006/main">
          <x14:cfRule type="dataBar" id="{6ECC19C7-594D-453B-897E-4E0E4E23E31D}">
            <x14:dataBar minLength="0" maxLength="100" gradient="0">
              <x14:cfvo type="autoMin"/>
              <x14:cfvo type="formula">
                <xm:f>$O$14</xm:f>
              </x14:cfvo>
              <x14:negativeFillColor rgb="FFFF0000"/>
              <x14:axisColor rgb="FF000000"/>
            </x14:dataBar>
          </x14:cfRule>
          <xm:sqref>O21:O23</xm:sqref>
        </x14:conditionalFormatting>
        <x14:conditionalFormatting xmlns:xm="http://schemas.microsoft.com/office/excel/2006/main">
          <x14:cfRule type="dataBar" id="{86460233-794A-42C1-90C2-95C11E30D5E5}">
            <x14:dataBar minLength="0" maxLength="100" gradient="0">
              <x14:cfvo type="autoMin"/>
              <x14:cfvo type="formula">
                <xm:f>$P$14</xm:f>
              </x14:cfvo>
              <x14:negativeFillColor rgb="FFFF0000"/>
              <x14:axisColor rgb="FF000000"/>
            </x14:dataBar>
          </x14:cfRule>
          <xm:sqref>P21:P23</xm:sqref>
        </x14:conditionalFormatting>
        <x14:conditionalFormatting xmlns:xm="http://schemas.microsoft.com/office/excel/2006/main">
          <x14:cfRule type="dataBar" id="{86C17A00-D2B8-44CA-AF6C-60C05D2D4145}">
            <x14:dataBar minLength="0" maxLength="100" gradient="0">
              <x14:cfvo type="autoMin"/>
              <x14:cfvo type="formula">
                <xm:f>$Q$14</xm:f>
              </x14:cfvo>
              <x14:negativeFillColor rgb="FFFF0000"/>
              <x14:axisColor rgb="FF000000"/>
            </x14:dataBar>
          </x14:cfRule>
          <xm:sqref>Q21:Q23</xm:sqref>
        </x14:conditionalFormatting>
        <x14:conditionalFormatting xmlns:xm="http://schemas.microsoft.com/office/excel/2006/main">
          <x14:cfRule type="dataBar" id="{775C530F-9614-4134-808C-85ADFEF5D4BF}">
            <x14:dataBar minLength="0" maxLength="100" gradient="0">
              <x14:cfvo type="autoMin"/>
              <x14:cfvo type="formula">
                <xm:f>$R$14</xm:f>
              </x14:cfvo>
              <x14:negativeFillColor rgb="FFFF0000"/>
              <x14:axisColor rgb="FF000000"/>
            </x14:dataBar>
          </x14:cfRule>
          <xm:sqref>R21:R23</xm:sqref>
        </x14:conditionalFormatting>
        <x14:conditionalFormatting xmlns:xm="http://schemas.microsoft.com/office/excel/2006/main">
          <x14:cfRule type="dataBar" id="{A3260C55-D2FB-4E38-A2E5-A93DA4364C6E}">
            <x14:dataBar minLength="0" maxLength="100" gradient="0">
              <x14:cfvo type="autoMin"/>
              <x14:cfvo type="formula">
                <xm:f>$S$14</xm:f>
              </x14:cfvo>
              <x14:negativeFillColor rgb="FFFF0000"/>
              <x14:axisColor rgb="FF000000"/>
            </x14:dataBar>
          </x14:cfRule>
          <xm:sqref>S21:S23</xm:sqref>
        </x14:conditionalFormatting>
        <x14:conditionalFormatting xmlns:xm="http://schemas.microsoft.com/office/excel/2006/main">
          <x14:cfRule type="dataBar" id="{A089CFD8-9EF4-473D-A364-92DAD1700763}">
            <x14:dataBar minLength="0" maxLength="100" gradient="0">
              <x14:cfvo type="autoMin"/>
              <x14:cfvo type="formula">
                <xm:f>$T$14</xm:f>
              </x14:cfvo>
              <x14:negativeFillColor rgb="FFFF0000"/>
              <x14:axisColor rgb="FF000000"/>
            </x14:dataBar>
          </x14:cfRule>
          <xm:sqref>T21:T23</xm:sqref>
        </x14:conditionalFormatting>
        <x14:conditionalFormatting xmlns:xm="http://schemas.microsoft.com/office/excel/2006/main">
          <x14:cfRule type="dataBar" id="{D89F4D0D-9409-4E85-B578-848D3E1F46C0}">
            <x14:dataBar minLength="0" maxLength="100" gradient="0">
              <x14:cfvo type="autoMin"/>
              <x14:cfvo type="formula">
                <xm:f>$G$14</xm:f>
              </x14:cfvo>
              <x14:negativeFillColor rgb="FFFF0000"/>
              <x14:axisColor rgb="FF000000"/>
            </x14:dataBar>
          </x14:cfRule>
          <xm:sqref>G21:G23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F1C86-59ED-45A3-8597-131C79BAA863}">
  <sheetPr codeName="Sheet2"/>
  <dimension ref="B2:L83"/>
  <sheetViews>
    <sheetView topLeftCell="A7" workbookViewId="0">
      <selection activeCell="E3" sqref="E3"/>
    </sheetView>
  </sheetViews>
  <sheetFormatPr defaultColWidth="13.77734375" defaultRowHeight="15.6"/>
  <cols>
    <col min="1" max="1" width="13.77734375" style="1"/>
    <col min="2" max="2" width="21.21875" style="1" bestFit="1" customWidth="1"/>
    <col min="3" max="3" width="13.77734375" style="1"/>
    <col min="4" max="4" width="9.5546875" style="44" hidden="1" customWidth="1"/>
    <col min="5" max="16384" width="13.77734375" style="1"/>
  </cols>
  <sheetData>
    <row r="2" spans="2:8" ht="16.2">
      <c r="B2" s="2" t="s">
        <v>204</v>
      </c>
    </row>
    <row r="3" spans="2:8">
      <c r="B3" s="3" t="s">
        <v>205</v>
      </c>
      <c r="C3" s="3">
        <v>40</v>
      </c>
    </row>
    <row r="4" spans="2:8">
      <c r="B4" s="3" t="s">
        <v>206</v>
      </c>
      <c r="C4" s="3">
        <v>20</v>
      </c>
    </row>
    <row r="5" spans="2:8">
      <c r="B5" s="3" t="s">
        <v>500</v>
      </c>
      <c r="C5" s="3">
        <v>5</v>
      </c>
    </row>
    <row r="6" spans="2:8">
      <c r="B6" s="3" t="s">
        <v>501</v>
      </c>
      <c r="C6" s="3">
        <v>20</v>
      </c>
    </row>
    <row r="7" spans="2:8">
      <c r="B7" s="3" t="s">
        <v>542</v>
      </c>
      <c r="C7" s="3">
        <v>10</v>
      </c>
    </row>
    <row r="8" spans="2:8">
      <c r="B8" s="3" t="s">
        <v>543</v>
      </c>
      <c r="C8" s="3">
        <v>5</v>
      </c>
    </row>
    <row r="9" spans="2:8">
      <c r="B9" s="3" t="s">
        <v>544</v>
      </c>
      <c r="C9" s="3">
        <f>$C$10*$C$11</f>
        <v>25</v>
      </c>
    </row>
    <row r="10" spans="2:8">
      <c r="B10" s="3" t="s">
        <v>545</v>
      </c>
      <c r="C10" s="3">
        <v>5</v>
      </c>
    </row>
    <row r="11" spans="2:8">
      <c r="B11" s="3" t="s">
        <v>555</v>
      </c>
      <c r="C11" s="3">
        <v>5</v>
      </c>
    </row>
    <row r="13" spans="2:8" ht="16.2">
      <c r="B13" s="2" t="s">
        <v>174</v>
      </c>
      <c r="E13" s="1" t="s">
        <v>552</v>
      </c>
      <c r="F13" s="1" t="s">
        <v>553</v>
      </c>
    </row>
    <row r="14" spans="2:8">
      <c r="B14" s="41" t="s">
        <v>162</v>
      </c>
      <c r="C14" s="41" t="s">
        <v>173</v>
      </c>
      <c r="E14" s="41" t="s">
        <v>197</v>
      </c>
      <c r="F14" s="41" t="s">
        <v>198</v>
      </c>
      <c r="G14" s="41" t="s">
        <v>199</v>
      </c>
      <c r="H14" s="41" t="s">
        <v>163</v>
      </c>
    </row>
    <row r="15" spans="2:8">
      <c r="B15" s="3">
        <v>10</v>
      </c>
      <c r="C15" s="42" t="s">
        <v>166</v>
      </c>
      <c r="E15" s="42">
        <f>_xlfn.XLOOKUP($B15,$B$24:$B$83,$E$24:$E$83)</f>
        <v>0.28500000000000003</v>
      </c>
      <c r="F15" s="42">
        <f>_xlfn.XLOOKUP($B15,$B$24:$B$83,$E$24:$E$83)/(12/24)</f>
        <v>0.57000000000000006</v>
      </c>
      <c r="G15" s="42">
        <v>1</v>
      </c>
      <c r="H15" s="42" t="s">
        <v>164</v>
      </c>
    </row>
    <row r="16" spans="2:8">
      <c r="B16" s="3">
        <v>20</v>
      </c>
      <c r="C16" s="42" t="s">
        <v>167</v>
      </c>
      <c r="E16" s="42">
        <f t="shared" ref="E16:E20" si="0">_xlfn.XLOOKUP($B16,$B$24:$B$83,$E$24:$E$83)</f>
        <v>1.1419999999999999</v>
      </c>
      <c r="F16" s="42">
        <f t="shared" ref="F16:F20" si="1">_xlfn.XLOOKUP($B16,$B$24:$B$83,$E$24:$E$83)/(12/24)</f>
        <v>2.2839999999999998</v>
      </c>
      <c r="G16" s="42">
        <f>ROUNDUP(F15/1.5,0)</f>
        <v>1</v>
      </c>
      <c r="H16" s="42" t="s">
        <v>164</v>
      </c>
    </row>
    <row r="17" spans="2:12">
      <c r="B17" s="3">
        <v>30</v>
      </c>
      <c r="C17" s="42" t="s">
        <v>168</v>
      </c>
      <c r="E17" s="42">
        <f t="shared" si="0"/>
        <v>2.8039999999999998</v>
      </c>
      <c r="F17" s="42">
        <f t="shared" si="1"/>
        <v>5.6079999999999997</v>
      </c>
      <c r="G17" s="42">
        <f t="shared" ref="G17:G20" si="2">ROUNDUP(F16/1.5,0)</f>
        <v>2</v>
      </c>
      <c r="H17" s="42" t="s">
        <v>164</v>
      </c>
    </row>
    <row r="18" spans="2:12">
      <c r="B18" s="3">
        <v>40</v>
      </c>
      <c r="C18" s="42" t="s">
        <v>169</v>
      </c>
      <c r="E18" s="42">
        <f t="shared" si="0"/>
        <v>5.5049999999999999</v>
      </c>
      <c r="F18" s="42">
        <f t="shared" si="1"/>
        <v>11.01</v>
      </c>
      <c r="G18" s="42">
        <f t="shared" si="2"/>
        <v>4</v>
      </c>
      <c r="H18" s="42" t="s">
        <v>165</v>
      </c>
    </row>
    <row r="19" spans="2:12">
      <c r="B19" s="3">
        <v>50</v>
      </c>
      <c r="C19" s="42" t="s">
        <v>170</v>
      </c>
      <c r="E19" s="42">
        <f t="shared" si="0"/>
        <v>9.4700000000000024</v>
      </c>
      <c r="F19" s="42">
        <f t="shared" si="1"/>
        <v>18.940000000000005</v>
      </c>
      <c r="G19" s="42">
        <f t="shared" si="2"/>
        <v>8</v>
      </c>
      <c r="H19" s="42" t="s">
        <v>165</v>
      </c>
    </row>
    <row r="20" spans="2:12">
      <c r="B20" s="3">
        <v>60</v>
      </c>
      <c r="C20" s="42" t="s">
        <v>171</v>
      </c>
      <c r="E20" s="42">
        <f t="shared" si="0"/>
        <v>14.934000000000003</v>
      </c>
      <c r="F20" s="42">
        <f t="shared" si="1"/>
        <v>29.868000000000006</v>
      </c>
      <c r="G20" s="42">
        <f t="shared" si="2"/>
        <v>13</v>
      </c>
      <c r="H20" s="42" t="s">
        <v>165</v>
      </c>
    </row>
    <row r="22" spans="2:12" ht="16.2">
      <c r="B22" s="2" t="s">
        <v>175</v>
      </c>
    </row>
    <row r="23" spans="2:12" ht="16.2">
      <c r="B23" s="35" t="s">
        <v>176</v>
      </c>
      <c r="C23" s="35" t="s">
        <v>177</v>
      </c>
      <c r="D23" s="45" t="s">
        <v>195</v>
      </c>
      <c r="E23" s="35" t="s">
        <v>196</v>
      </c>
      <c r="F23" s="35" t="s">
        <v>194</v>
      </c>
      <c r="G23" s="35" t="s">
        <v>548</v>
      </c>
      <c r="H23" s="56" t="s">
        <v>541</v>
      </c>
      <c r="I23" s="57"/>
      <c r="J23" s="57"/>
      <c r="K23" s="57"/>
      <c r="L23" s="58"/>
    </row>
    <row r="24" spans="2:12">
      <c r="B24" s="3">
        <v>1</v>
      </c>
      <c r="C24" s="3">
        <f>ROUND((F24*20+G24*($C$9/60))/60/24,3)</f>
        <v>0.02</v>
      </c>
      <c r="D24" s="46">
        <v>10</v>
      </c>
      <c r="E24" s="3">
        <f>SUM($C$24:C24)</f>
        <v>0.02</v>
      </c>
      <c r="F24" s="3">
        <v>1</v>
      </c>
      <c r="G24" s="3">
        <f>ROUND(ROUNDDOWN((B24/10),0)*B24+ROUNDUP((B24/10),0)^2*20+ROUNDUP((B24/10),0)*B24,0)</f>
        <v>21</v>
      </c>
      <c r="H24" s="53" t="s">
        <v>180</v>
      </c>
      <c r="I24" s="54"/>
      <c r="J24" s="54"/>
      <c r="K24" s="54"/>
      <c r="L24" s="55"/>
    </row>
    <row r="25" spans="2:12">
      <c r="B25" s="3">
        <v>2</v>
      </c>
      <c r="C25" s="3">
        <f t="shared" ref="C25:C83" si="3">ROUND((F25*20+G25*($C$9/60))/60/24,3)</f>
        <v>0.02</v>
      </c>
      <c r="D25" s="46">
        <v>10</v>
      </c>
      <c r="E25" s="3">
        <f>SUM($C$24:C25)</f>
        <v>0.04</v>
      </c>
      <c r="F25" s="3">
        <v>1</v>
      </c>
      <c r="G25" s="3">
        <f t="shared" ref="G25:G83" si="4">ROUND(ROUNDDOWN((B25/10),0)*B25+ROUNDUP((B25/10),0)^2*20+ROUNDUP((B25/10),0)*B25,0)</f>
        <v>22</v>
      </c>
      <c r="H25" s="53" t="s">
        <v>181</v>
      </c>
      <c r="I25" s="54"/>
      <c r="J25" s="54"/>
      <c r="K25" s="54"/>
      <c r="L25" s="55"/>
    </row>
    <row r="26" spans="2:12">
      <c r="B26" s="3">
        <v>3</v>
      </c>
      <c r="C26" s="3">
        <f t="shared" si="3"/>
        <v>2.1000000000000001E-2</v>
      </c>
      <c r="D26" s="46">
        <v>20</v>
      </c>
      <c r="E26" s="3">
        <f>SUM($C$24:C26)</f>
        <v>6.0999999999999999E-2</v>
      </c>
      <c r="F26" s="3">
        <v>1</v>
      </c>
      <c r="G26" s="3">
        <f t="shared" si="4"/>
        <v>23</v>
      </c>
      <c r="H26" s="53" t="s">
        <v>181</v>
      </c>
      <c r="I26" s="54"/>
      <c r="J26" s="54"/>
      <c r="K26" s="54"/>
      <c r="L26" s="55"/>
    </row>
    <row r="27" spans="2:12">
      <c r="B27" s="3">
        <v>4</v>
      </c>
      <c r="C27" s="3">
        <f t="shared" si="3"/>
        <v>2.1000000000000001E-2</v>
      </c>
      <c r="D27" s="46">
        <v>20</v>
      </c>
      <c r="E27" s="3">
        <f>SUM($C$24:C27)</f>
        <v>8.2000000000000003E-2</v>
      </c>
      <c r="F27" s="3">
        <v>1</v>
      </c>
      <c r="G27" s="3">
        <f t="shared" si="4"/>
        <v>24</v>
      </c>
      <c r="H27" s="53" t="s">
        <v>181</v>
      </c>
      <c r="I27" s="54"/>
      <c r="J27" s="54"/>
      <c r="K27" s="54"/>
      <c r="L27" s="55"/>
    </row>
    <row r="28" spans="2:12">
      <c r="B28" s="3">
        <v>5</v>
      </c>
      <c r="C28" s="3">
        <f t="shared" si="3"/>
        <v>2.1000000000000001E-2</v>
      </c>
      <c r="D28" s="46">
        <f>F28*$C$3+G28*$C$4</f>
        <v>540</v>
      </c>
      <c r="E28" s="3">
        <f>SUM($C$24:C28)</f>
        <v>0.10300000000000001</v>
      </c>
      <c r="F28" s="3">
        <v>1</v>
      </c>
      <c r="G28" s="3">
        <f t="shared" si="4"/>
        <v>25</v>
      </c>
      <c r="H28" s="53" t="s">
        <v>186</v>
      </c>
      <c r="I28" s="54"/>
      <c r="J28" s="54"/>
      <c r="K28" s="54"/>
      <c r="L28" s="55"/>
    </row>
    <row r="29" spans="2:12">
      <c r="B29" s="3">
        <v>6</v>
      </c>
      <c r="C29" s="3">
        <f t="shared" si="3"/>
        <v>3.5000000000000003E-2</v>
      </c>
      <c r="D29" s="46">
        <f t="shared" ref="D29:D83" si="5">F29*$C$3+G29*$C$4</f>
        <v>600</v>
      </c>
      <c r="E29" s="3">
        <f>SUM($C$24:C29)</f>
        <v>0.13800000000000001</v>
      </c>
      <c r="F29" s="3">
        <f>F24+ROUNDDOWN(B29/5,0)</f>
        <v>2</v>
      </c>
      <c r="G29" s="3">
        <f t="shared" si="4"/>
        <v>26</v>
      </c>
      <c r="H29" s="53"/>
      <c r="I29" s="54"/>
      <c r="J29" s="54"/>
      <c r="K29" s="54"/>
      <c r="L29" s="55"/>
    </row>
    <row r="30" spans="2:12">
      <c r="B30" s="3">
        <v>7</v>
      </c>
      <c r="C30" s="3">
        <f t="shared" si="3"/>
        <v>3.5999999999999997E-2</v>
      </c>
      <c r="D30" s="46">
        <f t="shared" si="5"/>
        <v>620</v>
      </c>
      <c r="E30" s="3">
        <f>SUM($C$24:C30)</f>
        <v>0.17400000000000002</v>
      </c>
      <c r="F30" s="3">
        <f t="shared" ref="F30:F83" si="6">F25+1</f>
        <v>2</v>
      </c>
      <c r="G30" s="3">
        <f t="shared" si="4"/>
        <v>27</v>
      </c>
      <c r="H30" s="53"/>
      <c r="I30" s="54"/>
      <c r="J30" s="54"/>
      <c r="K30" s="54"/>
      <c r="L30" s="55"/>
    </row>
    <row r="31" spans="2:12">
      <c r="B31" s="3">
        <v>8</v>
      </c>
      <c r="C31" s="3">
        <f t="shared" si="3"/>
        <v>3.5999999999999997E-2</v>
      </c>
      <c r="D31" s="46">
        <f t="shared" si="5"/>
        <v>640</v>
      </c>
      <c r="E31" s="3">
        <f>SUM($C$24:C31)</f>
        <v>0.21000000000000002</v>
      </c>
      <c r="F31" s="3">
        <f t="shared" si="6"/>
        <v>2</v>
      </c>
      <c r="G31" s="3">
        <f t="shared" si="4"/>
        <v>28</v>
      </c>
      <c r="H31" s="53"/>
      <c r="I31" s="54"/>
      <c r="J31" s="54"/>
      <c r="K31" s="54"/>
      <c r="L31" s="55"/>
    </row>
    <row r="32" spans="2:12">
      <c r="B32" s="3">
        <v>9</v>
      </c>
      <c r="C32" s="3">
        <f t="shared" si="3"/>
        <v>3.5999999999999997E-2</v>
      </c>
      <c r="D32" s="46">
        <f t="shared" si="5"/>
        <v>660</v>
      </c>
      <c r="E32" s="3">
        <f>SUM($C$24:C32)</f>
        <v>0.24600000000000002</v>
      </c>
      <c r="F32" s="3">
        <f t="shared" si="6"/>
        <v>2</v>
      </c>
      <c r="G32" s="3">
        <f t="shared" si="4"/>
        <v>29</v>
      </c>
      <c r="H32" s="53"/>
      <c r="I32" s="54"/>
      <c r="J32" s="54"/>
      <c r="K32" s="54"/>
      <c r="L32" s="55"/>
    </row>
    <row r="33" spans="2:12" ht="15" customHeight="1">
      <c r="B33" s="3">
        <v>10</v>
      </c>
      <c r="C33" s="3">
        <f t="shared" si="3"/>
        <v>3.9E-2</v>
      </c>
      <c r="D33" s="46">
        <f t="shared" si="5"/>
        <v>880</v>
      </c>
      <c r="E33" s="3">
        <f>SUM($C$24:C33)</f>
        <v>0.28500000000000003</v>
      </c>
      <c r="F33" s="3">
        <f t="shared" si="6"/>
        <v>2</v>
      </c>
      <c r="G33" s="3">
        <f t="shared" si="4"/>
        <v>40</v>
      </c>
      <c r="H33" s="53" t="s">
        <v>179</v>
      </c>
      <c r="I33" s="54"/>
      <c r="J33" s="54"/>
      <c r="K33" s="54"/>
      <c r="L33" s="55"/>
    </row>
    <row r="34" spans="2:12">
      <c r="B34" s="3">
        <v>11</v>
      </c>
      <c r="C34" s="3">
        <f t="shared" si="3"/>
        <v>7.3999999999999996E-2</v>
      </c>
      <c r="D34" s="46">
        <f t="shared" si="5"/>
        <v>2380</v>
      </c>
      <c r="E34" s="3">
        <f>SUM($C$24:C34)</f>
        <v>0.35900000000000004</v>
      </c>
      <c r="F34" s="3">
        <f t="shared" si="6"/>
        <v>3</v>
      </c>
      <c r="G34" s="3">
        <f t="shared" si="4"/>
        <v>113</v>
      </c>
      <c r="H34" s="53" t="s">
        <v>188</v>
      </c>
      <c r="I34" s="54"/>
      <c r="J34" s="54"/>
      <c r="K34" s="54"/>
      <c r="L34" s="55"/>
    </row>
    <row r="35" spans="2:12">
      <c r="B35" s="3">
        <v>12</v>
      </c>
      <c r="C35" s="3">
        <f t="shared" si="3"/>
        <v>7.4999999999999997E-2</v>
      </c>
      <c r="D35" s="46">
        <f t="shared" si="5"/>
        <v>2440</v>
      </c>
      <c r="E35" s="3">
        <f>SUM($C$24:C35)</f>
        <v>0.43400000000000005</v>
      </c>
      <c r="F35" s="3">
        <f t="shared" si="6"/>
        <v>3</v>
      </c>
      <c r="G35" s="3">
        <f t="shared" si="4"/>
        <v>116</v>
      </c>
      <c r="H35" s="53"/>
      <c r="I35" s="54"/>
      <c r="J35" s="54"/>
      <c r="K35" s="54"/>
      <c r="L35" s="55"/>
    </row>
    <row r="36" spans="2:12">
      <c r="B36" s="3">
        <v>13</v>
      </c>
      <c r="C36" s="3">
        <f t="shared" si="3"/>
        <v>7.5999999999999998E-2</v>
      </c>
      <c r="D36" s="46">
        <f t="shared" si="5"/>
        <v>2500</v>
      </c>
      <c r="E36" s="3">
        <f>SUM($C$24:C36)</f>
        <v>0.51</v>
      </c>
      <c r="F36" s="3">
        <f t="shared" si="6"/>
        <v>3</v>
      </c>
      <c r="G36" s="3">
        <f t="shared" si="4"/>
        <v>119</v>
      </c>
      <c r="H36" s="53"/>
      <c r="I36" s="54"/>
      <c r="J36" s="54"/>
      <c r="K36" s="54"/>
      <c r="L36" s="55"/>
    </row>
    <row r="37" spans="2:12">
      <c r="B37" s="3">
        <v>14</v>
      </c>
      <c r="C37" s="3">
        <f t="shared" si="3"/>
        <v>7.6999999999999999E-2</v>
      </c>
      <c r="D37" s="46">
        <f t="shared" si="5"/>
        <v>2560</v>
      </c>
      <c r="E37" s="3">
        <f>SUM($C$24:C37)</f>
        <v>0.58699999999999997</v>
      </c>
      <c r="F37" s="3">
        <f t="shared" si="6"/>
        <v>3</v>
      </c>
      <c r="G37" s="3">
        <f t="shared" si="4"/>
        <v>122</v>
      </c>
      <c r="H37" s="53"/>
      <c r="I37" s="54"/>
      <c r="J37" s="54"/>
      <c r="K37" s="54"/>
      <c r="L37" s="55"/>
    </row>
    <row r="38" spans="2:12">
      <c r="B38" s="3">
        <v>15</v>
      </c>
      <c r="C38" s="3">
        <f t="shared" si="3"/>
        <v>7.8E-2</v>
      </c>
      <c r="D38" s="46">
        <f t="shared" si="5"/>
        <v>2620</v>
      </c>
      <c r="E38" s="3">
        <f>SUM($C$24:C38)</f>
        <v>0.66499999999999992</v>
      </c>
      <c r="F38" s="3">
        <f t="shared" si="6"/>
        <v>3</v>
      </c>
      <c r="G38" s="3">
        <f t="shared" si="4"/>
        <v>125</v>
      </c>
      <c r="H38" s="53"/>
      <c r="I38" s="54"/>
      <c r="J38" s="54"/>
      <c r="K38" s="54"/>
      <c r="L38" s="55"/>
    </row>
    <row r="39" spans="2:12">
      <c r="B39" s="3">
        <v>16</v>
      </c>
      <c r="C39" s="3">
        <f t="shared" si="3"/>
        <v>9.2999999999999999E-2</v>
      </c>
      <c r="D39" s="46">
        <f t="shared" si="5"/>
        <v>2720</v>
      </c>
      <c r="E39" s="3">
        <f>SUM($C$24:C39)</f>
        <v>0.7579999999999999</v>
      </c>
      <c r="F39" s="3">
        <f t="shared" si="6"/>
        <v>4</v>
      </c>
      <c r="G39" s="3">
        <f t="shared" si="4"/>
        <v>128</v>
      </c>
      <c r="H39" s="53"/>
      <c r="I39" s="54"/>
      <c r="J39" s="54"/>
      <c r="K39" s="54"/>
      <c r="L39" s="55"/>
    </row>
    <row r="40" spans="2:12">
      <c r="B40" s="3">
        <v>17</v>
      </c>
      <c r="C40" s="3">
        <f t="shared" si="3"/>
        <v>9.2999999999999999E-2</v>
      </c>
      <c r="D40" s="46">
        <f t="shared" si="5"/>
        <v>2780</v>
      </c>
      <c r="E40" s="3">
        <f>SUM($C$24:C40)</f>
        <v>0.85099999999999987</v>
      </c>
      <c r="F40" s="3">
        <f t="shared" si="6"/>
        <v>4</v>
      </c>
      <c r="G40" s="3">
        <f t="shared" si="4"/>
        <v>131</v>
      </c>
      <c r="H40" s="53"/>
      <c r="I40" s="54"/>
      <c r="J40" s="54"/>
      <c r="K40" s="54"/>
      <c r="L40" s="55"/>
    </row>
    <row r="41" spans="2:12">
      <c r="B41" s="3">
        <v>18</v>
      </c>
      <c r="C41" s="3">
        <f t="shared" si="3"/>
        <v>9.4E-2</v>
      </c>
      <c r="D41" s="46">
        <f t="shared" si="5"/>
        <v>2840</v>
      </c>
      <c r="E41" s="3">
        <f>SUM($C$24:C41)</f>
        <v>0.94499999999999984</v>
      </c>
      <c r="F41" s="3">
        <f t="shared" si="6"/>
        <v>4</v>
      </c>
      <c r="G41" s="3">
        <f t="shared" si="4"/>
        <v>134</v>
      </c>
      <c r="H41" s="53"/>
      <c r="I41" s="54"/>
      <c r="J41" s="54"/>
      <c r="K41" s="54"/>
      <c r="L41" s="55"/>
    </row>
    <row r="42" spans="2:12">
      <c r="B42" s="3">
        <v>19</v>
      </c>
      <c r="C42" s="3">
        <f t="shared" si="3"/>
        <v>9.5000000000000001E-2</v>
      </c>
      <c r="D42" s="46">
        <f t="shared" si="5"/>
        <v>2900</v>
      </c>
      <c r="E42" s="3">
        <f>SUM($C$24:C42)</f>
        <v>1.0399999999999998</v>
      </c>
      <c r="F42" s="3">
        <f t="shared" si="6"/>
        <v>4</v>
      </c>
      <c r="G42" s="3">
        <f t="shared" si="4"/>
        <v>137</v>
      </c>
      <c r="H42" s="53"/>
      <c r="I42" s="54"/>
      <c r="J42" s="54"/>
      <c r="K42" s="54"/>
      <c r="L42" s="55"/>
    </row>
    <row r="43" spans="2:12">
      <c r="B43" s="3">
        <v>20</v>
      </c>
      <c r="C43" s="3">
        <f t="shared" si="3"/>
        <v>0.10199999999999999</v>
      </c>
      <c r="D43" s="46">
        <f t="shared" si="5"/>
        <v>3360</v>
      </c>
      <c r="E43" s="3">
        <f>SUM($C$24:C43)</f>
        <v>1.1419999999999999</v>
      </c>
      <c r="F43" s="3">
        <f t="shared" si="6"/>
        <v>4</v>
      </c>
      <c r="G43" s="3">
        <f t="shared" si="4"/>
        <v>160</v>
      </c>
      <c r="H43" s="53" t="s">
        <v>178</v>
      </c>
      <c r="I43" s="54"/>
      <c r="J43" s="54"/>
      <c r="K43" s="54"/>
      <c r="L43" s="55"/>
    </row>
    <row r="44" spans="2:12">
      <c r="B44" s="3">
        <v>21</v>
      </c>
      <c r="C44" s="3">
        <f t="shared" si="3"/>
        <v>0.152</v>
      </c>
      <c r="D44" s="46">
        <f t="shared" si="5"/>
        <v>5900</v>
      </c>
      <c r="E44" s="3">
        <f>SUM($C$24:C44)</f>
        <v>1.2939999999999998</v>
      </c>
      <c r="F44" s="3">
        <f t="shared" si="6"/>
        <v>5</v>
      </c>
      <c r="G44" s="3">
        <f t="shared" si="4"/>
        <v>285</v>
      </c>
      <c r="H44" s="53" t="s">
        <v>187</v>
      </c>
      <c r="I44" s="54"/>
      <c r="J44" s="54"/>
      <c r="K44" s="54"/>
      <c r="L44" s="55"/>
    </row>
    <row r="45" spans="2:12">
      <c r="B45" s="3">
        <v>22</v>
      </c>
      <c r="C45" s="3">
        <f t="shared" si="3"/>
        <v>0.153</v>
      </c>
      <c r="D45" s="46">
        <f t="shared" si="5"/>
        <v>6000</v>
      </c>
      <c r="E45" s="3">
        <f>SUM($C$24:C45)</f>
        <v>1.4469999999999998</v>
      </c>
      <c r="F45" s="3">
        <f t="shared" si="6"/>
        <v>5</v>
      </c>
      <c r="G45" s="3">
        <f t="shared" si="4"/>
        <v>290</v>
      </c>
      <c r="H45" s="53"/>
      <c r="I45" s="54"/>
      <c r="J45" s="54"/>
      <c r="K45" s="54"/>
      <c r="L45" s="55"/>
    </row>
    <row r="46" spans="2:12">
      <c r="B46" s="3">
        <v>23</v>
      </c>
      <c r="C46" s="3">
        <f t="shared" si="3"/>
        <v>0.155</v>
      </c>
      <c r="D46" s="46">
        <f t="shared" si="5"/>
        <v>6100</v>
      </c>
      <c r="E46" s="3">
        <f>SUM($C$24:C46)</f>
        <v>1.6019999999999999</v>
      </c>
      <c r="F46" s="3">
        <f t="shared" si="6"/>
        <v>5</v>
      </c>
      <c r="G46" s="3">
        <f t="shared" si="4"/>
        <v>295</v>
      </c>
      <c r="H46" s="53"/>
      <c r="I46" s="54"/>
      <c r="J46" s="54"/>
      <c r="K46" s="54"/>
      <c r="L46" s="55"/>
    </row>
    <row r="47" spans="2:12">
      <c r="B47" s="3">
        <v>24</v>
      </c>
      <c r="C47" s="3">
        <f t="shared" si="3"/>
        <v>0.156</v>
      </c>
      <c r="D47" s="46">
        <f t="shared" si="5"/>
        <v>6200</v>
      </c>
      <c r="E47" s="3">
        <f>SUM($C$24:C47)</f>
        <v>1.7579999999999998</v>
      </c>
      <c r="F47" s="3">
        <f t="shared" si="6"/>
        <v>5</v>
      </c>
      <c r="G47" s="3">
        <f t="shared" si="4"/>
        <v>300</v>
      </c>
      <c r="H47" s="53"/>
      <c r="I47" s="54"/>
      <c r="J47" s="54"/>
      <c r="K47" s="54"/>
      <c r="L47" s="55"/>
    </row>
    <row r="48" spans="2:12">
      <c r="B48" s="3">
        <v>25</v>
      </c>
      <c r="C48" s="3">
        <f t="shared" si="3"/>
        <v>0.158</v>
      </c>
      <c r="D48" s="46">
        <f t="shared" si="5"/>
        <v>6300</v>
      </c>
      <c r="E48" s="3">
        <f>SUM($C$24:C48)</f>
        <v>1.9159999999999997</v>
      </c>
      <c r="F48" s="3">
        <f t="shared" si="6"/>
        <v>5</v>
      </c>
      <c r="G48" s="3">
        <f t="shared" si="4"/>
        <v>305</v>
      </c>
      <c r="H48" s="53"/>
      <c r="I48" s="54"/>
      <c r="J48" s="54"/>
      <c r="K48" s="54"/>
      <c r="L48" s="55"/>
    </row>
    <row r="49" spans="2:12">
      <c r="B49" s="3">
        <v>26</v>
      </c>
      <c r="C49" s="3">
        <f t="shared" si="3"/>
        <v>0.17299999999999999</v>
      </c>
      <c r="D49" s="46">
        <f t="shared" si="5"/>
        <v>6440</v>
      </c>
      <c r="E49" s="3">
        <f>SUM($C$24:C49)</f>
        <v>2.0889999999999995</v>
      </c>
      <c r="F49" s="3">
        <f t="shared" si="6"/>
        <v>6</v>
      </c>
      <c r="G49" s="3">
        <f t="shared" si="4"/>
        <v>310</v>
      </c>
      <c r="H49" s="53"/>
      <c r="I49" s="54"/>
      <c r="J49" s="54"/>
      <c r="K49" s="54"/>
      <c r="L49" s="55"/>
    </row>
    <row r="50" spans="2:12">
      <c r="B50" s="3">
        <v>27</v>
      </c>
      <c r="C50" s="3">
        <f t="shared" si="3"/>
        <v>0.17399999999999999</v>
      </c>
      <c r="D50" s="46">
        <f t="shared" si="5"/>
        <v>6540</v>
      </c>
      <c r="E50" s="3">
        <f>SUM($C$24:C50)</f>
        <v>2.2629999999999995</v>
      </c>
      <c r="F50" s="3">
        <f t="shared" si="6"/>
        <v>6</v>
      </c>
      <c r="G50" s="3">
        <f t="shared" si="4"/>
        <v>315</v>
      </c>
      <c r="H50" s="53"/>
      <c r="I50" s="54"/>
      <c r="J50" s="54"/>
      <c r="K50" s="54"/>
      <c r="L50" s="55"/>
    </row>
    <row r="51" spans="2:12">
      <c r="B51" s="3">
        <v>28</v>
      </c>
      <c r="C51" s="3">
        <f t="shared" si="3"/>
        <v>0.17599999999999999</v>
      </c>
      <c r="D51" s="46">
        <f t="shared" si="5"/>
        <v>6640</v>
      </c>
      <c r="E51" s="3">
        <f>SUM($C$24:C51)</f>
        <v>2.4389999999999996</v>
      </c>
      <c r="F51" s="3">
        <f t="shared" si="6"/>
        <v>6</v>
      </c>
      <c r="G51" s="3">
        <f t="shared" si="4"/>
        <v>320</v>
      </c>
      <c r="H51" s="53"/>
      <c r="I51" s="54"/>
      <c r="J51" s="54"/>
      <c r="K51" s="54"/>
      <c r="L51" s="55"/>
    </row>
    <row r="52" spans="2:12">
      <c r="B52" s="3">
        <v>29</v>
      </c>
      <c r="C52" s="3">
        <f t="shared" si="3"/>
        <v>0.17699999999999999</v>
      </c>
      <c r="D52" s="46">
        <f t="shared" si="5"/>
        <v>6740</v>
      </c>
      <c r="E52" s="3">
        <f>SUM($C$24:C52)</f>
        <v>2.6159999999999997</v>
      </c>
      <c r="F52" s="3">
        <f t="shared" si="6"/>
        <v>6</v>
      </c>
      <c r="G52" s="3">
        <f t="shared" si="4"/>
        <v>325</v>
      </c>
      <c r="H52" s="53"/>
      <c r="I52" s="54"/>
      <c r="J52" s="54"/>
      <c r="K52" s="54"/>
      <c r="L52" s="55"/>
    </row>
    <row r="53" spans="2:12">
      <c r="B53" s="3">
        <v>30</v>
      </c>
      <c r="C53" s="3">
        <f t="shared" si="3"/>
        <v>0.188</v>
      </c>
      <c r="D53" s="46">
        <f t="shared" si="5"/>
        <v>7440</v>
      </c>
      <c r="E53" s="3">
        <f>SUM($C$24:C53)</f>
        <v>2.8039999999999998</v>
      </c>
      <c r="F53" s="3">
        <f t="shared" si="6"/>
        <v>6</v>
      </c>
      <c r="G53" s="3">
        <f t="shared" si="4"/>
        <v>360</v>
      </c>
      <c r="H53" s="53" t="s">
        <v>184</v>
      </c>
      <c r="I53" s="54"/>
      <c r="J53" s="54"/>
      <c r="K53" s="54"/>
      <c r="L53" s="55"/>
    </row>
    <row r="54" spans="2:12">
      <c r="B54" s="3">
        <v>31</v>
      </c>
      <c r="C54" s="3">
        <f t="shared" si="3"/>
        <v>0.253</v>
      </c>
      <c r="D54" s="46">
        <f t="shared" si="5"/>
        <v>11020</v>
      </c>
      <c r="E54" s="3">
        <f>SUM($C$24:C54)</f>
        <v>3.0569999999999999</v>
      </c>
      <c r="F54" s="3">
        <f t="shared" si="6"/>
        <v>7</v>
      </c>
      <c r="G54" s="3">
        <f t="shared" si="4"/>
        <v>537</v>
      </c>
      <c r="H54" s="53" t="s">
        <v>189</v>
      </c>
      <c r="I54" s="54"/>
      <c r="J54" s="54"/>
      <c r="K54" s="54"/>
      <c r="L54" s="55"/>
    </row>
    <row r="55" spans="2:12">
      <c r="B55" s="3">
        <v>32</v>
      </c>
      <c r="C55" s="3">
        <f t="shared" si="3"/>
        <v>0.255</v>
      </c>
      <c r="D55" s="46">
        <f t="shared" si="5"/>
        <v>11160</v>
      </c>
      <c r="E55" s="3">
        <f>SUM($C$24:C55)</f>
        <v>3.3119999999999998</v>
      </c>
      <c r="F55" s="3">
        <f t="shared" si="6"/>
        <v>7</v>
      </c>
      <c r="G55" s="3">
        <f t="shared" si="4"/>
        <v>544</v>
      </c>
      <c r="H55" s="53"/>
      <c r="I55" s="54"/>
      <c r="J55" s="54"/>
      <c r="K55" s="54"/>
      <c r="L55" s="55"/>
    </row>
    <row r="56" spans="2:12">
      <c r="B56" s="3">
        <v>33</v>
      </c>
      <c r="C56" s="3">
        <f t="shared" si="3"/>
        <v>0.25700000000000001</v>
      </c>
      <c r="D56" s="46">
        <f t="shared" si="5"/>
        <v>11300</v>
      </c>
      <c r="E56" s="3">
        <f>SUM($C$24:C56)</f>
        <v>3.569</v>
      </c>
      <c r="F56" s="3">
        <f t="shared" si="6"/>
        <v>7</v>
      </c>
      <c r="G56" s="3">
        <f t="shared" si="4"/>
        <v>551</v>
      </c>
      <c r="H56" s="53"/>
      <c r="I56" s="54"/>
      <c r="J56" s="54"/>
      <c r="K56" s="54"/>
      <c r="L56" s="55"/>
    </row>
    <row r="57" spans="2:12">
      <c r="B57" s="3">
        <v>34</v>
      </c>
      <c r="C57" s="3">
        <f t="shared" si="3"/>
        <v>0.25900000000000001</v>
      </c>
      <c r="D57" s="46">
        <f t="shared" si="5"/>
        <v>11440</v>
      </c>
      <c r="E57" s="3">
        <f>SUM($C$24:C57)</f>
        <v>3.8279999999999998</v>
      </c>
      <c r="F57" s="3">
        <f t="shared" si="6"/>
        <v>7</v>
      </c>
      <c r="G57" s="3">
        <f t="shared" si="4"/>
        <v>558</v>
      </c>
      <c r="H57" s="53"/>
      <c r="I57" s="54"/>
      <c r="J57" s="54"/>
      <c r="K57" s="54"/>
      <c r="L57" s="55"/>
    </row>
    <row r="58" spans="2:12">
      <c r="B58" s="3">
        <v>35</v>
      </c>
      <c r="C58" s="3">
        <f t="shared" si="3"/>
        <v>0.26100000000000001</v>
      </c>
      <c r="D58" s="46">
        <f t="shared" si="5"/>
        <v>11580</v>
      </c>
      <c r="E58" s="3">
        <f>SUM($C$24:C58)</f>
        <v>4.0889999999999995</v>
      </c>
      <c r="F58" s="3">
        <f t="shared" si="6"/>
        <v>7</v>
      </c>
      <c r="G58" s="3">
        <f t="shared" si="4"/>
        <v>565</v>
      </c>
      <c r="H58" s="53"/>
      <c r="I58" s="54"/>
      <c r="J58" s="54"/>
      <c r="K58" s="54"/>
      <c r="L58" s="55"/>
    </row>
    <row r="59" spans="2:12">
      <c r="B59" s="3">
        <v>36</v>
      </c>
      <c r="C59" s="3">
        <f t="shared" si="3"/>
        <v>0.27700000000000002</v>
      </c>
      <c r="D59" s="46">
        <f t="shared" si="5"/>
        <v>11760</v>
      </c>
      <c r="E59" s="3">
        <f>SUM($C$24:C59)</f>
        <v>4.3659999999999997</v>
      </c>
      <c r="F59" s="3">
        <f t="shared" si="6"/>
        <v>8</v>
      </c>
      <c r="G59" s="3">
        <f t="shared" si="4"/>
        <v>572</v>
      </c>
      <c r="H59" s="53"/>
      <c r="I59" s="54"/>
      <c r="J59" s="54"/>
      <c r="K59" s="54"/>
      <c r="L59" s="55"/>
    </row>
    <row r="60" spans="2:12">
      <c r="B60" s="3">
        <v>37</v>
      </c>
      <c r="C60" s="3">
        <f t="shared" si="3"/>
        <v>0.27900000000000003</v>
      </c>
      <c r="D60" s="46">
        <f t="shared" si="5"/>
        <v>11900</v>
      </c>
      <c r="E60" s="3">
        <f>SUM($C$24:C60)</f>
        <v>4.6449999999999996</v>
      </c>
      <c r="F60" s="3">
        <f t="shared" si="6"/>
        <v>8</v>
      </c>
      <c r="G60" s="3">
        <f t="shared" si="4"/>
        <v>579</v>
      </c>
      <c r="H60" s="53"/>
      <c r="I60" s="54"/>
      <c r="J60" s="54"/>
      <c r="K60" s="54"/>
      <c r="L60" s="55"/>
    </row>
    <row r="61" spans="2:12">
      <c r="B61" s="3">
        <v>38</v>
      </c>
      <c r="C61" s="3">
        <f t="shared" si="3"/>
        <v>0.28100000000000003</v>
      </c>
      <c r="D61" s="46">
        <f t="shared" si="5"/>
        <v>12040</v>
      </c>
      <c r="E61" s="3">
        <f>SUM($C$24:C61)</f>
        <v>4.9259999999999993</v>
      </c>
      <c r="F61" s="3">
        <f t="shared" si="6"/>
        <v>8</v>
      </c>
      <c r="G61" s="3">
        <f t="shared" si="4"/>
        <v>586</v>
      </c>
      <c r="H61" s="53"/>
      <c r="I61" s="54"/>
      <c r="J61" s="54"/>
      <c r="K61" s="54"/>
      <c r="L61" s="55"/>
    </row>
    <row r="62" spans="2:12">
      <c r="B62" s="3">
        <v>39</v>
      </c>
      <c r="C62" s="3">
        <f t="shared" si="3"/>
        <v>0.28299999999999997</v>
      </c>
      <c r="D62" s="46">
        <f t="shared" si="5"/>
        <v>12180</v>
      </c>
      <c r="E62" s="3">
        <f>SUM($C$24:C62)</f>
        <v>5.2089999999999996</v>
      </c>
      <c r="F62" s="3">
        <f t="shared" si="6"/>
        <v>8</v>
      </c>
      <c r="G62" s="3">
        <f t="shared" si="4"/>
        <v>593</v>
      </c>
      <c r="H62" s="53"/>
      <c r="I62" s="54"/>
      <c r="J62" s="54"/>
      <c r="K62" s="54"/>
      <c r="L62" s="55"/>
    </row>
    <row r="63" spans="2:12">
      <c r="B63" s="3">
        <v>40</v>
      </c>
      <c r="C63" s="3">
        <f t="shared" si="3"/>
        <v>0.29599999999999999</v>
      </c>
      <c r="D63" s="46">
        <f t="shared" si="5"/>
        <v>13120</v>
      </c>
      <c r="E63" s="3">
        <f>SUM($C$24:C63)</f>
        <v>5.5049999999999999</v>
      </c>
      <c r="F63" s="3">
        <f t="shared" si="6"/>
        <v>8</v>
      </c>
      <c r="G63" s="3">
        <f t="shared" si="4"/>
        <v>640</v>
      </c>
      <c r="H63" s="53" t="s">
        <v>183</v>
      </c>
      <c r="I63" s="54"/>
      <c r="J63" s="54"/>
      <c r="K63" s="54"/>
      <c r="L63" s="55"/>
    </row>
    <row r="64" spans="2:12">
      <c r="B64" s="3">
        <v>41</v>
      </c>
      <c r="C64" s="3">
        <f t="shared" si="3"/>
        <v>0.376</v>
      </c>
      <c r="D64" s="46">
        <f t="shared" si="5"/>
        <v>17740</v>
      </c>
      <c r="E64" s="3">
        <f>SUM($C$24:C64)</f>
        <v>5.8810000000000002</v>
      </c>
      <c r="F64" s="3">
        <f t="shared" si="6"/>
        <v>9</v>
      </c>
      <c r="G64" s="3">
        <f t="shared" si="4"/>
        <v>869</v>
      </c>
      <c r="H64" s="53" t="s">
        <v>190</v>
      </c>
      <c r="I64" s="54"/>
      <c r="J64" s="54"/>
      <c r="K64" s="54"/>
      <c r="L64" s="55"/>
    </row>
    <row r="65" spans="2:12">
      <c r="B65" s="3">
        <v>42</v>
      </c>
      <c r="C65" s="3">
        <f t="shared" si="3"/>
        <v>0.379</v>
      </c>
      <c r="D65" s="46">
        <f t="shared" si="5"/>
        <v>17920</v>
      </c>
      <c r="E65" s="3">
        <f>SUM($C$24:C65)</f>
        <v>6.26</v>
      </c>
      <c r="F65" s="3">
        <f t="shared" si="6"/>
        <v>9</v>
      </c>
      <c r="G65" s="3">
        <f t="shared" si="4"/>
        <v>878</v>
      </c>
      <c r="H65" s="53"/>
      <c r="I65" s="54"/>
      <c r="J65" s="54"/>
      <c r="K65" s="54"/>
      <c r="L65" s="55"/>
    </row>
    <row r="66" spans="2:12">
      <c r="B66" s="3">
        <v>43</v>
      </c>
      <c r="C66" s="3">
        <f t="shared" si="3"/>
        <v>0.38200000000000001</v>
      </c>
      <c r="D66" s="46">
        <f t="shared" si="5"/>
        <v>18100</v>
      </c>
      <c r="E66" s="3">
        <f>SUM($C$24:C66)</f>
        <v>6.6419999999999995</v>
      </c>
      <c r="F66" s="3">
        <f t="shared" si="6"/>
        <v>9</v>
      </c>
      <c r="G66" s="3">
        <f t="shared" si="4"/>
        <v>887</v>
      </c>
      <c r="H66" s="53"/>
      <c r="I66" s="54"/>
      <c r="J66" s="54"/>
      <c r="K66" s="54"/>
      <c r="L66" s="55"/>
    </row>
    <row r="67" spans="2:12">
      <c r="B67" s="3">
        <v>44</v>
      </c>
      <c r="C67" s="3">
        <f t="shared" si="3"/>
        <v>0.38400000000000001</v>
      </c>
      <c r="D67" s="46">
        <f t="shared" si="5"/>
        <v>18280</v>
      </c>
      <c r="E67" s="3">
        <f>SUM($C$24:C67)</f>
        <v>7.0259999999999998</v>
      </c>
      <c r="F67" s="3">
        <f t="shared" si="6"/>
        <v>9</v>
      </c>
      <c r="G67" s="3">
        <f t="shared" si="4"/>
        <v>896</v>
      </c>
      <c r="H67" s="53"/>
      <c r="I67" s="54"/>
      <c r="J67" s="54"/>
      <c r="K67" s="54"/>
      <c r="L67" s="55"/>
    </row>
    <row r="68" spans="2:12">
      <c r="B68" s="3">
        <v>45</v>
      </c>
      <c r="C68" s="3">
        <f t="shared" si="3"/>
        <v>0.38700000000000001</v>
      </c>
      <c r="D68" s="46">
        <f t="shared" si="5"/>
        <v>18460</v>
      </c>
      <c r="E68" s="3">
        <f>SUM($C$24:C68)</f>
        <v>7.4130000000000003</v>
      </c>
      <c r="F68" s="3">
        <f t="shared" si="6"/>
        <v>9</v>
      </c>
      <c r="G68" s="3">
        <f t="shared" si="4"/>
        <v>905</v>
      </c>
      <c r="H68" s="53"/>
      <c r="I68" s="54"/>
      <c r="J68" s="54"/>
      <c r="K68" s="54"/>
      <c r="L68" s="55"/>
    </row>
    <row r="69" spans="2:12">
      <c r="B69" s="3">
        <v>46</v>
      </c>
      <c r="C69" s="3">
        <f t="shared" si="3"/>
        <v>0.40300000000000002</v>
      </c>
      <c r="D69" s="46">
        <f t="shared" si="5"/>
        <v>18680</v>
      </c>
      <c r="E69" s="3">
        <f>SUM($C$24:C69)</f>
        <v>7.8160000000000007</v>
      </c>
      <c r="F69" s="3">
        <f t="shared" si="6"/>
        <v>10</v>
      </c>
      <c r="G69" s="3">
        <f t="shared" si="4"/>
        <v>914</v>
      </c>
      <c r="H69" s="53"/>
      <c r="I69" s="54"/>
      <c r="J69" s="54"/>
      <c r="K69" s="54"/>
      <c r="L69" s="55"/>
    </row>
    <row r="70" spans="2:12">
      <c r="B70" s="3">
        <v>47</v>
      </c>
      <c r="C70" s="3">
        <f t="shared" si="3"/>
        <v>0.40600000000000003</v>
      </c>
      <c r="D70" s="46">
        <f t="shared" si="5"/>
        <v>18860</v>
      </c>
      <c r="E70" s="3">
        <f>SUM($C$24:C70)</f>
        <v>8.2220000000000013</v>
      </c>
      <c r="F70" s="3">
        <f t="shared" si="6"/>
        <v>10</v>
      </c>
      <c r="G70" s="3">
        <f t="shared" si="4"/>
        <v>923</v>
      </c>
      <c r="H70" s="53"/>
      <c r="I70" s="54"/>
      <c r="J70" s="54"/>
      <c r="K70" s="54"/>
      <c r="L70" s="55"/>
    </row>
    <row r="71" spans="2:12">
      <c r="B71" s="3">
        <v>48</v>
      </c>
      <c r="C71" s="3">
        <f t="shared" si="3"/>
        <v>0.40899999999999997</v>
      </c>
      <c r="D71" s="46">
        <f t="shared" si="5"/>
        <v>19040</v>
      </c>
      <c r="E71" s="3">
        <f>SUM($C$24:C71)</f>
        <v>8.631000000000002</v>
      </c>
      <c r="F71" s="3">
        <f t="shared" si="6"/>
        <v>10</v>
      </c>
      <c r="G71" s="3">
        <f t="shared" si="4"/>
        <v>932</v>
      </c>
      <c r="H71" s="53"/>
      <c r="I71" s="54"/>
      <c r="J71" s="54"/>
      <c r="K71" s="54"/>
      <c r="L71" s="55"/>
    </row>
    <row r="72" spans="2:12">
      <c r="B72" s="3">
        <v>49</v>
      </c>
      <c r="C72" s="3">
        <f t="shared" si="3"/>
        <v>0.41099999999999998</v>
      </c>
      <c r="D72" s="46">
        <f t="shared" si="5"/>
        <v>19220</v>
      </c>
      <c r="E72" s="3">
        <f>SUM($C$24:C72)</f>
        <v>9.0420000000000016</v>
      </c>
      <c r="F72" s="3">
        <f t="shared" si="6"/>
        <v>10</v>
      </c>
      <c r="G72" s="3">
        <f t="shared" si="4"/>
        <v>941</v>
      </c>
      <c r="H72" s="53"/>
      <c r="I72" s="54"/>
      <c r="J72" s="54"/>
      <c r="K72" s="54"/>
      <c r="L72" s="55"/>
    </row>
    <row r="73" spans="2:12">
      <c r="B73" s="3">
        <v>50</v>
      </c>
      <c r="C73" s="3">
        <f t="shared" si="3"/>
        <v>0.42799999999999999</v>
      </c>
      <c r="D73" s="46">
        <f t="shared" si="5"/>
        <v>20400</v>
      </c>
      <c r="E73" s="3">
        <f>SUM($C$24:C73)</f>
        <v>9.4700000000000024</v>
      </c>
      <c r="F73" s="3">
        <f t="shared" si="6"/>
        <v>10</v>
      </c>
      <c r="G73" s="3">
        <f t="shared" si="4"/>
        <v>1000</v>
      </c>
      <c r="H73" s="53"/>
      <c r="I73" s="54"/>
      <c r="J73" s="54"/>
      <c r="K73" s="54"/>
      <c r="L73" s="55"/>
    </row>
    <row r="74" spans="2:12">
      <c r="B74" s="3">
        <v>51</v>
      </c>
      <c r="C74" s="3">
        <f t="shared" si="3"/>
        <v>0.52300000000000002</v>
      </c>
      <c r="D74" s="46">
        <f t="shared" si="5"/>
        <v>26060</v>
      </c>
      <c r="E74" s="3">
        <f>SUM($C$24:C74)</f>
        <v>9.9930000000000021</v>
      </c>
      <c r="F74" s="3">
        <f t="shared" si="6"/>
        <v>11</v>
      </c>
      <c r="G74" s="3">
        <f t="shared" si="4"/>
        <v>1281</v>
      </c>
      <c r="H74" s="53" t="s">
        <v>185</v>
      </c>
      <c r="I74" s="54"/>
      <c r="J74" s="54"/>
      <c r="K74" s="54"/>
      <c r="L74" s="55"/>
    </row>
    <row r="75" spans="2:12">
      <c r="B75" s="3">
        <v>52</v>
      </c>
      <c r="C75" s="3">
        <f t="shared" si="3"/>
        <v>0.52700000000000002</v>
      </c>
      <c r="D75" s="46">
        <f t="shared" si="5"/>
        <v>26280</v>
      </c>
      <c r="E75" s="3">
        <f>SUM($C$24:C75)</f>
        <v>10.520000000000001</v>
      </c>
      <c r="F75" s="3">
        <f t="shared" si="6"/>
        <v>11</v>
      </c>
      <c r="G75" s="3">
        <f t="shared" si="4"/>
        <v>1292</v>
      </c>
      <c r="H75" s="53"/>
      <c r="I75" s="54"/>
      <c r="J75" s="54"/>
      <c r="K75" s="54"/>
      <c r="L75" s="55"/>
    </row>
    <row r="76" spans="2:12">
      <c r="B76" s="3">
        <v>53</v>
      </c>
      <c r="C76" s="3">
        <f t="shared" si="3"/>
        <v>0.53</v>
      </c>
      <c r="D76" s="46">
        <f t="shared" si="5"/>
        <v>26500</v>
      </c>
      <c r="E76" s="3">
        <f>SUM($C$24:C76)</f>
        <v>11.05</v>
      </c>
      <c r="F76" s="3">
        <f t="shared" si="6"/>
        <v>11</v>
      </c>
      <c r="G76" s="3">
        <f t="shared" si="4"/>
        <v>1303</v>
      </c>
      <c r="H76" s="53"/>
      <c r="I76" s="54"/>
      <c r="J76" s="54"/>
      <c r="K76" s="54"/>
      <c r="L76" s="55"/>
    </row>
    <row r="77" spans="2:12">
      <c r="B77" s="3">
        <v>54</v>
      </c>
      <c r="C77" s="3">
        <f t="shared" si="3"/>
        <v>0.53300000000000003</v>
      </c>
      <c r="D77" s="46">
        <f t="shared" si="5"/>
        <v>26720</v>
      </c>
      <c r="E77" s="3">
        <f>SUM($C$24:C77)</f>
        <v>11.583</v>
      </c>
      <c r="F77" s="3">
        <f t="shared" si="6"/>
        <v>11</v>
      </c>
      <c r="G77" s="3">
        <f t="shared" si="4"/>
        <v>1314</v>
      </c>
      <c r="H77" s="53"/>
      <c r="I77" s="54"/>
      <c r="J77" s="54"/>
      <c r="K77" s="54"/>
      <c r="L77" s="55"/>
    </row>
    <row r="78" spans="2:12">
      <c r="B78" s="3">
        <v>55</v>
      </c>
      <c r="C78" s="3">
        <f t="shared" si="3"/>
        <v>0.53600000000000003</v>
      </c>
      <c r="D78" s="46">
        <f t="shared" si="5"/>
        <v>26940</v>
      </c>
      <c r="E78" s="3">
        <f>SUM($C$24:C78)</f>
        <v>12.119</v>
      </c>
      <c r="F78" s="3">
        <f t="shared" si="6"/>
        <v>11</v>
      </c>
      <c r="G78" s="3">
        <f t="shared" si="4"/>
        <v>1325</v>
      </c>
      <c r="H78" s="53"/>
      <c r="I78" s="54"/>
      <c r="J78" s="54"/>
      <c r="K78" s="54"/>
      <c r="L78" s="55"/>
    </row>
    <row r="79" spans="2:12">
      <c r="B79" s="3">
        <v>56</v>
      </c>
      <c r="C79" s="3">
        <f t="shared" si="3"/>
        <v>0.55300000000000005</v>
      </c>
      <c r="D79" s="46">
        <f t="shared" si="5"/>
        <v>27200</v>
      </c>
      <c r="E79" s="3">
        <f>SUM($C$24:C79)</f>
        <v>12.672000000000001</v>
      </c>
      <c r="F79" s="3">
        <f t="shared" si="6"/>
        <v>12</v>
      </c>
      <c r="G79" s="3">
        <f t="shared" si="4"/>
        <v>1336</v>
      </c>
      <c r="H79" s="53"/>
      <c r="I79" s="54"/>
      <c r="J79" s="54"/>
      <c r="K79" s="54"/>
      <c r="L79" s="55"/>
    </row>
    <row r="80" spans="2:12">
      <c r="B80" s="3">
        <v>57</v>
      </c>
      <c r="C80" s="3">
        <f t="shared" si="3"/>
        <v>0.55600000000000005</v>
      </c>
      <c r="D80" s="46">
        <f t="shared" si="5"/>
        <v>27420</v>
      </c>
      <c r="E80" s="3">
        <f>SUM($C$24:C80)</f>
        <v>13.228000000000002</v>
      </c>
      <c r="F80" s="3">
        <f t="shared" si="6"/>
        <v>12</v>
      </c>
      <c r="G80" s="3">
        <f t="shared" si="4"/>
        <v>1347</v>
      </c>
      <c r="H80" s="53"/>
      <c r="I80" s="54"/>
      <c r="J80" s="54"/>
      <c r="K80" s="54"/>
      <c r="L80" s="55"/>
    </row>
    <row r="81" spans="2:12">
      <c r="B81" s="3">
        <v>58</v>
      </c>
      <c r="C81" s="3">
        <f t="shared" si="3"/>
        <v>0.56000000000000005</v>
      </c>
      <c r="D81" s="46">
        <f t="shared" si="5"/>
        <v>27640</v>
      </c>
      <c r="E81" s="3">
        <f>SUM($C$24:C81)</f>
        <v>13.788000000000002</v>
      </c>
      <c r="F81" s="3">
        <f t="shared" si="6"/>
        <v>12</v>
      </c>
      <c r="G81" s="3">
        <f t="shared" si="4"/>
        <v>1358</v>
      </c>
      <c r="H81" s="53"/>
      <c r="I81" s="54"/>
      <c r="J81" s="54"/>
      <c r="K81" s="54"/>
      <c r="L81" s="55"/>
    </row>
    <row r="82" spans="2:12">
      <c r="B82" s="3">
        <v>59</v>
      </c>
      <c r="C82" s="3">
        <f t="shared" si="3"/>
        <v>0.56299999999999994</v>
      </c>
      <c r="D82" s="46">
        <f t="shared" si="5"/>
        <v>27860</v>
      </c>
      <c r="E82" s="3">
        <f>SUM($C$24:C82)</f>
        <v>14.351000000000003</v>
      </c>
      <c r="F82" s="3">
        <f t="shared" si="6"/>
        <v>12</v>
      </c>
      <c r="G82" s="3">
        <f t="shared" si="4"/>
        <v>1369</v>
      </c>
      <c r="H82" s="53"/>
      <c r="I82" s="54"/>
      <c r="J82" s="54"/>
      <c r="K82" s="54"/>
      <c r="L82" s="55"/>
    </row>
    <row r="83" spans="2:12">
      <c r="B83" s="3">
        <v>60</v>
      </c>
      <c r="C83" s="3">
        <f t="shared" si="3"/>
        <v>0.58299999999999996</v>
      </c>
      <c r="D83" s="46">
        <f t="shared" si="5"/>
        <v>29280</v>
      </c>
      <c r="E83" s="3">
        <f>SUM($C$24:C83)</f>
        <v>14.934000000000003</v>
      </c>
      <c r="F83" s="3">
        <f t="shared" si="6"/>
        <v>12</v>
      </c>
      <c r="G83" s="3">
        <f t="shared" si="4"/>
        <v>1440</v>
      </c>
      <c r="H83" s="53" t="s">
        <v>182</v>
      </c>
      <c r="I83" s="54"/>
      <c r="J83" s="54"/>
      <c r="K83" s="54"/>
      <c r="L83" s="55"/>
    </row>
  </sheetData>
  <mergeCells count="61">
    <mergeCell ref="H69:L69"/>
    <mergeCell ref="H70:L70"/>
    <mergeCell ref="H34:L34"/>
    <mergeCell ref="H47:L47"/>
    <mergeCell ref="H48:L48"/>
    <mergeCell ref="H49:L49"/>
    <mergeCell ref="H50:L50"/>
    <mergeCell ref="H45:L45"/>
    <mergeCell ref="H46:L46"/>
    <mergeCell ref="H44:L44"/>
    <mergeCell ref="H37:L37"/>
    <mergeCell ref="H38:L38"/>
    <mergeCell ref="H39:L39"/>
    <mergeCell ref="H40:L40"/>
    <mergeCell ref="H41:L41"/>
    <mergeCell ref="H42:L42"/>
    <mergeCell ref="H23:L23"/>
    <mergeCell ref="H24:L24"/>
    <mergeCell ref="H25:L25"/>
    <mergeCell ref="H26:L26"/>
    <mergeCell ref="H27:L27"/>
    <mergeCell ref="H63:L63"/>
    <mergeCell ref="H64:L64"/>
    <mergeCell ref="H65:L65"/>
    <mergeCell ref="H28:L28"/>
    <mergeCell ref="H29:L29"/>
    <mergeCell ref="H30:L30"/>
    <mergeCell ref="H35:L35"/>
    <mergeCell ref="H36:L36"/>
    <mergeCell ref="H31:L31"/>
    <mergeCell ref="H32:L32"/>
    <mergeCell ref="H33:L33"/>
    <mergeCell ref="H43:L43"/>
    <mergeCell ref="H56:L56"/>
    <mergeCell ref="H59:L59"/>
    <mergeCell ref="H60:L60"/>
    <mergeCell ref="H61:L61"/>
    <mergeCell ref="H62:L62"/>
    <mergeCell ref="H57:L57"/>
    <mergeCell ref="H58:L58"/>
    <mergeCell ref="H51:L51"/>
    <mergeCell ref="H52:L52"/>
    <mergeCell ref="H53:L53"/>
    <mergeCell ref="H54:L54"/>
    <mergeCell ref="H55:L55"/>
    <mergeCell ref="H66:L66"/>
    <mergeCell ref="H67:L67"/>
    <mergeCell ref="H83:L83"/>
    <mergeCell ref="H75:L75"/>
    <mergeCell ref="H76:L76"/>
    <mergeCell ref="H77:L77"/>
    <mergeCell ref="H78:L78"/>
    <mergeCell ref="H79:L79"/>
    <mergeCell ref="H80:L80"/>
    <mergeCell ref="H81:L81"/>
    <mergeCell ref="H82:L82"/>
    <mergeCell ref="H68:L68"/>
    <mergeCell ref="H71:L71"/>
    <mergeCell ref="H72:L72"/>
    <mergeCell ref="H73:L73"/>
    <mergeCell ref="H74:L74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C994E-7392-4763-A06C-DC00CB49EF5F}">
  <sheetPr codeName="Sheet5"/>
  <dimension ref="B2:I63"/>
  <sheetViews>
    <sheetView topLeftCell="A28" workbookViewId="0">
      <selection activeCell="K27" sqref="K27"/>
    </sheetView>
  </sheetViews>
  <sheetFormatPr defaultColWidth="13.77734375" defaultRowHeight="15.6"/>
  <cols>
    <col min="1" max="16384" width="13.77734375" style="1"/>
  </cols>
  <sheetData>
    <row r="2" spans="2:9" ht="16.2">
      <c r="B2" s="2" t="s">
        <v>203</v>
      </c>
      <c r="C2" s="2"/>
      <c r="D2" s="2"/>
      <c r="E2" s="2"/>
    </row>
    <row r="3" spans="2:9">
      <c r="B3" s="3" t="s">
        <v>200</v>
      </c>
      <c r="C3" s="3" t="s">
        <v>201</v>
      </c>
      <c r="D3" s="3" t="s">
        <v>550</v>
      </c>
      <c r="E3" s="3" t="s">
        <v>551</v>
      </c>
      <c r="F3" s="3" t="s">
        <v>549</v>
      </c>
      <c r="G3" s="3" t="s">
        <v>202</v>
      </c>
      <c r="H3" s="3" t="s">
        <v>546</v>
      </c>
      <c r="I3" s="3" t="s">
        <v>547</v>
      </c>
    </row>
    <row r="4" spans="2:9">
      <c r="B4" s="3">
        <v>1</v>
      </c>
      <c r="C4" s="50">
        <f>D4+E4</f>
        <v>551</v>
      </c>
      <c r="D4" s="50">
        <f>ROUND(E4*H4/I4,0)</f>
        <v>110</v>
      </c>
      <c r="E4" s="50">
        <f>ROUND(_xlfn.XLOOKUP(B4,体验规划!$B$23:$B$83,体验规划!$G$23:$G$83)*_xlfn.XLOOKUP(B4,金币投放!$B:$B,金币投放!$D:$D),0)</f>
        <v>441</v>
      </c>
      <c r="F4" s="3">
        <f>SUM($C$4:C4)</f>
        <v>551</v>
      </c>
      <c r="G4" s="3">
        <f>ROUND(D4/_xlfn.XLOOKUP(B4,体验规划!$B$23:$B$83,体验规划!$F$23:$F$83),0)</f>
        <v>110</v>
      </c>
      <c r="H4" s="3">
        <v>2</v>
      </c>
      <c r="I4" s="3">
        <v>8</v>
      </c>
    </row>
    <row r="5" spans="2:9">
      <c r="B5" s="3">
        <v>2</v>
      </c>
      <c r="C5" s="50">
        <f t="shared" ref="C5:C63" si="0">D5+E5</f>
        <v>605</v>
      </c>
      <c r="D5" s="50">
        <f t="shared" ref="D5:D63" si="1">ROUND(E5*H5/I5,0)</f>
        <v>121</v>
      </c>
      <c r="E5" s="50">
        <f>ROUND(_xlfn.XLOOKUP(B5,体验规划!$B$23:$B$83,体验规划!$G$23:$G$83)*_xlfn.XLOOKUP(B5,金币投放!$B:$B,金币投放!$D:$D),0)</f>
        <v>484</v>
      </c>
      <c r="F5" s="3">
        <f>SUM($C$4:C5)</f>
        <v>1156</v>
      </c>
      <c r="G5" s="3">
        <f>ROUND(D5/_xlfn.XLOOKUP(B5,体验规划!$B$23:$B$83,体验规划!$F$23:$F$83),0)</f>
        <v>121</v>
      </c>
      <c r="H5" s="3">
        <v>2</v>
      </c>
      <c r="I5" s="3">
        <v>8</v>
      </c>
    </row>
    <row r="6" spans="2:9">
      <c r="B6" s="3">
        <v>3</v>
      </c>
      <c r="C6" s="50">
        <f t="shared" si="0"/>
        <v>661</v>
      </c>
      <c r="D6" s="50">
        <f t="shared" si="1"/>
        <v>132</v>
      </c>
      <c r="E6" s="50">
        <f>ROUND(_xlfn.XLOOKUP(B6,体验规划!$B$23:$B$83,体验规划!$G$23:$G$83)*_xlfn.XLOOKUP(B6,金币投放!$B:$B,金币投放!$D:$D),0)</f>
        <v>529</v>
      </c>
      <c r="F6" s="3">
        <f>SUM($C$4:C6)</f>
        <v>1817</v>
      </c>
      <c r="G6" s="3">
        <f>ROUND(D6/_xlfn.XLOOKUP(B6,体验规划!$B$23:$B$83,体验规划!$F$23:$F$83),0)</f>
        <v>132</v>
      </c>
      <c r="H6" s="3">
        <v>2</v>
      </c>
      <c r="I6" s="3">
        <v>8</v>
      </c>
    </row>
    <row r="7" spans="2:9">
      <c r="B7" s="3">
        <v>4</v>
      </c>
      <c r="C7" s="50">
        <f t="shared" si="0"/>
        <v>720</v>
      </c>
      <c r="D7" s="50">
        <f t="shared" si="1"/>
        <v>144</v>
      </c>
      <c r="E7" s="50">
        <f>ROUND(_xlfn.XLOOKUP(B7,体验规划!$B$23:$B$83,体验规划!$G$23:$G$83)*_xlfn.XLOOKUP(B7,金币投放!$B:$B,金币投放!$D:$D),0)</f>
        <v>576</v>
      </c>
      <c r="F7" s="3">
        <f>SUM($C$4:C7)</f>
        <v>2537</v>
      </c>
      <c r="G7" s="3">
        <f>ROUND(D7/_xlfn.XLOOKUP(B7,体验规划!$B$23:$B$83,体验规划!$F$23:$F$83),0)</f>
        <v>144</v>
      </c>
      <c r="H7" s="3">
        <v>2</v>
      </c>
      <c r="I7" s="3">
        <v>8</v>
      </c>
    </row>
    <row r="8" spans="2:9">
      <c r="B8" s="3">
        <v>5</v>
      </c>
      <c r="C8" s="50">
        <f t="shared" si="0"/>
        <v>781</v>
      </c>
      <c r="D8" s="50">
        <f t="shared" si="1"/>
        <v>156</v>
      </c>
      <c r="E8" s="50">
        <f>ROUND(_xlfn.XLOOKUP(B8,体验规划!$B$23:$B$83,体验规划!$G$23:$G$83)*_xlfn.XLOOKUP(B8,金币投放!$B:$B,金币投放!$D:$D),0)</f>
        <v>625</v>
      </c>
      <c r="F8" s="3">
        <f>SUM($C$4:C8)</f>
        <v>3318</v>
      </c>
      <c r="G8" s="3">
        <f>ROUND(D8/_xlfn.XLOOKUP(B8,体验规划!$B$23:$B$83,体验规划!$F$23:$F$83),0)</f>
        <v>156</v>
      </c>
      <c r="H8" s="3">
        <v>2</v>
      </c>
      <c r="I8" s="3">
        <v>8</v>
      </c>
    </row>
    <row r="9" spans="2:9">
      <c r="B9" s="3">
        <v>6</v>
      </c>
      <c r="C9" s="50">
        <f t="shared" si="0"/>
        <v>845</v>
      </c>
      <c r="D9" s="50">
        <f t="shared" si="1"/>
        <v>169</v>
      </c>
      <c r="E9" s="50">
        <f>ROUND(_xlfn.XLOOKUP(B9,体验规划!$B$23:$B$83,体验规划!$G$23:$G$83)*_xlfn.XLOOKUP(B9,金币投放!$B:$B,金币投放!$D:$D),0)</f>
        <v>676</v>
      </c>
      <c r="F9" s="3">
        <f>SUM($C$4:C9)</f>
        <v>4163</v>
      </c>
      <c r="G9" s="3">
        <f>ROUND(D9/_xlfn.XLOOKUP(B9,体验规划!$B$23:$B$83,体验规划!$F$23:$F$83),0)</f>
        <v>85</v>
      </c>
      <c r="H9" s="3">
        <v>2</v>
      </c>
      <c r="I9" s="3">
        <v>8</v>
      </c>
    </row>
    <row r="10" spans="2:9">
      <c r="B10" s="3">
        <v>7</v>
      </c>
      <c r="C10" s="50">
        <f t="shared" si="0"/>
        <v>911</v>
      </c>
      <c r="D10" s="50">
        <f t="shared" si="1"/>
        <v>182</v>
      </c>
      <c r="E10" s="50">
        <f>ROUND(_xlfn.XLOOKUP(B10,体验规划!$B$23:$B$83,体验规划!$G$23:$G$83)*_xlfn.XLOOKUP(B10,金币投放!$B:$B,金币投放!$D:$D),0)</f>
        <v>729</v>
      </c>
      <c r="F10" s="3">
        <f>SUM($C$4:C10)</f>
        <v>5074</v>
      </c>
      <c r="G10" s="3">
        <f>ROUND(D10/_xlfn.XLOOKUP(B10,体验规划!$B$23:$B$83,体验规划!$F$23:$F$83),0)</f>
        <v>91</v>
      </c>
      <c r="H10" s="3">
        <v>2</v>
      </c>
      <c r="I10" s="3">
        <v>8</v>
      </c>
    </row>
    <row r="11" spans="2:9">
      <c r="B11" s="3">
        <v>8</v>
      </c>
      <c r="C11" s="50">
        <f t="shared" si="0"/>
        <v>980</v>
      </c>
      <c r="D11" s="50">
        <f t="shared" si="1"/>
        <v>196</v>
      </c>
      <c r="E11" s="50">
        <f>ROUND(_xlfn.XLOOKUP(B11,体验规划!$B$23:$B$83,体验规划!$G$23:$G$83)*_xlfn.XLOOKUP(B11,金币投放!$B:$B,金币投放!$D:$D),0)</f>
        <v>784</v>
      </c>
      <c r="F11" s="3">
        <f>SUM($C$4:C11)</f>
        <v>6054</v>
      </c>
      <c r="G11" s="3">
        <f>ROUND(D11/_xlfn.XLOOKUP(B11,体验规划!$B$23:$B$83,体验规划!$F$23:$F$83),0)</f>
        <v>98</v>
      </c>
      <c r="H11" s="3">
        <v>2</v>
      </c>
      <c r="I11" s="3">
        <v>8</v>
      </c>
    </row>
    <row r="12" spans="2:9">
      <c r="B12" s="3">
        <v>9</v>
      </c>
      <c r="C12" s="50">
        <f t="shared" si="0"/>
        <v>1051</v>
      </c>
      <c r="D12" s="50">
        <f t="shared" si="1"/>
        <v>210</v>
      </c>
      <c r="E12" s="50">
        <f>ROUND(_xlfn.XLOOKUP(B12,体验规划!$B$23:$B$83,体验规划!$G$23:$G$83)*_xlfn.XLOOKUP(B12,金币投放!$B:$B,金币投放!$D:$D),0)</f>
        <v>841</v>
      </c>
      <c r="F12" s="3">
        <f>SUM($C$4:C12)</f>
        <v>7105</v>
      </c>
      <c r="G12" s="3">
        <f>ROUND(D12/_xlfn.XLOOKUP(B12,体验规划!$B$23:$B$83,体验规划!$F$23:$F$83),0)</f>
        <v>105</v>
      </c>
      <c r="H12" s="3">
        <v>2</v>
      </c>
      <c r="I12" s="3">
        <v>8</v>
      </c>
    </row>
    <row r="13" spans="2:9">
      <c r="B13" s="3">
        <v>10</v>
      </c>
      <c r="C13" s="50">
        <f t="shared" si="0"/>
        <v>2000</v>
      </c>
      <c r="D13" s="50">
        <f t="shared" si="1"/>
        <v>400</v>
      </c>
      <c r="E13" s="50">
        <f>ROUND(_xlfn.XLOOKUP(B13,体验规划!$B$23:$B$83,体验规划!$G$23:$G$83)*_xlfn.XLOOKUP(B13,金币投放!$B:$B,金币投放!$D:$D),0)</f>
        <v>1600</v>
      </c>
      <c r="F13" s="3">
        <f>SUM($C$4:C13)</f>
        <v>9105</v>
      </c>
      <c r="G13" s="3">
        <f>ROUND(D13/_xlfn.XLOOKUP(B13,体验规划!$B$23:$B$83,体验规划!$F$23:$F$83),0)</f>
        <v>200</v>
      </c>
      <c r="H13" s="3">
        <v>2</v>
      </c>
      <c r="I13" s="3">
        <v>8</v>
      </c>
    </row>
    <row r="14" spans="2:9">
      <c r="B14" s="3">
        <v>11</v>
      </c>
      <c r="C14" s="50">
        <f t="shared" si="0"/>
        <v>10170</v>
      </c>
      <c r="D14" s="50">
        <f t="shared" si="1"/>
        <v>2034</v>
      </c>
      <c r="E14" s="50">
        <f>ROUND(_xlfn.XLOOKUP(B14,体验规划!$B$23:$B$83,体验规划!$G$23:$G$83)*_xlfn.XLOOKUP(B14,金币投放!$B:$B,金币投放!$D:$D),0)</f>
        <v>8136</v>
      </c>
      <c r="F14" s="3">
        <f>SUM($C$4:C14)</f>
        <v>19275</v>
      </c>
      <c r="G14" s="3">
        <f>ROUND(D14/_xlfn.XLOOKUP(B14,体验规划!$B$23:$B$83,体验规划!$F$23:$F$83),0)</f>
        <v>678</v>
      </c>
      <c r="H14" s="3">
        <v>2</v>
      </c>
      <c r="I14" s="3">
        <v>8</v>
      </c>
    </row>
    <row r="15" spans="2:9">
      <c r="B15" s="3">
        <v>12</v>
      </c>
      <c r="C15" s="50">
        <f t="shared" si="0"/>
        <v>10730</v>
      </c>
      <c r="D15" s="50">
        <f t="shared" si="1"/>
        <v>2146</v>
      </c>
      <c r="E15" s="50">
        <f>ROUND(_xlfn.XLOOKUP(B15,体验规划!$B$23:$B$83,体验规划!$G$23:$G$83)*_xlfn.XLOOKUP(B15,金币投放!$B:$B,金币投放!$D:$D),0)</f>
        <v>8584</v>
      </c>
      <c r="F15" s="3">
        <f>SUM($C$4:C15)</f>
        <v>30005</v>
      </c>
      <c r="G15" s="3">
        <f>ROUND(D15/_xlfn.XLOOKUP(B15,体验规划!$B$23:$B$83,体验规划!$F$23:$F$83),0)</f>
        <v>715</v>
      </c>
      <c r="H15" s="3">
        <v>2</v>
      </c>
      <c r="I15" s="3">
        <v>8</v>
      </c>
    </row>
    <row r="16" spans="2:9">
      <c r="B16" s="3">
        <v>13</v>
      </c>
      <c r="C16" s="50">
        <f t="shared" si="0"/>
        <v>11305</v>
      </c>
      <c r="D16" s="50">
        <f t="shared" si="1"/>
        <v>2261</v>
      </c>
      <c r="E16" s="50">
        <f>ROUND(_xlfn.XLOOKUP(B16,体验规划!$B$23:$B$83,体验规划!$G$23:$G$83)*_xlfn.XLOOKUP(B16,金币投放!$B:$B,金币投放!$D:$D),0)</f>
        <v>9044</v>
      </c>
      <c r="F16" s="3">
        <f>SUM($C$4:C16)</f>
        <v>41310</v>
      </c>
      <c r="G16" s="3">
        <f>ROUND(D16/_xlfn.XLOOKUP(B16,体验规划!$B$23:$B$83,体验规划!$F$23:$F$83),0)</f>
        <v>754</v>
      </c>
      <c r="H16" s="3">
        <v>2</v>
      </c>
      <c r="I16" s="3">
        <v>8</v>
      </c>
    </row>
    <row r="17" spans="2:9">
      <c r="B17" s="3">
        <v>14</v>
      </c>
      <c r="C17" s="50">
        <f t="shared" si="0"/>
        <v>11895</v>
      </c>
      <c r="D17" s="50">
        <f t="shared" si="1"/>
        <v>2379</v>
      </c>
      <c r="E17" s="50">
        <f>ROUND(_xlfn.XLOOKUP(B17,体验规划!$B$23:$B$83,体验规划!$G$23:$G$83)*_xlfn.XLOOKUP(B17,金币投放!$B:$B,金币投放!$D:$D),0)</f>
        <v>9516</v>
      </c>
      <c r="F17" s="3">
        <f>SUM($C$4:C17)</f>
        <v>53205</v>
      </c>
      <c r="G17" s="3">
        <f>ROUND(D17/_xlfn.XLOOKUP(B17,体验规划!$B$23:$B$83,体验规划!$F$23:$F$83),0)</f>
        <v>793</v>
      </c>
      <c r="H17" s="3">
        <v>2</v>
      </c>
      <c r="I17" s="3">
        <v>8</v>
      </c>
    </row>
    <row r="18" spans="2:9">
      <c r="B18" s="3">
        <v>15</v>
      </c>
      <c r="C18" s="50">
        <f t="shared" si="0"/>
        <v>12500</v>
      </c>
      <c r="D18" s="50">
        <f t="shared" si="1"/>
        <v>2500</v>
      </c>
      <c r="E18" s="50">
        <f>ROUND(_xlfn.XLOOKUP(B18,体验规划!$B$23:$B$83,体验规划!$G$23:$G$83)*_xlfn.XLOOKUP(B18,金币投放!$B:$B,金币投放!$D:$D),0)</f>
        <v>10000</v>
      </c>
      <c r="F18" s="3">
        <f>SUM($C$4:C18)</f>
        <v>65705</v>
      </c>
      <c r="G18" s="3">
        <f>ROUND(D18/_xlfn.XLOOKUP(B18,体验规划!$B$23:$B$83,体验规划!$F$23:$F$83),0)</f>
        <v>833</v>
      </c>
      <c r="H18" s="3">
        <v>2</v>
      </c>
      <c r="I18" s="3">
        <v>8</v>
      </c>
    </row>
    <row r="19" spans="2:9">
      <c r="B19" s="3">
        <v>16</v>
      </c>
      <c r="C19" s="50">
        <f t="shared" si="0"/>
        <v>13120</v>
      </c>
      <c r="D19" s="50">
        <f t="shared" si="1"/>
        <v>2624</v>
      </c>
      <c r="E19" s="50">
        <f>ROUND(_xlfn.XLOOKUP(B19,体验规划!$B$23:$B$83,体验规划!$G$23:$G$83)*_xlfn.XLOOKUP(B19,金币投放!$B:$B,金币投放!$D:$D),0)</f>
        <v>10496</v>
      </c>
      <c r="F19" s="3">
        <f>SUM($C$4:C19)</f>
        <v>78825</v>
      </c>
      <c r="G19" s="3">
        <f>ROUND(D19/_xlfn.XLOOKUP(B19,体验规划!$B$23:$B$83,体验规划!$F$23:$F$83),0)</f>
        <v>656</v>
      </c>
      <c r="H19" s="3">
        <v>2</v>
      </c>
      <c r="I19" s="3">
        <v>8</v>
      </c>
    </row>
    <row r="20" spans="2:9">
      <c r="B20" s="3">
        <v>17</v>
      </c>
      <c r="C20" s="50">
        <f t="shared" si="0"/>
        <v>13755</v>
      </c>
      <c r="D20" s="50">
        <f t="shared" si="1"/>
        <v>2751</v>
      </c>
      <c r="E20" s="50">
        <f>ROUND(_xlfn.XLOOKUP(B20,体验规划!$B$23:$B$83,体验规划!$G$23:$G$83)*_xlfn.XLOOKUP(B20,金币投放!$B:$B,金币投放!$D:$D),0)</f>
        <v>11004</v>
      </c>
      <c r="F20" s="3">
        <f>SUM($C$4:C20)</f>
        <v>92580</v>
      </c>
      <c r="G20" s="3">
        <f>ROUND(D20/_xlfn.XLOOKUP(B20,体验规划!$B$23:$B$83,体验规划!$F$23:$F$83),0)</f>
        <v>688</v>
      </c>
      <c r="H20" s="3">
        <v>2</v>
      </c>
      <c r="I20" s="3">
        <v>8</v>
      </c>
    </row>
    <row r="21" spans="2:9">
      <c r="B21" s="3">
        <v>18</v>
      </c>
      <c r="C21" s="50">
        <f t="shared" si="0"/>
        <v>14405</v>
      </c>
      <c r="D21" s="50">
        <f t="shared" si="1"/>
        <v>2881</v>
      </c>
      <c r="E21" s="50">
        <f>ROUND(_xlfn.XLOOKUP(B21,体验规划!$B$23:$B$83,体验规划!$G$23:$G$83)*_xlfn.XLOOKUP(B21,金币投放!$B:$B,金币投放!$D:$D),0)</f>
        <v>11524</v>
      </c>
      <c r="F21" s="3">
        <f>SUM($C$4:C21)</f>
        <v>106985</v>
      </c>
      <c r="G21" s="3">
        <f>ROUND(D21/_xlfn.XLOOKUP(B21,体验规划!$B$23:$B$83,体验规划!$F$23:$F$83),0)</f>
        <v>720</v>
      </c>
      <c r="H21" s="3">
        <v>2</v>
      </c>
      <c r="I21" s="3">
        <v>8</v>
      </c>
    </row>
    <row r="22" spans="2:9">
      <c r="B22" s="3">
        <v>19</v>
      </c>
      <c r="C22" s="50">
        <f t="shared" si="0"/>
        <v>15070</v>
      </c>
      <c r="D22" s="50">
        <f t="shared" si="1"/>
        <v>3014</v>
      </c>
      <c r="E22" s="50">
        <f>ROUND(_xlfn.XLOOKUP(B22,体验规划!$B$23:$B$83,体验规划!$G$23:$G$83)*_xlfn.XLOOKUP(B22,金币投放!$B:$B,金币投放!$D:$D),0)</f>
        <v>12056</v>
      </c>
      <c r="F22" s="3">
        <f>SUM($C$4:C22)</f>
        <v>122055</v>
      </c>
      <c r="G22" s="3">
        <f>ROUND(D22/_xlfn.XLOOKUP(B22,体验规划!$B$23:$B$83,体验规划!$F$23:$F$83),0)</f>
        <v>754</v>
      </c>
      <c r="H22" s="3">
        <v>2</v>
      </c>
      <c r="I22" s="3">
        <v>8</v>
      </c>
    </row>
    <row r="23" spans="2:9">
      <c r="B23" s="3">
        <v>20</v>
      </c>
      <c r="C23" s="50">
        <f t="shared" si="0"/>
        <v>20000</v>
      </c>
      <c r="D23" s="50">
        <f t="shared" si="1"/>
        <v>4000</v>
      </c>
      <c r="E23" s="50">
        <f>ROUND(_xlfn.XLOOKUP(B23,体验规划!$B$23:$B$83,体验规划!$G$23:$G$83)*_xlfn.XLOOKUP(B23,金币投放!$B:$B,金币投放!$D:$D),0)</f>
        <v>16000</v>
      </c>
      <c r="F23" s="3">
        <f>SUM($C$4:C23)</f>
        <v>142055</v>
      </c>
      <c r="G23" s="3">
        <f>ROUND(D23/_xlfn.XLOOKUP(B23,体验规划!$B$23:$B$83,体验规划!$F$23:$F$83),0)</f>
        <v>1000</v>
      </c>
      <c r="H23" s="3">
        <v>2</v>
      </c>
      <c r="I23" s="3">
        <v>8</v>
      </c>
    </row>
    <row r="24" spans="2:9">
      <c r="B24" s="3">
        <v>21</v>
      </c>
      <c r="C24" s="50">
        <f t="shared" si="0"/>
        <v>50944</v>
      </c>
      <c r="D24" s="50">
        <f t="shared" si="1"/>
        <v>10189</v>
      </c>
      <c r="E24" s="50">
        <f>ROUND(_xlfn.XLOOKUP(B24,体验规划!$B$23:$B$83,体验规划!$G$23:$G$83)*_xlfn.XLOOKUP(B24,金币投放!$B:$B,金币投放!$D:$D),0)</f>
        <v>40755</v>
      </c>
      <c r="F24" s="3">
        <f>SUM($C$4:C24)</f>
        <v>192999</v>
      </c>
      <c r="G24" s="3">
        <f>ROUND(D24/_xlfn.XLOOKUP(B24,体验规划!$B$23:$B$83,体验规划!$F$23:$F$83),0)</f>
        <v>2038</v>
      </c>
      <c r="H24" s="3">
        <v>2</v>
      </c>
      <c r="I24" s="3">
        <v>8</v>
      </c>
    </row>
    <row r="25" spans="2:9">
      <c r="B25" s="3">
        <v>22</v>
      </c>
      <c r="C25" s="50">
        <f t="shared" si="0"/>
        <v>52925</v>
      </c>
      <c r="D25" s="50">
        <f t="shared" si="1"/>
        <v>10585</v>
      </c>
      <c r="E25" s="50">
        <f>ROUND(_xlfn.XLOOKUP(B25,体验规划!$B$23:$B$83,体验规划!$G$23:$G$83)*_xlfn.XLOOKUP(B25,金币投放!$B:$B,金币投放!$D:$D),0)</f>
        <v>42340</v>
      </c>
      <c r="F25" s="3">
        <f>SUM($C$4:C25)</f>
        <v>245924</v>
      </c>
      <c r="G25" s="3">
        <f>ROUND(D25/_xlfn.XLOOKUP(B25,体验规划!$B$23:$B$83,体验规划!$F$23:$F$83),0)</f>
        <v>2117</v>
      </c>
      <c r="H25" s="3">
        <v>2</v>
      </c>
      <c r="I25" s="3">
        <v>8</v>
      </c>
    </row>
    <row r="26" spans="2:9">
      <c r="B26" s="3">
        <v>23</v>
      </c>
      <c r="C26" s="50">
        <f t="shared" si="0"/>
        <v>54944</v>
      </c>
      <c r="D26" s="50">
        <f t="shared" si="1"/>
        <v>10989</v>
      </c>
      <c r="E26" s="50">
        <f>ROUND(_xlfn.XLOOKUP(B26,体验规划!$B$23:$B$83,体验规划!$G$23:$G$83)*_xlfn.XLOOKUP(B26,金币投放!$B:$B,金币投放!$D:$D),0)</f>
        <v>43955</v>
      </c>
      <c r="F26" s="3">
        <f>SUM($C$4:C26)</f>
        <v>300868</v>
      </c>
      <c r="G26" s="3">
        <f>ROUND(D26/_xlfn.XLOOKUP(B26,体验规划!$B$23:$B$83,体验规划!$F$23:$F$83),0)</f>
        <v>2198</v>
      </c>
      <c r="H26" s="3">
        <v>2</v>
      </c>
      <c r="I26" s="3">
        <v>8</v>
      </c>
    </row>
    <row r="27" spans="2:9">
      <c r="B27" s="3">
        <v>24</v>
      </c>
      <c r="C27" s="50">
        <f t="shared" si="0"/>
        <v>57000</v>
      </c>
      <c r="D27" s="50">
        <f t="shared" si="1"/>
        <v>11400</v>
      </c>
      <c r="E27" s="50">
        <f>ROUND(_xlfn.XLOOKUP(B27,体验规划!$B$23:$B$83,体验规划!$G$23:$G$83)*_xlfn.XLOOKUP(B27,金币投放!$B:$B,金币投放!$D:$D),0)</f>
        <v>45600</v>
      </c>
      <c r="F27" s="3">
        <f>SUM($C$4:C27)</f>
        <v>357868</v>
      </c>
      <c r="G27" s="3">
        <f>ROUND(D27/_xlfn.XLOOKUP(B27,体验规划!$B$23:$B$83,体验规划!$F$23:$F$83),0)</f>
        <v>2280</v>
      </c>
      <c r="H27" s="3">
        <v>2</v>
      </c>
      <c r="I27" s="3">
        <v>8</v>
      </c>
    </row>
    <row r="28" spans="2:9">
      <c r="B28" s="3">
        <v>25</v>
      </c>
      <c r="C28" s="50">
        <f t="shared" si="0"/>
        <v>59094</v>
      </c>
      <c r="D28" s="50">
        <f t="shared" si="1"/>
        <v>11819</v>
      </c>
      <c r="E28" s="50">
        <f>ROUND(_xlfn.XLOOKUP(B28,体验规划!$B$23:$B$83,体验规划!$G$23:$G$83)*_xlfn.XLOOKUP(B28,金币投放!$B:$B,金币投放!$D:$D),0)</f>
        <v>47275</v>
      </c>
      <c r="F28" s="3">
        <f>SUM($C$4:C28)</f>
        <v>416962</v>
      </c>
      <c r="G28" s="3">
        <f>ROUND(D28/_xlfn.XLOOKUP(B28,体验规划!$B$23:$B$83,体验规划!$F$23:$F$83),0)</f>
        <v>2364</v>
      </c>
      <c r="H28" s="3">
        <v>2</v>
      </c>
      <c r="I28" s="3">
        <v>8</v>
      </c>
    </row>
    <row r="29" spans="2:9">
      <c r="B29" s="3">
        <v>26</v>
      </c>
      <c r="C29" s="50">
        <f t="shared" si="0"/>
        <v>61225</v>
      </c>
      <c r="D29" s="50">
        <f t="shared" si="1"/>
        <v>12245</v>
      </c>
      <c r="E29" s="50">
        <f>ROUND(_xlfn.XLOOKUP(B29,体验规划!$B$23:$B$83,体验规划!$G$23:$G$83)*_xlfn.XLOOKUP(B29,金币投放!$B:$B,金币投放!$D:$D),0)</f>
        <v>48980</v>
      </c>
      <c r="F29" s="3">
        <f>SUM($C$4:C29)</f>
        <v>478187</v>
      </c>
      <c r="G29" s="3">
        <f>ROUND(D29/_xlfn.XLOOKUP(B29,体验规划!$B$23:$B$83,体验规划!$F$23:$F$83),0)</f>
        <v>2041</v>
      </c>
      <c r="H29" s="3">
        <v>2</v>
      </c>
      <c r="I29" s="3">
        <v>8</v>
      </c>
    </row>
    <row r="30" spans="2:9">
      <c r="B30" s="3">
        <v>27</v>
      </c>
      <c r="C30" s="50">
        <f t="shared" si="0"/>
        <v>63394</v>
      </c>
      <c r="D30" s="50">
        <f t="shared" si="1"/>
        <v>12679</v>
      </c>
      <c r="E30" s="50">
        <f>ROUND(_xlfn.XLOOKUP(B30,体验规划!$B$23:$B$83,体验规划!$G$23:$G$83)*_xlfn.XLOOKUP(B30,金币投放!$B:$B,金币投放!$D:$D),0)</f>
        <v>50715</v>
      </c>
      <c r="F30" s="3">
        <f>SUM($C$4:C30)</f>
        <v>541581</v>
      </c>
      <c r="G30" s="3">
        <f>ROUND(D30/_xlfn.XLOOKUP(B30,体验规划!$B$23:$B$83,体验规划!$F$23:$F$83),0)</f>
        <v>2113</v>
      </c>
      <c r="H30" s="3">
        <v>2</v>
      </c>
      <c r="I30" s="3">
        <v>8</v>
      </c>
    </row>
    <row r="31" spans="2:9">
      <c r="B31" s="3">
        <v>28</v>
      </c>
      <c r="C31" s="50">
        <f t="shared" si="0"/>
        <v>65600</v>
      </c>
      <c r="D31" s="50">
        <f t="shared" si="1"/>
        <v>13120</v>
      </c>
      <c r="E31" s="50">
        <f>ROUND(_xlfn.XLOOKUP(B31,体验规划!$B$23:$B$83,体验规划!$G$23:$G$83)*_xlfn.XLOOKUP(B31,金币投放!$B:$B,金币投放!$D:$D),0)</f>
        <v>52480</v>
      </c>
      <c r="F31" s="3">
        <f>SUM($C$4:C31)</f>
        <v>607181</v>
      </c>
      <c r="G31" s="3">
        <f>ROUND(D31/_xlfn.XLOOKUP(B31,体验规划!$B$23:$B$83,体验规划!$F$23:$F$83),0)</f>
        <v>2187</v>
      </c>
      <c r="H31" s="3">
        <v>2</v>
      </c>
      <c r="I31" s="3">
        <v>8</v>
      </c>
    </row>
    <row r="32" spans="2:9">
      <c r="B32" s="3">
        <v>29</v>
      </c>
      <c r="C32" s="50">
        <f t="shared" si="0"/>
        <v>67844</v>
      </c>
      <c r="D32" s="50">
        <f t="shared" si="1"/>
        <v>13569</v>
      </c>
      <c r="E32" s="50">
        <f>ROUND(_xlfn.XLOOKUP(B32,体验规划!$B$23:$B$83,体验规划!$G$23:$G$83)*_xlfn.XLOOKUP(B32,金币投放!$B:$B,金币投放!$D:$D),0)</f>
        <v>54275</v>
      </c>
      <c r="F32" s="3">
        <f>SUM($C$4:C32)</f>
        <v>675025</v>
      </c>
      <c r="G32" s="3">
        <f>ROUND(D32/_xlfn.XLOOKUP(B32,体验规划!$B$23:$B$83,体验规划!$F$23:$F$83),0)</f>
        <v>2262</v>
      </c>
      <c r="H32" s="3">
        <v>2</v>
      </c>
      <c r="I32" s="3">
        <v>8</v>
      </c>
    </row>
    <row r="33" spans="2:9">
      <c r="B33" s="3">
        <v>30</v>
      </c>
      <c r="C33" s="50">
        <f t="shared" si="0"/>
        <v>81000</v>
      </c>
      <c r="D33" s="50">
        <f t="shared" si="1"/>
        <v>16200</v>
      </c>
      <c r="E33" s="50">
        <f>ROUND(_xlfn.XLOOKUP(B33,体验规划!$B$23:$B$83,体验规划!$G$23:$G$83)*_xlfn.XLOOKUP(B33,金币投放!$B:$B,金币投放!$D:$D),0)</f>
        <v>64800</v>
      </c>
      <c r="F33" s="3">
        <f>SUM($C$4:C33)</f>
        <v>756025</v>
      </c>
      <c r="G33" s="3">
        <f>ROUND(D33/_xlfn.XLOOKUP(B33,体验规划!$B$23:$B$83,体验规划!$F$23:$F$83),0)</f>
        <v>2700</v>
      </c>
      <c r="H33" s="3">
        <v>2</v>
      </c>
      <c r="I33" s="3">
        <v>8</v>
      </c>
    </row>
    <row r="34" spans="2:9">
      <c r="B34" s="3">
        <v>31</v>
      </c>
      <c r="C34" s="50">
        <f t="shared" si="0"/>
        <v>157073</v>
      </c>
      <c r="D34" s="50">
        <f t="shared" si="1"/>
        <v>31415</v>
      </c>
      <c r="E34" s="50">
        <f>ROUND(_xlfn.XLOOKUP(B34,体验规划!$B$23:$B$83,体验规划!$G$23:$G$83)*_xlfn.XLOOKUP(B34,金币投放!$B:$B,金币投放!$D:$D),0)</f>
        <v>125658</v>
      </c>
      <c r="F34" s="3">
        <f>SUM($C$4:C34)</f>
        <v>913098</v>
      </c>
      <c r="G34" s="3">
        <f>ROUND(D34/_xlfn.XLOOKUP(B34,体验规划!$B$23:$B$83,体验规划!$F$23:$F$83),0)</f>
        <v>4488</v>
      </c>
      <c r="H34" s="3">
        <v>2</v>
      </c>
      <c r="I34" s="3">
        <v>8</v>
      </c>
    </row>
    <row r="35" spans="2:9">
      <c r="B35" s="3">
        <v>32</v>
      </c>
      <c r="C35" s="50">
        <f t="shared" si="0"/>
        <v>161840</v>
      </c>
      <c r="D35" s="50">
        <f t="shared" si="1"/>
        <v>32368</v>
      </c>
      <c r="E35" s="50">
        <f>ROUND(_xlfn.XLOOKUP(B35,体验规划!$B$23:$B$83,体验规划!$G$23:$G$83)*_xlfn.XLOOKUP(B35,金币投放!$B:$B,金币投放!$D:$D),0)</f>
        <v>129472</v>
      </c>
      <c r="F35" s="3">
        <f>SUM($C$4:C35)</f>
        <v>1074938</v>
      </c>
      <c r="G35" s="3">
        <f>ROUND(D35/_xlfn.XLOOKUP(B35,体验规划!$B$23:$B$83,体验规划!$F$23:$F$83),0)</f>
        <v>4624</v>
      </c>
      <c r="H35" s="3">
        <v>2</v>
      </c>
      <c r="I35" s="3">
        <v>8</v>
      </c>
    </row>
    <row r="36" spans="2:9">
      <c r="B36" s="3">
        <v>33</v>
      </c>
      <c r="C36" s="50">
        <f t="shared" si="0"/>
        <v>166678</v>
      </c>
      <c r="D36" s="50">
        <f t="shared" si="1"/>
        <v>33336</v>
      </c>
      <c r="E36" s="50">
        <f>ROUND(_xlfn.XLOOKUP(B36,体验规划!$B$23:$B$83,体验规划!$G$23:$G$83)*_xlfn.XLOOKUP(B36,金币投放!$B:$B,金币投放!$D:$D),0)</f>
        <v>133342</v>
      </c>
      <c r="F36" s="3">
        <f>SUM($C$4:C36)</f>
        <v>1241616</v>
      </c>
      <c r="G36" s="3">
        <f>ROUND(D36/_xlfn.XLOOKUP(B36,体验规划!$B$23:$B$83,体验规划!$F$23:$F$83),0)</f>
        <v>4762</v>
      </c>
      <c r="H36" s="3">
        <v>2</v>
      </c>
      <c r="I36" s="3">
        <v>8</v>
      </c>
    </row>
    <row r="37" spans="2:9">
      <c r="B37" s="3">
        <v>34</v>
      </c>
      <c r="C37" s="50">
        <f t="shared" si="0"/>
        <v>171585</v>
      </c>
      <c r="D37" s="50">
        <f t="shared" si="1"/>
        <v>34317</v>
      </c>
      <c r="E37" s="50">
        <f>ROUND(_xlfn.XLOOKUP(B37,体验规划!$B$23:$B$83,体验规划!$G$23:$G$83)*_xlfn.XLOOKUP(B37,金币投放!$B:$B,金币投放!$D:$D),0)</f>
        <v>137268</v>
      </c>
      <c r="F37" s="3">
        <f>SUM($C$4:C37)</f>
        <v>1413201</v>
      </c>
      <c r="G37" s="3">
        <f>ROUND(D37/_xlfn.XLOOKUP(B37,体验规划!$B$23:$B$83,体验规划!$F$23:$F$83),0)</f>
        <v>4902</v>
      </c>
      <c r="H37" s="3">
        <v>2</v>
      </c>
      <c r="I37" s="3">
        <v>8</v>
      </c>
    </row>
    <row r="38" spans="2:9">
      <c r="B38" s="3">
        <v>35</v>
      </c>
      <c r="C38" s="50">
        <f t="shared" si="0"/>
        <v>176563</v>
      </c>
      <c r="D38" s="50">
        <f t="shared" si="1"/>
        <v>35313</v>
      </c>
      <c r="E38" s="50">
        <f>ROUND(_xlfn.XLOOKUP(B38,体验规划!$B$23:$B$83,体验规划!$G$23:$G$83)*_xlfn.XLOOKUP(B38,金币投放!$B:$B,金币投放!$D:$D),0)</f>
        <v>141250</v>
      </c>
      <c r="F38" s="3">
        <f>SUM($C$4:C38)</f>
        <v>1589764</v>
      </c>
      <c r="G38" s="3">
        <f>ROUND(D38/_xlfn.XLOOKUP(B38,体验规划!$B$23:$B$83,体验规划!$F$23:$F$83),0)</f>
        <v>5045</v>
      </c>
      <c r="H38" s="3">
        <v>2</v>
      </c>
      <c r="I38" s="3">
        <v>8</v>
      </c>
    </row>
    <row r="39" spans="2:9">
      <c r="B39" s="3">
        <v>36</v>
      </c>
      <c r="C39" s="50">
        <f t="shared" si="0"/>
        <v>181610</v>
      </c>
      <c r="D39" s="50">
        <f t="shared" si="1"/>
        <v>36322</v>
      </c>
      <c r="E39" s="50">
        <f>ROUND(_xlfn.XLOOKUP(B39,体验规划!$B$23:$B$83,体验规划!$G$23:$G$83)*_xlfn.XLOOKUP(B39,金币投放!$B:$B,金币投放!$D:$D),0)</f>
        <v>145288</v>
      </c>
      <c r="F39" s="3">
        <f>SUM($C$4:C39)</f>
        <v>1771374</v>
      </c>
      <c r="G39" s="3">
        <f>ROUND(D39/_xlfn.XLOOKUP(B39,体验规划!$B$23:$B$83,体验规划!$F$23:$F$83),0)</f>
        <v>4540</v>
      </c>
      <c r="H39" s="3">
        <v>2</v>
      </c>
      <c r="I39" s="3">
        <v>8</v>
      </c>
    </row>
    <row r="40" spans="2:9">
      <c r="B40" s="3">
        <v>37</v>
      </c>
      <c r="C40" s="50">
        <f t="shared" si="0"/>
        <v>186728</v>
      </c>
      <c r="D40" s="50">
        <f t="shared" si="1"/>
        <v>37346</v>
      </c>
      <c r="E40" s="50">
        <f>ROUND(_xlfn.XLOOKUP(B40,体验规划!$B$23:$B$83,体验规划!$G$23:$G$83)*_xlfn.XLOOKUP(B40,金币投放!$B:$B,金币投放!$D:$D),0)</f>
        <v>149382</v>
      </c>
      <c r="F40" s="3">
        <f>SUM($C$4:C40)</f>
        <v>1958102</v>
      </c>
      <c r="G40" s="3">
        <f>ROUND(D40/_xlfn.XLOOKUP(B40,体验规划!$B$23:$B$83,体验规划!$F$23:$F$83),0)</f>
        <v>4668</v>
      </c>
      <c r="H40" s="3">
        <v>2</v>
      </c>
      <c r="I40" s="3">
        <v>8</v>
      </c>
    </row>
    <row r="41" spans="2:9">
      <c r="B41" s="3">
        <v>38</v>
      </c>
      <c r="C41" s="50">
        <f t="shared" si="0"/>
        <v>191915</v>
      </c>
      <c r="D41" s="50">
        <f t="shared" si="1"/>
        <v>38383</v>
      </c>
      <c r="E41" s="50">
        <f>ROUND(_xlfn.XLOOKUP(B41,体验规划!$B$23:$B$83,体验规划!$G$23:$G$83)*_xlfn.XLOOKUP(B41,金币投放!$B:$B,金币投放!$D:$D),0)</f>
        <v>153532</v>
      </c>
      <c r="F41" s="3">
        <f>SUM($C$4:C41)</f>
        <v>2150017</v>
      </c>
      <c r="G41" s="3">
        <f>ROUND(D41/_xlfn.XLOOKUP(B41,体验规划!$B$23:$B$83,体验规划!$F$23:$F$83),0)</f>
        <v>4798</v>
      </c>
      <c r="H41" s="3">
        <v>2</v>
      </c>
      <c r="I41" s="3">
        <v>8</v>
      </c>
    </row>
    <row r="42" spans="2:9">
      <c r="B42" s="3">
        <v>39</v>
      </c>
      <c r="C42" s="50">
        <f t="shared" si="0"/>
        <v>197173</v>
      </c>
      <c r="D42" s="50">
        <f t="shared" si="1"/>
        <v>39435</v>
      </c>
      <c r="E42" s="50">
        <f>ROUND(_xlfn.XLOOKUP(B42,体验规划!$B$23:$B$83,体验规划!$G$23:$G$83)*_xlfn.XLOOKUP(B42,金币投放!$B:$B,金币投放!$D:$D),0)</f>
        <v>157738</v>
      </c>
      <c r="F42" s="3">
        <f>SUM($C$4:C42)</f>
        <v>2347190</v>
      </c>
      <c r="G42" s="3">
        <f>ROUND(D42/_xlfn.XLOOKUP(B42,体验规划!$B$23:$B$83,体验规划!$F$23:$F$83),0)</f>
        <v>4929</v>
      </c>
      <c r="H42" s="3">
        <v>2</v>
      </c>
      <c r="I42" s="3">
        <v>8</v>
      </c>
    </row>
    <row r="43" spans="2:9">
      <c r="B43" s="3">
        <v>40</v>
      </c>
      <c r="C43" s="50">
        <f t="shared" si="0"/>
        <v>224000</v>
      </c>
      <c r="D43" s="50">
        <f t="shared" si="1"/>
        <v>44800</v>
      </c>
      <c r="E43" s="50">
        <f>ROUND(_xlfn.XLOOKUP(B43,体验规划!$B$23:$B$83,体验规划!$G$23:$G$83)*_xlfn.XLOOKUP(B43,金币投放!$B:$B,金币投放!$D:$D),0)</f>
        <v>179200</v>
      </c>
      <c r="F43" s="3">
        <f>SUM($C$4:C43)</f>
        <v>2571190</v>
      </c>
      <c r="G43" s="3">
        <f>ROUND(D43/_xlfn.XLOOKUP(B43,体验规划!$B$23:$B$83,体验规划!$F$23:$F$83),0)</f>
        <v>5600</v>
      </c>
      <c r="H43" s="3">
        <v>2</v>
      </c>
      <c r="I43" s="3">
        <v>8</v>
      </c>
    </row>
    <row r="44" spans="2:9">
      <c r="B44" s="3">
        <v>41</v>
      </c>
      <c r="C44" s="50">
        <f t="shared" si="0"/>
        <v>374756</v>
      </c>
      <c r="D44" s="50">
        <f t="shared" si="1"/>
        <v>74951</v>
      </c>
      <c r="E44" s="50">
        <f>ROUND(_xlfn.XLOOKUP(B44,体验规划!$B$23:$B$83,体验规划!$G$23:$G$83)*_xlfn.XLOOKUP(B44,金币投放!$B:$B,金币投放!$D:$D),0)</f>
        <v>299805</v>
      </c>
      <c r="F44" s="3">
        <f>SUM($C$4:C44)</f>
        <v>2945946</v>
      </c>
      <c r="G44" s="3">
        <f>ROUND(D44/_xlfn.XLOOKUP(B44,体验规划!$B$23:$B$83,体验规划!$F$23:$F$83),0)</f>
        <v>8328</v>
      </c>
      <c r="H44" s="3">
        <v>2</v>
      </c>
      <c r="I44" s="3">
        <v>8</v>
      </c>
    </row>
    <row r="45" spans="2:9">
      <c r="B45" s="3">
        <v>42</v>
      </c>
      <c r="C45" s="50">
        <f t="shared" si="0"/>
        <v>384125</v>
      </c>
      <c r="D45" s="50">
        <f t="shared" si="1"/>
        <v>76825</v>
      </c>
      <c r="E45" s="50">
        <f>ROUND(_xlfn.XLOOKUP(B45,体验规划!$B$23:$B$83,体验规划!$G$23:$G$83)*_xlfn.XLOOKUP(B45,金币投放!$B:$B,金币投放!$D:$D),0)</f>
        <v>307300</v>
      </c>
      <c r="F45" s="3">
        <f>SUM($C$4:C45)</f>
        <v>3330071</v>
      </c>
      <c r="G45" s="3">
        <f>ROUND(D45/_xlfn.XLOOKUP(B45,体验规划!$B$23:$B$83,体验规划!$F$23:$F$83),0)</f>
        <v>8536</v>
      </c>
      <c r="H45" s="3">
        <v>2</v>
      </c>
      <c r="I45" s="3">
        <v>8</v>
      </c>
    </row>
    <row r="46" spans="2:9">
      <c r="B46" s="3">
        <v>43</v>
      </c>
      <c r="C46" s="50">
        <f t="shared" si="0"/>
        <v>393606</v>
      </c>
      <c r="D46" s="50">
        <f t="shared" si="1"/>
        <v>78721</v>
      </c>
      <c r="E46" s="50">
        <f>ROUND(_xlfn.XLOOKUP(B46,体验规划!$B$23:$B$83,体验规划!$G$23:$G$83)*_xlfn.XLOOKUP(B46,金币投放!$B:$B,金币投放!$D:$D),0)</f>
        <v>314885</v>
      </c>
      <c r="F46" s="3">
        <f>SUM($C$4:C46)</f>
        <v>3723677</v>
      </c>
      <c r="G46" s="3">
        <f>ROUND(D46/_xlfn.XLOOKUP(B46,体验规划!$B$23:$B$83,体验规划!$F$23:$F$83),0)</f>
        <v>8747</v>
      </c>
      <c r="H46" s="3">
        <v>2</v>
      </c>
      <c r="I46" s="3">
        <v>8</v>
      </c>
    </row>
    <row r="47" spans="2:9">
      <c r="B47" s="3">
        <v>44</v>
      </c>
      <c r="C47" s="50">
        <f t="shared" si="0"/>
        <v>403200</v>
      </c>
      <c r="D47" s="50">
        <f t="shared" si="1"/>
        <v>80640</v>
      </c>
      <c r="E47" s="50">
        <f>ROUND(_xlfn.XLOOKUP(B47,体验规划!$B$23:$B$83,体验规划!$G$23:$G$83)*_xlfn.XLOOKUP(B47,金币投放!$B:$B,金币投放!$D:$D),0)</f>
        <v>322560</v>
      </c>
      <c r="F47" s="3">
        <f>SUM($C$4:C47)</f>
        <v>4126877</v>
      </c>
      <c r="G47" s="3">
        <f>ROUND(D47/_xlfn.XLOOKUP(B47,体验规划!$B$23:$B$83,体验规划!$F$23:$F$83),0)</f>
        <v>8960</v>
      </c>
      <c r="H47" s="3">
        <v>2</v>
      </c>
      <c r="I47" s="3">
        <v>8</v>
      </c>
    </row>
    <row r="48" spans="2:9">
      <c r="B48" s="3">
        <v>45</v>
      </c>
      <c r="C48" s="50">
        <f t="shared" si="0"/>
        <v>412906</v>
      </c>
      <c r="D48" s="50">
        <f t="shared" si="1"/>
        <v>82581</v>
      </c>
      <c r="E48" s="50">
        <f>ROUND(_xlfn.XLOOKUP(B48,体验规划!$B$23:$B$83,体验规划!$G$23:$G$83)*_xlfn.XLOOKUP(B48,金币投放!$B:$B,金币投放!$D:$D),0)</f>
        <v>330325</v>
      </c>
      <c r="F48" s="3">
        <f>SUM($C$4:C48)</f>
        <v>4539783</v>
      </c>
      <c r="G48" s="3">
        <f>ROUND(D48/_xlfn.XLOOKUP(B48,体验规划!$B$23:$B$83,体验规划!$F$23:$F$83),0)</f>
        <v>9176</v>
      </c>
      <c r="H48" s="3">
        <v>2</v>
      </c>
      <c r="I48" s="3">
        <v>8</v>
      </c>
    </row>
    <row r="49" spans="2:9">
      <c r="B49" s="3">
        <v>46</v>
      </c>
      <c r="C49" s="50">
        <f t="shared" si="0"/>
        <v>422725</v>
      </c>
      <c r="D49" s="50">
        <f t="shared" si="1"/>
        <v>84545</v>
      </c>
      <c r="E49" s="50">
        <f>ROUND(_xlfn.XLOOKUP(B49,体验规划!$B$23:$B$83,体验规划!$G$23:$G$83)*_xlfn.XLOOKUP(B49,金币投放!$B:$B,金币投放!$D:$D),0)</f>
        <v>338180</v>
      </c>
      <c r="F49" s="3">
        <f>SUM($C$4:C49)</f>
        <v>4962508</v>
      </c>
      <c r="G49" s="3">
        <f>ROUND(D49/_xlfn.XLOOKUP(B49,体验规划!$B$23:$B$83,体验规划!$F$23:$F$83),0)</f>
        <v>8455</v>
      </c>
      <c r="H49" s="3">
        <v>2</v>
      </c>
      <c r="I49" s="3">
        <v>8</v>
      </c>
    </row>
    <row r="50" spans="2:9">
      <c r="B50" s="3">
        <v>47</v>
      </c>
      <c r="C50" s="50">
        <f t="shared" si="0"/>
        <v>432656</v>
      </c>
      <c r="D50" s="50">
        <f t="shared" si="1"/>
        <v>86531</v>
      </c>
      <c r="E50" s="50">
        <f>ROUND(_xlfn.XLOOKUP(B50,体验规划!$B$23:$B$83,体验规划!$G$23:$G$83)*_xlfn.XLOOKUP(B50,金币投放!$B:$B,金币投放!$D:$D),0)</f>
        <v>346125</v>
      </c>
      <c r="F50" s="3">
        <f>SUM($C$4:C50)</f>
        <v>5395164</v>
      </c>
      <c r="G50" s="3">
        <f>ROUND(D50/_xlfn.XLOOKUP(B50,体验规划!$B$23:$B$83,体验规划!$F$23:$F$83),0)</f>
        <v>8653</v>
      </c>
      <c r="H50" s="3">
        <v>2</v>
      </c>
      <c r="I50" s="3">
        <v>8</v>
      </c>
    </row>
    <row r="51" spans="2:9">
      <c r="B51" s="3">
        <v>48</v>
      </c>
      <c r="C51" s="50">
        <f t="shared" si="0"/>
        <v>442700</v>
      </c>
      <c r="D51" s="50">
        <f t="shared" si="1"/>
        <v>88540</v>
      </c>
      <c r="E51" s="50">
        <f>ROUND(_xlfn.XLOOKUP(B51,体验规划!$B$23:$B$83,体验规划!$G$23:$G$83)*_xlfn.XLOOKUP(B51,金币投放!$B:$B,金币投放!$D:$D),0)</f>
        <v>354160</v>
      </c>
      <c r="F51" s="3">
        <f>SUM($C$4:C51)</f>
        <v>5837864</v>
      </c>
      <c r="G51" s="3">
        <f>ROUND(D51/_xlfn.XLOOKUP(B51,体验规划!$B$23:$B$83,体验规划!$F$23:$F$83),0)</f>
        <v>8854</v>
      </c>
      <c r="H51" s="3">
        <v>2</v>
      </c>
      <c r="I51" s="3">
        <v>8</v>
      </c>
    </row>
    <row r="52" spans="2:9">
      <c r="B52" s="3">
        <v>49</v>
      </c>
      <c r="C52" s="50">
        <f t="shared" si="0"/>
        <v>452856</v>
      </c>
      <c r="D52" s="50">
        <f t="shared" si="1"/>
        <v>90571</v>
      </c>
      <c r="E52" s="50">
        <f>ROUND(_xlfn.XLOOKUP(B52,体验规划!$B$23:$B$83,体验规划!$G$23:$G$83)*_xlfn.XLOOKUP(B52,金币投放!$B:$B,金币投放!$D:$D),0)</f>
        <v>362285</v>
      </c>
      <c r="F52" s="3">
        <f>SUM($C$4:C52)</f>
        <v>6290720</v>
      </c>
      <c r="G52" s="3">
        <f>ROUND(D52/_xlfn.XLOOKUP(B52,体验规划!$B$23:$B$83,体验规划!$F$23:$F$83),0)</f>
        <v>9057</v>
      </c>
      <c r="H52" s="3">
        <v>2</v>
      </c>
      <c r="I52" s="3">
        <v>8</v>
      </c>
    </row>
    <row r="53" spans="2:9">
      <c r="B53" s="3">
        <v>50</v>
      </c>
      <c r="C53" s="50">
        <f t="shared" si="0"/>
        <v>500000</v>
      </c>
      <c r="D53" s="50">
        <f t="shared" si="1"/>
        <v>100000</v>
      </c>
      <c r="E53" s="50">
        <f>ROUND(_xlfn.XLOOKUP(B53,体验规划!$B$23:$B$83,体验规划!$G$23:$G$83)*_xlfn.XLOOKUP(B53,金币投放!$B:$B,金币投放!$D:$D),0)</f>
        <v>400000</v>
      </c>
      <c r="F53" s="3">
        <f>SUM($C$4:C53)</f>
        <v>6790720</v>
      </c>
      <c r="G53" s="3">
        <f>ROUND(D53/_xlfn.XLOOKUP(B53,体验规划!$B$23:$B$83,体验规划!$F$23:$F$83),0)</f>
        <v>10000</v>
      </c>
      <c r="H53" s="3">
        <v>2</v>
      </c>
      <c r="I53" s="3">
        <v>8</v>
      </c>
    </row>
    <row r="54" spans="2:9">
      <c r="B54" s="3">
        <v>51</v>
      </c>
      <c r="C54" s="50">
        <f t="shared" si="0"/>
        <v>762195</v>
      </c>
      <c r="D54" s="50">
        <f t="shared" si="1"/>
        <v>152439</v>
      </c>
      <c r="E54" s="50">
        <f>ROUND(_xlfn.XLOOKUP(B54,体验规划!$B$23:$B$83,体验规划!$G$23:$G$83)*_xlfn.XLOOKUP(B54,金币投放!$B:$B,金币投放!$D:$D),0)</f>
        <v>609756</v>
      </c>
      <c r="F54" s="3">
        <f>SUM($C$4:C54)</f>
        <v>7552915</v>
      </c>
      <c r="G54" s="3">
        <f>ROUND(D54/_xlfn.XLOOKUP(B54,体验规划!$B$23:$B$83,体验规划!$F$23:$F$83),0)</f>
        <v>13858</v>
      </c>
      <c r="H54" s="3">
        <v>2</v>
      </c>
      <c r="I54" s="3">
        <v>8</v>
      </c>
    </row>
    <row r="55" spans="2:9">
      <c r="B55" s="3">
        <v>52</v>
      </c>
      <c r="C55" s="50">
        <f t="shared" si="0"/>
        <v>778430</v>
      </c>
      <c r="D55" s="50">
        <f t="shared" si="1"/>
        <v>155686</v>
      </c>
      <c r="E55" s="50">
        <f>ROUND(_xlfn.XLOOKUP(B55,体验规划!$B$23:$B$83,体验规划!$G$23:$G$83)*_xlfn.XLOOKUP(B55,金币投放!$B:$B,金币投放!$D:$D),0)</f>
        <v>622744</v>
      </c>
      <c r="F55" s="3">
        <f>SUM($C$4:C55)</f>
        <v>8331345</v>
      </c>
      <c r="G55" s="3">
        <f>ROUND(D55/_xlfn.XLOOKUP(B55,体验规划!$B$23:$B$83,体验规划!$F$23:$F$83),0)</f>
        <v>14153</v>
      </c>
      <c r="H55" s="3">
        <v>2</v>
      </c>
      <c r="I55" s="3">
        <v>8</v>
      </c>
    </row>
    <row r="56" spans="2:9">
      <c r="B56" s="3">
        <v>53</v>
      </c>
      <c r="C56" s="50">
        <f t="shared" si="0"/>
        <v>794830</v>
      </c>
      <c r="D56" s="50">
        <f t="shared" si="1"/>
        <v>158966</v>
      </c>
      <c r="E56" s="50">
        <f>ROUND(_xlfn.XLOOKUP(B56,体验规划!$B$23:$B$83,体验规划!$G$23:$G$83)*_xlfn.XLOOKUP(B56,金币投放!$B:$B,金币投放!$D:$D),0)</f>
        <v>635864</v>
      </c>
      <c r="F56" s="3">
        <f>SUM($C$4:C56)</f>
        <v>9126175</v>
      </c>
      <c r="G56" s="3">
        <f>ROUND(D56/_xlfn.XLOOKUP(B56,体验规划!$B$23:$B$83,体验规划!$F$23:$F$83),0)</f>
        <v>14451</v>
      </c>
      <c r="H56" s="3">
        <v>2</v>
      </c>
      <c r="I56" s="3">
        <v>8</v>
      </c>
    </row>
    <row r="57" spans="2:9">
      <c r="B57" s="3">
        <v>54</v>
      </c>
      <c r="C57" s="50">
        <f t="shared" si="0"/>
        <v>811395</v>
      </c>
      <c r="D57" s="50">
        <f t="shared" si="1"/>
        <v>162279</v>
      </c>
      <c r="E57" s="50">
        <f>ROUND(_xlfn.XLOOKUP(B57,体验规划!$B$23:$B$83,体验规划!$G$23:$G$83)*_xlfn.XLOOKUP(B57,金币投放!$B:$B,金币投放!$D:$D),0)</f>
        <v>649116</v>
      </c>
      <c r="F57" s="3">
        <f>SUM($C$4:C57)</f>
        <v>9937570</v>
      </c>
      <c r="G57" s="3">
        <f>ROUND(D57/_xlfn.XLOOKUP(B57,体验规划!$B$23:$B$83,体验规划!$F$23:$F$83),0)</f>
        <v>14753</v>
      </c>
      <c r="H57" s="3">
        <v>2</v>
      </c>
      <c r="I57" s="3">
        <v>8</v>
      </c>
    </row>
    <row r="58" spans="2:9">
      <c r="B58" s="3">
        <v>55</v>
      </c>
      <c r="C58" s="50">
        <f t="shared" si="0"/>
        <v>828125</v>
      </c>
      <c r="D58" s="50">
        <f t="shared" si="1"/>
        <v>165625</v>
      </c>
      <c r="E58" s="50">
        <f>ROUND(_xlfn.XLOOKUP(B58,体验规划!$B$23:$B$83,体验规划!$G$23:$G$83)*_xlfn.XLOOKUP(B58,金币投放!$B:$B,金币投放!$D:$D),0)</f>
        <v>662500</v>
      </c>
      <c r="F58" s="3">
        <f>SUM($C$4:C58)</f>
        <v>10765695</v>
      </c>
      <c r="G58" s="3">
        <f>ROUND(D58/_xlfn.XLOOKUP(B58,体验规划!$B$23:$B$83,体验规划!$F$23:$F$83),0)</f>
        <v>15057</v>
      </c>
      <c r="H58" s="3">
        <v>2</v>
      </c>
      <c r="I58" s="3">
        <v>8</v>
      </c>
    </row>
    <row r="59" spans="2:9">
      <c r="B59" s="3">
        <v>56</v>
      </c>
      <c r="C59" s="50">
        <f t="shared" si="0"/>
        <v>845020</v>
      </c>
      <c r="D59" s="50">
        <f t="shared" si="1"/>
        <v>169004</v>
      </c>
      <c r="E59" s="50">
        <f>ROUND(_xlfn.XLOOKUP(B59,体验规划!$B$23:$B$83,体验规划!$G$23:$G$83)*_xlfn.XLOOKUP(B59,金币投放!$B:$B,金币投放!$D:$D),0)</f>
        <v>676016</v>
      </c>
      <c r="F59" s="3">
        <f>SUM($C$4:C59)</f>
        <v>11610715</v>
      </c>
      <c r="G59" s="3">
        <f>ROUND(D59/_xlfn.XLOOKUP(B59,体验规划!$B$23:$B$83,体验规划!$F$23:$F$83),0)</f>
        <v>14084</v>
      </c>
      <c r="H59" s="3">
        <v>2</v>
      </c>
      <c r="I59" s="3">
        <v>8</v>
      </c>
    </row>
    <row r="60" spans="2:9">
      <c r="B60" s="3">
        <v>57</v>
      </c>
      <c r="C60" s="50">
        <f t="shared" si="0"/>
        <v>862080</v>
      </c>
      <c r="D60" s="50">
        <f t="shared" si="1"/>
        <v>172416</v>
      </c>
      <c r="E60" s="50">
        <f>ROUND(_xlfn.XLOOKUP(B60,体验规划!$B$23:$B$83,体验规划!$G$23:$G$83)*_xlfn.XLOOKUP(B60,金币投放!$B:$B,金币投放!$D:$D),0)</f>
        <v>689664</v>
      </c>
      <c r="F60" s="3">
        <f>SUM($C$4:C60)</f>
        <v>12472795</v>
      </c>
      <c r="G60" s="3">
        <f>ROUND(D60/_xlfn.XLOOKUP(B60,体验规划!$B$23:$B$83,体验规划!$F$23:$F$83),0)</f>
        <v>14368</v>
      </c>
      <c r="H60" s="3">
        <v>2</v>
      </c>
      <c r="I60" s="3">
        <v>8</v>
      </c>
    </row>
    <row r="61" spans="2:9">
      <c r="B61" s="3">
        <v>58</v>
      </c>
      <c r="C61" s="50">
        <f t="shared" si="0"/>
        <v>879305</v>
      </c>
      <c r="D61" s="50">
        <f t="shared" si="1"/>
        <v>175861</v>
      </c>
      <c r="E61" s="50">
        <f>ROUND(_xlfn.XLOOKUP(B61,体验规划!$B$23:$B$83,体验规划!$G$23:$G$83)*_xlfn.XLOOKUP(B61,金币投放!$B:$B,金币投放!$D:$D),0)</f>
        <v>703444</v>
      </c>
      <c r="F61" s="3">
        <f>SUM($C$4:C61)</f>
        <v>13352100</v>
      </c>
      <c r="G61" s="3">
        <f>ROUND(D61/_xlfn.XLOOKUP(B61,体验规划!$B$23:$B$83,体验规划!$F$23:$F$83),0)</f>
        <v>14655</v>
      </c>
      <c r="H61" s="3">
        <v>2</v>
      </c>
      <c r="I61" s="3">
        <v>8</v>
      </c>
    </row>
    <row r="62" spans="2:9">
      <c r="B62" s="3">
        <v>59</v>
      </c>
      <c r="C62" s="50">
        <f t="shared" si="0"/>
        <v>896695</v>
      </c>
      <c r="D62" s="50">
        <f t="shared" si="1"/>
        <v>179339</v>
      </c>
      <c r="E62" s="50">
        <f>ROUND(_xlfn.XLOOKUP(B62,体验规划!$B$23:$B$83,体验规划!$G$23:$G$83)*_xlfn.XLOOKUP(B62,金币投放!$B:$B,金币投放!$D:$D),0)</f>
        <v>717356</v>
      </c>
      <c r="F62" s="3">
        <f>SUM($C$4:C62)</f>
        <v>14248795</v>
      </c>
      <c r="G62" s="3">
        <f>ROUND(D62/_xlfn.XLOOKUP(B62,体验规划!$B$23:$B$83,体验规划!$F$23:$F$83),0)</f>
        <v>14945</v>
      </c>
      <c r="H62" s="3">
        <v>2</v>
      </c>
      <c r="I62" s="3">
        <v>8</v>
      </c>
    </row>
    <row r="63" spans="2:9">
      <c r="B63" s="3">
        <v>60</v>
      </c>
      <c r="C63" s="50">
        <f t="shared" si="0"/>
        <v>972000</v>
      </c>
      <c r="D63" s="50">
        <f t="shared" si="1"/>
        <v>194400</v>
      </c>
      <c r="E63" s="50">
        <f>ROUND(_xlfn.XLOOKUP(B63,体验规划!$B$23:$B$83,体验规划!$G$23:$G$83)*_xlfn.XLOOKUP(B63,金币投放!$B:$B,金币投放!$D:$D),0)</f>
        <v>777600</v>
      </c>
      <c r="F63" s="3">
        <f>SUM($C$4:C63)</f>
        <v>15220795</v>
      </c>
      <c r="G63" s="3">
        <f>ROUND(D63/_xlfn.XLOOKUP(B63,体验规划!$B$23:$B$83,体验规划!$F$23:$F$83),0)</f>
        <v>16200</v>
      </c>
      <c r="H63" s="3">
        <v>2</v>
      </c>
      <c r="I63" s="3">
        <v>8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FFED3-E211-4390-8B48-B60CDBC85B74}">
  <sheetPr codeName="Sheet11"/>
  <dimension ref="B2:I33"/>
  <sheetViews>
    <sheetView workbookViewId="0">
      <selection activeCell="E26" sqref="E26"/>
    </sheetView>
  </sheetViews>
  <sheetFormatPr defaultColWidth="13.77734375" defaultRowHeight="15.6"/>
  <cols>
    <col min="1" max="3" width="13.77734375" style="1"/>
    <col min="4" max="5" width="40.77734375" style="1" customWidth="1"/>
    <col min="6" max="6" width="27.6640625" style="1" customWidth="1"/>
    <col min="7" max="8" width="13.77734375" style="1" customWidth="1"/>
    <col min="9" max="16384" width="13.77734375" style="1"/>
  </cols>
  <sheetData>
    <row r="2" spans="2:9" ht="16.2">
      <c r="B2" s="2" t="s">
        <v>270</v>
      </c>
    </row>
    <row r="3" spans="2:9">
      <c r="B3" s="48" t="s">
        <v>208</v>
      </c>
      <c r="C3" s="48" t="s">
        <v>209</v>
      </c>
      <c r="D3" s="48" t="s">
        <v>210</v>
      </c>
      <c r="E3" s="48" t="s">
        <v>211</v>
      </c>
      <c r="F3" s="41" t="s">
        <v>212</v>
      </c>
      <c r="G3" s="41" t="s">
        <v>248</v>
      </c>
      <c r="H3" s="41" t="s">
        <v>255</v>
      </c>
      <c r="I3" s="41" t="s">
        <v>256</v>
      </c>
    </row>
    <row r="4" spans="2:9" ht="15.6" customHeight="1">
      <c r="B4" s="49" t="s">
        <v>215</v>
      </c>
      <c r="C4" s="42" t="s">
        <v>216</v>
      </c>
      <c r="D4" s="42" t="s">
        <v>308</v>
      </c>
      <c r="E4" s="42" t="s">
        <v>44</v>
      </c>
      <c r="F4" s="3" t="s">
        <v>254</v>
      </c>
      <c r="G4" s="3">
        <v>1</v>
      </c>
      <c r="H4" s="42">
        <v>5</v>
      </c>
      <c r="I4" s="42">
        <v>10</v>
      </c>
    </row>
    <row r="5" spans="2:9">
      <c r="B5" s="49" t="s">
        <v>215</v>
      </c>
      <c r="C5" s="42" t="s">
        <v>218</v>
      </c>
      <c r="D5" s="42" t="s">
        <v>268</v>
      </c>
      <c r="E5" s="42" t="s">
        <v>44</v>
      </c>
      <c r="F5" s="3" t="s">
        <v>254</v>
      </c>
      <c r="G5" s="3">
        <v>1</v>
      </c>
      <c r="H5" s="42">
        <v>10</v>
      </c>
      <c r="I5" s="42">
        <v>20</v>
      </c>
    </row>
    <row r="6" spans="2:9">
      <c r="B6" s="49" t="s">
        <v>215</v>
      </c>
      <c r="C6" s="42" t="s">
        <v>217</v>
      </c>
      <c r="D6" s="42" t="s">
        <v>269</v>
      </c>
      <c r="E6" s="42" t="s">
        <v>44</v>
      </c>
      <c r="F6" s="3" t="s">
        <v>254</v>
      </c>
      <c r="G6" s="3">
        <v>1</v>
      </c>
      <c r="H6" s="42">
        <v>0.05</v>
      </c>
      <c r="I6" s="42">
        <v>0.05</v>
      </c>
    </row>
    <row r="7" spans="2:9">
      <c r="B7" s="49" t="s">
        <v>215</v>
      </c>
      <c r="C7" s="42" t="s">
        <v>214</v>
      </c>
      <c r="D7" s="42" t="s">
        <v>330</v>
      </c>
      <c r="E7" s="42" t="s">
        <v>44</v>
      </c>
      <c r="F7" s="3" t="s">
        <v>254</v>
      </c>
      <c r="G7" s="3">
        <v>1</v>
      </c>
      <c r="H7" s="42">
        <v>20</v>
      </c>
      <c r="I7" s="42">
        <v>5</v>
      </c>
    </row>
    <row r="8" spans="2:9">
      <c r="B8" s="3" t="s">
        <v>219</v>
      </c>
      <c r="C8" s="3" t="s">
        <v>285</v>
      </c>
      <c r="D8" s="3" t="s">
        <v>265</v>
      </c>
      <c r="E8" s="3" t="s">
        <v>249</v>
      </c>
      <c r="F8" s="3" t="s">
        <v>254</v>
      </c>
      <c r="G8" s="3">
        <v>20</v>
      </c>
      <c r="H8" s="3" t="s">
        <v>172</v>
      </c>
      <c r="I8" s="3" t="s">
        <v>172</v>
      </c>
    </row>
    <row r="9" spans="2:9">
      <c r="B9" s="3" t="s">
        <v>219</v>
      </c>
      <c r="C9" s="3" t="s">
        <v>220</v>
      </c>
      <c r="D9" s="3" t="s">
        <v>266</v>
      </c>
      <c r="E9" s="3" t="s">
        <v>250</v>
      </c>
      <c r="F9" s="3" t="s">
        <v>254</v>
      </c>
      <c r="G9" s="3">
        <v>40</v>
      </c>
      <c r="H9" s="3" t="s">
        <v>172</v>
      </c>
      <c r="I9" s="3" t="s">
        <v>172</v>
      </c>
    </row>
    <row r="10" spans="2:9">
      <c r="B10" s="3" t="s">
        <v>219</v>
      </c>
      <c r="C10" s="3" t="s">
        <v>221</v>
      </c>
      <c r="D10" s="3" t="s">
        <v>259</v>
      </c>
      <c r="E10" s="3" t="s">
        <v>306</v>
      </c>
      <c r="F10" s="3" t="s">
        <v>254</v>
      </c>
      <c r="G10" s="3">
        <v>200</v>
      </c>
      <c r="H10" s="3" t="s">
        <v>172</v>
      </c>
      <c r="I10" s="3" t="s">
        <v>172</v>
      </c>
    </row>
    <row r="11" spans="2:9">
      <c r="B11" s="3" t="s">
        <v>219</v>
      </c>
      <c r="C11" s="3" t="s">
        <v>222</v>
      </c>
      <c r="D11" s="3" t="s">
        <v>260</v>
      </c>
      <c r="E11" s="3" t="s">
        <v>250</v>
      </c>
      <c r="F11" s="3" t="s">
        <v>254</v>
      </c>
      <c r="G11" s="3">
        <v>100</v>
      </c>
      <c r="H11" s="3" t="s">
        <v>172</v>
      </c>
      <c r="I11" s="3" t="s">
        <v>172</v>
      </c>
    </row>
    <row r="12" spans="2:9">
      <c r="B12" s="3" t="s">
        <v>219</v>
      </c>
      <c r="C12" s="3" t="s">
        <v>227</v>
      </c>
      <c r="D12" s="3" t="s">
        <v>271</v>
      </c>
      <c r="E12" s="3" t="s">
        <v>253</v>
      </c>
      <c r="F12" s="3" t="s">
        <v>254</v>
      </c>
      <c r="G12" s="3">
        <v>70</v>
      </c>
      <c r="H12" s="3" t="s">
        <v>172</v>
      </c>
      <c r="I12" s="3" t="s">
        <v>172</v>
      </c>
    </row>
    <row r="13" spans="2:9">
      <c r="B13" s="3" t="s">
        <v>219</v>
      </c>
      <c r="C13" s="3" t="s">
        <v>228</v>
      </c>
      <c r="D13" s="3" t="s">
        <v>272</v>
      </c>
      <c r="E13" s="3" t="s">
        <v>253</v>
      </c>
      <c r="F13" s="3" t="s">
        <v>254</v>
      </c>
      <c r="G13" s="3">
        <v>20</v>
      </c>
      <c r="H13" s="3" t="s">
        <v>172</v>
      </c>
      <c r="I13" s="3" t="s">
        <v>172</v>
      </c>
    </row>
    <row r="14" spans="2:9">
      <c r="B14" s="3" t="s">
        <v>219</v>
      </c>
      <c r="C14" s="3" t="s">
        <v>332</v>
      </c>
      <c r="D14" s="3" t="s">
        <v>333</v>
      </c>
      <c r="E14" s="3" t="s">
        <v>251</v>
      </c>
      <c r="F14" s="3" t="s">
        <v>254</v>
      </c>
      <c r="G14" s="3">
        <v>100</v>
      </c>
      <c r="H14" s="3" t="s">
        <v>172</v>
      </c>
      <c r="I14" s="3" t="s">
        <v>172</v>
      </c>
    </row>
    <row r="15" spans="2:9">
      <c r="B15" s="3" t="s">
        <v>219</v>
      </c>
      <c r="C15" s="3" t="s">
        <v>223</v>
      </c>
      <c r="D15" s="3" t="s">
        <v>261</v>
      </c>
      <c r="E15" s="3" t="s">
        <v>251</v>
      </c>
      <c r="F15" s="3" t="s">
        <v>254</v>
      </c>
      <c r="G15" s="3">
        <v>20</v>
      </c>
      <c r="H15" s="3" t="s">
        <v>172</v>
      </c>
      <c r="I15" s="3" t="s">
        <v>172</v>
      </c>
    </row>
    <row r="16" spans="2:9">
      <c r="B16" s="3" t="s">
        <v>219</v>
      </c>
      <c r="C16" s="3" t="s">
        <v>224</v>
      </c>
      <c r="D16" s="3" t="s">
        <v>262</v>
      </c>
      <c r="E16" s="3" t="s">
        <v>252</v>
      </c>
      <c r="F16" s="3" t="s">
        <v>254</v>
      </c>
      <c r="G16" s="3">
        <v>20</v>
      </c>
      <c r="H16" s="3" t="s">
        <v>172</v>
      </c>
      <c r="I16" s="3" t="s">
        <v>172</v>
      </c>
    </row>
    <row r="17" spans="2:9">
      <c r="B17" s="3" t="s">
        <v>219</v>
      </c>
      <c r="C17" s="3" t="s">
        <v>225</v>
      </c>
      <c r="D17" s="3" t="s">
        <v>263</v>
      </c>
      <c r="E17" s="3" t="s">
        <v>252</v>
      </c>
      <c r="F17" s="3" t="s">
        <v>254</v>
      </c>
      <c r="G17" s="3">
        <v>20</v>
      </c>
      <c r="H17" s="3" t="s">
        <v>172</v>
      </c>
      <c r="I17" s="3" t="s">
        <v>172</v>
      </c>
    </row>
    <row r="18" spans="2:9">
      <c r="B18" s="3" t="s">
        <v>219</v>
      </c>
      <c r="C18" s="3" t="s">
        <v>226</v>
      </c>
      <c r="D18" s="3" t="s">
        <v>264</v>
      </c>
      <c r="E18" s="3" t="s">
        <v>252</v>
      </c>
      <c r="F18" s="3" t="s">
        <v>254</v>
      </c>
      <c r="G18" s="3">
        <v>20</v>
      </c>
      <c r="H18" s="3" t="s">
        <v>172</v>
      </c>
      <c r="I18" s="3" t="s">
        <v>172</v>
      </c>
    </row>
    <row r="19" spans="2:9">
      <c r="B19" s="3" t="s">
        <v>219</v>
      </c>
      <c r="C19" s="3" t="s">
        <v>257</v>
      </c>
      <c r="D19" s="3" t="s">
        <v>267</v>
      </c>
      <c r="E19" s="3" t="s">
        <v>258</v>
      </c>
      <c r="F19" s="3" t="s">
        <v>258</v>
      </c>
      <c r="G19" s="3">
        <v>150</v>
      </c>
      <c r="H19" s="3" t="s">
        <v>172</v>
      </c>
      <c r="I19" s="3" t="s">
        <v>172</v>
      </c>
    </row>
    <row r="20" spans="2:9">
      <c r="B20" s="3" t="s">
        <v>219</v>
      </c>
      <c r="C20" s="3" t="s">
        <v>347</v>
      </c>
      <c r="D20" s="3" t="s">
        <v>348</v>
      </c>
      <c r="E20" s="3" t="s">
        <v>258</v>
      </c>
      <c r="F20" s="3" t="s">
        <v>258</v>
      </c>
      <c r="G20" s="3">
        <v>100</v>
      </c>
      <c r="H20" s="3" t="s">
        <v>172</v>
      </c>
      <c r="I20" s="3" t="s">
        <v>172</v>
      </c>
    </row>
    <row r="21" spans="2:9">
      <c r="B21" s="3" t="s">
        <v>219</v>
      </c>
      <c r="C21" s="3" t="s">
        <v>504</v>
      </c>
      <c r="D21" s="3" t="s">
        <v>507</v>
      </c>
      <c r="E21" s="3" t="s">
        <v>258</v>
      </c>
      <c r="F21" s="3" t="s">
        <v>258</v>
      </c>
      <c r="G21" s="3">
        <v>1</v>
      </c>
      <c r="H21" s="3" t="s">
        <v>172</v>
      </c>
      <c r="I21" s="3" t="s">
        <v>172</v>
      </c>
    </row>
    <row r="22" spans="2:9">
      <c r="B22" s="3" t="s">
        <v>219</v>
      </c>
      <c r="C22" s="3" t="s">
        <v>505</v>
      </c>
      <c r="D22" s="3" t="s">
        <v>508</v>
      </c>
      <c r="E22" s="3" t="s">
        <v>258</v>
      </c>
      <c r="F22" s="3" t="s">
        <v>258</v>
      </c>
      <c r="G22" s="3">
        <v>1</v>
      </c>
      <c r="H22" s="3" t="s">
        <v>172</v>
      </c>
      <c r="I22" s="3" t="s">
        <v>172</v>
      </c>
    </row>
    <row r="23" spans="2:9">
      <c r="B23" s="3" t="s">
        <v>219</v>
      </c>
      <c r="C23" s="3" t="s">
        <v>506</v>
      </c>
      <c r="D23" s="3" t="s">
        <v>509</v>
      </c>
      <c r="E23" s="3" t="s">
        <v>258</v>
      </c>
      <c r="F23" s="3" t="s">
        <v>258</v>
      </c>
      <c r="G23" s="3">
        <v>1</v>
      </c>
      <c r="H23" s="3" t="s">
        <v>172</v>
      </c>
      <c r="I23" s="3" t="s">
        <v>172</v>
      </c>
    </row>
    <row r="24" spans="2:9">
      <c r="B24" s="3" t="s">
        <v>229</v>
      </c>
      <c r="C24" s="3" t="s">
        <v>230</v>
      </c>
      <c r="D24" s="3" t="s">
        <v>239</v>
      </c>
      <c r="E24" s="3" t="s">
        <v>172</v>
      </c>
      <c r="F24" s="3" t="s">
        <v>172</v>
      </c>
      <c r="G24" s="3" t="s">
        <v>172</v>
      </c>
      <c r="H24" s="3" t="s">
        <v>172</v>
      </c>
      <c r="I24" s="3" t="s">
        <v>172</v>
      </c>
    </row>
    <row r="25" spans="2:9">
      <c r="B25" s="3" t="s">
        <v>229</v>
      </c>
      <c r="C25" s="3" t="s">
        <v>231</v>
      </c>
      <c r="D25" s="3" t="s">
        <v>240</v>
      </c>
      <c r="E25" s="3" t="s">
        <v>172</v>
      </c>
      <c r="F25" s="3" t="s">
        <v>172</v>
      </c>
      <c r="G25" s="3" t="s">
        <v>172</v>
      </c>
      <c r="H25" s="3" t="s">
        <v>172</v>
      </c>
      <c r="I25" s="3" t="s">
        <v>172</v>
      </c>
    </row>
    <row r="26" spans="2:9">
      <c r="B26" s="3" t="s">
        <v>229</v>
      </c>
      <c r="C26" s="3" t="s">
        <v>283</v>
      </c>
      <c r="D26" s="3" t="s">
        <v>284</v>
      </c>
      <c r="E26" s="3" t="s">
        <v>172</v>
      </c>
      <c r="F26" s="3" t="s">
        <v>172</v>
      </c>
      <c r="G26" s="3" t="s">
        <v>172</v>
      </c>
      <c r="H26" s="3" t="s">
        <v>172</v>
      </c>
      <c r="I26" s="3" t="s">
        <v>172</v>
      </c>
    </row>
    <row r="27" spans="2:9">
      <c r="B27" s="3" t="s">
        <v>229</v>
      </c>
      <c r="C27" s="3" t="s">
        <v>232</v>
      </c>
      <c r="D27" s="3" t="s">
        <v>241</v>
      </c>
      <c r="E27" s="3" t="s">
        <v>172</v>
      </c>
      <c r="F27" s="3" t="s">
        <v>172</v>
      </c>
      <c r="G27" s="3" t="s">
        <v>172</v>
      </c>
      <c r="H27" s="3" t="s">
        <v>172</v>
      </c>
      <c r="I27" s="3" t="s">
        <v>172</v>
      </c>
    </row>
    <row r="28" spans="2:9">
      <c r="B28" s="3" t="s">
        <v>229</v>
      </c>
      <c r="C28" s="3" t="s">
        <v>233</v>
      </c>
      <c r="D28" s="3" t="s">
        <v>242</v>
      </c>
      <c r="E28" s="3" t="s">
        <v>172</v>
      </c>
      <c r="F28" s="3" t="s">
        <v>172</v>
      </c>
      <c r="G28" s="3" t="s">
        <v>172</v>
      </c>
      <c r="H28" s="3" t="s">
        <v>172</v>
      </c>
      <c r="I28" s="3" t="s">
        <v>172</v>
      </c>
    </row>
    <row r="29" spans="2:9">
      <c r="B29" s="3" t="s">
        <v>229</v>
      </c>
      <c r="C29" s="3" t="s">
        <v>234</v>
      </c>
      <c r="D29" s="3" t="s">
        <v>243</v>
      </c>
      <c r="E29" s="3" t="s">
        <v>172</v>
      </c>
      <c r="F29" s="3" t="s">
        <v>172</v>
      </c>
      <c r="G29" s="3" t="s">
        <v>172</v>
      </c>
      <c r="H29" s="3" t="s">
        <v>172</v>
      </c>
      <c r="I29" s="3" t="s">
        <v>172</v>
      </c>
    </row>
    <row r="30" spans="2:9">
      <c r="B30" s="3" t="s">
        <v>229</v>
      </c>
      <c r="C30" s="3" t="s">
        <v>236</v>
      </c>
      <c r="D30" s="3" t="s">
        <v>246</v>
      </c>
      <c r="E30" s="3" t="s">
        <v>172</v>
      </c>
      <c r="F30" s="3" t="s">
        <v>172</v>
      </c>
      <c r="G30" s="3" t="s">
        <v>172</v>
      </c>
      <c r="H30" s="3" t="s">
        <v>172</v>
      </c>
      <c r="I30" s="3" t="s">
        <v>172</v>
      </c>
    </row>
    <row r="31" spans="2:9">
      <c r="B31" s="3" t="s">
        <v>229</v>
      </c>
      <c r="C31" s="3" t="s">
        <v>238</v>
      </c>
      <c r="D31" s="3" t="s">
        <v>247</v>
      </c>
      <c r="E31" s="3" t="s">
        <v>172</v>
      </c>
      <c r="F31" s="3" t="s">
        <v>172</v>
      </c>
      <c r="G31" s="3" t="s">
        <v>172</v>
      </c>
      <c r="H31" s="3" t="s">
        <v>172</v>
      </c>
      <c r="I31" s="3" t="s">
        <v>172</v>
      </c>
    </row>
    <row r="32" spans="2:9">
      <c r="B32" s="3" t="s">
        <v>229</v>
      </c>
      <c r="C32" s="3" t="s">
        <v>237</v>
      </c>
      <c r="D32" s="3" t="s">
        <v>244</v>
      </c>
      <c r="E32" s="3" t="s">
        <v>172</v>
      </c>
      <c r="F32" s="3" t="s">
        <v>172</v>
      </c>
      <c r="G32" s="3" t="s">
        <v>172</v>
      </c>
      <c r="H32" s="3" t="s">
        <v>172</v>
      </c>
      <c r="I32" s="3" t="s">
        <v>172</v>
      </c>
    </row>
    <row r="33" spans="2:9">
      <c r="B33" s="3" t="s">
        <v>229</v>
      </c>
      <c r="C33" s="3" t="s">
        <v>235</v>
      </c>
      <c r="D33" s="3" t="s">
        <v>245</v>
      </c>
      <c r="E33" s="3" t="s">
        <v>172</v>
      </c>
      <c r="F33" s="3" t="s">
        <v>172</v>
      </c>
      <c r="G33" s="3" t="s">
        <v>172</v>
      </c>
      <c r="H33" s="3" t="s">
        <v>172</v>
      </c>
      <c r="I33" s="3" t="s">
        <v>172</v>
      </c>
    </row>
  </sheetData>
  <phoneticPr fontId="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0FDC4-CE43-4010-89EB-836832669210}">
  <sheetPr codeName="Sheet6"/>
  <dimension ref="B2:W39"/>
  <sheetViews>
    <sheetView workbookViewId="0">
      <selection activeCell="G19" sqref="G19"/>
    </sheetView>
  </sheetViews>
  <sheetFormatPr defaultColWidth="13.77734375" defaultRowHeight="15.6"/>
  <cols>
    <col min="1" max="16384" width="13.77734375" style="1"/>
  </cols>
  <sheetData>
    <row r="2" spans="2:23" ht="16.2">
      <c r="B2" s="2" t="s">
        <v>317</v>
      </c>
    </row>
    <row r="3" spans="2:23" ht="16.2">
      <c r="B3" s="35" t="s">
        <v>302</v>
      </c>
      <c r="C3" s="35" t="s">
        <v>176</v>
      </c>
      <c r="D3" s="35" t="s">
        <v>326</v>
      </c>
      <c r="E3" s="35" t="s">
        <v>318</v>
      </c>
      <c r="F3" s="35" t="s">
        <v>319</v>
      </c>
      <c r="G3" s="35" t="s">
        <v>320</v>
      </c>
      <c r="H3" s="35" t="s">
        <v>321</v>
      </c>
      <c r="I3" s="35" t="s">
        <v>322</v>
      </c>
      <c r="J3" s="35" t="s">
        <v>323</v>
      </c>
      <c r="K3" s="35" t="s">
        <v>324</v>
      </c>
      <c r="L3" s="35" t="s">
        <v>325</v>
      </c>
      <c r="M3" s="35" t="s">
        <v>327</v>
      </c>
      <c r="N3" s="35" t="s">
        <v>334</v>
      </c>
      <c r="O3" s="35" t="s">
        <v>328</v>
      </c>
      <c r="P3" s="35" t="s">
        <v>329</v>
      </c>
    </row>
    <row r="4" spans="2:23">
      <c r="B4" s="3" t="s">
        <v>316</v>
      </c>
      <c r="C4" s="3" t="s">
        <v>44</v>
      </c>
      <c r="D4" s="3">
        <v>1</v>
      </c>
      <c r="E4" s="3">
        <v>1</v>
      </c>
      <c r="F4" s="3">
        <v>1</v>
      </c>
      <c r="G4" s="3">
        <v>1</v>
      </c>
      <c r="H4" s="3">
        <v>1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</row>
    <row r="5" spans="2:23">
      <c r="B5" s="3" t="s">
        <v>316</v>
      </c>
      <c r="C5" s="3" t="s">
        <v>44</v>
      </c>
      <c r="D5" s="3">
        <v>2</v>
      </c>
      <c r="E5" s="3">
        <v>1</v>
      </c>
      <c r="F5" s="3">
        <v>1</v>
      </c>
      <c r="G5" s="3">
        <v>1</v>
      </c>
      <c r="H5" s="3">
        <v>1</v>
      </c>
      <c r="I5" s="3">
        <v>1</v>
      </c>
      <c r="J5" s="3">
        <v>1</v>
      </c>
      <c r="K5" s="3">
        <v>1</v>
      </c>
      <c r="L5" s="3">
        <v>1</v>
      </c>
      <c r="M5" s="3">
        <v>0.1</v>
      </c>
      <c r="N5" s="3">
        <v>0.1</v>
      </c>
      <c r="O5" s="3">
        <v>1</v>
      </c>
      <c r="P5" s="3">
        <v>1</v>
      </c>
    </row>
    <row r="6" spans="2:23">
      <c r="B6" s="3" t="s">
        <v>316</v>
      </c>
      <c r="C6" s="3" t="s">
        <v>44</v>
      </c>
      <c r="D6" s="3">
        <v>3</v>
      </c>
      <c r="E6" s="3">
        <v>1</v>
      </c>
      <c r="F6" s="3">
        <v>1</v>
      </c>
      <c r="G6" s="3">
        <v>1</v>
      </c>
      <c r="H6" s="3">
        <v>1</v>
      </c>
      <c r="I6" s="3">
        <v>2</v>
      </c>
      <c r="J6" s="3">
        <v>2</v>
      </c>
      <c r="K6" s="3">
        <v>2</v>
      </c>
      <c r="L6" s="3">
        <v>2</v>
      </c>
      <c r="M6" s="3">
        <v>0.15</v>
      </c>
      <c r="N6" s="3">
        <v>0.15</v>
      </c>
      <c r="O6" s="3">
        <v>2</v>
      </c>
      <c r="P6" s="3">
        <v>2</v>
      </c>
    </row>
    <row r="8" spans="2:23" ht="16.2">
      <c r="B8" s="2" t="s">
        <v>301</v>
      </c>
    </row>
    <row r="9" spans="2:23" ht="16.2">
      <c r="B9" s="35" t="s">
        <v>302</v>
      </c>
      <c r="C9" s="35" t="s">
        <v>303</v>
      </c>
      <c r="D9" s="35" t="s">
        <v>304</v>
      </c>
      <c r="E9" s="35" t="s">
        <v>216</v>
      </c>
      <c r="F9" s="35" t="s">
        <v>305</v>
      </c>
      <c r="G9" s="35" t="s">
        <v>307</v>
      </c>
      <c r="H9" s="35" t="s">
        <v>213</v>
      </c>
      <c r="I9" s="35" t="s">
        <v>285</v>
      </c>
      <c r="J9" s="35" t="s">
        <v>287</v>
      </c>
      <c r="K9" s="35" t="s">
        <v>309</v>
      </c>
      <c r="L9" s="35" t="s">
        <v>310</v>
      </c>
      <c r="M9" s="35" t="s">
        <v>311</v>
      </c>
      <c r="N9" s="35" t="s">
        <v>312</v>
      </c>
      <c r="O9" s="35" t="s">
        <v>282</v>
      </c>
      <c r="P9" s="35" t="s">
        <v>314</v>
      </c>
      <c r="Q9" s="35" t="s">
        <v>315</v>
      </c>
      <c r="R9" s="35" t="s">
        <v>313</v>
      </c>
      <c r="S9" s="35" t="s">
        <v>331</v>
      </c>
      <c r="T9" s="35" t="s">
        <v>349</v>
      </c>
      <c r="U9" s="35" t="s">
        <v>504</v>
      </c>
      <c r="V9" s="35" t="s">
        <v>505</v>
      </c>
      <c r="W9" s="35" t="s">
        <v>506</v>
      </c>
    </row>
    <row r="10" spans="2:23">
      <c r="B10" s="3" t="s">
        <v>316</v>
      </c>
      <c r="C10" s="3">
        <v>1</v>
      </c>
      <c r="D10" s="3">
        <v>1</v>
      </c>
      <c r="E10" s="3">
        <v>1</v>
      </c>
      <c r="F10" s="3">
        <v>1</v>
      </c>
      <c r="G10" s="3">
        <v>1</v>
      </c>
      <c r="H10" s="3">
        <v>1</v>
      </c>
      <c r="I10" s="3">
        <v>20</v>
      </c>
      <c r="J10" s="3">
        <v>40</v>
      </c>
      <c r="K10" s="3">
        <v>200</v>
      </c>
      <c r="L10" s="3">
        <v>100</v>
      </c>
      <c r="M10" s="3">
        <v>80</v>
      </c>
      <c r="N10" s="3">
        <v>10</v>
      </c>
      <c r="O10" s="3">
        <v>0</v>
      </c>
      <c r="P10" s="3">
        <v>20</v>
      </c>
      <c r="Q10" s="3">
        <v>20</v>
      </c>
      <c r="R10" s="3">
        <v>150</v>
      </c>
      <c r="S10" s="3">
        <v>100</v>
      </c>
      <c r="T10" s="3">
        <v>100</v>
      </c>
      <c r="U10" s="3">
        <v>1</v>
      </c>
      <c r="V10" s="3">
        <v>1</v>
      </c>
      <c r="W10" s="3">
        <v>1</v>
      </c>
    </row>
    <row r="11" spans="2:23">
      <c r="B11" s="3" t="s">
        <v>316</v>
      </c>
      <c r="C11" s="3">
        <v>2</v>
      </c>
      <c r="D11" s="3">
        <v>1</v>
      </c>
      <c r="E11" s="3" cm="1">
        <f t="array" ref="E11">E$10+INDEX(E$4:E$6,MATCH(1,($B$4:$B$6=$B11)*($D$4:$D$6=$D11),0))*($C11-1)</f>
        <v>2</v>
      </c>
      <c r="F11" s="3" cm="1">
        <f t="array" ref="F11">F$10+INDEX(F$4:F$6,MATCH(1,($B$4:$B$6=$B11)*($D$4:$D$6=$D11),0))*($C11-1)</f>
        <v>2</v>
      </c>
      <c r="G11" s="3" cm="1">
        <f t="array" ref="G11">G$10+INDEX(G$4:G$6,MATCH(1,($B$4:$B$6=$B11)*($D$4:$D$6=$D11),0))*($C11-1)</f>
        <v>2</v>
      </c>
      <c r="H11" s="3" cm="1">
        <f t="array" ref="H11">H$10+INDEX(H$4:H$6,MATCH(1,($B$4:$B$6=$B11)*($D$4:$D$6=$D11),0))*($C11-1)</f>
        <v>2</v>
      </c>
      <c r="I11" s="3" cm="1">
        <f t="array" ref="I11">$I$10+(E11-1)*(属性总览!$H$4+INDEX($I$4:$I$6,MATCH(1,($B$4:$B$6=$B11)*($D$4:$D$6=$D11),0)))</f>
        <v>25</v>
      </c>
      <c r="J11" s="3" cm="1">
        <f t="array" ref="J11">$J$10+(F11-1)*(属性总览!$H$5+INDEX($K$4:$K$6,MATCH(1,($B$4:$B$6=$B11)*($D$4:$D$6=$D11),0)))</f>
        <v>50</v>
      </c>
      <c r="K11" s="3" cm="1">
        <f t="array" ref="K11">$K$10+(H11-1)*(属性总览!$H$7+INDEX($O$4:$O$6,MATCH(1,($B$4:$B$6=$B11)*($D$4:$D$6=$D11),0)))</f>
        <v>220</v>
      </c>
      <c r="L11" s="3" cm="1">
        <f t="array" ref="L11">$L$10+(F11-1)*(属性总览!$I$5+INDEX($L$4:$L$6,MATCH(1,($B$4:$B$6=$B11)*($D$4:$D$6=$D11),0)))</f>
        <v>120</v>
      </c>
      <c r="M11" s="3" cm="1">
        <f t="array" ref="M11">ROUND(MIN($M$10+(G11-1)*(属性总览!$H$6+INDEX($M$4:$M$6,MATCH(1,($B$4:$B$6=$B11)*($D$4:$D$6=$D11),0))),100),0)</f>
        <v>80</v>
      </c>
      <c r="N11" s="3" cm="1">
        <f t="array" ref="N11">ROUND(MIN($N$10+(G11-1)*(属性总览!$I$6+INDEX($N$4:$N$6,MATCH(1,($B$4:$B$6=$B11)*($D$4:$D$6=$D11),0))),30),0)</f>
        <v>10</v>
      </c>
      <c r="O11" s="3" cm="1">
        <f t="array" ref="O11">$O$10+(H11-1)*(属性总览!$H$5+INDEX($O$4:$O$7,MATCH(1,($B$4:$B$6=$B11)*($D$4:$D$6=$D11),0)))</f>
        <v>10</v>
      </c>
      <c r="P11" s="3">
        <f t="shared" ref="P11:R11" si="0">P10</f>
        <v>20</v>
      </c>
      <c r="Q11" s="3">
        <f t="shared" si="0"/>
        <v>20</v>
      </c>
      <c r="R11" s="3">
        <f t="shared" si="0"/>
        <v>150</v>
      </c>
      <c r="S11" s="3">
        <f>S10</f>
        <v>100</v>
      </c>
      <c r="T11" s="3">
        <f>T10</f>
        <v>100</v>
      </c>
      <c r="U11" s="3">
        <v>1</v>
      </c>
      <c r="V11" s="3">
        <v>1</v>
      </c>
      <c r="W11" s="3">
        <v>1</v>
      </c>
    </row>
    <row r="12" spans="2:23">
      <c r="B12" s="3" t="s">
        <v>316</v>
      </c>
      <c r="C12" s="3">
        <v>3</v>
      </c>
      <c r="D12" s="3">
        <v>1</v>
      </c>
      <c r="E12" s="3" cm="1">
        <f t="array" ref="E12">E$10+INDEX(E$4:E$6,MATCH(1,($B$4:$B$6=$B12)*($D$4:$D$6=$D12),0))*($C12-1)</f>
        <v>3</v>
      </c>
      <c r="F12" s="3" cm="1">
        <f t="array" ref="F12">F$10+INDEX(F$4:F$6,MATCH(1,($B$4:$B$6=$B12)*($D$4:$D$6=$D12),0))*($C12-1)</f>
        <v>3</v>
      </c>
      <c r="G12" s="3" cm="1">
        <f t="array" ref="G12">G$10+INDEX(G$4:G$6,MATCH(1,($B$4:$B$6=$B12)*($D$4:$D$6=$D12),0))*($C12-1)</f>
        <v>3</v>
      </c>
      <c r="H12" s="3" cm="1">
        <f t="array" ref="H12">H$10+INDEX(H$4:H$6,MATCH(1,($B$4:$B$6=$B12)*($D$4:$D$6=$D12),0))*($C12-1)</f>
        <v>3</v>
      </c>
      <c r="I12" s="3" cm="1">
        <f t="array" ref="I12">$I$10+(E12-1)*(属性总览!$H$4+INDEX($I$4:$I$6,MATCH(1,($B$4:$B$6=$B12)*($D$4:$D$6=$D12),0)))</f>
        <v>30</v>
      </c>
      <c r="J12" s="3" cm="1">
        <f t="array" ref="J12">$J$10+(F12-1)*(属性总览!$H$5+INDEX($K$4:$K$6,MATCH(1,($B$4:$B$6=$B12)*($D$4:$D$6=$D12),0)))</f>
        <v>60</v>
      </c>
      <c r="K12" s="3" cm="1">
        <f t="array" ref="K12">$K$10+(H12-1)*(属性总览!$H$7+INDEX($O$4:$O$6,MATCH(1,($B$4:$B$6=$B12)*($D$4:$D$6=$D12),0)))</f>
        <v>240</v>
      </c>
      <c r="L12" s="3" cm="1">
        <f t="array" ref="L12">$L$10+(F12-1)*(属性总览!$I$5+INDEX($L$4:$L$6,MATCH(1,($B$4:$B$6=$B12)*($D$4:$D$6=$D12),0)))</f>
        <v>140</v>
      </c>
      <c r="M12" s="3" cm="1">
        <f t="array" ref="M12">ROUND(MIN($M$10+(G12-1)*(属性总览!$H$6+INDEX($M$4:$M$6,MATCH(1,($B$4:$B$6=$B12)*($D$4:$D$6=$D12),0))),100),0)</f>
        <v>80</v>
      </c>
      <c r="N12" s="3" cm="1">
        <f t="array" ref="N12">ROUND(MIN($N$10+(G12-1)*(属性总览!$I$6+INDEX($N$4:$N$6,MATCH(1,($B$4:$B$6=$B12)*($D$4:$D$6=$D12),0))),30),0)</f>
        <v>10</v>
      </c>
      <c r="O12" s="3" cm="1">
        <f t="array" ref="O12">$O$10+(H12-1)*(属性总览!$H$5+INDEX($O$4:$O$7,MATCH(1,($B$4:$B$6=$B12)*($D$4:$D$6=$D12),0)))</f>
        <v>20</v>
      </c>
      <c r="P12" s="3">
        <f t="shared" ref="P12:P14" si="1">P11</f>
        <v>20</v>
      </c>
      <c r="Q12" s="3">
        <f t="shared" ref="Q12:Q14" si="2">Q11</f>
        <v>20</v>
      </c>
      <c r="R12" s="3">
        <f t="shared" ref="R12:R14" si="3">R11</f>
        <v>150</v>
      </c>
      <c r="S12" s="3">
        <f t="shared" ref="S12:S14" si="4">S11</f>
        <v>100</v>
      </c>
      <c r="T12" s="3">
        <f t="shared" ref="T12:T39" si="5">T11</f>
        <v>100</v>
      </c>
      <c r="U12" s="3">
        <v>1</v>
      </c>
      <c r="V12" s="3">
        <v>1</v>
      </c>
      <c r="W12" s="3">
        <v>1</v>
      </c>
    </row>
    <row r="13" spans="2:23">
      <c r="B13" s="3" t="s">
        <v>316</v>
      </c>
      <c r="C13" s="3">
        <v>4</v>
      </c>
      <c r="D13" s="3">
        <v>1</v>
      </c>
      <c r="E13" s="3" cm="1">
        <f t="array" ref="E13">E$10+INDEX(E$4:E$6,MATCH(1,($B$4:$B$6=$B13)*($D$4:$D$6=$D13),0))*($C13-1)</f>
        <v>4</v>
      </c>
      <c r="F13" s="3" cm="1">
        <f t="array" ref="F13">F$10+INDEX(F$4:F$6,MATCH(1,($B$4:$B$6=$B13)*($D$4:$D$6=$D13),0))*($C13-1)</f>
        <v>4</v>
      </c>
      <c r="G13" s="3" cm="1">
        <f t="array" ref="G13">G$10+INDEX(G$4:G$6,MATCH(1,($B$4:$B$6=$B13)*($D$4:$D$6=$D13),0))*($C13-1)</f>
        <v>4</v>
      </c>
      <c r="H13" s="3" cm="1">
        <f t="array" ref="H13">H$10+INDEX(H$4:H$6,MATCH(1,($B$4:$B$6=$B13)*($D$4:$D$6=$D13),0))*($C13-1)</f>
        <v>4</v>
      </c>
      <c r="I13" s="3" cm="1">
        <f t="array" ref="I13">$I$10+(E13-1)*(属性总览!$H$4+INDEX($I$4:$I$6,MATCH(1,($B$4:$B$6=$B13)*($D$4:$D$6=$D13),0)))</f>
        <v>35</v>
      </c>
      <c r="J13" s="3" cm="1">
        <f t="array" ref="J13">$J$10+(F13-1)*(属性总览!$H$5+INDEX($K$4:$K$6,MATCH(1,($B$4:$B$6=$B13)*($D$4:$D$6=$D13),0)))</f>
        <v>70</v>
      </c>
      <c r="K13" s="3" cm="1">
        <f t="array" ref="K13">$K$10+(H13-1)*(属性总览!$H$7+INDEX($O$4:$O$6,MATCH(1,($B$4:$B$6=$B13)*($D$4:$D$6=$D13),0)))</f>
        <v>260</v>
      </c>
      <c r="L13" s="3" cm="1">
        <f t="array" ref="L13">$L$10+(F13-1)*(属性总览!$I$5+INDEX($L$4:$L$6,MATCH(1,($B$4:$B$6=$B13)*($D$4:$D$6=$D13),0)))</f>
        <v>160</v>
      </c>
      <c r="M13" s="3" cm="1">
        <f t="array" ref="M13">ROUND(MIN($M$10+(G13-1)*(属性总览!$H$6+INDEX($M$4:$M$6,MATCH(1,($B$4:$B$6=$B13)*($D$4:$D$6=$D13),0))),100),0)</f>
        <v>80</v>
      </c>
      <c r="N13" s="3" cm="1">
        <f t="array" ref="N13">ROUND(MIN($N$10+(G13-1)*(属性总览!$I$6+INDEX($N$4:$N$6,MATCH(1,($B$4:$B$6=$B13)*($D$4:$D$6=$D13),0))),30),0)</f>
        <v>10</v>
      </c>
      <c r="O13" s="3" cm="1">
        <f t="array" ref="O13">$O$10+(H13-1)*(属性总览!$H$5+INDEX($O$4:$O$7,MATCH(1,($B$4:$B$6=$B13)*($D$4:$D$6=$D13),0)))</f>
        <v>30</v>
      </c>
      <c r="P13" s="3">
        <f t="shared" si="1"/>
        <v>20</v>
      </c>
      <c r="Q13" s="3">
        <f t="shared" si="2"/>
        <v>20</v>
      </c>
      <c r="R13" s="3">
        <f t="shared" si="3"/>
        <v>150</v>
      </c>
      <c r="S13" s="3">
        <f t="shared" si="4"/>
        <v>100</v>
      </c>
      <c r="T13" s="3">
        <f t="shared" si="5"/>
        <v>100</v>
      </c>
      <c r="U13" s="3">
        <v>1</v>
      </c>
      <c r="V13" s="3">
        <v>1</v>
      </c>
      <c r="W13" s="3">
        <v>1</v>
      </c>
    </row>
    <row r="14" spans="2:23">
      <c r="B14" s="3" t="s">
        <v>316</v>
      </c>
      <c r="C14" s="3">
        <v>5</v>
      </c>
      <c r="D14" s="3">
        <v>1</v>
      </c>
      <c r="E14" s="3" cm="1">
        <f t="array" ref="E14">E$10+INDEX(E$4:E$6,MATCH(1,($B$4:$B$6=$B14)*($D$4:$D$6=$D14),0))*($C14-1)</f>
        <v>5</v>
      </c>
      <c r="F14" s="3" cm="1">
        <f t="array" ref="F14">F$10+INDEX(F$4:F$6,MATCH(1,($B$4:$B$6=$B14)*($D$4:$D$6=$D14),0))*($C14-1)</f>
        <v>5</v>
      </c>
      <c r="G14" s="3" cm="1">
        <f t="array" ref="G14">G$10+INDEX(G$4:G$6,MATCH(1,($B$4:$B$6=$B14)*($D$4:$D$6=$D14),0))*($C14-1)</f>
        <v>5</v>
      </c>
      <c r="H14" s="3" cm="1">
        <f t="array" ref="H14">H$10+INDEX(H$4:H$6,MATCH(1,($B$4:$B$6=$B14)*($D$4:$D$6=$D14),0))*($C14-1)</f>
        <v>5</v>
      </c>
      <c r="I14" s="3" cm="1">
        <f t="array" ref="I14">$I$10+(E14-1)*(属性总览!$H$4+INDEX($I$4:$I$6,MATCH(1,($B$4:$B$6=$B14)*($D$4:$D$6=$D14),0)))</f>
        <v>40</v>
      </c>
      <c r="J14" s="3" cm="1">
        <f t="array" ref="J14">$J$10+(F14-1)*(属性总览!$H$5+INDEX($K$4:$K$6,MATCH(1,($B$4:$B$6=$B14)*($D$4:$D$6=$D14),0)))</f>
        <v>80</v>
      </c>
      <c r="K14" s="3" cm="1">
        <f t="array" ref="K14">$K$10+(H14-1)*(属性总览!$H$7+INDEX($O$4:$O$6,MATCH(1,($B$4:$B$6=$B14)*($D$4:$D$6=$D14),0)))</f>
        <v>280</v>
      </c>
      <c r="L14" s="3" cm="1">
        <f t="array" ref="L14">$L$10+(F14-1)*(属性总览!$I$5+INDEX($L$4:$L$6,MATCH(1,($B$4:$B$6=$B14)*($D$4:$D$6=$D14),0)))</f>
        <v>180</v>
      </c>
      <c r="M14" s="3" cm="1">
        <f t="array" ref="M14">ROUND(MIN($M$10+(G14-1)*(属性总览!$H$6+INDEX($M$4:$M$6,MATCH(1,($B$4:$B$6=$B14)*($D$4:$D$6=$D14),0))),100),0)</f>
        <v>80</v>
      </c>
      <c r="N14" s="3" cm="1">
        <f t="array" ref="N14">ROUND(MIN($N$10+(G14-1)*(属性总览!$I$6+INDEX($N$4:$N$6,MATCH(1,($B$4:$B$6=$B14)*($D$4:$D$6=$D14),0))),30),0)</f>
        <v>10</v>
      </c>
      <c r="O14" s="3" cm="1">
        <f t="array" ref="O14">$O$10+(H14-1)*(属性总览!$H$5+INDEX($O$4:$O$7,MATCH(1,($B$4:$B$6=$B14)*($D$4:$D$6=$D14),0)))</f>
        <v>40</v>
      </c>
      <c r="P14" s="3">
        <f t="shared" si="1"/>
        <v>20</v>
      </c>
      <c r="Q14" s="3">
        <f t="shared" si="2"/>
        <v>20</v>
      </c>
      <c r="R14" s="3">
        <f t="shared" si="3"/>
        <v>150</v>
      </c>
      <c r="S14" s="3">
        <f t="shared" si="4"/>
        <v>100</v>
      </c>
      <c r="T14" s="3">
        <f t="shared" si="5"/>
        <v>100</v>
      </c>
      <c r="U14" s="3">
        <v>1</v>
      </c>
      <c r="V14" s="3">
        <v>1</v>
      </c>
      <c r="W14" s="3">
        <v>1</v>
      </c>
    </row>
    <row r="15" spans="2:23">
      <c r="B15" s="3" t="s">
        <v>316</v>
      </c>
      <c r="C15" s="3">
        <v>6</v>
      </c>
      <c r="D15" s="3">
        <v>1</v>
      </c>
      <c r="E15" s="3" cm="1">
        <f t="array" ref="E15">E$10+INDEX(E$4:E$6,MATCH(1,($B$4:$B$6=$B15)*($D$4:$D$6=$D15),0))*($C15-1)</f>
        <v>6</v>
      </c>
      <c r="F15" s="3" cm="1">
        <f t="array" ref="F15">F$10+INDEX(F$4:F$6,MATCH(1,($B$4:$B$6=$B15)*($D$4:$D$6=$D15),0))*($C15-1)</f>
        <v>6</v>
      </c>
      <c r="G15" s="3" cm="1">
        <f t="array" ref="G15">G$10+INDEX(G$4:G$6,MATCH(1,($B$4:$B$6=$B15)*($D$4:$D$6=$D15),0))*($C15-1)</f>
        <v>6</v>
      </c>
      <c r="H15" s="3" cm="1">
        <f t="array" ref="H15">H$10+INDEX(H$4:H$6,MATCH(1,($B$4:$B$6=$B15)*($D$4:$D$6=$D15),0))*($C15-1)</f>
        <v>6</v>
      </c>
      <c r="I15" s="3" cm="1">
        <f t="array" ref="I15">$I$10+(E15-1)*(属性总览!$H$4+INDEX($I$4:$I$6,MATCH(1,($B$4:$B$6=$B15)*($D$4:$D$6=$D15),0)))</f>
        <v>45</v>
      </c>
      <c r="J15" s="3" cm="1">
        <f t="array" ref="J15">$J$10+(F15-1)*(属性总览!$H$5+INDEX($K$4:$K$6,MATCH(1,($B$4:$B$6=$B15)*($D$4:$D$6=$D15),0)))</f>
        <v>90</v>
      </c>
      <c r="K15" s="3" cm="1">
        <f t="array" ref="K15">$K$10+(H15-1)*(属性总览!$H$7+INDEX($O$4:$O$6,MATCH(1,($B$4:$B$6=$B15)*($D$4:$D$6=$D15),0)))</f>
        <v>300</v>
      </c>
      <c r="L15" s="3" cm="1">
        <f t="array" ref="L15">$L$10+(F15-1)*(属性总览!$I$5+INDEX($L$4:$L$6,MATCH(1,($B$4:$B$6=$B15)*($D$4:$D$6=$D15),0)))</f>
        <v>200</v>
      </c>
      <c r="M15" s="3" cm="1">
        <f t="array" ref="M15">ROUND(MIN($M$10+(G15-1)*(属性总览!$H$6+INDEX($M$4:$M$6,MATCH(1,($B$4:$B$6=$B15)*($D$4:$D$6=$D15),0))),100),0)</f>
        <v>80</v>
      </c>
      <c r="N15" s="3" cm="1">
        <f t="array" ref="N15">ROUND(MIN($N$10+(G15-1)*(属性总览!$I$6+INDEX($N$4:$N$6,MATCH(1,($B$4:$B$6=$B15)*($D$4:$D$6=$D15),0))),30),0)</f>
        <v>10</v>
      </c>
      <c r="O15" s="3" cm="1">
        <f t="array" ref="O15">$O$10+(H15-1)*(属性总览!$H$5+INDEX($O$4:$O$7,MATCH(1,($B$4:$B$6=$B15)*($D$4:$D$6=$D15),0)))</f>
        <v>50</v>
      </c>
      <c r="P15" s="3">
        <f t="shared" ref="P15:P39" si="6">P14</f>
        <v>20</v>
      </c>
      <c r="Q15" s="3">
        <f t="shared" ref="Q15:Q39" si="7">Q14</f>
        <v>20</v>
      </c>
      <c r="R15" s="3">
        <f t="shared" ref="R15:R39" si="8">R14</f>
        <v>150</v>
      </c>
      <c r="S15" s="3">
        <f t="shared" ref="S15:S39" si="9">S14</f>
        <v>100</v>
      </c>
      <c r="T15" s="3">
        <f t="shared" si="5"/>
        <v>100</v>
      </c>
      <c r="U15" s="3">
        <v>1</v>
      </c>
      <c r="V15" s="3">
        <v>1</v>
      </c>
      <c r="W15" s="3">
        <v>1</v>
      </c>
    </row>
    <row r="16" spans="2:23">
      <c r="B16" s="3" t="s">
        <v>316</v>
      </c>
      <c r="C16" s="3">
        <v>7</v>
      </c>
      <c r="D16" s="3">
        <v>1</v>
      </c>
      <c r="E16" s="3" cm="1">
        <f t="array" ref="E16">E$10+INDEX(E$4:E$6,MATCH(1,($B$4:$B$6=$B16)*($D$4:$D$6=$D16),0))*($C16-1)</f>
        <v>7</v>
      </c>
      <c r="F16" s="3" cm="1">
        <f t="array" ref="F16">F$10+INDEX(F$4:F$6,MATCH(1,($B$4:$B$6=$B16)*($D$4:$D$6=$D16),0))*($C16-1)</f>
        <v>7</v>
      </c>
      <c r="G16" s="3" cm="1">
        <f t="array" ref="G16">G$10+INDEX(G$4:G$6,MATCH(1,($B$4:$B$6=$B16)*($D$4:$D$6=$D16),0))*($C16-1)</f>
        <v>7</v>
      </c>
      <c r="H16" s="3" cm="1">
        <f t="array" ref="H16">H$10+INDEX(H$4:H$6,MATCH(1,($B$4:$B$6=$B16)*($D$4:$D$6=$D16),0))*($C16-1)</f>
        <v>7</v>
      </c>
      <c r="I16" s="3" cm="1">
        <f t="array" ref="I16">$I$10+(E16-1)*(属性总览!$H$4+INDEX($I$4:$I$6,MATCH(1,($B$4:$B$6=$B16)*($D$4:$D$6=$D16),0)))</f>
        <v>50</v>
      </c>
      <c r="J16" s="3" cm="1">
        <f t="array" ref="J16">$J$10+(F16-1)*(属性总览!$H$5+INDEX($K$4:$K$6,MATCH(1,($B$4:$B$6=$B16)*($D$4:$D$6=$D16),0)))</f>
        <v>100</v>
      </c>
      <c r="K16" s="3" cm="1">
        <f t="array" ref="K16">$K$10+(H16-1)*(属性总览!$H$7+INDEX($O$4:$O$6,MATCH(1,($B$4:$B$6=$B16)*($D$4:$D$6=$D16),0)))</f>
        <v>320</v>
      </c>
      <c r="L16" s="3" cm="1">
        <f t="array" ref="L16">$L$10+(F16-1)*(属性总览!$I$5+INDEX($L$4:$L$6,MATCH(1,($B$4:$B$6=$B16)*($D$4:$D$6=$D16),0)))</f>
        <v>220</v>
      </c>
      <c r="M16" s="3" cm="1">
        <f t="array" ref="M16">ROUND(MIN($M$10+(G16-1)*(属性总览!$H$6+INDEX($M$4:$M$6,MATCH(1,($B$4:$B$6=$B16)*($D$4:$D$6=$D16),0))),100),0)</f>
        <v>80</v>
      </c>
      <c r="N16" s="3" cm="1">
        <f t="array" ref="N16">ROUND(MIN($N$10+(G16-1)*(属性总览!$I$6+INDEX($N$4:$N$6,MATCH(1,($B$4:$B$6=$B16)*($D$4:$D$6=$D16),0))),30),0)</f>
        <v>10</v>
      </c>
      <c r="O16" s="3" cm="1">
        <f t="array" ref="O16">$O$10+(H16-1)*(属性总览!$H$5+INDEX($O$4:$O$7,MATCH(1,($B$4:$B$6=$B16)*($D$4:$D$6=$D16),0)))</f>
        <v>60</v>
      </c>
      <c r="P16" s="3">
        <f t="shared" si="6"/>
        <v>20</v>
      </c>
      <c r="Q16" s="3">
        <f t="shared" si="7"/>
        <v>20</v>
      </c>
      <c r="R16" s="3">
        <f t="shared" si="8"/>
        <v>150</v>
      </c>
      <c r="S16" s="3">
        <f t="shared" si="9"/>
        <v>100</v>
      </c>
      <c r="T16" s="3">
        <f t="shared" si="5"/>
        <v>100</v>
      </c>
      <c r="U16" s="3">
        <v>1</v>
      </c>
      <c r="V16" s="3">
        <v>1</v>
      </c>
      <c r="W16" s="3">
        <v>1</v>
      </c>
    </row>
    <row r="17" spans="2:23">
      <c r="B17" s="3" t="s">
        <v>316</v>
      </c>
      <c r="C17" s="3">
        <v>8</v>
      </c>
      <c r="D17" s="3">
        <v>1</v>
      </c>
      <c r="E17" s="3" cm="1">
        <f t="array" ref="E17">E$10+INDEX(E$4:E$6,MATCH(1,($B$4:$B$6=$B17)*($D$4:$D$6=$D17),0))*($C17-1)</f>
        <v>8</v>
      </c>
      <c r="F17" s="3" cm="1">
        <f t="array" ref="F17">F$10+INDEX(F$4:F$6,MATCH(1,($B$4:$B$6=$B17)*($D$4:$D$6=$D17),0))*($C17-1)</f>
        <v>8</v>
      </c>
      <c r="G17" s="3" cm="1">
        <f t="array" ref="G17">G$10+INDEX(G$4:G$6,MATCH(1,($B$4:$B$6=$B17)*($D$4:$D$6=$D17),0))*($C17-1)</f>
        <v>8</v>
      </c>
      <c r="H17" s="3" cm="1">
        <f t="array" ref="H17">H$10+INDEX(H$4:H$6,MATCH(1,($B$4:$B$6=$B17)*($D$4:$D$6=$D17),0))*($C17-1)</f>
        <v>8</v>
      </c>
      <c r="I17" s="3" cm="1">
        <f t="array" ref="I17">$I$10+(E17-1)*(属性总览!$H$4+INDEX($I$4:$I$6,MATCH(1,($B$4:$B$6=$B17)*($D$4:$D$6=$D17),0)))</f>
        <v>55</v>
      </c>
      <c r="J17" s="3" cm="1">
        <f t="array" ref="J17">$J$10+(F17-1)*(属性总览!$H$5+INDEX($K$4:$K$6,MATCH(1,($B$4:$B$6=$B17)*($D$4:$D$6=$D17),0)))</f>
        <v>110</v>
      </c>
      <c r="K17" s="3" cm="1">
        <f t="array" ref="K17">$K$10+(H17-1)*(属性总览!$H$7+INDEX($O$4:$O$6,MATCH(1,($B$4:$B$6=$B17)*($D$4:$D$6=$D17),0)))</f>
        <v>340</v>
      </c>
      <c r="L17" s="3" cm="1">
        <f t="array" ref="L17">$L$10+(F17-1)*(属性总览!$I$5+INDEX($L$4:$L$6,MATCH(1,($B$4:$B$6=$B17)*($D$4:$D$6=$D17),0)))</f>
        <v>240</v>
      </c>
      <c r="M17" s="3" cm="1">
        <f t="array" ref="M17">ROUND(MIN($M$10+(G17-1)*(属性总览!$H$6+INDEX($M$4:$M$6,MATCH(1,($B$4:$B$6=$B17)*($D$4:$D$6=$D17),0))),100),0)</f>
        <v>80</v>
      </c>
      <c r="N17" s="3" cm="1">
        <f t="array" ref="N17">ROUND(MIN($N$10+(G17-1)*(属性总览!$I$6+INDEX($N$4:$N$6,MATCH(1,($B$4:$B$6=$B17)*($D$4:$D$6=$D17),0))),30),0)</f>
        <v>10</v>
      </c>
      <c r="O17" s="3" cm="1">
        <f t="array" ref="O17">$O$10+(H17-1)*(属性总览!$H$5+INDEX($O$4:$O$7,MATCH(1,($B$4:$B$6=$B17)*($D$4:$D$6=$D17),0)))</f>
        <v>70</v>
      </c>
      <c r="P17" s="3">
        <f t="shared" si="6"/>
        <v>20</v>
      </c>
      <c r="Q17" s="3">
        <f t="shared" si="7"/>
        <v>20</v>
      </c>
      <c r="R17" s="3">
        <f t="shared" si="8"/>
        <v>150</v>
      </c>
      <c r="S17" s="3">
        <f t="shared" si="9"/>
        <v>100</v>
      </c>
      <c r="T17" s="3">
        <f t="shared" si="5"/>
        <v>100</v>
      </c>
      <c r="U17" s="3">
        <v>1</v>
      </c>
      <c r="V17" s="3">
        <v>1</v>
      </c>
      <c r="W17" s="3">
        <v>1</v>
      </c>
    </row>
    <row r="18" spans="2:23">
      <c r="B18" s="3" t="s">
        <v>316</v>
      </c>
      <c r="C18" s="3">
        <v>9</v>
      </c>
      <c r="D18" s="3">
        <v>1</v>
      </c>
      <c r="E18" s="3" cm="1">
        <f t="array" ref="E18">E$10+INDEX(E$4:E$6,MATCH(1,($B$4:$B$6=$B18)*($D$4:$D$6=$D18),0))*($C18-1)</f>
        <v>9</v>
      </c>
      <c r="F18" s="3" cm="1">
        <f t="array" ref="F18">F$10+INDEX(F$4:F$6,MATCH(1,($B$4:$B$6=$B18)*($D$4:$D$6=$D18),0))*($C18-1)</f>
        <v>9</v>
      </c>
      <c r="G18" s="3" cm="1">
        <f t="array" ref="G18">G$10+INDEX(G$4:G$6,MATCH(1,($B$4:$B$6=$B18)*($D$4:$D$6=$D18),0))*($C18-1)</f>
        <v>9</v>
      </c>
      <c r="H18" s="3" cm="1">
        <f t="array" ref="H18">H$10+INDEX(H$4:H$6,MATCH(1,($B$4:$B$6=$B18)*($D$4:$D$6=$D18),0))*($C18-1)</f>
        <v>9</v>
      </c>
      <c r="I18" s="3" cm="1">
        <f t="array" ref="I18">$I$10+(E18-1)*(属性总览!$H$4+INDEX($I$4:$I$6,MATCH(1,($B$4:$B$6=$B18)*($D$4:$D$6=$D18),0)))</f>
        <v>60</v>
      </c>
      <c r="J18" s="3" cm="1">
        <f t="array" ref="J18">$J$10+(F18-1)*(属性总览!$H$5+INDEX($K$4:$K$6,MATCH(1,($B$4:$B$6=$B18)*($D$4:$D$6=$D18),0)))</f>
        <v>120</v>
      </c>
      <c r="K18" s="3" cm="1">
        <f t="array" ref="K18">$K$10+(H18-1)*(属性总览!$H$7+INDEX($O$4:$O$6,MATCH(1,($B$4:$B$6=$B18)*($D$4:$D$6=$D18),0)))</f>
        <v>360</v>
      </c>
      <c r="L18" s="3" cm="1">
        <f t="array" ref="L18">$L$10+(F18-1)*(属性总览!$I$5+INDEX($L$4:$L$6,MATCH(1,($B$4:$B$6=$B18)*($D$4:$D$6=$D18),0)))</f>
        <v>260</v>
      </c>
      <c r="M18" s="3" cm="1">
        <f t="array" ref="M18">ROUND(MIN($M$10+(G18-1)*(属性总览!$H$6+INDEX($M$4:$M$6,MATCH(1,($B$4:$B$6=$B18)*($D$4:$D$6=$D18),0))),100),0)</f>
        <v>80</v>
      </c>
      <c r="N18" s="3" cm="1">
        <f t="array" ref="N18">ROUND(MIN($N$10+(G18-1)*(属性总览!$I$6+INDEX($N$4:$N$6,MATCH(1,($B$4:$B$6=$B18)*($D$4:$D$6=$D18),0))),30),0)</f>
        <v>10</v>
      </c>
      <c r="O18" s="3" cm="1">
        <f t="array" ref="O18">$O$10+(H18-1)*(属性总览!$H$5+INDEX($O$4:$O$7,MATCH(1,($B$4:$B$6=$B18)*($D$4:$D$6=$D18),0)))</f>
        <v>80</v>
      </c>
      <c r="P18" s="3">
        <f t="shared" si="6"/>
        <v>20</v>
      </c>
      <c r="Q18" s="3">
        <f t="shared" si="7"/>
        <v>20</v>
      </c>
      <c r="R18" s="3">
        <f t="shared" si="8"/>
        <v>150</v>
      </c>
      <c r="S18" s="3">
        <f t="shared" si="9"/>
        <v>100</v>
      </c>
      <c r="T18" s="3">
        <f t="shared" si="5"/>
        <v>100</v>
      </c>
      <c r="U18" s="3">
        <v>1</v>
      </c>
      <c r="V18" s="3">
        <v>1</v>
      </c>
      <c r="W18" s="3">
        <v>1</v>
      </c>
    </row>
    <row r="19" spans="2:23">
      <c r="B19" s="3" t="s">
        <v>316</v>
      </c>
      <c r="C19" s="3">
        <v>10</v>
      </c>
      <c r="D19" s="3">
        <v>1</v>
      </c>
      <c r="E19" s="3" cm="1">
        <f t="array" ref="E19">E$10+INDEX(E$4:E$6,MATCH(1,($B$4:$B$6=$B19)*($D$4:$D$6=$D19),0))*($C19-1)</f>
        <v>10</v>
      </c>
      <c r="F19" s="3" cm="1">
        <f t="array" ref="F19">F$10+INDEX(F$4:F$6,MATCH(1,($B$4:$B$6=$B19)*($D$4:$D$6=$D19),0))*($C19-1)</f>
        <v>10</v>
      </c>
      <c r="G19" s="3" cm="1">
        <f t="array" ref="G19">G$10+INDEX(G$4:G$6,MATCH(1,($B$4:$B$6=$B19)*($D$4:$D$6=$D19),0))*($C19-1)</f>
        <v>10</v>
      </c>
      <c r="H19" s="3" cm="1">
        <f t="array" ref="H19">H$10+INDEX(H$4:H$6,MATCH(1,($B$4:$B$6=$B19)*($D$4:$D$6=$D19),0))*($C19-1)</f>
        <v>10</v>
      </c>
      <c r="I19" s="3" cm="1">
        <f t="array" ref="I19">$I$10+(E19-1)*(属性总览!$H$4+INDEX($I$4:$I$6,MATCH(1,($B$4:$B$6=$B19)*($D$4:$D$6=$D19),0)))</f>
        <v>65</v>
      </c>
      <c r="J19" s="3" cm="1">
        <f t="array" ref="J19">$J$10+(F19-1)*(属性总览!$H$5+INDEX($K$4:$K$6,MATCH(1,($B$4:$B$6=$B19)*($D$4:$D$6=$D19),0)))</f>
        <v>130</v>
      </c>
      <c r="K19" s="3" cm="1">
        <f t="array" ref="K19">$K$10+(H19-1)*(属性总览!$H$7+INDEX($O$4:$O$6,MATCH(1,($B$4:$B$6=$B19)*($D$4:$D$6=$D19),0)))</f>
        <v>380</v>
      </c>
      <c r="L19" s="3" cm="1">
        <f t="array" ref="L19">$L$10+(F19-1)*(属性总览!$I$5+INDEX($L$4:$L$6,MATCH(1,($B$4:$B$6=$B19)*($D$4:$D$6=$D19),0)))</f>
        <v>280</v>
      </c>
      <c r="M19" s="3" cm="1">
        <f t="array" ref="M19">ROUND(MIN($M$10+(G19-1)*(属性总览!$H$6+INDEX($M$4:$M$6,MATCH(1,($B$4:$B$6=$B19)*($D$4:$D$6=$D19),0))),100),0)</f>
        <v>80</v>
      </c>
      <c r="N19" s="3" cm="1">
        <f t="array" ref="N19">ROUND(MIN($N$10+(G19-1)*(属性总览!$I$6+INDEX($N$4:$N$6,MATCH(1,($B$4:$B$6=$B19)*($D$4:$D$6=$D19),0))),30),0)</f>
        <v>10</v>
      </c>
      <c r="O19" s="3" cm="1">
        <f t="array" ref="O19">$O$10+(H19-1)*(属性总览!$H$5+INDEX($O$4:$O$7,MATCH(1,($B$4:$B$6=$B19)*($D$4:$D$6=$D19),0)))</f>
        <v>90</v>
      </c>
      <c r="P19" s="3">
        <f t="shared" si="6"/>
        <v>20</v>
      </c>
      <c r="Q19" s="3">
        <f t="shared" si="7"/>
        <v>20</v>
      </c>
      <c r="R19" s="3">
        <f t="shared" si="8"/>
        <v>150</v>
      </c>
      <c r="S19" s="3">
        <f t="shared" si="9"/>
        <v>100</v>
      </c>
      <c r="T19" s="3">
        <f t="shared" si="5"/>
        <v>100</v>
      </c>
      <c r="U19" s="3">
        <v>1</v>
      </c>
      <c r="V19" s="3">
        <v>1</v>
      </c>
      <c r="W19" s="3">
        <v>1</v>
      </c>
    </row>
    <row r="20" spans="2:23">
      <c r="B20" s="3" t="s">
        <v>316</v>
      </c>
      <c r="C20" s="3">
        <v>11</v>
      </c>
      <c r="D20" s="3">
        <v>2</v>
      </c>
      <c r="E20" s="3" cm="1">
        <f t="array" ref="E20">E$10+INDEX(E$4:E$6,MATCH(1,($B$4:$B$6=$B20)*($D$4:$D$6=$D20),0))*($C20-1)</f>
        <v>11</v>
      </c>
      <c r="F20" s="3" cm="1">
        <f t="array" ref="F20">F$10+INDEX(F$4:F$6,MATCH(1,($B$4:$B$6=$B20)*($D$4:$D$6=$D20),0))*($C20-1)</f>
        <v>11</v>
      </c>
      <c r="G20" s="3" cm="1">
        <f t="array" ref="G20">G$10+INDEX(G$4:G$6,MATCH(1,($B$4:$B$6=$B20)*($D$4:$D$6=$D20),0))*($C20-1)</f>
        <v>11</v>
      </c>
      <c r="H20" s="3" cm="1">
        <f t="array" ref="H20">H$10+INDEX(H$4:H$6,MATCH(1,($B$4:$B$6=$B20)*($D$4:$D$6=$D20),0))*($C20-1)</f>
        <v>11</v>
      </c>
      <c r="I20" s="3" cm="1">
        <f t="array" ref="I20">$I$10+(E20-1)*(属性总览!$H$4+INDEX($I$4:$I$6,MATCH(1,($B$4:$B$6=$B20)*($D$4:$D$6=$D20),0)))</f>
        <v>80</v>
      </c>
      <c r="J20" s="3" cm="1">
        <f t="array" ref="J20">$J$10+(F20-1)*(属性总览!$H$5+INDEX($K$4:$K$6,MATCH(1,($B$4:$B$6=$B20)*($D$4:$D$6=$D20),0)))</f>
        <v>150</v>
      </c>
      <c r="K20" s="3" cm="1">
        <f t="array" ref="K20">$K$10+(H20-1)*(属性总览!$H$7+INDEX($O$4:$O$6,MATCH(1,($B$4:$B$6=$B20)*($D$4:$D$6=$D20),0)))</f>
        <v>410</v>
      </c>
      <c r="L20" s="3" cm="1">
        <f t="array" ref="L20">$L$10+(F20-1)*(属性总览!$I$5+INDEX($L$4:$L$6,MATCH(1,($B$4:$B$6=$B20)*($D$4:$D$6=$D20),0)))</f>
        <v>310</v>
      </c>
      <c r="M20" s="3" cm="1">
        <f t="array" ref="M20">ROUND(MIN($M$10+(G20-1)*(属性总览!$H$6+INDEX($M$4:$M$6,MATCH(1,($B$4:$B$6=$B20)*($D$4:$D$6=$D20),0))),100),0)</f>
        <v>82</v>
      </c>
      <c r="N20" s="3" cm="1">
        <f t="array" ref="N20">ROUND(MIN($N$10+(G20-1)*(属性总览!$I$6+INDEX($N$4:$N$6,MATCH(1,($B$4:$B$6=$B20)*($D$4:$D$6=$D20),0))),30),0)</f>
        <v>12</v>
      </c>
      <c r="O20" s="3" cm="1">
        <f t="array" ref="O20">$O$10+(H20-1)*(属性总览!$H$5+INDEX($O$4:$O$7,MATCH(1,($B$4:$B$6=$B20)*($D$4:$D$6=$D20),0)))</f>
        <v>110</v>
      </c>
      <c r="P20" s="3">
        <f t="shared" si="6"/>
        <v>20</v>
      </c>
      <c r="Q20" s="3">
        <f t="shared" si="7"/>
        <v>20</v>
      </c>
      <c r="R20" s="3">
        <f t="shared" si="8"/>
        <v>150</v>
      </c>
      <c r="S20" s="3">
        <f t="shared" si="9"/>
        <v>100</v>
      </c>
      <c r="T20" s="3">
        <f t="shared" si="5"/>
        <v>100</v>
      </c>
      <c r="U20" s="3">
        <v>1</v>
      </c>
      <c r="V20" s="3">
        <v>1</v>
      </c>
      <c r="W20" s="3">
        <v>1</v>
      </c>
    </row>
    <row r="21" spans="2:23">
      <c r="B21" s="3" t="s">
        <v>316</v>
      </c>
      <c r="C21" s="3">
        <v>12</v>
      </c>
      <c r="D21" s="3">
        <v>2</v>
      </c>
      <c r="E21" s="3" cm="1">
        <f t="array" ref="E21">E$10+INDEX(E$4:E$6,MATCH(1,($B$4:$B$6=$B21)*($D$4:$D$6=$D21),0))*($C21-1)</f>
        <v>12</v>
      </c>
      <c r="F21" s="3" cm="1">
        <f t="array" ref="F21">F$10+INDEX(F$4:F$6,MATCH(1,($B$4:$B$6=$B21)*($D$4:$D$6=$D21),0))*($C21-1)</f>
        <v>12</v>
      </c>
      <c r="G21" s="3" cm="1">
        <f t="array" ref="G21">G$10+INDEX(G$4:G$6,MATCH(1,($B$4:$B$6=$B21)*($D$4:$D$6=$D21),0))*($C21-1)</f>
        <v>12</v>
      </c>
      <c r="H21" s="3" cm="1">
        <f t="array" ref="H21">H$10+INDEX(H$4:H$6,MATCH(1,($B$4:$B$6=$B21)*($D$4:$D$6=$D21),0))*($C21-1)</f>
        <v>12</v>
      </c>
      <c r="I21" s="3" cm="1">
        <f t="array" ref="I21">$I$10+(E21-1)*(属性总览!$H$4+INDEX($I$4:$I$6,MATCH(1,($B$4:$B$6=$B21)*($D$4:$D$6=$D21),0)))</f>
        <v>86</v>
      </c>
      <c r="J21" s="3" cm="1">
        <f t="array" ref="J21">$J$10+(F21-1)*(属性总览!$H$5+INDEX($K$4:$K$6,MATCH(1,($B$4:$B$6=$B21)*($D$4:$D$6=$D21),0)))</f>
        <v>161</v>
      </c>
      <c r="K21" s="3" cm="1">
        <f t="array" ref="K21">$K$10+(H21-1)*(属性总览!$H$7+INDEX($O$4:$O$6,MATCH(1,($B$4:$B$6=$B21)*($D$4:$D$6=$D21),0)))</f>
        <v>431</v>
      </c>
      <c r="L21" s="3" cm="1">
        <f t="array" ref="L21">$L$10+(F21-1)*(属性总览!$I$5+INDEX($L$4:$L$6,MATCH(1,($B$4:$B$6=$B21)*($D$4:$D$6=$D21),0)))</f>
        <v>331</v>
      </c>
      <c r="M21" s="3" cm="1">
        <f t="array" ref="M21">ROUND(MIN($M$10+(G21-1)*(属性总览!$H$6+INDEX($M$4:$M$6,MATCH(1,($B$4:$B$6=$B21)*($D$4:$D$6=$D21),0))),100),0)</f>
        <v>82</v>
      </c>
      <c r="N21" s="3" cm="1">
        <f t="array" ref="N21">ROUND(MIN($N$10+(G21-1)*(属性总览!$I$6+INDEX($N$4:$N$6,MATCH(1,($B$4:$B$6=$B21)*($D$4:$D$6=$D21),0))),30),0)</f>
        <v>12</v>
      </c>
      <c r="O21" s="3" cm="1">
        <f t="array" ref="O21">$O$10+(H21-1)*(属性总览!$H$5+INDEX($O$4:$O$7,MATCH(1,($B$4:$B$6=$B21)*($D$4:$D$6=$D21),0)))</f>
        <v>121</v>
      </c>
      <c r="P21" s="3">
        <f t="shared" si="6"/>
        <v>20</v>
      </c>
      <c r="Q21" s="3">
        <f t="shared" si="7"/>
        <v>20</v>
      </c>
      <c r="R21" s="3">
        <f t="shared" si="8"/>
        <v>150</v>
      </c>
      <c r="S21" s="3">
        <f t="shared" si="9"/>
        <v>100</v>
      </c>
      <c r="T21" s="3">
        <f t="shared" si="5"/>
        <v>100</v>
      </c>
      <c r="U21" s="3">
        <v>1</v>
      </c>
      <c r="V21" s="3">
        <v>1</v>
      </c>
      <c r="W21" s="3">
        <v>1</v>
      </c>
    </row>
    <row r="22" spans="2:23">
      <c r="B22" s="3" t="s">
        <v>316</v>
      </c>
      <c r="C22" s="3">
        <v>13</v>
      </c>
      <c r="D22" s="3">
        <v>2</v>
      </c>
      <c r="E22" s="3" cm="1">
        <f t="array" ref="E22">E$10+INDEX(E$4:E$6,MATCH(1,($B$4:$B$6=$B22)*($D$4:$D$6=$D22),0))*($C22-1)</f>
        <v>13</v>
      </c>
      <c r="F22" s="3" cm="1">
        <f t="array" ref="F22">F$10+INDEX(F$4:F$6,MATCH(1,($B$4:$B$6=$B22)*($D$4:$D$6=$D22),0))*($C22-1)</f>
        <v>13</v>
      </c>
      <c r="G22" s="3" cm="1">
        <f t="array" ref="G22">G$10+INDEX(G$4:G$6,MATCH(1,($B$4:$B$6=$B22)*($D$4:$D$6=$D22),0))*($C22-1)</f>
        <v>13</v>
      </c>
      <c r="H22" s="3" cm="1">
        <f t="array" ref="H22">H$10+INDEX(H$4:H$6,MATCH(1,($B$4:$B$6=$B22)*($D$4:$D$6=$D22),0))*($C22-1)</f>
        <v>13</v>
      </c>
      <c r="I22" s="3" cm="1">
        <f t="array" ref="I22">$I$10+(E22-1)*(属性总览!$H$4+INDEX($I$4:$I$6,MATCH(1,($B$4:$B$6=$B22)*($D$4:$D$6=$D22),0)))</f>
        <v>92</v>
      </c>
      <c r="J22" s="3" cm="1">
        <f t="array" ref="J22">$J$10+(F22-1)*(属性总览!$H$5+INDEX($K$4:$K$6,MATCH(1,($B$4:$B$6=$B22)*($D$4:$D$6=$D22),0)))</f>
        <v>172</v>
      </c>
      <c r="K22" s="3" cm="1">
        <f t="array" ref="K22">$K$10+(H22-1)*(属性总览!$H$7+INDEX($O$4:$O$6,MATCH(1,($B$4:$B$6=$B22)*($D$4:$D$6=$D22),0)))</f>
        <v>452</v>
      </c>
      <c r="L22" s="3" cm="1">
        <f t="array" ref="L22">$L$10+(F22-1)*(属性总览!$I$5+INDEX($L$4:$L$6,MATCH(1,($B$4:$B$6=$B22)*($D$4:$D$6=$D22),0)))</f>
        <v>352</v>
      </c>
      <c r="M22" s="3" cm="1">
        <f t="array" ref="M22">ROUND(MIN($M$10+(G22-1)*(属性总览!$H$6+INDEX($M$4:$M$6,MATCH(1,($B$4:$B$6=$B22)*($D$4:$D$6=$D22),0))),100),0)</f>
        <v>82</v>
      </c>
      <c r="N22" s="3" cm="1">
        <f t="array" ref="N22">ROUND(MIN($N$10+(G22-1)*(属性总览!$I$6+INDEX($N$4:$N$6,MATCH(1,($B$4:$B$6=$B22)*($D$4:$D$6=$D22),0))),30),0)</f>
        <v>12</v>
      </c>
      <c r="O22" s="3" cm="1">
        <f t="array" ref="O22">$O$10+(H22-1)*(属性总览!$H$5+INDEX($O$4:$O$7,MATCH(1,($B$4:$B$6=$B22)*($D$4:$D$6=$D22),0)))</f>
        <v>132</v>
      </c>
      <c r="P22" s="3">
        <f t="shared" si="6"/>
        <v>20</v>
      </c>
      <c r="Q22" s="3">
        <f t="shared" si="7"/>
        <v>20</v>
      </c>
      <c r="R22" s="3">
        <f t="shared" si="8"/>
        <v>150</v>
      </c>
      <c r="S22" s="3">
        <f t="shared" si="9"/>
        <v>100</v>
      </c>
      <c r="T22" s="3">
        <f t="shared" si="5"/>
        <v>100</v>
      </c>
      <c r="U22" s="3">
        <v>1</v>
      </c>
      <c r="V22" s="3">
        <v>1</v>
      </c>
      <c r="W22" s="3">
        <v>1</v>
      </c>
    </row>
    <row r="23" spans="2:23">
      <c r="B23" s="3" t="s">
        <v>316</v>
      </c>
      <c r="C23" s="3">
        <v>14</v>
      </c>
      <c r="D23" s="3">
        <v>2</v>
      </c>
      <c r="E23" s="3" cm="1">
        <f t="array" ref="E23">E$10+INDEX(E$4:E$6,MATCH(1,($B$4:$B$6=$B23)*($D$4:$D$6=$D23),0))*($C23-1)</f>
        <v>14</v>
      </c>
      <c r="F23" s="3" cm="1">
        <f t="array" ref="F23">F$10+INDEX(F$4:F$6,MATCH(1,($B$4:$B$6=$B23)*($D$4:$D$6=$D23),0))*($C23-1)</f>
        <v>14</v>
      </c>
      <c r="G23" s="3" cm="1">
        <f t="array" ref="G23">G$10+INDEX(G$4:G$6,MATCH(1,($B$4:$B$6=$B23)*($D$4:$D$6=$D23),0))*($C23-1)</f>
        <v>14</v>
      </c>
      <c r="H23" s="3" cm="1">
        <f t="array" ref="H23">H$10+INDEX(H$4:H$6,MATCH(1,($B$4:$B$6=$B23)*($D$4:$D$6=$D23),0))*($C23-1)</f>
        <v>14</v>
      </c>
      <c r="I23" s="3" cm="1">
        <f t="array" ref="I23">$I$10+(E23-1)*(属性总览!$H$4+INDEX($I$4:$I$6,MATCH(1,($B$4:$B$6=$B23)*($D$4:$D$6=$D23),0)))</f>
        <v>98</v>
      </c>
      <c r="J23" s="3" cm="1">
        <f t="array" ref="J23">$J$10+(F23-1)*(属性总览!$H$5+INDEX($K$4:$K$6,MATCH(1,($B$4:$B$6=$B23)*($D$4:$D$6=$D23),0)))</f>
        <v>183</v>
      </c>
      <c r="K23" s="3" cm="1">
        <f t="array" ref="K23">$K$10+(H23-1)*(属性总览!$H$7+INDEX($O$4:$O$6,MATCH(1,($B$4:$B$6=$B23)*($D$4:$D$6=$D23),0)))</f>
        <v>473</v>
      </c>
      <c r="L23" s="3" cm="1">
        <f t="array" ref="L23">$L$10+(F23-1)*(属性总览!$I$5+INDEX($L$4:$L$6,MATCH(1,($B$4:$B$6=$B23)*($D$4:$D$6=$D23),0)))</f>
        <v>373</v>
      </c>
      <c r="M23" s="3" cm="1">
        <f t="array" ref="M23">ROUND(MIN($M$10+(G23-1)*(属性总览!$H$6+INDEX($M$4:$M$6,MATCH(1,($B$4:$B$6=$B23)*($D$4:$D$6=$D23),0))),100),0)</f>
        <v>82</v>
      </c>
      <c r="N23" s="3" cm="1">
        <f t="array" ref="N23">ROUND(MIN($N$10+(G23-1)*(属性总览!$I$6+INDEX($N$4:$N$6,MATCH(1,($B$4:$B$6=$B23)*($D$4:$D$6=$D23),0))),30),0)</f>
        <v>12</v>
      </c>
      <c r="O23" s="3" cm="1">
        <f t="array" ref="O23">$O$10+(H23-1)*(属性总览!$H$5+INDEX($O$4:$O$7,MATCH(1,($B$4:$B$6=$B23)*($D$4:$D$6=$D23),0)))</f>
        <v>143</v>
      </c>
      <c r="P23" s="3">
        <f t="shared" si="6"/>
        <v>20</v>
      </c>
      <c r="Q23" s="3">
        <f t="shared" si="7"/>
        <v>20</v>
      </c>
      <c r="R23" s="3">
        <f t="shared" si="8"/>
        <v>150</v>
      </c>
      <c r="S23" s="3">
        <f t="shared" si="9"/>
        <v>100</v>
      </c>
      <c r="T23" s="3">
        <f t="shared" si="5"/>
        <v>100</v>
      </c>
      <c r="U23" s="3">
        <v>1</v>
      </c>
      <c r="V23" s="3">
        <v>1</v>
      </c>
      <c r="W23" s="3">
        <v>1</v>
      </c>
    </row>
    <row r="24" spans="2:23">
      <c r="B24" s="3" t="s">
        <v>316</v>
      </c>
      <c r="C24" s="3">
        <v>15</v>
      </c>
      <c r="D24" s="3">
        <v>2</v>
      </c>
      <c r="E24" s="3" cm="1">
        <f t="array" ref="E24">E$10+INDEX(E$4:E$6,MATCH(1,($B$4:$B$6=$B24)*($D$4:$D$6=$D24),0))*($C24-1)</f>
        <v>15</v>
      </c>
      <c r="F24" s="3" cm="1">
        <f t="array" ref="F24">F$10+INDEX(F$4:F$6,MATCH(1,($B$4:$B$6=$B24)*($D$4:$D$6=$D24),0))*($C24-1)</f>
        <v>15</v>
      </c>
      <c r="G24" s="3" cm="1">
        <f t="array" ref="G24">G$10+INDEX(G$4:G$6,MATCH(1,($B$4:$B$6=$B24)*($D$4:$D$6=$D24),0))*($C24-1)</f>
        <v>15</v>
      </c>
      <c r="H24" s="3" cm="1">
        <f t="array" ref="H24">H$10+INDEX(H$4:H$6,MATCH(1,($B$4:$B$6=$B24)*($D$4:$D$6=$D24),0))*($C24-1)</f>
        <v>15</v>
      </c>
      <c r="I24" s="3" cm="1">
        <f t="array" ref="I24">$I$10+(E24-1)*(属性总览!$H$4+INDEX($I$4:$I$6,MATCH(1,($B$4:$B$6=$B24)*($D$4:$D$6=$D24),0)))</f>
        <v>104</v>
      </c>
      <c r="J24" s="3" cm="1">
        <f t="array" ref="J24">$J$10+(F24-1)*(属性总览!$H$5+INDEX($K$4:$K$6,MATCH(1,($B$4:$B$6=$B24)*($D$4:$D$6=$D24),0)))</f>
        <v>194</v>
      </c>
      <c r="K24" s="3" cm="1">
        <f t="array" ref="K24">$K$10+(H24-1)*(属性总览!$H$7+INDEX($O$4:$O$6,MATCH(1,($B$4:$B$6=$B24)*($D$4:$D$6=$D24),0)))</f>
        <v>494</v>
      </c>
      <c r="L24" s="3" cm="1">
        <f t="array" ref="L24">$L$10+(F24-1)*(属性总览!$I$5+INDEX($L$4:$L$6,MATCH(1,($B$4:$B$6=$B24)*($D$4:$D$6=$D24),0)))</f>
        <v>394</v>
      </c>
      <c r="M24" s="3" cm="1">
        <f t="array" ref="M24">ROUND(MIN($M$10+(G24-1)*(属性总览!$H$6+INDEX($M$4:$M$6,MATCH(1,($B$4:$B$6=$B24)*($D$4:$D$6=$D24),0))),100),0)</f>
        <v>82</v>
      </c>
      <c r="N24" s="3" cm="1">
        <f t="array" ref="N24">ROUND(MIN($N$10+(G24-1)*(属性总览!$I$6+INDEX($N$4:$N$6,MATCH(1,($B$4:$B$6=$B24)*($D$4:$D$6=$D24),0))),30),0)</f>
        <v>12</v>
      </c>
      <c r="O24" s="3" cm="1">
        <f t="array" ref="O24">$O$10+(H24-1)*(属性总览!$H$5+INDEX($O$4:$O$7,MATCH(1,($B$4:$B$6=$B24)*($D$4:$D$6=$D24),0)))</f>
        <v>154</v>
      </c>
      <c r="P24" s="3">
        <f t="shared" si="6"/>
        <v>20</v>
      </c>
      <c r="Q24" s="3">
        <f t="shared" si="7"/>
        <v>20</v>
      </c>
      <c r="R24" s="3">
        <f t="shared" si="8"/>
        <v>150</v>
      </c>
      <c r="S24" s="3">
        <f t="shared" si="9"/>
        <v>100</v>
      </c>
      <c r="T24" s="3">
        <f t="shared" si="5"/>
        <v>100</v>
      </c>
      <c r="U24" s="3">
        <v>1</v>
      </c>
      <c r="V24" s="3">
        <v>1</v>
      </c>
      <c r="W24" s="3">
        <v>1</v>
      </c>
    </row>
    <row r="25" spans="2:23">
      <c r="B25" s="3" t="s">
        <v>316</v>
      </c>
      <c r="C25" s="3">
        <v>16</v>
      </c>
      <c r="D25" s="3">
        <v>2</v>
      </c>
      <c r="E25" s="3" cm="1">
        <f t="array" ref="E25">E$10+INDEX(E$4:E$6,MATCH(1,($B$4:$B$6=$B25)*($D$4:$D$6=$D25),0))*($C25-1)</f>
        <v>16</v>
      </c>
      <c r="F25" s="3" cm="1">
        <f t="array" ref="F25">F$10+INDEX(F$4:F$6,MATCH(1,($B$4:$B$6=$B25)*($D$4:$D$6=$D25),0))*($C25-1)</f>
        <v>16</v>
      </c>
      <c r="G25" s="3" cm="1">
        <f t="array" ref="G25">G$10+INDEX(G$4:G$6,MATCH(1,($B$4:$B$6=$B25)*($D$4:$D$6=$D25),0))*($C25-1)</f>
        <v>16</v>
      </c>
      <c r="H25" s="3" cm="1">
        <f t="array" ref="H25">H$10+INDEX(H$4:H$6,MATCH(1,($B$4:$B$6=$B25)*($D$4:$D$6=$D25),0))*($C25-1)</f>
        <v>16</v>
      </c>
      <c r="I25" s="3" cm="1">
        <f t="array" ref="I25">$I$10+(E25-1)*(属性总览!$H$4+INDEX($I$4:$I$6,MATCH(1,($B$4:$B$6=$B25)*($D$4:$D$6=$D25),0)))</f>
        <v>110</v>
      </c>
      <c r="J25" s="3" cm="1">
        <f t="array" ref="J25">$J$10+(F25-1)*(属性总览!$H$5+INDEX($K$4:$K$6,MATCH(1,($B$4:$B$6=$B25)*($D$4:$D$6=$D25),0)))</f>
        <v>205</v>
      </c>
      <c r="K25" s="3" cm="1">
        <f t="array" ref="K25">$K$10+(H25-1)*(属性总览!$H$7+INDEX($O$4:$O$6,MATCH(1,($B$4:$B$6=$B25)*($D$4:$D$6=$D25),0)))</f>
        <v>515</v>
      </c>
      <c r="L25" s="3" cm="1">
        <f t="array" ref="L25">$L$10+(F25-1)*(属性总览!$I$5+INDEX($L$4:$L$6,MATCH(1,($B$4:$B$6=$B25)*($D$4:$D$6=$D25),0)))</f>
        <v>415</v>
      </c>
      <c r="M25" s="3" cm="1">
        <f t="array" ref="M25">ROUND(MIN($M$10+(G25-1)*(属性总览!$H$6+INDEX($M$4:$M$6,MATCH(1,($B$4:$B$6=$B25)*($D$4:$D$6=$D25),0))),100),0)</f>
        <v>82</v>
      </c>
      <c r="N25" s="3" cm="1">
        <f t="array" ref="N25">ROUND(MIN($N$10+(G25-1)*(属性总览!$I$6+INDEX($N$4:$N$6,MATCH(1,($B$4:$B$6=$B25)*($D$4:$D$6=$D25),0))),30),0)</f>
        <v>12</v>
      </c>
      <c r="O25" s="3" cm="1">
        <f t="array" ref="O25">$O$10+(H25-1)*(属性总览!$H$5+INDEX($O$4:$O$7,MATCH(1,($B$4:$B$6=$B25)*($D$4:$D$6=$D25),0)))</f>
        <v>165</v>
      </c>
      <c r="P25" s="3">
        <f t="shared" si="6"/>
        <v>20</v>
      </c>
      <c r="Q25" s="3">
        <f t="shared" si="7"/>
        <v>20</v>
      </c>
      <c r="R25" s="3">
        <f t="shared" si="8"/>
        <v>150</v>
      </c>
      <c r="S25" s="3">
        <f t="shared" si="9"/>
        <v>100</v>
      </c>
      <c r="T25" s="3">
        <f t="shared" si="5"/>
        <v>100</v>
      </c>
      <c r="U25" s="3">
        <v>1</v>
      </c>
      <c r="V25" s="3">
        <v>1</v>
      </c>
      <c r="W25" s="3">
        <v>1</v>
      </c>
    </row>
    <row r="26" spans="2:23">
      <c r="B26" s="3" t="s">
        <v>316</v>
      </c>
      <c r="C26" s="3">
        <v>17</v>
      </c>
      <c r="D26" s="3">
        <v>2</v>
      </c>
      <c r="E26" s="3" cm="1">
        <f t="array" ref="E26">E$10+INDEX(E$4:E$6,MATCH(1,($B$4:$B$6=$B26)*($D$4:$D$6=$D26),0))*($C26-1)</f>
        <v>17</v>
      </c>
      <c r="F26" s="3" cm="1">
        <f t="array" ref="F26">F$10+INDEX(F$4:F$6,MATCH(1,($B$4:$B$6=$B26)*($D$4:$D$6=$D26),0))*($C26-1)</f>
        <v>17</v>
      </c>
      <c r="G26" s="3" cm="1">
        <f t="array" ref="G26">G$10+INDEX(G$4:G$6,MATCH(1,($B$4:$B$6=$B26)*($D$4:$D$6=$D26),0))*($C26-1)</f>
        <v>17</v>
      </c>
      <c r="H26" s="3" cm="1">
        <f t="array" ref="H26">H$10+INDEX(H$4:H$6,MATCH(1,($B$4:$B$6=$B26)*($D$4:$D$6=$D26),0))*($C26-1)</f>
        <v>17</v>
      </c>
      <c r="I26" s="3" cm="1">
        <f t="array" ref="I26">$I$10+(E26-1)*(属性总览!$H$4+INDEX($I$4:$I$6,MATCH(1,($B$4:$B$6=$B26)*($D$4:$D$6=$D26),0)))</f>
        <v>116</v>
      </c>
      <c r="J26" s="3" cm="1">
        <f t="array" ref="J26">$J$10+(F26-1)*(属性总览!$H$5+INDEX($K$4:$K$6,MATCH(1,($B$4:$B$6=$B26)*($D$4:$D$6=$D26),0)))</f>
        <v>216</v>
      </c>
      <c r="K26" s="3" cm="1">
        <f t="array" ref="K26">$K$10+(H26-1)*(属性总览!$H$7+INDEX($O$4:$O$6,MATCH(1,($B$4:$B$6=$B26)*($D$4:$D$6=$D26),0)))</f>
        <v>536</v>
      </c>
      <c r="L26" s="3" cm="1">
        <f t="array" ref="L26">$L$10+(F26-1)*(属性总览!$I$5+INDEX($L$4:$L$6,MATCH(1,($B$4:$B$6=$B26)*($D$4:$D$6=$D26),0)))</f>
        <v>436</v>
      </c>
      <c r="M26" s="3" cm="1">
        <f t="array" ref="M26">ROUND(MIN($M$10+(G26-1)*(属性总览!$H$6+INDEX($M$4:$M$6,MATCH(1,($B$4:$B$6=$B26)*($D$4:$D$6=$D26),0))),100),0)</f>
        <v>82</v>
      </c>
      <c r="N26" s="3" cm="1">
        <f t="array" ref="N26">ROUND(MIN($N$10+(G26-1)*(属性总览!$I$6+INDEX($N$4:$N$6,MATCH(1,($B$4:$B$6=$B26)*($D$4:$D$6=$D26),0))),30),0)</f>
        <v>12</v>
      </c>
      <c r="O26" s="3" cm="1">
        <f t="array" ref="O26">$O$10+(H26-1)*(属性总览!$H$5+INDEX($O$4:$O$7,MATCH(1,($B$4:$B$6=$B26)*($D$4:$D$6=$D26),0)))</f>
        <v>176</v>
      </c>
      <c r="P26" s="3">
        <f t="shared" si="6"/>
        <v>20</v>
      </c>
      <c r="Q26" s="3">
        <f t="shared" si="7"/>
        <v>20</v>
      </c>
      <c r="R26" s="3">
        <f t="shared" si="8"/>
        <v>150</v>
      </c>
      <c r="S26" s="3">
        <f t="shared" si="9"/>
        <v>100</v>
      </c>
      <c r="T26" s="3">
        <f t="shared" si="5"/>
        <v>100</v>
      </c>
      <c r="U26" s="3">
        <v>1</v>
      </c>
      <c r="V26" s="3">
        <v>1</v>
      </c>
      <c r="W26" s="3">
        <v>1</v>
      </c>
    </row>
    <row r="27" spans="2:23">
      <c r="B27" s="3" t="s">
        <v>316</v>
      </c>
      <c r="C27" s="3">
        <v>18</v>
      </c>
      <c r="D27" s="3">
        <v>2</v>
      </c>
      <c r="E27" s="3" cm="1">
        <f t="array" ref="E27">E$10+INDEX(E$4:E$6,MATCH(1,($B$4:$B$6=$B27)*($D$4:$D$6=$D27),0))*($C27-1)</f>
        <v>18</v>
      </c>
      <c r="F27" s="3" cm="1">
        <f t="array" ref="F27">F$10+INDEX(F$4:F$6,MATCH(1,($B$4:$B$6=$B27)*($D$4:$D$6=$D27),0))*($C27-1)</f>
        <v>18</v>
      </c>
      <c r="G27" s="3" cm="1">
        <f t="array" ref="G27">G$10+INDEX(G$4:G$6,MATCH(1,($B$4:$B$6=$B27)*($D$4:$D$6=$D27),0))*($C27-1)</f>
        <v>18</v>
      </c>
      <c r="H27" s="3" cm="1">
        <f t="array" ref="H27">H$10+INDEX(H$4:H$6,MATCH(1,($B$4:$B$6=$B27)*($D$4:$D$6=$D27),0))*($C27-1)</f>
        <v>18</v>
      </c>
      <c r="I27" s="3" cm="1">
        <f t="array" ref="I27">$I$10+(E27-1)*(属性总览!$H$4+INDEX($I$4:$I$6,MATCH(1,($B$4:$B$6=$B27)*($D$4:$D$6=$D27),0)))</f>
        <v>122</v>
      </c>
      <c r="J27" s="3" cm="1">
        <f t="array" ref="J27">$J$10+(F27-1)*(属性总览!$H$5+INDEX($K$4:$K$6,MATCH(1,($B$4:$B$6=$B27)*($D$4:$D$6=$D27),0)))</f>
        <v>227</v>
      </c>
      <c r="K27" s="3" cm="1">
        <f t="array" ref="K27">$K$10+(H27-1)*(属性总览!$H$7+INDEX($O$4:$O$6,MATCH(1,($B$4:$B$6=$B27)*($D$4:$D$6=$D27),0)))</f>
        <v>557</v>
      </c>
      <c r="L27" s="3" cm="1">
        <f t="array" ref="L27">$L$10+(F27-1)*(属性总览!$I$5+INDEX($L$4:$L$6,MATCH(1,($B$4:$B$6=$B27)*($D$4:$D$6=$D27),0)))</f>
        <v>457</v>
      </c>
      <c r="M27" s="3" cm="1">
        <f t="array" ref="M27">ROUND(MIN($M$10+(G27-1)*(属性总览!$H$6+INDEX($M$4:$M$6,MATCH(1,($B$4:$B$6=$B27)*($D$4:$D$6=$D27),0))),100),0)</f>
        <v>83</v>
      </c>
      <c r="N27" s="3" cm="1">
        <f t="array" ref="N27">ROUND(MIN($N$10+(G27-1)*(属性总览!$I$6+INDEX($N$4:$N$6,MATCH(1,($B$4:$B$6=$B27)*($D$4:$D$6=$D27),0))),30),0)</f>
        <v>13</v>
      </c>
      <c r="O27" s="3" cm="1">
        <f t="array" ref="O27">$O$10+(H27-1)*(属性总览!$H$5+INDEX($O$4:$O$7,MATCH(1,($B$4:$B$6=$B27)*($D$4:$D$6=$D27),0)))</f>
        <v>187</v>
      </c>
      <c r="P27" s="3">
        <f t="shared" si="6"/>
        <v>20</v>
      </c>
      <c r="Q27" s="3">
        <f t="shared" si="7"/>
        <v>20</v>
      </c>
      <c r="R27" s="3">
        <f t="shared" si="8"/>
        <v>150</v>
      </c>
      <c r="S27" s="3">
        <f t="shared" si="9"/>
        <v>100</v>
      </c>
      <c r="T27" s="3">
        <f t="shared" si="5"/>
        <v>100</v>
      </c>
      <c r="U27" s="3">
        <v>1</v>
      </c>
      <c r="V27" s="3">
        <v>1</v>
      </c>
      <c r="W27" s="3">
        <v>1</v>
      </c>
    </row>
    <row r="28" spans="2:23">
      <c r="B28" s="3" t="s">
        <v>316</v>
      </c>
      <c r="C28" s="3">
        <v>19</v>
      </c>
      <c r="D28" s="3">
        <v>2</v>
      </c>
      <c r="E28" s="3" cm="1">
        <f t="array" ref="E28">E$10+INDEX(E$4:E$6,MATCH(1,($B$4:$B$6=$B28)*($D$4:$D$6=$D28),0))*($C28-1)</f>
        <v>19</v>
      </c>
      <c r="F28" s="3" cm="1">
        <f t="array" ref="F28">F$10+INDEX(F$4:F$6,MATCH(1,($B$4:$B$6=$B28)*($D$4:$D$6=$D28),0))*($C28-1)</f>
        <v>19</v>
      </c>
      <c r="G28" s="3" cm="1">
        <f t="array" ref="G28">G$10+INDEX(G$4:G$6,MATCH(1,($B$4:$B$6=$B28)*($D$4:$D$6=$D28),0))*($C28-1)</f>
        <v>19</v>
      </c>
      <c r="H28" s="3" cm="1">
        <f t="array" ref="H28">H$10+INDEX(H$4:H$6,MATCH(1,($B$4:$B$6=$B28)*($D$4:$D$6=$D28),0))*($C28-1)</f>
        <v>19</v>
      </c>
      <c r="I28" s="3" cm="1">
        <f t="array" ref="I28">$I$10+(E28-1)*(属性总览!$H$4+INDEX($I$4:$I$6,MATCH(1,($B$4:$B$6=$B28)*($D$4:$D$6=$D28),0)))</f>
        <v>128</v>
      </c>
      <c r="J28" s="3" cm="1">
        <f t="array" ref="J28">$J$10+(F28-1)*(属性总览!$H$5+INDEX($K$4:$K$6,MATCH(1,($B$4:$B$6=$B28)*($D$4:$D$6=$D28),0)))</f>
        <v>238</v>
      </c>
      <c r="K28" s="3" cm="1">
        <f t="array" ref="K28">$K$10+(H28-1)*(属性总览!$H$7+INDEX($O$4:$O$6,MATCH(1,($B$4:$B$6=$B28)*($D$4:$D$6=$D28),0)))</f>
        <v>578</v>
      </c>
      <c r="L28" s="3" cm="1">
        <f t="array" ref="L28">$L$10+(F28-1)*(属性总览!$I$5+INDEX($L$4:$L$6,MATCH(1,($B$4:$B$6=$B28)*($D$4:$D$6=$D28),0)))</f>
        <v>478</v>
      </c>
      <c r="M28" s="3" cm="1">
        <f t="array" ref="M28">ROUND(MIN($M$10+(G28-1)*(属性总览!$H$6+INDEX($M$4:$M$6,MATCH(1,($B$4:$B$6=$B28)*($D$4:$D$6=$D28),0))),100),0)</f>
        <v>83</v>
      </c>
      <c r="N28" s="3" cm="1">
        <f t="array" ref="N28">ROUND(MIN($N$10+(G28-1)*(属性总览!$I$6+INDEX($N$4:$N$6,MATCH(1,($B$4:$B$6=$B28)*($D$4:$D$6=$D28),0))),30),0)</f>
        <v>13</v>
      </c>
      <c r="O28" s="3" cm="1">
        <f t="array" ref="O28">$O$10+(H28-1)*(属性总览!$H$5+INDEX($O$4:$O$7,MATCH(1,($B$4:$B$6=$B28)*($D$4:$D$6=$D28),0)))</f>
        <v>198</v>
      </c>
      <c r="P28" s="3">
        <f t="shared" si="6"/>
        <v>20</v>
      </c>
      <c r="Q28" s="3">
        <f t="shared" si="7"/>
        <v>20</v>
      </c>
      <c r="R28" s="3">
        <f t="shared" si="8"/>
        <v>150</v>
      </c>
      <c r="S28" s="3">
        <f t="shared" si="9"/>
        <v>100</v>
      </c>
      <c r="T28" s="3">
        <f t="shared" si="5"/>
        <v>100</v>
      </c>
      <c r="U28" s="3">
        <v>1</v>
      </c>
      <c r="V28" s="3">
        <v>1</v>
      </c>
      <c r="W28" s="3">
        <v>1</v>
      </c>
    </row>
    <row r="29" spans="2:23">
      <c r="B29" s="3" t="s">
        <v>316</v>
      </c>
      <c r="C29" s="3">
        <v>20</v>
      </c>
      <c r="D29" s="3">
        <v>2</v>
      </c>
      <c r="E29" s="3" cm="1">
        <f t="array" ref="E29">E$10+INDEX(E$4:E$6,MATCH(1,($B$4:$B$6=$B29)*($D$4:$D$6=$D29),0))*($C29-1)</f>
        <v>20</v>
      </c>
      <c r="F29" s="3" cm="1">
        <f t="array" ref="F29">F$10+INDEX(F$4:F$6,MATCH(1,($B$4:$B$6=$B29)*($D$4:$D$6=$D29),0))*($C29-1)</f>
        <v>20</v>
      </c>
      <c r="G29" s="3" cm="1">
        <f t="array" ref="G29">G$10+INDEX(G$4:G$6,MATCH(1,($B$4:$B$6=$B29)*($D$4:$D$6=$D29),0))*($C29-1)</f>
        <v>20</v>
      </c>
      <c r="H29" s="3" cm="1">
        <f t="array" ref="H29">H$10+INDEX(H$4:H$6,MATCH(1,($B$4:$B$6=$B29)*($D$4:$D$6=$D29),0))*($C29-1)</f>
        <v>20</v>
      </c>
      <c r="I29" s="3" cm="1">
        <f t="array" ref="I29">$I$10+(E29-1)*(属性总览!$H$4+INDEX($I$4:$I$6,MATCH(1,($B$4:$B$6=$B29)*($D$4:$D$6=$D29),0)))</f>
        <v>134</v>
      </c>
      <c r="J29" s="3" cm="1">
        <f t="array" ref="J29">$J$10+(F29-1)*(属性总览!$H$5+INDEX($K$4:$K$6,MATCH(1,($B$4:$B$6=$B29)*($D$4:$D$6=$D29),0)))</f>
        <v>249</v>
      </c>
      <c r="K29" s="3" cm="1">
        <f t="array" ref="K29">$K$10+(H29-1)*(属性总览!$H$7+INDEX($O$4:$O$6,MATCH(1,($B$4:$B$6=$B29)*($D$4:$D$6=$D29),0)))</f>
        <v>599</v>
      </c>
      <c r="L29" s="3" cm="1">
        <f t="array" ref="L29">$L$10+(F29-1)*(属性总览!$I$5+INDEX($L$4:$L$6,MATCH(1,($B$4:$B$6=$B29)*($D$4:$D$6=$D29),0)))</f>
        <v>499</v>
      </c>
      <c r="M29" s="3" cm="1">
        <f t="array" ref="M29">ROUND(MIN($M$10+(G29-1)*(属性总览!$H$6+INDEX($M$4:$M$6,MATCH(1,($B$4:$B$6=$B29)*($D$4:$D$6=$D29),0))),100),0)</f>
        <v>83</v>
      </c>
      <c r="N29" s="3" cm="1">
        <f t="array" ref="N29">ROUND(MIN($N$10+(G29-1)*(属性总览!$I$6+INDEX($N$4:$N$6,MATCH(1,($B$4:$B$6=$B29)*($D$4:$D$6=$D29),0))),30),0)</f>
        <v>13</v>
      </c>
      <c r="O29" s="3" cm="1">
        <f t="array" ref="O29">$O$10+(H29-1)*(属性总览!$H$5+INDEX($O$4:$O$7,MATCH(1,($B$4:$B$6=$B29)*($D$4:$D$6=$D29),0)))</f>
        <v>209</v>
      </c>
      <c r="P29" s="3">
        <f t="shared" si="6"/>
        <v>20</v>
      </c>
      <c r="Q29" s="3">
        <f t="shared" si="7"/>
        <v>20</v>
      </c>
      <c r="R29" s="3">
        <f t="shared" si="8"/>
        <v>150</v>
      </c>
      <c r="S29" s="3">
        <f t="shared" si="9"/>
        <v>100</v>
      </c>
      <c r="T29" s="3">
        <f t="shared" si="5"/>
        <v>100</v>
      </c>
      <c r="U29" s="3">
        <v>1</v>
      </c>
      <c r="V29" s="3">
        <v>1</v>
      </c>
      <c r="W29" s="3">
        <v>1</v>
      </c>
    </row>
    <row r="30" spans="2:23">
      <c r="B30" s="3" t="s">
        <v>316</v>
      </c>
      <c r="C30" s="3">
        <v>21</v>
      </c>
      <c r="D30" s="3">
        <v>3</v>
      </c>
      <c r="E30" s="3" cm="1">
        <f t="array" ref="E30">E$10+INDEX(E$4:E$6,MATCH(1,($B$4:$B$6=$B30)*($D$4:$D$6=$D30),0))*($C30-1)</f>
        <v>21</v>
      </c>
      <c r="F30" s="3" cm="1">
        <f t="array" ref="F30">F$10+INDEX(F$4:F$6,MATCH(1,($B$4:$B$6=$B30)*($D$4:$D$6=$D30),0))*($C30-1)</f>
        <v>21</v>
      </c>
      <c r="G30" s="3" cm="1">
        <f t="array" ref="G30">G$10+INDEX(G$4:G$6,MATCH(1,($B$4:$B$6=$B30)*($D$4:$D$6=$D30),0))*($C30-1)</f>
        <v>21</v>
      </c>
      <c r="H30" s="3" cm="1">
        <f t="array" ref="H30">H$10+INDEX(H$4:H$6,MATCH(1,($B$4:$B$6=$B30)*($D$4:$D$6=$D30),0))*($C30-1)</f>
        <v>21</v>
      </c>
      <c r="I30" s="3" cm="1">
        <f t="array" ref="I30">$I$10+(E30-1)*(属性总览!$H$4+INDEX($I$4:$I$6,MATCH(1,($B$4:$B$6=$B30)*($D$4:$D$6=$D30),0)))</f>
        <v>160</v>
      </c>
      <c r="J30" s="3" cm="1">
        <f t="array" ref="J30">$J$10+(F30-1)*(属性总览!$H$5+INDEX($K$4:$K$6,MATCH(1,($B$4:$B$6=$B30)*($D$4:$D$6=$D30),0)))</f>
        <v>280</v>
      </c>
      <c r="K30" s="3" cm="1">
        <f t="array" ref="K30">$K$10+(H30-1)*(属性总览!$H$7+INDEX($O$4:$O$6,MATCH(1,($B$4:$B$6=$B30)*($D$4:$D$6=$D30),0)))</f>
        <v>640</v>
      </c>
      <c r="L30" s="3" cm="1">
        <f t="array" ref="L30">$L$10+(F30-1)*(属性总览!$I$5+INDEX($L$4:$L$6,MATCH(1,($B$4:$B$6=$B30)*($D$4:$D$6=$D30),0)))</f>
        <v>540</v>
      </c>
      <c r="M30" s="3" cm="1">
        <f t="array" ref="M30">ROUND(MIN($M$10+(G30-1)*(属性总览!$H$6+INDEX($M$4:$M$6,MATCH(1,($B$4:$B$6=$B30)*($D$4:$D$6=$D30),0))),100),0)</f>
        <v>84</v>
      </c>
      <c r="N30" s="3" cm="1">
        <f t="array" ref="N30">ROUND(MIN($N$10+(G30-1)*(属性总览!$I$6+INDEX($N$4:$N$6,MATCH(1,($B$4:$B$6=$B30)*($D$4:$D$6=$D30),0))),30),0)</f>
        <v>14</v>
      </c>
      <c r="O30" s="3" cm="1">
        <f t="array" ref="O30">$O$10+(H30-1)*(属性总览!$H$5+INDEX($O$4:$O$7,MATCH(1,($B$4:$B$6=$B30)*($D$4:$D$6=$D30),0)))</f>
        <v>240</v>
      </c>
      <c r="P30" s="3">
        <f t="shared" si="6"/>
        <v>20</v>
      </c>
      <c r="Q30" s="3">
        <f t="shared" si="7"/>
        <v>20</v>
      </c>
      <c r="R30" s="3">
        <f t="shared" si="8"/>
        <v>150</v>
      </c>
      <c r="S30" s="3">
        <f t="shared" si="9"/>
        <v>100</v>
      </c>
      <c r="T30" s="3">
        <f t="shared" si="5"/>
        <v>100</v>
      </c>
      <c r="U30" s="3">
        <v>1</v>
      </c>
      <c r="V30" s="3">
        <v>1</v>
      </c>
      <c r="W30" s="3">
        <v>1</v>
      </c>
    </row>
    <row r="31" spans="2:23">
      <c r="B31" s="3" t="s">
        <v>316</v>
      </c>
      <c r="C31" s="3">
        <v>22</v>
      </c>
      <c r="D31" s="3">
        <v>3</v>
      </c>
      <c r="E31" s="3" cm="1">
        <f t="array" ref="E31">E$10+INDEX(E$4:E$6,MATCH(1,($B$4:$B$6=$B31)*($D$4:$D$6=$D31),0))*($C31-1)</f>
        <v>22</v>
      </c>
      <c r="F31" s="3" cm="1">
        <f t="array" ref="F31">F$10+INDEX(F$4:F$6,MATCH(1,($B$4:$B$6=$B31)*($D$4:$D$6=$D31),0))*($C31-1)</f>
        <v>22</v>
      </c>
      <c r="G31" s="3" cm="1">
        <f t="array" ref="G31">G$10+INDEX(G$4:G$6,MATCH(1,($B$4:$B$6=$B31)*($D$4:$D$6=$D31),0))*($C31-1)</f>
        <v>22</v>
      </c>
      <c r="H31" s="3" cm="1">
        <f t="array" ref="H31">H$10+INDEX(H$4:H$6,MATCH(1,($B$4:$B$6=$B31)*($D$4:$D$6=$D31),0))*($C31-1)</f>
        <v>22</v>
      </c>
      <c r="I31" s="3" cm="1">
        <f t="array" ref="I31">$I$10+(E31-1)*(属性总览!$H$4+INDEX($I$4:$I$6,MATCH(1,($B$4:$B$6=$B31)*($D$4:$D$6=$D31),0)))</f>
        <v>167</v>
      </c>
      <c r="J31" s="3" cm="1">
        <f t="array" ref="J31">$J$10+(F31-1)*(属性总览!$H$5+INDEX($K$4:$K$6,MATCH(1,($B$4:$B$6=$B31)*($D$4:$D$6=$D31),0)))</f>
        <v>292</v>
      </c>
      <c r="K31" s="3" cm="1">
        <f t="array" ref="K31">$K$10+(H31-1)*(属性总览!$H$7+INDEX($O$4:$O$6,MATCH(1,($B$4:$B$6=$B31)*($D$4:$D$6=$D31),0)))</f>
        <v>662</v>
      </c>
      <c r="L31" s="3" cm="1">
        <f t="array" ref="L31">$L$10+(F31-1)*(属性总览!$I$5+INDEX($L$4:$L$6,MATCH(1,($B$4:$B$6=$B31)*($D$4:$D$6=$D31),0)))</f>
        <v>562</v>
      </c>
      <c r="M31" s="3" cm="1">
        <f t="array" ref="M31">ROUND(MIN($M$10+(G31-1)*(属性总览!$H$6+INDEX($M$4:$M$6,MATCH(1,($B$4:$B$6=$B31)*($D$4:$D$6=$D31),0))),100),0)</f>
        <v>84</v>
      </c>
      <c r="N31" s="3" cm="1">
        <f t="array" ref="N31">ROUND(MIN($N$10+(G31-1)*(属性总览!$I$6+INDEX($N$4:$N$6,MATCH(1,($B$4:$B$6=$B31)*($D$4:$D$6=$D31),0))),30),0)</f>
        <v>14</v>
      </c>
      <c r="O31" s="3" cm="1">
        <f t="array" ref="O31">$O$10+(H31-1)*(属性总览!$H$5+INDEX($O$4:$O$7,MATCH(1,($B$4:$B$6=$B31)*($D$4:$D$6=$D31),0)))</f>
        <v>252</v>
      </c>
      <c r="P31" s="3">
        <f t="shared" si="6"/>
        <v>20</v>
      </c>
      <c r="Q31" s="3">
        <f t="shared" si="7"/>
        <v>20</v>
      </c>
      <c r="R31" s="3">
        <f t="shared" si="8"/>
        <v>150</v>
      </c>
      <c r="S31" s="3">
        <f t="shared" si="9"/>
        <v>100</v>
      </c>
      <c r="T31" s="3">
        <f t="shared" si="5"/>
        <v>100</v>
      </c>
      <c r="U31" s="3">
        <v>1</v>
      </c>
      <c r="V31" s="3">
        <v>1</v>
      </c>
      <c r="W31" s="3">
        <v>1</v>
      </c>
    </row>
    <row r="32" spans="2:23">
      <c r="B32" s="3" t="s">
        <v>316</v>
      </c>
      <c r="C32" s="3">
        <v>23</v>
      </c>
      <c r="D32" s="3">
        <v>3</v>
      </c>
      <c r="E32" s="3" cm="1">
        <f t="array" ref="E32">E$10+INDEX(E$4:E$6,MATCH(1,($B$4:$B$6=$B32)*($D$4:$D$6=$D32),0))*($C32-1)</f>
        <v>23</v>
      </c>
      <c r="F32" s="3" cm="1">
        <f t="array" ref="F32">F$10+INDEX(F$4:F$6,MATCH(1,($B$4:$B$6=$B32)*($D$4:$D$6=$D32),0))*($C32-1)</f>
        <v>23</v>
      </c>
      <c r="G32" s="3" cm="1">
        <f t="array" ref="G32">G$10+INDEX(G$4:G$6,MATCH(1,($B$4:$B$6=$B32)*($D$4:$D$6=$D32),0))*($C32-1)</f>
        <v>23</v>
      </c>
      <c r="H32" s="3" cm="1">
        <f t="array" ref="H32">H$10+INDEX(H$4:H$6,MATCH(1,($B$4:$B$6=$B32)*($D$4:$D$6=$D32),0))*($C32-1)</f>
        <v>23</v>
      </c>
      <c r="I32" s="3" cm="1">
        <f t="array" ref="I32">$I$10+(E32-1)*(属性总览!$H$4+INDEX($I$4:$I$6,MATCH(1,($B$4:$B$6=$B32)*($D$4:$D$6=$D32),0)))</f>
        <v>174</v>
      </c>
      <c r="J32" s="3" cm="1">
        <f t="array" ref="J32">$J$10+(F32-1)*(属性总览!$H$5+INDEX($K$4:$K$6,MATCH(1,($B$4:$B$6=$B32)*($D$4:$D$6=$D32),0)))</f>
        <v>304</v>
      </c>
      <c r="K32" s="3" cm="1">
        <f t="array" ref="K32">$K$10+(H32-1)*(属性总览!$H$7+INDEX($O$4:$O$6,MATCH(1,($B$4:$B$6=$B32)*($D$4:$D$6=$D32),0)))</f>
        <v>684</v>
      </c>
      <c r="L32" s="3" cm="1">
        <f t="array" ref="L32">$L$10+(F32-1)*(属性总览!$I$5+INDEX($L$4:$L$6,MATCH(1,($B$4:$B$6=$B32)*($D$4:$D$6=$D32),0)))</f>
        <v>584</v>
      </c>
      <c r="M32" s="3" cm="1">
        <f t="array" ref="M32">ROUND(MIN($M$10+(G32-1)*(属性总览!$H$6+INDEX($M$4:$M$6,MATCH(1,($B$4:$B$6=$B32)*($D$4:$D$6=$D32),0))),100),0)</f>
        <v>84</v>
      </c>
      <c r="N32" s="3" cm="1">
        <f t="array" ref="N32">ROUND(MIN($N$10+(G32-1)*(属性总览!$I$6+INDEX($N$4:$N$6,MATCH(1,($B$4:$B$6=$B32)*($D$4:$D$6=$D32),0))),30),0)</f>
        <v>14</v>
      </c>
      <c r="O32" s="3" cm="1">
        <f t="array" ref="O32">$O$10+(H32-1)*(属性总览!$H$5+INDEX($O$4:$O$7,MATCH(1,($B$4:$B$6=$B32)*($D$4:$D$6=$D32),0)))</f>
        <v>264</v>
      </c>
      <c r="P32" s="3">
        <f t="shared" si="6"/>
        <v>20</v>
      </c>
      <c r="Q32" s="3">
        <f t="shared" si="7"/>
        <v>20</v>
      </c>
      <c r="R32" s="3">
        <f t="shared" si="8"/>
        <v>150</v>
      </c>
      <c r="S32" s="3">
        <f t="shared" si="9"/>
        <v>100</v>
      </c>
      <c r="T32" s="3">
        <f t="shared" si="5"/>
        <v>100</v>
      </c>
      <c r="U32" s="3">
        <v>1</v>
      </c>
      <c r="V32" s="3">
        <v>1</v>
      </c>
      <c r="W32" s="3">
        <v>1</v>
      </c>
    </row>
    <row r="33" spans="2:23">
      <c r="B33" s="3" t="s">
        <v>316</v>
      </c>
      <c r="C33" s="3">
        <v>24</v>
      </c>
      <c r="D33" s="3">
        <v>3</v>
      </c>
      <c r="E33" s="3" cm="1">
        <f t="array" ref="E33">E$10+INDEX(E$4:E$6,MATCH(1,($B$4:$B$6=$B33)*($D$4:$D$6=$D33),0))*($C33-1)</f>
        <v>24</v>
      </c>
      <c r="F33" s="3" cm="1">
        <f t="array" ref="F33">F$10+INDEX(F$4:F$6,MATCH(1,($B$4:$B$6=$B33)*($D$4:$D$6=$D33),0))*($C33-1)</f>
        <v>24</v>
      </c>
      <c r="G33" s="3" cm="1">
        <f t="array" ref="G33">G$10+INDEX(G$4:G$6,MATCH(1,($B$4:$B$6=$B33)*($D$4:$D$6=$D33),0))*($C33-1)</f>
        <v>24</v>
      </c>
      <c r="H33" s="3" cm="1">
        <f t="array" ref="H33">H$10+INDEX(H$4:H$6,MATCH(1,($B$4:$B$6=$B33)*($D$4:$D$6=$D33),0))*($C33-1)</f>
        <v>24</v>
      </c>
      <c r="I33" s="3" cm="1">
        <f t="array" ref="I33">$I$10+(E33-1)*(属性总览!$H$4+INDEX($I$4:$I$6,MATCH(1,($B$4:$B$6=$B33)*($D$4:$D$6=$D33),0)))</f>
        <v>181</v>
      </c>
      <c r="J33" s="3" cm="1">
        <f t="array" ref="J33">$J$10+(F33-1)*(属性总览!$H$5+INDEX($K$4:$K$6,MATCH(1,($B$4:$B$6=$B33)*($D$4:$D$6=$D33),0)))</f>
        <v>316</v>
      </c>
      <c r="K33" s="3" cm="1">
        <f t="array" ref="K33">$K$10+(H33-1)*(属性总览!$H$7+INDEX($O$4:$O$6,MATCH(1,($B$4:$B$6=$B33)*($D$4:$D$6=$D33),0)))</f>
        <v>706</v>
      </c>
      <c r="L33" s="3" cm="1">
        <f t="array" ref="L33">$L$10+(F33-1)*(属性总览!$I$5+INDEX($L$4:$L$6,MATCH(1,($B$4:$B$6=$B33)*($D$4:$D$6=$D33),0)))</f>
        <v>606</v>
      </c>
      <c r="M33" s="3" cm="1">
        <f t="array" ref="M33">ROUND(MIN($M$10+(G33-1)*(属性总览!$H$6+INDEX($M$4:$M$6,MATCH(1,($B$4:$B$6=$B33)*($D$4:$D$6=$D33),0))),100),0)</f>
        <v>85</v>
      </c>
      <c r="N33" s="3" cm="1">
        <f t="array" ref="N33">ROUND(MIN($N$10+(G33-1)*(属性总览!$I$6+INDEX($N$4:$N$6,MATCH(1,($B$4:$B$6=$B33)*($D$4:$D$6=$D33),0))),30),0)</f>
        <v>15</v>
      </c>
      <c r="O33" s="3" cm="1">
        <f t="array" ref="O33">$O$10+(H33-1)*(属性总览!$H$5+INDEX($O$4:$O$7,MATCH(1,($B$4:$B$6=$B33)*($D$4:$D$6=$D33),0)))</f>
        <v>276</v>
      </c>
      <c r="P33" s="3">
        <f t="shared" si="6"/>
        <v>20</v>
      </c>
      <c r="Q33" s="3">
        <f t="shared" si="7"/>
        <v>20</v>
      </c>
      <c r="R33" s="3">
        <f t="shared" si="8"/>
        <v>150</v>
      </c>
      <c r="S33" s="3">
        <f t="shared" si="9"/>
        <v>100</v>
      </c>
      <c r="T33" s="3">
        <f t="shared" si="5"/>
        <v>100</v>
      </c>
      <c r="U33" s="3">
        <v>1</v>
      </c>
      <c r="V33" s="3">
        <v>1</v>
      </c>
      <c r="W33" s="3">
        <v>1</v>
      </c>
    </row>
    <row r="34" spans="2:23">
      <c r="B34" s="3" t="s">
        <v>316</v>
      </c>
      <c r="C34" s="3">
        <v>25</v>
      </c>
      <c r="D34" s="3">
        <v>3</v>
      </c>
      <c r="E34" s="3" cm="1">
        <f t="array" ref="E34">E$10+INDEX(E$4:E$6,MATCH(1,($B$4:$B$6=$B34)*($D$4:$D$6=$D34),0))*($C34-1)</f>
        <v>25</v>
      </c>
      <c r="F34" s="3" cm="1">
        <f t="array" ref="F34">F$10+INDEX(F$4:F$6,MATCH(1,($B$4:$B$6=$B34)*($D$4:$D$6=$D34),0))*($C34-1)</f>
        <v>25</v>
      </c>
      <c r="G34" s="3" cm="1">
        <f t="array" ref="G34">G$10+INDEX(G$4:G$6,MATCH(1,($B$4:$B$6=$B34)*($D$4:$D$6=$D34),0))*($C34-1)</f>
        <v>25</v>
      </c>
      <c r="H34" s="3" cm="1">
        <f t="array" ref="H34">H$10+INDEX(H$4:H$6,MATCH(1,($B$4:$B$6=$B34)*($D$4:$D$6=$D34),0))*($C34-1)</f>
        <v>25</v>
      </c>
      <c r="I34" s="3" cm="1">
        <f t="array" ref="I34">$I$10+(E34-1)*(属性总览!$H$4+INDEX($I$4:$I$6,MATCH(1,($B$4:$B$6=$B34)*($D$4:$D$6=$D34),0)))</f>
        <v>188</v>
      </c>
      <c r="J34" s="3" cm="1">
        <f t="array" ref="J34">$J$10+(F34-1)*(属性总览!$H$5+INDEX($K$4:$K$6,MATCH(1,($B$4:$B$6=$B34)*($D$4:$D$6=$D34),0)))</f>
        <v>328</v>
      </c>
      <c r="K34" s="3" cm="1">
        <f t="array" ref="K34">$K$10+(H34-1)*(属性总览!$H$7+INDEX($O$4:$O$6,MATCH(1,($B$4:$B$6=$B34)*($D$4:$D$6=$D34),0)))</f>
        <v>728</v>
      </c>
      <c r="L34" s="3" cm="1">
        <f t="array" ref="L34">$L$10+(F34-1)*(属性总览!$I$5+INDEX($L$4:$L$6,MATCH(1,($B$4:$B$6=$B34)*($D$4:$D$6=$D34),0)))</f>
        <v>628</v>
      </c>
      <c r="M34" s="3" cm="1">
        <f t="array" ref="M34">ROUND(MIN($M$10+(G34-1)*(属性总览!$H$6+INDEX($M$4:$M$6,MATCH(1,($B$4:$B$6=$B34)*($D$4:$D$6=$D34),0))),100),0)</f>
        <v>85</v>
      </c>
      <c r="N34" s="3" cm="1">
        <f t="array" ref="N34">ROUND(MIN($N$10+(G34-1)*(属性总览!$I$6+INDEX($N$4:$N$6,MATCH(1,($B$4:$B$6=$B34)*($D$4:$D$6=$D34),0))),30),0)</f>
        <v>15</v>
      </c>
      <c r="O34" s="3" cm="1">
        <f t="array" ref="O34">$O$10+(H34-1)*(属性总览!$H$5+INDEX($O$4:$O$7,MATCH(1,($B$4:$B$6=$B34)*($D$4:$D$6=$D34),0)))</f>
        <v>288</v>
      </c>
      <c r="P34" s="3">
        <f t="shared" si="6"/>
        <v>20</v>
      </c>
      <c r="Q34" s="3">
        <f t="shared" si="7"/>
        <v>20</v>
      </c>
      <c r="R34" s="3">
        <f t="shared" si="8"/>
        <v>150</v>
      </c>
      <c r="S34" s="3">
        <f t="shared" si="9"/>
        <v>100</v>
      </c>
      <c r="T34" s="3">
        <f t="shared" si="5"/>
        <v>100</v>
      </c>
      <c r="U34" s="3">
        <v>1</v>
      </c>
      <c r="V34" s="3">
        <v>1</v>
      </c>
      <c r="W34" s="3">
        <v>1</v>
      </c>
    </row>
    <row r="35" spans="2:23">
      <c r="B35" s="3" t="s">
        <v>316</v>
      </c>
      <c r="C35" s="3">
        <v>26</v>
      </c>
      <c r="D35" s="3">
        <v>3</v>
      </c>
      <c r="E35" s="3" cm="1">
        <f t="array" ref="E35">E$10+INDEX(E$4:E$6,MATCH(1,($B$4:$B$6=$B35)*($D$4:$D$6=$D35),0))*($C35-1)</f>
        <v>26</v>
      </c>
      <c r="F35" s="3" cm="1">
        <f t="array" ref="F35">F$10+INDEX(F$4:F$6,MATCH(1,($B$4:$B$6=$B35)*($D$4:$D$6=$D35),0))*($C35-1)</f>
        <v>26</v>
      </c>
      <c r="G35" s="3" cm="1">
        <f t="array" ref="G35">G$10+INDEX(G$4:G$6,MATCH(1,($B$4:$B$6=$B35)*($D$4:$D$6=$D35),0))*($C35-1)</f>
        <v>26</v>
      </c>
      <c r="H35" s="3" cm="1">
        <f t="array" ref="H35">H$10+INDEX(H$4:H$6,MATCH(1,($B$4:$B$6=$B35)*($D$4:$D$6=$D35),0))*($C35-1)</f>
        <v>26</v>
      </c>
      <c r="I35" s="3" cm="1">
        <f t="array" ref="I35">$I$10+(E35-1)*(属性总览!$H$4+INDEX($I$4:$I$6,MATCH(1,($B$4:$B$6=$B35)*($D$4:$D$6=$D35),0)))</f>
        <v>195</v>
      </c>
      <c r="J35" s="3" cm="1">
        <f t="array" ref="J35">$J$10+(F35-1)*(属性总览!$H$5+INDEX($K$4:$K$6,MATCH(1,($B$4:$B$6=$B35)*($D$4:$D$6=$D35),0)))</f>
        <v>340</v>
      </c>
      <c r="K35" s="3" cm="1">
        <f t="array" ref="K35">$K$10+(H35-1)*(属性总览!$H$7+INDEX($O$4:$O$6,MATCH(1,($B$4:$B$6=$B35)*($D$4:$D$6=$D35),0)))</f>
        <v>750</v>
      </c>
      <c r="L35" s="3" cm="1">
        <f t="array" ref="L35">$L$10+(F35-1)*(属性总览!$I$5+INDEX($L$4:$L$6,MATCH(1,($B$4:$B$6=$B35)*($D$4:$D$6=$D35),0)))</f>
        <v>650</v>
      </c>
      <c r="M35" s="3" cm="1">
        <f t="array" ref="M35">ROUND(MIN($M$10+(G35-1)*(属性总览!$H$6+INDEX($M$4:$M$6,MATCH(1,($B$4:$B$6=$B35)*($D$4:$D$6=$D35),0))),100),0)</f>
        <v>85</v>
      </c>
      <c r="N35" s="3" cm="1">
        <f t="array" ref="N35">ROUND(MIN($N$10+(G35-1)*(属性总览!$I$6+INDEX($N$4:$N$6,MATCH(1,($B$4:$B$6=$B35)*($D$4:$D$6=$D35),0))),30),0)</f>
        <v>15</v>
      </c>
      <c r="O35" s="3" cm="1">
        <f t="array" ref="O35">$O$10+(H35-1)*(属性总览!$H$5+INDEX($O$4:$O$7,MATCH(1,($B$4:$B$6=$B35)*($D$4:$D$6=$D35),0)))</f>
        <v>300</v>
      </c>
      <c r="P35" s="3">
        <f t="shared" si="6"/>
        <v>20</v>
      </c>
      <c r="Q35" s="3">
        <f t="shared" si="7"/>
        <v>20</v>
      </c>
      <c r="R35" s="3">
        <f t="shared" si="8"/>
        <v>150</v>
      </c>
      <c r="S35" s="3">
        <f t="shared" si="9"/>
        <v>100</v>
      </c>
      <c r="T35" s="3">
        <f t="shared" si="5"/>
        <v>100</v>
      </c>
      <c r="U35" s="3">
        <v>1</v>
      </c>
      <c r="V35" s="3">
        <v>1</v>
      </c>
      <c r="W35" s="3">
        <v>1</v>
      </c>
    </row>
    <row r="36" spans="2:23">
      <c r="B36" s="3" t="s">
        <v>316</v>
      </c>
      <c r="C36" s="3">
        <v>27</v>
      </c>
      <c r="D36" s="3">
        <v>3</v>
      </c>
      <c r="E36" s="3" cm="1">
        <f t="array" ref="E36">E$10+INDEX(E$4:E$6,MATCH(1,($B$4:$B$6=$B36)*($D$4:$D$6=$D36),0))*($C36-1)</f>
        <v>27</v>
      </c>
      <c r="F36" s="3" cm="1">
        <f t="array" ref="F36">F$10+INDEX(F$4:F$6,MATCH(1,($B$4:$B$6=$B36)*($D$4:$D$6=$D36),0))*($C36-1)</f>
        <v>27</v>
      </c>
      <c r="G36" s="3" cm="1">
        <f t="array" ref="G36">G$10+INDEX(G$4:G$6,MATCH(1,($B$4:$B$6=$B36)*($D$4:$D$6=$D36),0))*($C36-1)</f>
        <v>27</v>
      </c>
      <c r="H36" s="3" cm="1">
        <f t="array" ref="H36">H$10+INDEX(H$4:H$6,MATCH(1,($B$4:$B$6=$B36)*($D$4:$D$6=$D36),0))*($C36-1)</f>
        <v>27</v>
      </c>
      <c r="I36" s="3" cm="1">
        <f t="array" ref="I36">$I$10+(E36-1)*(属性总览!$H$4+INDEX($I$4:$I$6,MATCH(1,($B$4:$B$6=$B36)*($D$4:$D$6=$D36),0)))</f>
        <v>202</v>
      </c>
      <c r="J36" s="3" cm="1">
        <f t="array" ref="J36">$J$10+(F36-1)*(属性总览!$H$5+INDEX($K$4:$K$6,MATCH(1,($B$4:$B$6=$B36)*($D$4:$D$6=$D36),0)))</f>
        <v>352</v>
      </c>
      <c r="K36" s="3" cm="1">
        <f t="array" ref="K36">$K$10+(H36-1)*(属性总览!$H$7+INDEX($O$4:$O$6,MATCH(1,($B$4:$B$6=$B36)*($D$4:$D$6=$D36),0)))</f>
        <v>772</v>
      </c>
      <c r="L36" s="3" cm="1">
        <f t="array" ref="L36">$L$10+(F36-1)*(属性总览!$I$5+INDEX($L$4:$L$6,MATCH(1,($B$4:$B$6=$B36)*($D$4:$D$6=$D36),0)))</f>
        <v>672</v>
      </c>
      <c r="M36" s="3" cm="1">
        <f t="array" ref="M36">ROUND(MIN($M$10+(G36-1)*(属性总览!$H$6+INDEX($M$4:$M$6,MATCH(1,($B$4:$B$6=$B36)*($D$4:$D$6=$D36),0))),100),0)</f>
        <v>85</v>
      </c>
      <c r="N36" s="3" cm="1">
        <f t="array" ref="N36">ROUND(MIN($N$10+(G36-1)*(属性总览!$I$6+INDEX($N$4:$N$6,MATCH(1,($B$4:$B$6=$B36)*($D$4:$D$6=$D36),0))),30),0)</f>
        <v>15</v>
      </c>
      <c r="O36" s="3" cm="1">
        <f t="array" ref="O36">$O$10+(H36-1)*(属性总览!$H$5+INDEX($O$4:$O$7,MATCH(1,($B$4:$B$6=$B36)*($D$4:$D$6=$D36),0)))</f>
        <v>312</v>
      </c>
      <c r="P36" s="3">
        <f t="shared" si="6"/>
        <v>20</v>
      </c>
      <c r="Q36" s="3">
        <f t="shared" si="7"/>
        <v>20</v>
      </c>
      <c r="R36" s="3">
        <f t="shared" si="8"/>
        <v>150</v>
      </c>
      <c r="S36" s="3">
        <f t="shared" si="9"/>
        <v>100</v>
      </c>
      <c r="T36" s="3">
        <f t="shared" si="5"/>
        <v>100</v>
      </c>
      <c r="U36" s="3">
        <v>1</v>
      </c>
      <c r="V36" s="3">
        <v>1</v>
      </c>
      <c r="W36" s="3">
        <v>1</v>
      </c>
    </row>
    <row r="37" spans="2:23">
      <c r="B37" s="3" t="s">
        <v>316</v>
      </c>
      <c r="C37" s="3">
        <v>28</v>
      </c>
      <c r="D37" s="3">
        <v>3</v>
      </c>
      <c r="E37" s="3" cm="1">
        <f t="array" ref="E37">E$10+INDEX(E$4:E$6,MATCH(1,($B$4:$B$6=$B37)*($D$4:$D$6=$D37),0))*($C37-1)</f>
        <v>28</v>
      </c>
      <c r="F37" s="3" cm="1">
        <f t="array" ref="F37">F$10+INDEX(F$4:F$6,MATCH(1,($B$4:$B$6=$B37)*($D$4:$D$6=$D37),0))*($C37-1)</f>
        <v>28</v>
      </c>
      <c r="G37" s="3" cm="1">
        <f t="array" ref="G37">G$10+INDEX(G$4:G$6,MATCH(1,($B$4:$B$6=$B37)*($D$4:$D$6=$D37),0))*($C37-1)</f>
        <v>28</v>
      </c>
      <c r="H37" s="3" cm="1">
        <f t="array" ref="H37">H$10+INDEX(H$4:H$6,MATCH(1,($B$4:$B$6=$B37)*($D$4:$D$6=$D37),0))*($C37-1)</f>
        <v>28</v>
      </c>
      <c r="I37" s="3" cm="1">
        <f t="array" ref="I37">$I$10+(E37-1)*(属性总览!$H$4+INDEX($I$4:$I$6,MATCH(1,($B$4:$B$6=$B37)*($D$4:$D$6=$D37),0)))</f>
        <v>209</v>
      </c>
      <c r="J37" s="3" cm="1">
        <f t="array" ref="J37">$J$10+(F37-1)*(属性总览!$H$5+INDEX($K$4:$K$6,MATCH(1,($B$4:$B$6=$B37)*($D$4:$D$6=$D37),0)))</f>
        <v>364</v>
      </c>
      <c r="K37" s="3" cm="1">
        <f t="array" ref="K37">$K$10+(H37-1)*(属性总览!$H$7+INDEX($O$4:$O$6,MATCH(1,($B$4:$B$6=$B37)*($D$4:$D$6=$D37),0)))</f>
        <v>794</v>
      </c>
      <c r="L37" s="3" cm="1">
        <f t="array" ref="L37">$L$10+(F37-1)*(属性总览!$I$5+INDEX($L$4:$L$6,MATCH(1,($B$4:$B$6=$B37)*($D$4:$D$6=$D37),0)))</f>
        <v>694</v>
      </c>
      <c r="M37" s="3" cm="1">
        <f t="array" ref="M37">ROUND(MIN($M$10+(G37-1)*(属性总览!$H$6+INDEX($M$4:$M$6,MATCH(1,($B$4:$B$6=$B37)*($D$4:$D$6=$D37),0))),100),0)</f>
        <v>85</v>
      </c>
      <c r="N37" s="3" cm="1">
        <f t="array" ref="N37">ROUND(MIN($N$10+(G37-1)*(属性总览!$I$6+INDEX($N$4:$N$6,MATCH(1,($B$4:$B$6=$B37)*($D$4:$D$6=$D37),0))),30),0)</f>
        <v>15</v>
      </c>
      <c r="O37" s="3" cm="1">
        <f t="array" ref="O37">$O$10+(H37-1)*(属性总览!$H$5+INDEX($O$4:$O$7,MATCH(1,($B$4:$B$6=$B37)*($D$4:$D$6=$D37),0)))</f>
        <v>324</v>
      </c>
      <c r="P37" s="3">
        <f t="shared" si="6"/>
        <v>20</v>
      </c>
      <c r="Q37" s="3">
        <f t="shared" si="7"/>
        <v>20</v>
      </c>
      <c r="R37" s="3">
        <f t="shared" si="8"/>
        <v>150</v>
      </c>
      <c r="S37" s="3">
        <f t="shared" si="9"/>
        <v>100</v>
      </c>
      <c r="T37" s="3">
        <f t="shared" si="5"/>
        <v>100</v>
      </c>
      <c r="U37" s="3">
        <v>1</v>
      </c>
      <c r="V37" s="3">
        <v>1</v>
      </c>
      <c r="W37" s="3">
        <v>1</v>
      </c>
    </row>
    <row r="38" spans="2:23">
      <c r="B38" s="3" t="s">
        <v>316</v>
      </c>
      <c r="C38" s="3">
        <v>29</v>
      </c>
      <c r="D38" s="3">
        <v>3</v>
      </c>
      <c r="E38" s="3" cm="1">
        <f t="array" ref="E38">E$10+INDEX(E$4:E$6,MATCH(1,($B$4:$B$6=$B38)*($D$4:$D$6=$D38),0))*($C38-1)</f>
        <v>29</v>
      </c>
      <c r="F38" s="3" cm="1">
        <f t="array" ref="F38">F$10+INDEX(F$4:F$6,MATCH(1,($B$4:$B$6=$B38)*($D$4:$D$6=$D38),0))*($C38-1)</f>
        <v>29</v>
      </c>
      <c r="G38" s="3" cm="1">
        <f t="array" ref="G38">G$10+INDEX(G$4:G$6,MATCH(1,($B$4:$B$6=$B38)*($D$4:$D$6=$D38),0))*($C38-1)</f>
        <v>29</v>
      </c>
      <c r="H38" s="3" cm="1">
        <f t="array" ref="H38">H$10+INDEX(H$4:H$6,MATCH(1,($B$4:$B$6=$B38)*($D$4:$D$6=$D38),0))*($C38-1)</f>
        <v>29</v>
      </c>
      <c r="I38" s="3" cm="1">
        <f t="array" ref="I38">$I$10+(E38-1)*(属性总览!$H$4+INDEX($I$4:$I$6,MATCH(1,($B$4:$B$6=$B38)*($D$4:$D$6=$D38),0)))</f>
        <v>216</v>
      </c>
      <c r="J38" s="3" cm="1">
        <f t="array" ref="J38">$J$10+(F38-1)*(属性总览!$H$5+INDEX($K$4:$K$6,MATCH(1,($B$4:$B$6=$B38)*($D$4:$D$6=$D38),0)))</f>
        <v>376</v>
      </c>
      <c r="K38" s="3" cm="1">
        <f t="array" ref="K38">$K$10+(H38-1)*(属性总览!$H$7+INDEX($O$4:$O$6,MATCH(1,($B$4:$B$6=$B38)*($D$4:$D$6=$D38),0)))</f>
        <v>816</v>
      </c>
      <c r="L38" s="3" cm="1">
        <f t="array" ref="L38">$L$10+(F38-1)*(属性总览!$I$5+INDEX($L$4:$L$6,MATCH(1,($B$4:$B$6=$B38)*($D$4:$D$6=$D38),0)))</f>
        <v>716</v>
      </c>
      <c r="M38" s="3" cm="1">
        <f t="array" ref="M38">ROUND(MIN($M$10+(G38-1)*(属性总览!$H$6+INDEX($M$4:$M$6,MATCH(1,($B$4:$B$6=$B38)*($D$4:$D$6=$D38),0))),100),0)</f>
        <v>86</v>
      </c>
      <c r="N38" s="3" cm="1">
        <f t="array" ref="N38">ROUND(MIN($N$10+(G38-1)*(属性总览!$I$6+INDEX($N$4:$N$6,MATCH(1,($B$4:$B$6=$B38)*($D$4:$D$6=$D38),0))),30),0)</f>
        <v>16</v>
      </c>
      <c r="O38" s="3" cm="1">
        <f t="array" ref="O38">$O$10+(H38-1)*(属性总览!$H$5+INDEX($O$4:$O$7,MATCH(1,($B$4:$B$6=$B38)*($D$4:$D$6=$D38),0)))</f>
        <v>336</v>
      </c>
      <c r="P38" s="3">
        <f t="shared" si="6"/>
        <v>20</v>
      </c>
      <c r="Q38" s="3">
        <f t="shared" si="7"/>
        <v>20</v>
      </c>
      <c r="R38" s="3">
        <f t="shared" si="8"/>
        <v>150</v>
      </c>
      <c r="S38" s="3">
        <f t="shared" si="9"/>
        <v>100</v>
      </c>
      <c r="T38" s="3">
        <f t="shared" si="5"/>
        <v>100</v>
      </c>
      <c r="U38" s="3">
        <v>1</v>
      </c>
      <c r="V38" s="3">
        <v>1</v>
      </c>
      <c r="W38" s="3">
        <v>1</v>
      </c>
    </row>
    <row r="39" spans="2:23">
      <c r="B39" s="3" t="s">
        <v>316</v>
      </c>
      <c r="C39" s="3">
        <v>30</v>
      </c>
      <c r="D39" s="3">
        <v>3</v>
      </c>
      <c r="E39" s="3" cm="1">
        <f t="array" ref="E39">E$10+INDEX(E$4:E$6,MATCH(1,($B$4:$B$6=$B39)*($D$4:$D$6=$D39),0))*($C39-1)</f>
        <v>30</v>
      </c>
      <c r="F39" s="3" cm="1">
        <f t="array" ref="F39">F$10+INDEX(F$4:F$6,MATCH(1,($B$4:$B$6=$B39)*($D$4:$D$6=$D39),0))*($C39-1)</f>
        <v>30</v>
      </c>
      <c r="G39" s="3" cm="1">
        <f t="array" ref="G39">G$10+INDEX(G$4:G$6,MATCH(1,($B$4:$B$6=$B39)*($D$4:$D$6=$D39),0))*($C39-1)</f>
        <v>30</v>
      </c>
      <c r="H39" s="3" cm="1">
        <f t="array" ref="H39">H$10+INDEX(H$4:H$6,MATCH(1,($B$4:$B$6=$B39)*($D$4:$D$6=$D39),0))*($C39-1)</f>
        <v>30</v>
      </c>
      <c r="I39" s="3" cm="1">
        <f t="array" ref="I39">$I$10+(E39-1)*(属性总览!$H$4+INDEX($I$4:$I$6,MATCH(1,($B$4:$B$6=$B39)*($D$4:$D$6=$D39),0)))</f>
        <v>223</v>
      </c>
      <c r="J39" s="3" cm="1">
        <f t="array" ref="J39">$J$10+(F39-1)*(属性总览!$H$5+INDEX($K$4:$K$6,MATCH(1,($B$4:$B$6=$B39)*($D$4:$D$6=$D39),0)))</f>
        <v>388</v>
      </c>
      <c r="K39" s="3" cm="1">
        <f t="array" ref="K39">$K$10+(H39-1)*(属性总览!$H$7+INDEX($O$4:$O$6,MATCH(1,($B$4:$B$6=$B39)*($D$4:$D$6=$D39),0)))</f>
        <v>838</v>
      </c>
      <c r="L39" s="3" cm="1">
        <f t="array" ref="L39">$L$10+(F39-1)*(属性总览!$I$5+INDEX($L$4:$L$6,MATCH(1,($B$4:$B$6=$B39)*($D$4:$D$6=$D39),0)))</f>
        <v>738</v>
      </c>
      <c r="M39" s="3" cm="1">
        <f t="array" ref="M39">ROUND(MIN($M$10+(G39-1)*(属性总览!$H$6+INDEX($M$4:$M$6,MATCH(1,($B$4:$B$6=$B39)*($D$4:$D$6=$D39),0))),100),0)</f>
        <v>86</v>
      </c>
      <c r="N39" s="3" cm="1">
        <f t="array" ref="N39">ROUND(MIN($N$10+(G39-1)*(属性总览!$I$6+INDEX($N$4:$N$6,MATCH(1,($B$4:$B$6=$B39)*($D$4:$D$6=$D39),0))),30),0)</f>
        <v>16</v>
      </c>
      <c r="O39" s="3" cm="1">
        <f t="array" ref="O39">$O$10+(H39-1)*(属性总览!$H$5+INDEX($O$4:$O$7,MATCH(1,($B$4:$B$6=$B39)*($D$4:$D$6=$D39),0)))</f>
        <v>348</v>
      </c>
      <c r="P39" s="3">
        <f t="shared" si="6"/>
        <v>20</v>
      </c>
      <c r="Q39" s="3">
        <f t="shared" si="7"/>
        <v>20</v>
      </c>
      <c r="R39" s="3">
        <f t="shared" si="8"/>
        <v>150</v>
      </c>
      <c r="S39" s="3">
        <f t="shared" si="9"/>
        <v>100</v>
      </c>
      <c r="T39" s="3">
        <f t="shared" si="5"/>
        <v>100</v>
      </c>
      <c r="U39" s="3">
        <v>1</v>
      </c>
      <c r="V39" s="3">
        <v>1</v>
      </c>
      <c r="W39" s="3">
        <v>1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A96F2-1633-49DE-B8E4-C28BFCA2CDBF}">
  <sheetPr codeName="Sheet7"/>
  <dimension ref="A2:W39"/>
  <sheetViews>
    <sheetView workbookViewId="0"/>
  </sheetViews>
  <sheetFormatPr defaultColWidth="13.77734375" defaultRowHeight="15.6"/>
  <cols>
    <col min="13" max="14" width="13.77734375" style="1"/>
    <col min="21" max="21" width="13.77734375" style="1"/>
  </cols>
  <sheetData>
    <row r="2" spans="1:23" ht="16.2">
      <c r="A2" s="1"/>
      <c r="B2" s="2" t="s">
        <v>335</v>
      </c>
      <c r="C2" s="1"/>
      <c r="D2" s="1"/>
      <c r="E2" s="1"/>
      <c r="F2" s="1"/>
      <c r="G2" s="1"/>
      <c r="H2" s="1"/>
      <c r="I2" s="1"/>
      <c r="J2" s="1"/>
      <c r="K2" s="1"/>
      <c r="L2" s="1"/>
      <c r="O2" s="1"/>
      <c r="P2" s="1"/>
      <c r="Q2" s="1"/>
      <c r="R2" s="1"/>
      <c r="S2" s="1"/>
      <c r="T2" s="1"/>
    </row>
    <row r="3" spans="1:23" ht="16.2">
      <c r="A3" s="1"/>
      <c r="B3" s="35" t="s">
        <v>336</v>
      </c>
      <c r="C3" s="35" t="s">
        <v>176</v>
      </c>
      <c r="D3" s="35" t="s">
        <v>326</v>
      </c>
      <c r="E3" s="35" t="s">
        <v>318</v>
      </c>
      <c r="F3" s="35" t="s">
        <v>319</v>
      </c>
      <c r="G3" s="35" t="s">
        <v>320</v>
      </c>
      <c r="H3" s="35" t="s">
        <v>321</v>
      </c>
      <c r="I3" s="35" t="s">
        <v>322</v>
      </c>
      <c r="J3" s="35" t="s">
        <v>323</v>
      </c>
      <c r="K3" s="35" t="s">
        <v>324</v>
      </c>
      <c r="L3" s="35" t="s">
        <v>325</v>
      </c>
      <c r="M3" s="35" t="s">
        <v>327</v>
      </c>
      <c r="N3" s="35" t="s">
        <v>334</v>
      </c>
      <c r="O3" s="35" t="s">
        <v>328</v>
      </c>
      <c r="P3" s="35" t="s">
        <v>329</v>
      </c>
      <c r="Q3" s="1"/>
      <c r="R3" s="1"/>
      <c r="S3" s="1"/>
      <c r="T3" s="1"/>
    </row>
    <row r="4" spans="1:23">
      <c r="A4" s="1"/>
      <c r="B4" s="3" t="s">
        <v>337</v>
      </c>
      <c r="C4" s="3" t="s">
        <v>44</v>
      </c>
      <c r="D4" s="3">
        <v>1</v>
      </c>
      <c r="E4" s="3">
        <v>1</v>
      </c>
      <c r="F4" s="3">
        <v>1</v>
      </c>
      <c r="G4" s="3">
        <v>1</v>
      </c>
      <c r="H4" s="3">
        <v>1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1"/>
      <c r="R4" s="1"/>
      <c r="S4" s="1"/>
      <c r="T4" s="1"/>
    </row>
    <row r="5" spans="1:23">
      <c r="A5" s="1"/>
      <c r="B5" s="3" t="s">
        <v>337</v>
      </c>
      <c r="C5" s="3" t="s">
        <v>44</v>
      </c>
      <c r="D5" s="3">
        <v>2</v>
      </c>
      <c r="E5" s="3">
        <v>1</v>
      </c>
      <c r="F5" s="3">
        <v>1</v>
      </c>
      <c r="G5" s="3">
        <v>1</v>
      </c>
      <c r="H5" s="3">
        <v>1</v>
      </c>
      <c r="I5" s="3">
        <v>1</v>
      </c>
      <c r="J5" s="3">
        <v>1</v>
      </c>
      <c r="K5" s="3">
        <v>1</v>
      </c>
      <c r="L5" s="3">
        <v>1</v>
      </c>
      <c r="M5" s="3">
        <v>0.1</v>
      </c>
      <c r="N5" s="3">
        <v>0.1</v>
      </c>
      <c r="O5" s="3">
        <v>1</v>
      </c>
      <c r="P5" s="3">
        <v>1</v>
      </c>
      <c r="Q5" s="1"/>
      <c r="R5" s="1"/>
      <c r="S5" s="1"/>
      <c r="T5" s="1"/>
    </row>
    <row r="6" spans="1:23">
      <c r="A6" s="1"/>
      <c r="B6" s="3" t="s">
        <v>337</v>
      </c>
      <c r="C6" s="3" t="s">
        <v>44</v>
      </c>
      <c r="D6" s="3">
        <v>3</v>
      </c>
      <c r="E6" s="3">
        <v>1</v>
      </c>
      <c r="F6" s="3">
        <v>1</v>
      </c>
      <c r="G6" s="3">
        <v>1</v>
      </c>
      <c r="H6" s="3">
        <v>1</v>
      </c>
      <c r="I6" s="3">
        <v>2</v>
      </c>
      <c r="J6" s="3">
        <v>2</v>
      </c>
      <c r="K6" s="3">
        <v>2</v>
      </c>
      <c r="L6" s="3">
        <v>2</v>
      </c>
      <c r="M6" s="3">
        <v>0.15</v>
      </c>
      <c r="N6" s="3">
        <v>0.15</v>
      </c>
      <c r="O6" s="3">
        <v>2</v>
      </c>
      <c r="P6" s="3">
        <v>2</v>
      </c>
      <c r="Q6" s="1"/>
      <c r="R6" s="1"/>
      <c r="S6" s="1"/>
      <c r="T6" s="1"/>
    </row>
    <row r="7" spans="1:2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O7" s="1"/>
      <c r="P7" s="1"/>
      <c r="Q7" s="1"/>
      <c r="R7" s="1"/>
      <c r="S7" s="1"/>
      <c r="T7" s="1"/>
    </row>
    <row r="8" spans="1:23" ht="16.2">
      <c r="A8" s="1"/>
      <c r="B8" s="2" t="s">
        <v>338</v>
      </c>
      <c r="C8" s="1"/>
      <c r="D8" s="1"/>
      <c r="E8" s="1"/>
      <c r="F8" s="1"/>
      <c r="G8" s="1"/>
      <c r="H8" s="1"/>
      <c r="I8" s="1"/>
      <c r="J8" s="1"/>
      <c r="K8" s="1"/>
      <c r="L8" s="1"/>
      <c r="O8" s="1"/>
      <c r="P8" s="1"/>
      <c r="Q8" s="1"/>
      <c r="R8" s="1"/>
      <c r="S8" s="1"/>
      <c r="T8" s="1"/>
    </row>
    <row r="9" spans="1:23" ht="16.2">
      <c r="A9" s="1"/>
      <c r="B9" s="35" t="s">
        <v>336</v>
      </c>
      <c r="C9" s="35" t="s">
        <v>339</v>
      </c>
      <c r="D9" s="35" t="s">
        <v>340</v>
      </c>
      <c r="E9" s="35" t="s">
        <v>216</v>
      </c>
      <c r="F9" s="35" t="s">
        <v>305</v>
      </c>
      <c r="G9" s="35" t="s">
        <v>307</v>
      </c>
      <c r="H9" s="35" t="s">
        <v>213</v>
      </c>
      <c r="I9" s="35" t="s">
        <v>285</v>
      </c>
      <c r="J9" s="35" t="s">
        <v>287</v>
      </c>
      <c r="K9" s="35" t="s">
        <v>309</v>
      </c>
      <c r="L9" s="35" t="s">
        <v>310</v>
      </c>
      <c r="M9" s="35" t="s">
        <v>311</v>
      </c>
      <c r="N9" s="35" t="s">
        <v>312</v>
      </c>
      <c r="O9" s="35" t="s">
        <v>282</v>
      </c>
      <c r="P9" s="35" t="s">
        <v>314</v>
      </c>
      <c r="Q9" s="35" t="s">
        <v>315</v>
      </c>
      <c r="R9" s="35" t="s">
        <v>313</v>
      </c>
      <c r="S9" s="35" t="s">
        <v>331</v>
      </c>
      <c r="T9" s="35" t="s">
        <v>349</v>
      </c>
      <c r="U9" s="35" t="s">
        <v>504</v>
      </c>
      <c r="V9" s="35" t="s">
        <v>505</v>
      </c>
      <c r="W9" s="35" t="s">
        <v>506</v>
      </c>
    </row>
    <row r="10" spans="1:23">
      <c r="A10" s="1"/>
      <c r="B10" s="3" t="s">
        <v>337</v>
      </c>
      <c r="C10" s="3">
        <v>1</v>
      </c>
      <c r="D10" s="3">
        <v>1</v>
      </c>
      <c r="E10" s="3">
        <v>1</v>
      </c>
      <c r="F10" s="3">
        <v>1</v>
      </c>
      <c r="G10" s="3">
        <v>1</v>
      </c>
      <c r="H10" s="3">
        <v>1</v>
      </c>
      <c r="I10" s="3">
        <v>10</v>
      </c>
      <c r="J10" s="3">
        <v>20</v>
      </c>
      <c r="K10" s="3">
        <v>200</v>
      </c>
      <c r="L10" s="3">
        <v>100</v>
      </c>
      <c r="M10" s="3">
        <v>80</v>
      </c>
      <c r="N10" s="3">
        <v>10</v>
      </c>
      <c r="O10" s="3">
        <v>0</v>
      </c>
      <c r="P10" s="3">
        <v>20</v>
      </c>
      <c r="Q10" s="3">
        <v>20</v>
      </c>
      <c r="R10" s="3">
        <v>150</v>
      </c>
      <c r="S10" s="3">
        <v>100</v>
      </c>
      <c r="T10" s="3">
        <v>100</v>
      </c>
      <c r="U10" s="3">
        <v>1</v>
      </c>
      <c r="V10" s="3">
        <v>1</v>
      </c>
      <c r="W10" s="3">
        <v>1</v>
      </c>
    </row>
    <row r="11" spans="1:23">
      <c r="A11" s="1"/>
      <c r="B11" s="3" t="s">
        <v>337</v>
      </c>
      <c r="C11" s="3">
        <v>2</v>
      </c>
      <c r="D11" s="3">
        <v>1</v>
      </c>
      <c r="E11" s="3" cm="1">
        <f t="array" ref="E11">E$10+INDEX(E$4:E$6,MATCH(1,($B$4:$B$6=$B11)*($D$4:$D$6=$D11),0))*($C11-1)</f>
        <v>2</v>
      </c>
      <c r="F11" s="3" cm="1">
        <f t="array" ref="F11">F$10+INDEX(F$4:F$6,MATCH(1,($B$4:$B$6=$B11)*($D$4:$D$6=$D11),0))*($C11-1)</f>
        <v>2</v>
      </c>
      <c r="G11" s="3" cm="1">
        <f t="array" ref="G11">G$10+INDEX(G$4:G$6,MATCH(1,($B$4:$B$6=$B11)*($D$4:$D$6=$D11),0))*($C11-1)</f>
        <v>2</v>
      </c>
      <c r="H11" s="3" cm="1">
        <f t="array" ref="H11">H$10+INDEX(H$4:H$6,MATCH(1,($B$4:$B$6=$B11)*($D$4:$D$6=$D11),0))*($C11-1)</f>
        <v>2</v>
      </c>
      <c r="I11" s="3" cm="1">
        <f t="array" ref="I11">ROUND($I$10+(E11-1)*(属性总览!$H$4+INDEX($I$4:$I$6,MATCH(1,($B$4:$B$6=$B11)*($D$4:$D$6=$D11),0)))*系统框架!$F$17/系统框架!$F$15,0)</f>
        <v>13</v>
      </c>
      <c r="J11" s="3" cm="1">
        <f t="array" ref="J11">ROUND($J$10+(F11-1)*(属性总览!$H$5+INDEX($K$4:$K$6,MATCH(1,($B$4:$B$6=$B11)*($D$4:$D$6=$D11),0)))*系统框架!$F$17/系统框架!$F$15,0)</f>
        <v>27</v>
      </c>
      <c r="K11" s="3" cm="1">
        <f t="array" ref="K11">$K$10+(H11-1)*(属性总览!$H$7+INDEX($O$4:$O$6,MATCH(1,($B$4:$B$6=$B11)*($D$4:$D$6=$D11),0)))</f>
        <v>220</v>
      </c>
      <c r="L11" s="3" cm="1">
        <f t="array" ref="L11">$L$10+(F11-1)*(属性总览!$I$5+INDEX($L$4:$L$6,MATCH(1,($B$4:$B$6=$B11)*($D$4:$D$6=$D11),0)))</f>
        <v>120</v>
      </c>
      <c r="M11" s="3" cm="1">
        <f t="array" ref="M11">ROUND(MIN($M$10+(G11-1)*(属性总览!$H$6+INDEX($M$4:$M$6,MATCH(1,($B$4:$B$6=$B11)*($D$4:$D$6=$D11),0))),100),0)</f>
        <v>80</v>
      </c>
      <c r="N11" s="3" cm="1">
        <f t="array" ref="N11">ROUND(MIN($N$10+(G11-1)*(属性总览!$I$6+INDEX($N$4:$N$6,MATCH(1,($B$4:$B$6=$B11)*($D$4:$D$6=$D11),0))),30),0)</f>
        <v>10</v>
      </c>
      <c r="O11" s="3" cm="1">
        <f t="array" ref="O11">$O$10+(H11-1)*(属性总览!$H$5+INDEX($O$4:$O$7,MATCH(1,($B$4:$B$6=$B11)*($D$4:$D$6=$D11),0)))</f>
        <v>10</v>
      </c>
      <c r="P11" s="3">
        <f t="shared" ref="P11:T26" si="0">P10</f>
        <v>20</v>
      </c>
      <c r="Q11" s="3">
        <f t="shared" si="0"/>
        <v>20</v>
      </c>
      <c r="R11" s="3">
        <f t="shared" si="0"/>
        <v>150</v>
      </c>
      <c r="S11" s="3">
        <f>S10</f>
        <v>100</v>
      </c>
      <c r="T11" s="3">
        <f>T10</f>
        <v>100</v>
      </c>
      <c r="U11" s="3">
        <v>1</v>
      </c>
      <c r="V11" s="3">
        <v>1</v>
      </c>
      <c r="W11" s="3">
        <v>1</v>
      </c>
    </row>
    <row r="12" spans="1:23">
      <c r="A12" s="1"/>
      <c r="B12" s="3" t="s">
        <v>337</v>
      </c>
      <c r="C12" s="3">
        <v>3</v>
      </c>
      <c r="D12" s="3">
        <v>1</v>
      </c>
      <c r="E12" s="3" cm="1">
        <f t="array" ref="E12">E$10+INDEX(E$4:E$6,MATCH(1,($B$4:$B$6=$B12)*($D$4:$D$6=$D12),0))*($C12-1)</f>
        <v>3</v>
      </c>
      <c r="F12" s="3" cm="1">
        <f t="array" ref="F12">F$10+INDEX(F$4:F$6,MATCH(1,($B$4:$B$6=$B12)*($D$4:$D$6=$D12),0))*($C12-1)</f>
        <v>3</v>
      </c>
      <c r="G12" s="3" cm="1">
        <f t="array" ref="G12">G$10+INDEX(G$4:G$6,MATCH(1,($B$4:$B$6=$B12)*($D$4:$D$6=$D12),0))*($C12-1)</f>
        <v>3</v>
      </c>
      <c r="H12" s="3" cm="1">
        <f t="array" ref="H12">H$10+INDEX(H$4:H$6,MATCH(1,($B$4:$B$6=$B12)*($D$4:$D$6=$D12),0))*($C12-1)</f>
        <v>3</v>
      </c>
      <c r="I12" s="3" cm="1">
        <f t="array" ref="I12">ROUND($I$10+(E12-1)*(属性总览!$H$4+INDEX($I$4:$I$6,MATCH(1,($B$4:$B$6=$B12)*($D$4:$D$6=$D12),0)))*系统框架!$F$17/系统框架!$F$15,0)</f>
        <v>17</v>
      </c>
      <c r="J12" s="3" cm="1">
        <f t="array" ref="J12">ROUND($J$10+(F12-1)*(属性总览!$H$5+INDEX($K$4:$K$6,MATCH(1,($B$4:$B$6=$B12)*($D$4:$D$6=$D12),0)))*系统框架!$F$17/系统框架!$F$15,0)</f>
        <v>33</v>
      </c>
      <c r="K12" s="3" cm="1">
        <f t="array" ref="K12">$K$10+(H12-1)*(属性总览!$H$7+INDEX($O$4:$O$6,MATCH(1,($B$4:$B$6=$B12)*($D$4:$D$6=$D12),0)))</f>
        <v>240</v>
      </c>
      <c r="L12" s="3" cm="1">
        <f t="array" ref="L12">$L$10+(F12-1)*(属性总览!$I$5+INDEX($L$4:$L$6,MATCH(1,($B$4:$B$6=$B12)*($D$4:$D$6=$D12),0)))</f>
        <v>140</v>
      </c>
      <c r="M12" s="3" cm="1">
        <f t="array" ref="M12">ROUND(MIN($M$10+(G12-1)*(属性总览!$H$6+INDEX($M$4:$M$6,MATCH(1,($B$4:$B$6=$B12)*($D$4:$D$6=$D12),0))),100),0)</f>
        <v>80</v>
      </c>
      <c r="N12" s="3" cm="1">
        <f t="array" ref="N12">ROUND(MIN($N$10+(G12-1)*(属性总览!$I$6+INDEX($N$4:$N$6,MATCH(1,($B$4:$B$6=$B12)*($D$4:$D$6=$D12),0))),30),0)</f>
        <v>10</v>
      </c>
      <c r="O12" s="3" cm="1">
        <f t="array" ref="O12">$O$10+(H12-1)*(属性总览!$H$5+INDEX($O$4:$O$7,MATCH(1,($B$4:$B$6=$B12)*($D$4:$D$6=$D12),0)))</f>
        <v>20</v>
      </c>
      <c r="P12" s="3">
        <f t="shared" si="0"/>
        <v>20</v>
      </c>
      <c r="Q12" s="3">
        <f t="shared" si="0"/>
        <v>20</v>
      </c>
      <c r="R12" s="3">
        <f t="shared" si="0"/>
        <v>150</v>
      </c>
      <c r="S12" s="3">
        <f t="shared" si="0"/>
        <v>100</v>
      </c>
      <c r="T12" s="3">
        <f t="shared" si="0"/>
        <v>100</v>
      </c>
      <c r="U12" s="3">
        <v>1</v>
      </c>
      <c r="V12" s="3">
        <v>1</v>
      </c>
      <c r="W12" s="3">
        <v>1</v>
      </c>
    </row>
    <row r="13" spans="1:23">
      <c r="A13" s="1"/>
      <c r="B13" s="3" t="s">
        <v>337</v>
      </c>
      <c r="C13" s="3">
        <v>4</v>
      </c>
      <c r="D13" s="3">
        <v>1</v>
      </c>
      <c r="E13" s="3" cm="1">
        <f t="array" ref="E13">E$10+INDEX(E$4:E$6,MATCH(1,($B$4:$B$6=$B13)*($D$4:$D$6=$D13),0))*($C13-1)</f>
        <v>4</v>
      </c>
      <c r="F13" s="3" cm="1">
        <f t="array" ref="F13">F$10+INDEX(F$4:F$6,MATCH(1,($B$4:$B$6=$B13)*($D$4:$D$6=$D13),0))*($C13-1)</f>
        <v>4</v>
      </c>
      <c r="G13" s="3" cm="1">
        <f t="array" ref="G13">G$10+INDEX(G$4:G$6,MATCH(1,($B$4:$B$6=$B13)*($D$4:$D$6=$D13),0))*($C13-1)</f>
        <v>4</v>
      </c>
      <c r="H13" s="3" cm="1">
        <f t="array" ref="H13">H$10+INDEX(H$4:H$6,MATCH(1,($B$4:$B$6=$B13)*($D$4:$D$6=$D13),0))*($C13-1)</f>
        <v>4</v>
      </c>
      <c r="I13" s="3" cm="1">
        <f t="array" ref="I13">ROUND($I$10+(E13-1)*(属性总览!$H$4+INDEX($I$4:$I$6,MATCH(1,($B$4:$B$6=$B13)*($D$4:$D$6=$D13),0)))*系统框架!$F$17/系统框架!$F$15,0)</f>
        <v>20</v>
      </c>
      <c r="J13" s="3" cm="1">
        <f t="array" ref="J13">ROUND($J$10+(F13-1)*(属性总览!$H$5+INDEX($K$4:$K$6,MATCH(1,($B$4:$B$6=$B13)*($D$4:$D$6=$D13),0)))*系统框架!$F$17/系统框架!$F$15,0)</f>
        <v>40</v>
      </c>
      <c r="K13" s="3" cm="1">
        <f t="array" ref="K13">$K$10+(H13-1)*(属性总览!$H$7+INDEX($O$4:$O$6,MATCH(1,($B$4:$B$6=$B13)*($D$4:$D$6=$D13),0)))</f>
        <v>260</v>
      </c>
      <c r="L13" s="3" cm="1">
        <f t="array" ref="L13">$L$10+(F13-1)*(属性总览!$I$5+INDEX($L$4:$L$6,MATCH(1,($B$4:$B$6=$B13)*($D$4:$D$6=$D13),0)))</f>
        <v>160</v>
      </c>
      <c r="M13" s="3" cm="1">
        <f t="array" ref="M13">ROUND(MIN($M$10+(G13-1)*(属性总览!$H$6+INDEX($M$4:$M$6,MATCH(1,($B$4:$B$6=$B13)*($D$4:$D$6=$D13),0))),100),0)</f>
        <v>80</v>
      </c>
      <c r="N13" s="3" cm="1">
        <f t="array" ref="N13">ROUND(MIN($N$10+(G13-1)*(属性总览!$I$6+INDEX($N$4:$N$6,MATCH(1,($B$4:$B$6=$B13)*($D$4:$D$6=$D13),0))),30),0)</f>
        <v>10</v>
      </c>
      <c r="O13" s="3" cm="1">
        <f t="array" ref="O13">$O$10+(H13-1)*(属性总览!$H$5+INDEX($O$4:$O$7,MATCH(1,($B$4:$B$6=$B13)*($D$4:$D$6=$D13),0)))</f>
        <v>30</v>
      </c>
      <c r="P13" s="3">
        <f t="shared" si="0"/>
        <v>20</v>
      </c>
      <c r="Q13" s="3">
        <f t="shared" si="0"/>
        <v>20</v>
      </c>
      <c r="R13" s="3">
        <f t="shared" si="0"/>
        <v>150</v>
      </c>
      <c r="S13" s="3">
        <f t="shared" si="0"/>
        <v>100</v>
      </c>
      <c r="T13" s="3">
        <f t="shared" si="0"/>
        <v>100</v>
      </c>
      <c r="U13" s="3">
        <v>1</v>
      </c>
      <c r="V13" s="3">
        <v>1</v>
      </c>
      <c r="W13" s="3">
        <v>1</v>
      </c>
    </row>
    <row r="14" spans="1:23">
      <c r="A14" s="1"/>
      <c r="B14" s="3" t="s">
        <v>337</v>
      </c>
      <c r="C14" s="3">
        <v>5</v>
      </c>
      <c r="D14" s="3">
        <v>1</v>
      </c>
      <c r="E14" s="3" cm="1">
        <f t="array" ref="E14">E$10+INDEX(E$4:E$6,MATCH(1,($B$4:$B$6=$B14)*($D$4:$D$6=$D14),0))*($C14-1)</f>
        <v>5</v>
      </c>
      <c r="F14" s="3" cm="1">
        <f t="array" ref="F14">F$10+INDEX(F$4:F$6,MATCH(1,($B$4:$B$6=$B14)*($D$4:$D$6=$D14),0))*($C14-1)</f>
        <v>5</v>
      </c>
      <c r="G14" s="3" cm="1">
        <f t="array" ref="G14">G$10+INDEX(G$4:G$6,MATCH(1,($B$4:$B$6=$B14)*($D$4:$D$6=$D14),0))*($C14-1)</f>
        <v>5</v>
      </c>
      <c r="H14" s="3" cm="1">
        <f t="array" ref="H14">H$10+INDEX(H$4:H$6,MATCH(1,($B$4:$B$6=$B14)*($D$4:$D$6=$D14),0))*($C14-1)</f>
        <v>5</v>
      </c>
      <c r="I14" s="3" cm="1">
        <f t="array" ref="I14">ROUND($I$10+(E14-1)*(属性总览!$H$4+INDEX($I$4:$I$6,MATCH(1,($B$4:$B$6=$B14)*($D$4:$D$6=$D14),0)))*系统框架!$F$17/系统框架!$F$15,0)</f>
        <v>23</v>
      </c>
      <c r="J14" s="3" cm="1">
        <f t="array" ref="J14">ROUND($J$10+(F14-1)*(属性总览!$H$5+INDEX($K$4:$K$6,MATCH(1,($B$4:$B$6=$B14)*($D$4:$D$6=$D14),0)))*系统框架!$F$17/系统框架!$F$15,0)</f>
        <v>47</v>
      </c>
      <c r="K14" s="3" cm="1">
        <f t="array" ref="K14">$K$10+(H14-1)*(属性总览!$H$7+INDEX($O$4:$O$6,MATCH(1,($B$4:$B$6=$B14)*($D$4:$D$6=$D14),0)))</f>
        <v>280</v>
      </c>
      <c r="L14" s="3" cm="1">
        <f t="array" ref="L14">$L$10+(F14-1)*(属性总览!$I$5+INDEX($L$4:$L$6,MATCH(1,($B$4:$B$6=$B14)*($D$4:$D$6=$D14),0)))</f>
        <v>180</v>
      </c>
      <c r="M14" s="3" cm="1">
        <f t="array" ref="M14">ROUND(MIN($M$10+(G14-1)*(属性总览!$H$6+INDEX($M$4:$M$6,MATCH(1,($B$4:$B$6=$B14)*($D$4:$D$6=$D14),0))),100),0)</f>
        <v>80</v>
      </c>
      <c r="N14" s="3" cm="1">
        <f t="array" ref="N14">ROUND(MIN($N$10+(G14-1)*(属性总览!$I$6+INDEX($N$4:$N$6,MATCH(1,($B$4:$B$6=$B14)*($D$4:$D$6=$D14),0))),30),0)</f>
        <v>10</v>
      </c>
      <c r="O14" s="3" cm="1">
        <f t="array" ref="O14">$O$10+(H14-1)*(属性总览!$H$5+INDEX($O$4:$O$7,MATCH(1,($B$4:$B$6=$B14)*($D$4:$D$6=$D14),0)))</f>
        <v>40</v>
      </c>
      <c r="P14" s="3">
        <f t="shared" si="0"/>
        <v>20</v>
      </c>
      <c r="Q14" s="3">
        <f t="shared" si="0"/>
        <v>20</v>
      </c>
      <c r="R14" s="3">
        <f t="shared" si="0"/>
        <v>150</v>
      </c>
      <c r="S14" s="3">
        <f t="shared" si="0"/>
        <v>100</v>
      </c>
      <c r="T14" s="3">
        <f t="shared" si="0"/>
        <v>100</v>
      </c>
      <c r="U14" s="3">
        <v>1</v>
      </c>
      <c r="V14" s="3">
        <v>1</v>
      </c>
      <c r="W14" s="3">
        <v>1</v>
      </c>
    </row>
    <row r="15" spans="1:23">
      <c r="A15" s="1"/>
      <c r="B15" s="3" t="s">
        <v>337</v>
      </c>
      <c r="C15" s="3">
        <v>6</v>
      </c>
      <c r="D15" s="3">
        <v>1</v>
      </c>
      <c r="E15" s="3" cm="1">
        <f t="array" ref="E15">E$10+INDEX(E$4:E$6,MATCH(1,($B$4:$B$6=$B15)*($D$4:$D$6=$D15),0))*($C15-1)</f>
        <v>6</v>
      </c>
      <c r="F15" s="3" cm="1">
        <f t="array" ref="F15">F$10+INDEX(F$4:F$6,MATCH(1,($B$4:$B$6=$B15)*($D$4:$D$6=$D15),0))*($C15-1)</f>
        <v>6</v>
      </c>
      <c r="G15" s="3" cm="1">
        <f t="array" ref="G15">G$10+INDEX(G$4:G$6,MATCH(1,($B$4:$B$6=$B15)*($D$4:$D$6=$D15),0))*($C15-1)</f>
        <v>6</v>
      </c>
      <c r="H15" s="3" cm="1">
        <f t="array" ref="H15">H$10+INDEX(H$4:H$6,MATCH(1,($B$4:$B$6=$B15)*($D$4:$D$6=$D15),0))*($C15-1)</f>
        <v>6</v>
      </c>
      <c r="I15" s="3" cm="1">
        <f t="array" ref="I15">ROUND($I$10+(E15-1)*(属性总览!$H$4+INDEX($I$4:$I$6,MATCH(1,($B$4:$B$6=$B15)*($D$4:$D$6=$D15),0)))*系统框架!$F$17/系统框架!$F$15,0)</f>
        <v>27</v>
      </c>
      <c r="J15" s="3" cm="1">
        <f t="array" ref="J15">ROUND($J$10+(F15-1)*(属性总览!$H$5+INDEX($K$4:$K$6,MATCH(1,($B$4:$B$6=$B15)*($D$4:$D$6=$D15),0)))*系统框架!$F$17/系统框架!$F$15,0)</f>
        <v>53</v>
      </c>
      <c r="K15" s="3" cm="1">
        <f t="array" ref="K15">$K$10+(H15-1)*(属性总览!$H$7+INDEX($O$4:$O$6,MATCH(1,($B$4:$B$6=$B15)*($D$4:$D$6=$D15),0)))</f>
        <v>300</v>
      </c>
      <c r="L15" s="3" cm="1">
        <f t="array" ref="L15">$L$10+(F15-1)*(属性总览!$I$5+INDEX($L$4:$L$6,MATCH(1,($B$4:$B$6=$B15)*($D$4:$D$6=$D15),0)))</f>
        <v>200</v>
      </c>
      <c r="M15" s="3" cm="1">
        <f t="array" ref="M15">ROUND(MIN($M$10+(G15-1)*(属性总览!$H$6+INDEX($M$4:$M$6,MATCH(1,($B$4:$B$6=$B15)*($D$4:$D$6=$D15),0))),100),0)</f>
        <v>80</v>
      </c>
      <c r="N15" s="3" cm="1">
        <f t="array" ref="N15">ROUND(MIN($N$10+(G15-1)*(属性总览!$I$6+INDEX($N$4:$N$6,MATCH(1,($B$4:$B$6=$B15)*($D$4:$D$6=$D15),0))),30),0)</f>
        <v>10</v>
      </c>
      <c r="O15" s="3" cm="1">
        <f t="array" ref="O15">$O$10+(H15-1)*(属性总览!$H$5+INDEX($O$4:$O$7,MATCH(1,($B$4:$B$6=$B15)*($D$4:$D$6=$D15),0)))</f>
        <v>50</v>
      </c>
      <c r="P15" s="3">
        <f t="shared" si="0"/>
        <v>20</v>
      </c>
      <c r="Q15" s="3">
        <f t="shared" si="0"/>
        <v>20</v>
      </c>
      <c r="R15" s="3">
        <f t="shared" si="0"/>
        <v>150</v>
      </c>
      <c r="S15" s="3">
        <f t="shared" si="0"/>
        <v>100</v>
      </c>
      <c r="T15" s="3">
        <f t="shared" si="0"/>
        <v>100</v>
      </c>
      <c r="U15" s="3">
        <v>1</v>
      </c>
      <c r="V15" s="3">
        <v>1</v>
      </c>
      <c r="W15" s="3">
        <v>1</v>
      </c>
    </row>
    <row r="16" spans="1:23">
      <c r="A16" s="1"/>
      <c r="B16" s="3" t="s">
        <v>337</v>
      </c>
      <c r="C16" s="3">
        <v>7</v>
      </c>
      <c r="D16" s="3">
        <v>1</v>
      </c>
      <c r="E16" s="3" cm="1">
        <f t="array" ref="E16">E$10+INDEX(E$4:E$6,MATCH(1,($B$4:$B$6=$B16)*($D$4:$D$6=$D16),0))*($C16-1)</f>
        <v>7</v>
      </c>
      <c r="F16" s="3" cm="1">
        <f t="array" ref="F16">F$10+INDEX(F$4:F$6,MATCH(1,($B$4:$B$6=$B16)*($D$4:$D$6=$D16),0))*($C16-1)</f>
        <v>7</v>
      </c>
      <c r="G16" s="3" cm="1">
        <f t="array" ref="G16">G$10+INDEX(G$4:G$6,MATCH(1,($B$4:$B$6=$B16)*($D$4:$D$6=$D16),0))*($C16-1)</f>
        <v>7</v>
      </c>
      <c r="H16" s="3" cm="1">
        <f t="array" ref="H16">H$10+INDEX(H$4:H$6,MATCH(1,($B$4:$B$6=$B16)*($D$4:$D$6=$D16),0))*($C16-1)</f>
        <v>7</v>
      </c>
      <c r="I16" s="3" cm="1">
        <f t="array" ref="I16">ROUND($I$10+(E16-1)*(属性总览!$H$4+INDEX($I$4:$I$6,MATCH(1,($B$4:$B$6=$B16)*($D$4:$D$6=$D16),0)))*系统框架!$F$17/系统框架!$F$15,0)</f>
        <v>30</v>
      </c>
      <c r="J16" s="3" cm="1">
        <f t="array" ref="J16">ROUND($J$10+(F16-1)*(属性总览!$H$5+INDEX($K$4:$K$6,MATCH(1,($B$4:$B$6=$B16)*($D$4:$D$6=$D16),0)))*系统框架!$F$17/系统框架!$F$15,0)</f>
        <v>60</v>
      </c>
      <c r="K16" s="3" cm="1">
        <f t="array" ref="K16">$K$10+(H16-1)*(属性总览!$H$7+INDEX($O$4:$O$6,MATCH(1,($B$4:$B$6=$B16)*($D$4:$D$6=$D16),0)))</f>
        <v>320</v>
      </c>
      <c r="L16" s="3" cm="1">
        <f t="array" ref="L16">$L$10+(F16-1)*(属性总览!$I$5+INDEX($L$4:$L$6,MATCH(1,($B$4:$B$6=$B16)*($D$4:$D$6=$D16),0)))</f>
        <v>220</v>
      </c>
      <c r="M16" s="3" cm="1">
        <f t="array" ref="M16">ROUND(MIN($M$10+(G16-1)*(属性总览!$H$6+INDEX($M$4:$M$6,MATCH(1,($B$4:$B$6=$B16)*($D$4:$D$6=$D16),0))),100),0)</f>
        <v>80</v>
      </c>
      <c r="N16" s="3" cm="1">
        <f t="array" ref="N16">ROUND(MIN($N$10+(G16-1)*(属性总览!$I$6+INDEX($N$4:$N$6,MATCH(1,($B$4:$B$6=$B16)*($D$4:$D$6=$D16),0))),30),0)</f>
        <v>10</v>
      </c>
      <c r="O16" s="3" cm="1">
        <f t="array" ref="O16">$O$10+(H16-1)*(属性总览!$H$5+INDEX($O$4:$O$7,MATCH(1,($B$4:$B$6=$B16)*($D$4:$D$6=$D16),0)))</f>
        <v>60</v>
      </c>
      <c r="P16" s="3">
        <f t="shared" si="0"/>
        <v>20</v>
      </c>
      <c r="Q16" s="3">
        <f t="shared" si="0"/>
        <v>20</v>
      </c>
      <c r="R16" s="3">
        <f t="shared" si="0"/>
        <v>150</v>
      </c>
      <c r="S16" s="3">
        <f t="shared" si="0"/>
        <v>100</v>
      </c>
      <c r="T16" s="3">
        <f t="shared" si="0"/>
        <v>100</v>
      </c>
      <c r="U16" s="3">
        <v>1</v>
      </c>
      <c r="V16" s="3">
        <v>1</v>
      </c>
      <c r="W16" s="3">
        <v>1</v>
      </c>
    </row>
    <row r="17" spans="1:23">
      <c r="A17" s="1"/>
      <c r="B17" s="3" t="s">
        <v>337</v>
      </c>
      <c r="C17" s="3">
        <v>8</v>
      </c>
      <c r="D17" s="3">
        <v>1</v>
      </c>
      <c r="E17" s="3" cm="1">
        <f t="array" ref="E17">E$10+INDEX(E$4:E$6,MATCH(1,($B$4:$B$6=$B17)*($D$4:$D$6=$D17),0))*($C17-1)</f>
        <v>8</v>
      </c>
      <c r="F17" s="3" cm="1">
        <f t="array" ref="F17">F$10+INDEX(F$4:F$6,MATCH(1,($B$4:$B$6=$B17)*($D$4:$D$6=$D17),0))*($C17-1)</f>
        <v>8</v>
      </c>
      <c r="G17" s="3" cm="1">
        <f t="array" ref="G17">G$10+INDEX(G$4:G$6,MATCH(1,($B$4:$B$6=$B17)*($D$4:$D$6=$D17),0))*($C17-1)</f>
        <v>8</v>
      </c>
      <c r="H17" s="3" cm="1">
        <f t="array" ref="H17">H$10+INDEX(H$4:H$6,MATCH(1,($B$4:$B$6=$B17)*($D$4:$D$6=$D17),0))*($C17-1)</f>
        <v>8</v>
      </c>
      <c r="I17" s="3" cm="1">
        <f t="array" ref="I17">ROUND($I$10+(E17-1)*(属性总览!$H$4+INDEX($I$4:$I$6,MATCH(1,($B$4:$B$6=$B17)*($D$4:$D$6=$D17),0)))*系统框架!$F$17/系统框架!$F$15,0)</f>
        <v>33</v>
      </c>
      <c r="J17" s="3" cm="1">
        <f t="array" ref="J17">ROUND($J$10+(F17-1)*(属性总览!$H$5+INDEX($K$4:$K$6,MATCH(1,($B$4:$B$6=$B17)*($D$4:$D$6=$D17),0)))*系统框架!$F$17/系统框架!$F$15,0)</f>
        <v>67</v>
      </c>
      <c r="K17" s="3" cm="1">
        <f t="array" ref="K17">$K$10+(H17-1)*(属性总览!$H$7+INDEX($O$4:$O$6,MATCH(1,($B$4:$B$6=$B17)*($D$4:$D$6=$D17),0)))</f>
        <v>340</v>
      </c>
      <c r="L17" s="3" cm="1">
        <f t="array" ref="L17">$L$10+(F17-1)*(属性总览!$I$5+INDEX($L$4:$L$6,MATCH(1,($B$4:$B$6=$B17)*($D$4:$D$6=$D17),0)))</f>
        <v>240</v>
      </c>
      <c r="M17" s="3" cm="1">
        <f t="array" ref="M17">ROUND(MIN($M$10+(G17-1)*(属性总览!$H$6+INDEX($M$4:$M$6,MATCH(1,($B$4:$B$6=$B17)*($D$4:$D$6=$D17),0))),100),0)</f>
        <v>80</v>
      </c>
      <c r="N17" s="3" cm="1">
        <f t="array" ref="N17">ROUND(MIN($N$10+(G17-1)*(属性总览!$I$6+INDEX($N$4:$N$6,MATCH(1,($B$4:$B$6=$B17)*($D$4:$D$6=$D17),0))),30),0)</f>
        <v>10</v>
      </c>
      <c r="O17" s="3" cm="1">
        <f t="array" ref="O17">$O$10+(H17-1)*(属性总览!$H$5+INDEX($O$4:$O$7,MATCH(1,($B$4:$B$6=$B17)*($D$4:$D$6=$D17),0)))</f>
        <v>70</v>
      </c>
      <c r="P17" s="3">
        <f t="shared" si="0"/>
        <v>20</v>
      </c>
      <c r="Q17" s="3">
        <f t="shared" si="0"/>
        <v>20</v>
      </c>
      <c r="R17" s="3">
        <f t="shared" si="0"/>
        <v>150</v>
      </c>
      <c r="S17" s="3">
        <f t="shared" si="0"/>
        <v>100</v>
      </c>
      <c r="T17" s="3">
        <f t="shared" si="0"/>
        <v>100</v>
      </c>
      <c r="U17" s="3">
        <v>1</v>
      </c>
      <c r="V17" s="3">
        <v>1</v>
      </c>
      <c r="W17" s="3">
        <v>1</v>
      </c>
    </row>
    <row r="18" spans="1:23">
      <c r="A18" s="1"/>
      <c r="B18" s="3" t="s">
        <v>337</v>
      </c>
      <c r="C18" s="3">
        <v>9</v>
      </c>
      <c r="D18" s="3">
        <v>1</v>
      </c>
      <c r="E18" s="3" cm="1">
        <f t="array" ref="E18">E$10+INDEX(E$4:E$6,MATCH(1,($B$4:$B$6=$B18)*($D$4:$D$6=$D18),0))*($C18-1)</f>
        <v>9</v>
      </c>
      <c r="F18" s="3" cm="1">
        <f t="array" ref="F18">F$10+INDEX(F$4:F$6,MATCH(1,($B$4:$B$6=$B18)*($D$4:$D$6=$D18),0))*($C18-1)</f>
        <v>9</v>
      </c>
      <c r="G18" s="3" cm="1">
        <f t="array" ref="G18">G$10+INDEX(G$4:G$6,MATCH(1,($B$4:$B$6=$B18)*($D$4:$D$6=$D18),0))*($C18-1)</f>
        <v>9</v>
      </c>
      <c r="H18" s="3" cm="1">
        <f t="array" ref="H18">H$10+INDEX(H$4:H$6,MATCH(1,($B$4:$B$6=$B18)*($D$4:$D$6=$D18),0))*($C18-1)</f>
        <v>9</v>
      </c>
      <c r="I18" s="3" cm="1">
        <f t="array" ref="I18">ROUND($I$10+(E18-1)*(属性总览!$H$4+INDEX($I$4:$I$6,MATCH(1,($B$4:$B$6=$B18)*($D$4:$D$6=$D18),0)))*系统框架!$F$17/系统框架!$F$15,0)</f>
        <v>37</v>
      </c>
      <c r="J18" s="3" cm="1">
        <f t="array" ref="J18">ROUND($J$10+(F18-1)*(属性总览!$H$5+INDEX($K$4:$K$6,MATCH(1,($B$4:$B$6=$B18)*($D$4:$D$6=$D18),0)))*系统框架!$F$17/系统框架!$F$15,0)</f>
        <v>73</v>
      </c>
      <c r="K18" s="3" cm="1">
        <f t="array" ref="K18">$K$10+(H18-1)*(属性总览!$H$7+INDEX($O$4:$O$6,MATCH(1,($B$4:$B$6=$B18)*($D$4:$D$6=$D18),0)))</f>
        <v>360</v>
      </c>
      <c r="L18" s="3" cm="1">
        <f t="array" ref="L18">$L$10+(F18-1)*(属性总览!$I$5+INDEX($L$4:$L$6,MATCH(1,($B$4:$B$6=$B18)*($D$4:$D$6=$D18),0)))</f>
        <v>260</v>
      </c>
      <c r="M18" s="3" cm="1">
        <f t="array" ref="M18">ROUND(MIN($M$10+(G18-1)*(属性总览!$H$6+INDEX($M$4:$M$6,MATCH(1,($B$4:$B$6=$B18)*($D$4:$D$6=$D18),0))),100),0)</f>
        <v>80</v>
      </c>
      <c r="N18" s="3" cm="1">
        <f t="array" ref="N18">ROUND(MIN($N$10+(G18-1)*(属性总览!$I$6+INDEX($N$4:$N$6,MATCH(1,($B$4:$B$6=$B18)*($D$4:$D$6=$D18),0))),30),0)</f>
        <v>10</v>
      </c>
      <c r="O18" s="3" cm="1">
        <f t="array" ref="O18">$O$10+(H18-1)*(属性总览!$H$5+INDEX($O$4:$O$7,MATCH(1,($B$4:$B$6=$B18)*($D$4:$D$6=$D18),0)))</f>
        <v>80</v>
      </c>
      <c r="P18" s="3">
        <f t="shared" si="0"/>
        <v>20</v>
      </c>
      <c r="Q18" s="3">
        <f t="shared" si="0"/>
        <v>20</v>
      </c>
      <c r="R18" s="3">
        <f t="shared" si="0"/>
        <v>150</v>
      </c>
      <c r="S18" s="3">
        <f t="shared" si="0"/>
        <v>100</v>
      </c>
      <c r="T18" s="3">
        <f t="shared" si="0"/>
        <v>100</v>
      </c>
      <c r="U18" s="3">
        <v>1</v>
      </c>
      <c r="V18" s="3">
        <v>1</v>
      </c>
      <c r="W18" s="3">
        <v>1</v>
      </c>
    </row>
    <row r="19" spans="1:23">
      <c r="A19" s="1"/>
      <c r="B19" s="3" t="s">
        <v>337</v>
      </c>
      <c r="C19" s="3">
        <v>10</v>
      </c>
      <c r="D19" s="3">
        <v>1</v>
      </c>
      <c r="E19" s="3" cm="1">
        <f t="array" ref="E19">E$10+INDEX(E$4:E$6,MATCH(1,($B$4:$B$6=$B19)*($D$4:$D$6=$D19),0))*($C19-1)</f>
        <v>10</v>
      </c>
      <c r="F19" s="3" cm="1">
        <f t="array" ref="F19">F$10+INDEX(F$4:F$6,MATCH(1,($B$4:$B$6=$B19)*($D$4:$D$6=$D19),0))*($C19-1)</f>
        <v>10</v>
      </c>
      <c r="G19" s="3" cm="1">
        <f t="array" ref="G19">G$10+INDEX(G$4:G$6,MATCH(1,($B$4:$B$6=$B19)*($D$4:$D$6=$D19),0))*($C19-1)</f>
        <v>10</v>
      </c>
      <c r="H19" s="3" cm="1">
        <f t="array" ref="H19">H$10+INDEX(H$4:H$6,MATCH(1,($B$4:$B$6=$B19)*($D$4:$D$6=$D19),0))*($C19-1)</f>
        <v>10</v>
      </c>
      <c r="I19" s="3" cm="1">
        <f t="array" ref="I19">ROUND($I$10+(E19-1)*(属性总览!$H$4+INDEX($I$4:$I$6,MATCH(1,($B$4:$B$6=$B19)*($D$4:$D$6=$D19),0)))*系统框架!$F$17/系统框架!$F$15,0)</f>
        <v>40</v>
      </c>
      <c r="J19" s="3" cm="1">
        <f t="array" ref="J19">ROUND($J$10+(F19-1)*(属性总览!$H$5+INDEX($K$4:$K$6,MATCH(1,($B$4:$B$6=$B19)*($D$4:$D$6=$D19),0)))*系统框架!$F$17/系统框架!$F$15,0)</f>
        <v>80</v>
      </c>
      <c r="K19" s="3" cm="1">
        <f t="array" ref="K19">$K$10+(H19-1)*(属性总览!$H$7+INDEX($O$4:$O$6,MATCH(1,($B$4:$B$6=$B19)*($D$4:$D$6=$D19),0)))</f>
        <v>380</v>
      </c>
      <c r="L19" s="3" cm="1">
        <f t="array" ref="L19">$L$10+(F19-1)*(属性总览!$I$5+INDEX($L$4:$L$6,MATCH(1,($B$4:$B$6=$B19)*($D$4:$D$6=$D19),0)))</f>
        <v>280</v>
      </c>
      <c r="M19" s="3" cm="1">
        <f t="array" ref="M19">ROUND(MIN($M$10+(G19-1)*(属性总览!$H$6+INDEX($M$4:$M$6,MATCH(1,($B$4:$B$6=$B19)*($D$4:$D$6=$D19),0))),100),0)</f>
        <v>80</v>
      </c>
      <c r="N19" s="3" cm="1">
        <f t="array" ref="N19">ROUND(MIN($N$10+(G19-1)*(属性总览!$I$6+INDEX($N$4:$N$6,MATCH(1,($B$4:$B$6=$B19)*($D$4:$D$6=$D19),0))),30),0)</f>
        <v>10</v>
      </c>
      <c r="O19" s="3" cm="1">
        <f t="array" ref="O19">$O$10+(H19-1)*(属性总览!$H$5+INDEX($O$4:$O$7,MATCH(1,($B$4:$B$6=$B19)*($D$4:$D$6=$D19),0)))</f>
        <v>90</v>
      </c>
      <c r="P19" s="3">
        <f t="shared" si="0"/>
        <v>20</v>
      </c>
      <c r="Q19" s="3">
        <f t="shared" si="0"/>
        <v>20</v>
      </c>
      <c r="R19" s="3">
        <f t="shared" si="0"/>
        <v>150</v>
      </c>
      <c r="S19" s="3">
        <f t="shared" si="0"/>
        <v>100</v>
      </c>
      <c r="T19" s="3">
        <f t="shared" si="0"/>
        <v>100</v>
      </c>
      <c r="U19" s="3">
        <v>1</v>
      </c>
      <c r="V19" s="3">
        <v>1</v>
      </c>
      <c r="W19" s="3">
        <v>1</v>
      </c>
    </row>
    <row r="20" spans="1:23">
      <c r="A20" s="1"/>
      <c r="B20" s="3" t="s">
        <v>337</v>
      </c>
      <c r="C20" s="3">
        <v>11</v>
      </c>
      <c r="D20" s="3">
        <v>2</v>
      </c>
      <c r="E20" s="3" cm="1">
        <f t="array" ref="E20">E$10+INDEX(E$4:E$6,MATCH(1,($B$4:$B$6=$B20)*($D$4:$D$6=$D20),0))*($C20-1)</f>
        <v>11</v>
      </c>
      <c r="F20" s="3" cm="1">
        <f t="array" ref="F20">F$10+INDEX(F$4:F$6,MATCH(1,($B$4:$B$6=$B20)*($D$4:$D$6=$D20),0))*($C20-1)</f>
        <v>11</v>
      </c>
      <c r="G20" s="3" cm="1">
        <f t="array" ref="G20">G$10+INDEX(G$4:G$6,MATCH(1,($B$4:$B$6=$B20)*($D$4:$D$6=$D20),0))*($C20-1)</f>
        <v>11</v>
      </c>
      <c r="H20" s="3" cm="1">
        <f t="array" ref="H20">H$10+INDEX(H$4:H$6,MATCH(1,($B$4:$B$6=$B20)*($D$4:$D$6=$D20),0))*($C20-1)</f>
        <v>11</v>
      </c>
      <c r="I20" s="3" cm="1">
        <f t="array" ref="I20">ROUND($I$10+(E20-1)*(属性总览!$H$4+INDEX($I$4:$I$6,MATCH(1,($B$4:$B$6=$B20)*($D$4:$D$6=$D20),0)))*系统框架!$F$17/系统框架!$F$15,0)</f>
        <v>50</v>
      </c>
      <c r="J20" s="3" cm="1">
        <f t="array" ref="J20">ROUND($J$10+(F20-1)*(属性总览!$H$5+INDEX($K$4:$K$6,MATCH(1,($B$4:$B$6=$B20)*($D$4:$D$6=$D20),0)))*系统框架!$F$17/系统框架!$F$15,0)</f>
        <v>93</v>
      </c>
      <c r="K20" s="3" cm="1">
        <f t="array" ref="K20">$K$10+(H20-1)*(属性总览!$H$7+INDEX($O$4:$O$6,MATCH(1,($B$4:$B$6=$B20)*($D$4:$D$6=$D20),0)))</f>
        <v>410</v>
      </c>
      <c r="L20" s="3" cm="1">
        <f t="array" ref="L20">$L$10+(F20-1)*(属性总览!$I$5+INDEX($L$4:$L$6,MATCH(1,($B$4:$B$6=$B20)*($D$4:$D$6=$D20),0)))</f>
        <v>310</v>
      </c>
      <c r="M20" s="3" cm="1">
        <f t="array" ref="M20">ROUND(MIN($M$10+(G20-1)*(属性总览!$H$6+INDEX($M$4:$M$6,MATCH(1,($B$4:$B$6=$B20)*($D$4:$D$6=$D20),0))),100),0)</f>
        <v>82</v>
      </c>
      <c r="N20" s="3" cm="1">
        <f t="array" ref="N20">ROUND(MIN($N$10+(G20-1)*(属性总览!$I$6+INDEX($N$4:$N$6,MATCH(1,($B$4:$B$6=$B20)*($D$4:$D$6=$D20),0))),30),0)</f>
        <v>12</v>
      </c>
      <c r="O20" s="3" cm="1">
        <f t="array" ref="O20">$O$10+(H20-1)*(属性总览!$H$5+INDEX($O$4:$O$7,MATCH(1,($B$4:$B$6=$B20)*($D$4:$D$6=$D20),0)))</f>
        <v>110</v>
      </c>
      <c r="P20" s="3">
        <f t="shared" si="0"/>
        <v>20</v>
      </c>
      <c r="Q20" s="3">
        <f t="shared" si="0"/>
        <v>20</v>
      </c>
      <c r="R20" s="3">
        <f t="shared" si="0"/>
        <v>150</v>
      </c>
      <c r="S20" s="3">
        <f t="shared" si="0"/>
        <v>100</v>
      </c>
      <c r="T20" s="3">
        <f t="shared" si="0"/>
        <v>100</v>
      </c>
      <c r="U20" s="3">
        <v>1</v>
      </c>
      <c r="V20" s="3">
        <v>1</v>
      </c>
      <c r="W20" s="3">
        <v>1</v>
      </c>
    </row>
    <row r="21" spans="1:23">
      <c r="A21" s="1"/>
      <c r="B21" s="3" t="s">
        <v>337</v>
      </c>
      <c r="C21" s="3">
        <v>12</v>
      </c>
      <c r="D21" s="3">
        <v>2</v>
      </c>
      <c r="E21" s="3" cm="1">
        <f t="array" ref="E21">E$10+INDEX(E$4:E$6,MATCH(1,($B$4:$B$6=$B21)*($D$4:$D$6=$D21),0))*($C21-1)</f>
        <v>12</v>
      </c>
      <c r="F21" s="3" cm="1">
        <f t="array" ref="F21">F$10+INDEX(F$4:F$6,MATCH(1,($B$4:$B$6=$B21)*($D$4:$D$6=$D21),0))*($C21-1)</f>
        <v>12</v>
      </c>
      <c r="G21" s="3" cm="1">
        <f t="array" ref="G21">G$10+INDEX(G$4:G$6,MATCH(1,($B$4:$B$6=$B21)*($D$4:$D$6=$D21),0))*($C21-1)</f>
        <v>12</v>
      </c>
      <c r="H21" s="3" cm="1">
        <f t="array" ref="H21">H$10+INDEX(H$4:H$6,MATCH(1,($B$4:$B$6=$B21)*($D$4:$D$6=$D21),0))*($C21-1)</f>
        <v>12</v>
      </c>
      <c r="I21" s="3" cm="1">
        <f t="array" ref="I21">ROUND($I$10+(E21-1)*(属性总览!$H$4+INDEX($I$4:$I$6,MATCH(1,($B$4:$B$6=$B21)*($D$4:$D$6=$D21),0)))*系统框架!$F$17/系统框架!$F$15,0)</f>
        <v>54</v>
      </c>
      <c r="J21" s="3" cm="1">
        <f t="array" ref="J21">ROUND($J$10+(F21-1)*(属性总览!$H$5+INDEX($K$4:$K$6,MATCH(1,($B$4:$B$6=$B21)*($D$4:$D$6=$D21),0)))*系统框架!$F$17/系统框架!$F$15,0)</f>
        <v>101</v>
      </c>
      <c r="K21" s="3" cm="1">
        <f t="array" ref="K21">$K$10+(H21-1)*(属性总览!$H$7+INDEX($O$4:$O$6,MATCH(1,($B$4:$B$6=$B21)*($D$4:$D$6=$D21),0)))</f>
        <v>431</v>
      </c>
      <c r="L21" s="3" cm="1">
        <f t="array" ref="L21">$L$10+(F21-1)*(属性总览!$I$5+INDEX($L$4:$L$6,MATCH(1,($B$4:$B$6=$B21)*($D$4:$D$6=$D21),0)))</f>
        <v>331</v>
      </c>
      <c r="M21" s="3" cm="1">
        <f t="array" ref="M21">ROUND(MIN($M$10+(G21-1)*(属性总览!$H$6+INDEX($M$4:$M$6,MATCH(1,($B$4:$B$6=$B21)*($D$4:$D$6=$D21),0))),100),0)</f>
        <v>82</v>
      </c>
      <c r="N21" s="3" cm="1">
        <f t="array" ref="N21">ROUND(MIN($N$10+(G21-1)*(属性总览!$I$6+INDEX($N$4:$N$6,MATCH(1,($B$4:$B$6=$B21)*($D$4:$D$6=$D21),0))),30),0)</f>
        <v>12</v>
      </c>
      <c r="O21" s="3" cm="1">
        <f t="array" ref="O21">$O$10+(H21-1)*(属性总览!$H$5+INDEX($O$4:$O$7,MATCH(1,($B$4:$B$6=$B21)*($D$4:$D$6=$D21),0)))</f>
        <v>121</v>
      </c>
      <c r="P21" s="3">
        <f t="shared" si="0"/>
        <v>20</v>
      </c>
      <c r="Q21" s="3">
        <f t="shared" si="0"/>
        <v>20</v>
      </c>
      <c r="R21" s="3">
        <f t="shared" si="0"/>
        <v>150</v>
      </c>
      <c r="S21" s="3">
        <f t="shared" si="0"/>
        <v>100</v>
      </c>
      <c r="T21" s="3">
        <f t="shared" si="0"/>
        <v>100</v>
      </c>
      <c r="U21" s="3">
        <v>1</v>
      </c>
      <c r="V21" s="3">
        <v>1</v>
      </c>
      <c r="W21" s="3">
        <v>1</v>
      </c>
    </row>
    <row r="22" spans="1:23">
      <c r="A22" s="1"/>
      <c r="B22" s="3" t="s">
        <v>337</v>
      </c>
      <c r="C22" s="3">
        <v>13</v>
      </c>
      <c r="D22" s="3">
        <v>2</v>
      </c>
      <c r="E22" s="3" cm="1">
        <f t="array" ref="E22">E$10+INDEX(E$4:E$6,MATCH(1,($B$4:$B$6=$B22)*($D$4:$D$6=$D22),0))*($C22-1)</f>
        <v>13</v>
      </c>
      <c r="F22" s="3" cm="1">
        <f t="array" ref="F22">F$10+INDEX(F$4:F$6,MATCH(1,($B$4:$B$6=$B22)*($D$4:$D$6=$D22),0))*($C22-1)</f>
        <v>13</v>
      </c>
      <c r="G22" s="3" cm="1">
        <f t="array" ref="G22">G$10+INDEX(G$4:G$6,MATCH(1,($B$4:$B$6=$B22)*($D$4:$D$6=$D22),0))*($C22-1)</f>
        <v>13</v>
      </c>
      <c r="H22" s="3" cm="1">
        <f t="array" ref="H22">H$10+INDEX(H$4:H$6,MATCH(1,($B$4:$B$6=$B22)*($D$4:$D$6=$D22),0))*($C22-1)</f>
        <v>13</v>
      </c>
      <c r="I22" s="3" cm="1">
        <f t="array" ref="I22">ROUND($I$10+(E22-1)*(属性总览!$H$4+INDEX($I$4:$I$6,MATCH(1,($B$4:$B$6=$B22)*($D$4:$D$6=$D22),0)))*系统框架!$F$17/系统框架!$F$15,0)</f>
        <v>58</v>
      </c>
      <c r="J22" s="3" cm="1">
        <f t="array" ref="J22">ROUND($J$10+(F22-1)*(属性总览!$H$5+INDEX($K$4:$K$6,MATCH(1,($B$4:$B$6=$B22)*($D$4:$D$6=$D22),0)))*系统框架!$F$17/系统框架!$F$15,0)</f>
        <v>108</v>
      </c>
      <c r="K22" s="3" cm="1">
        <f t="array" ref="K22">$K$10+(H22-1)*(属性总览!$H$7+INDEX($O$4:$O$6,MATCH(1,($B$4:$B$6=$B22)*($D$4:$D$6=$D22),0)))</f>
        <v>452</v>
      </c>
      <c r="L22" s="3" cm="1">
        <f t="array" ref="L22">$L$10+(F22-1)*(属性总览!$I$5+INDEX($L$4:$L$6,MATCH(1,($B$4:$B$6=$B22)*($D$4:$D$6=$D22),0)))</f>
        <v>352</v>
      </c>
      <c r="M22" s="3" cm="1">
        <f t="array" ref="M22">ROUND(MIN($M$10+(G22-1)*(属性总览!$H$6+INDEX($M$4:$M$6,MATCH(1,($B$4:$B$6=$B22)*($D$4:$D$6=$D22),0))),100),0)</f>
        <v>82</v>
      </c>
      <c r="N22" s="3" cm="1">
        <f t="array" ref="N22">ROUND(MIN($N$10+(G22-1)*(属性总览!$I$6+INDEX($N$4:$N$6,MATCH(1,($B$4:$B$6=$B22)*($D$4:$D$6=$D22),0))),30),0)</f>
        <v>12</v>
      </c>
      <c r="O22" s="3" cm="1">
        <f t="array" ref="O22">$O$10+(H22-1)*(属性总览!$H$5+INDEX($O$4:$O$7,MATCH(1,($B$4:$B$6=$B22)*($D$4:$D$6=$D22),0)))</f>
        <v>132</v>
      </c>
      <c r="P22" s="3">
        <f t="shared" si="0"/>
        <v>20</v>
      </c>
      <c r="Q22" s="3">
        <f t="shared" si="0"/>
        <v>20</v>
      </c>
      <c r="R22" s="3">
        <f t="shared" si="0"/>
        <v>150</v>
      </c>
      <c r="S22" s="3">
        <f t="shared" si="0"/>
        <v>100</v>
      </c>
      <c r="T22" s="3">
        <f t="shared" si="0"/>
        <v>100</v>
      </c>
      <c r="U22" s="3">
        <v>1</v>
      </c>
      <c r="V22" s="3">
        <v>1</v>
      </c>
      <c r="W22" s="3">
        <v>1</v>
      </c>
    </row>
    <row r="23" spans="1:23">
      <c r="A23" s="1"/>
      <c r="B23" s="3" t="s">
        <v>337</v>
      </c>
      <c r="C23" s="3">
        <v>14</v>
      </c>
      <c r="D23" s="3">
        <v>2</v>
      </c>
      <c r="E23" s="3" cm="1">
        <f t="array" ref="E23">E$10+INDEX(E$4:E$6,MATCH(1,($B$4:$B$6=$B23)*($D$4:$D$6=$D23),0))*($C23-1)</f>
        <v>14</v>
      </c>
      <c r="F23" s="3" cm="1">
        <f t="array" ref="F23">F$10+INDEX(F$4:F$6,MATCH(1,($B$4:$B$6=$B23)*($D$4:$D$6=$D23),0))*($C23-1)</f>
        <v>14</v>
      </c>
      <c r="G23" s="3" cm="1">
        <f t="array" ref="G23">G$10+INDEX(G$4:G$6,MATCH(1,($B$4:$B$6=$B23)*($D$4:$D$6=$D23),0))*($C23-1)</f>
        <v>14</v>
      </c>
      <c r="H23" s="3" cm="1">
        <f t="array" ref="H23">H$10+INDEX(H$4:H$6,MATCH(1,($B$4:$B$6=$B23)*($D$4:$D$6=$D23),0))*($C23-1)</f>
        <v>14</v>
      </c>
      <c r="I23" s="3" cm="1">
        <f t="array" ref="I23">ROUND($I$10+(E23-1)*(属性总览!$H$4+INDEX($I$4:$I$6,MATCH(1,($B$4:$B$6=$B23)*($D$4:$D$6=$D23),0)))*系统框架!$F$17/系统框架!$F$15,0)</f>
        <v>62</v>
      </c>
      <c r="J23" s="3" cm="1">
        <f t="array" ref="J23">ROUND($J$10+(F23-1)*(属性总览!$H$5+INDEX($K$4:$K$6,MATCH(1,($B$4:$B$6=$B23)*($D$4:$D$6=$D23),0)))*系统框架!$F$17/系统框架!$F$15,0)</f>
        <v>115</v>
      </c>
      <c r="K23" s="3" cm="1">
        <f t="array" ref="K23">$K$10+(H23-1)*(属性总览!$H$7+INDEX($O$4:$O$6,MATCH(1,($B$4:$B$6=$B23)*($D$4:$D$6=$D23),0)))</f>
        <v>473</v>
      </c>
      <c r="L23" s="3" cm="1">
        <f t="array" ref="L23">$L$10+(F23-1)*(属性总览!$I$5+INDEX($L$4:$L$6,MATCH(1,($B$4:$B$6=$B23)*($D$4:$D$6=$D23),0)))</f>
        <v>373</v>
      </c>
      <c r="M23" s="3" cm="1">
        <f t="array" ref="M23">ROUND(MIN($M$10+(G23-1)*(属性总览!$H$6+INDEX($M$4:$M$6,MATCH(1,($B$4:$B$6=$B23)*($D$4:$D$6=$D23),0))),100),0)</f>
        <v>82</v>
      </c>
      <c r="N23" s="3" cm="1">
        <f t="array" ref="N23">ROUND(MIN($N$10+(G23-1)*(属性总览!$I$6+INDEX($N$4:$N$6,MATCH(1,($B$4:$B$6=$B23)*($D$4:$D$6=$D23),0))),30),0)</f>
        <v>12</v>
      </c>
      <c r="O23" s="3" cm="1">
        <f t="array" ref="O23">$O$10+(H23-1)*(属性总览!$H$5+INDEX($O$4:$O$7,MATCH(1,($B$4:$B$6=$B23)*($D$4:$D$6=$D23),0)))</f>
        <v>143</v>
      </c>
      <c r="P23" s="3">
        <f t="shared" si="0"/>
        <v>20</v>
      </c>
      <c r="Q23" s="3">
        <f t="shared" si="0"/>
        <v>20</v>
      </c>
      <c r="R23" s="3">
        <f t="shared" si="0"/>
        <v>150</v>
      </c>
      <c r="S23" s="3">
        <f t="shared" si="0"/>
        <v>100</v>
      </c>
      <c r="T23" s="3">
        <f t="shared" si="0"/>
        <v>100</v>
      </c>
      <c r="U23" s="3">
        <v>1</v>
      </c>
      <c r="V23" s="3">
        <v>1</v>
      </c>
      <c r="W23" s="3">
        <v>1</v>
      </c>
    </row>
    <row r="24" spans="1:23">
      <c r="A24" s="1"/>
      <c r="B24" s="3" t="s">
        <v>337</v>
      </c>
      <c r="C24" s="3">
        <v>15</v>
      </c>
      <c r="D24" s="3">
        <v>2</v>
      </c>
      <c r="E24" s="3" cm="1">
        <f t="array" ref="E24">E$10+INDEX(E$4:E$6,MATCH(1,($B$4:$B$6=$B24)*($D$4:$D$6=$D24),0))*($C24-1)</f>
        <v>15</v>
      </c>
      <c r="F24" s="3" cm="1">
        <f t="array" ref="F24">F$10+INDEX(F$4:F$6,MATCH(1,($B$4:$B$6=$B24)*($D$4:$D$6=$D24),0))*($C24-1)</f>
        <v>15</v>
      </c>
      <c r="G24" s="3" cm="1">
        <f t="array" ref="G24">G$10+INDEX(G$4:G$6,MATCH(1,($B$4:$B$6=$B24)*($D$4:$D$6=$D24),0))*($C24-1)</f>
        <v>15</v>
      </c>
      <c r="H24" s="3" cm="1">
        <f t="array" ref="H24">H$10+INDEX(H$4:H$6,MATCH(1,($B$4:$B$6=$B24)*($D$4:$D$6=$D24),0))*($C24-1)</f>
        <v>15</v>
      </c>
      <c r="I24" s="3" cm="1">
        <f t="array" ref="I24">ROUND($I$10+(E24-1)*(属性总览!$H$4+INDEX($I$4:$I$6,MATCH(1,($B$4:$B$6=$B24)*($D$4:$D$6=$D24),0)))*系统框架!$F$17/系统框架!$F$15,0)</f>
        <v>66</v>
      </c>
      <c r="J24" s="3" cm="1">
        <f t="array" ref="J24">ROUND($J$10+(F24-1)*(属性总览!$H$5+INDEX($K$4:$K$6,MATCH(1,($B$4:$B$6=$B24)*($D$4:$D$6=$D24),0)))*系统框架!$F$17/系统框架!$F$15,0)</f>
        <v>123</v>
      </c>
      <c r="K24" s="3" cm="1">
        <f t="array" ref="K24">$K$10+(H24-1)*(属性总览!$H$7+INDEX($O$4:$O$6,MATCH(1,($B$4:$B$6=$B24)*($D$4:$D$6=$D24),0)))</f>
        <v>494</v>
      </c>
      <c r="L24" s="3" cm="1">
        <f t="array" ref="L24">$L$10+(F24-1)*(属性总览!$I$5+INDEX($L$4:$L$6,MATCH(1,($B$4:$B$6=$B24)*($D$4:$D$6=$D24),0)))</f>
        <v>394</v>
      </c>
      <c r="M24" s="3" cm="1">
        <f t="array" ref="M24">ROUND(MIN($M$10+(G24-1)*(属性总览!$H$6+INDEX($M$4:$M$6,MATCH(1,($B$4:$B$6=$B24)*($D$4:$D$6=$D24),0))),100),0)</f>
        <v>82</v>
      </c>
      <c r="N24" s="3" cm="1">
        <f t="array" ref="N24">ROUND(MIN($N$10+(G24-1)*(属性总览!$I$6+INDEX($N$4:$N$6,MATCH(1,($B$4:$B$6=$B24)*($D$4:$D$6=$D24),0))),30),0)</f>
        <v>12</v>
      </c>
      <c r="O24" s="3" cm="1">
        <f t="array" ref="O24">$O$10+(H24-1)*(属性总览!$H$5+INDEX($O$4:$O$7,MATCH(1,($B$4:$B$6=$B24)*($D$4:$D$6=$D24),0)))</f>
        <v>154</v>
      </c>
      <c r="P24" s="3">
        <f t="shared" si="0"/>
        <v>20</v>
      </c>
      <c r="Q24" s="3">
        <f t="shared" si="0"/>
        <v>20</v>
      </c>
      <c r="R24" s="3">
        <f t="shared" si="0"/>
        <v>150</v>
      </c>
      <c r="S24" s="3">
        <f t="shared" si="0"/>
        <v>100</v>
      </c>
      <c r="T24" s="3">
        <f t="shared" si="0"/>
        <v>100</v>
      </c>
      <c r="U24" s="3">
        <v>1</v>
      </c>
      <c r="V24" s="3">
        <v>1</v>
      </c>
      <c r="W24" s="3">
        <v>1</v>
      </c>
    </row>
    <row r="25" spans="1:23">
      <c r="A25" s="1"/>
      <c r="B25" s="3" t="s">
        <v>337</v>
      </c>
      <c r="C25" s="3">
        <v>16</v>
      </c>
      <c r="D25" s="3">
        <v>2</v>
      </c>
      <c r="E25" s="3" cm="1">
        <f t="array" ref="E25">E$10+INDEX(E$4:E$6,MATCH(1,($B$4:$B$6=$B25)*($D$4:$D$6=$D25),0))*($C25-1)</f>
        <v>16</v>
      </c>
      <c r="F25" s="3" cm="1">
        <f t="array" ref="F25">F$10+INDEX(F$4:F$6,MATCH(1,($B$4:$B$6=$B25)*($D$4:$D$6=$D25),0))*($C25-1)</f>
        <v>16</v>
      </c>
      <c r="G25" s="3" cm="1">
        <f t="array" ref="G25">G$10+INDEX(G$4:G$6,MATCH(1,($B$4:$B$6=$B25)*($D$4:$D$6=$D25),0))*($C25-1)</f>
        <v>16</v>
      </c>
      <c r="H25" s="3" cm="1">
        <f t="array" ref="H25">H$10+INDEX(H$4:H$6,MATCH(1,($B$4:$B$6=$B25)*($D$4:$D$6=$D25),0))*($C25-1)</f>
        <v>16</v>
      </c>
      <c r="I25" s="3" cm="1">
        <f t="array" ref="I25">ROUND($I$10+(E25-1)*(属性总览!$H$4+INDEX($I$4:$I$6,MATCH(1,($B$4:$B$6=$B25)*($D$4:$D$6=$D25),0)))*系统框架!$F$17/系统框架!$F$15,0)</f>
        <v>70</v>
      </c>
      <c r="J25" s="3" cm="1">
        <f t="array" ref="J25">ROUND($J$10+(F25-1)*(属性总览!$H$5+INDEX($K$4:$K$6,MATCH(1,($B$4:$B$6=$B25)*($D$4:$D$6=$D25),0)))*系统框架!$F$17/系统框架!$F$15,0)</f>
        <v>130</v>
      </c>
      <c r="K25" s="3" cm="1">
        <f t="array" ref="K25">$K$10+(H25-1)*(属性总览!$H$7+INDEX($O$4:$O$6,MATCH(1,($B$4:$B$6=$B25)*($D$4:$D$6=$D25),0)))</f>
        <v>515</v>
      </c>
      <c r="L25" s="3" cm="1">
        <f t="array" ref="L25">$L$10+(F25-1)*(属性总览!$I$5+INDEX($L$4:$L$6,MATCH(1,($B$4:$B$6=$B25)*($D$4:$D$6=$D25),0)))</f>
        <v>415</v>
      </c>
      <c r="M25" s="3" cm="1">
        <f t="array" ref="M25">ROUND(MIN($M$10+(G25-1)*(属性总览!$H$6+INDEX($M$4:$M$6,MATCH(1,($B$4:$B$6=$B25)*($D$4:$D$6=$D25),0))),100),0)</f>
        <v>82</v>
      </c>
      <c r="N25" s="3" cm="1">
        <f t="array" ref="N25">ROUND(MIN($N$10+(G25-1)*(属性总览!$I$6+INDEX($N$4:$N$6,MATCH(1,($B$4:$B$6=$B25)*($D$4:$D$6=$D25),0))),30),0)</f>
        <v>12</v>
      </c>
      <c r="O25" s="3" cm="1">
        <f t="array" ref="O25">$O$10+(H25-1)*(属性总览!$H$5+INDEX($O$4:$O$7,MATCH(1,($B$4:$B$6=$B25)*($D$4:$D$6=$D25),0)))</f>
        <v>165</v>
      </c>
      <c r="P25" s="3">
        <f t="shared" si="0"/>
        <v>20</v>
      </c>
      <c r="Q25" s="3">
        <f t="shared" si="0"/>
        <v>20</v>
      </c>
      <c r="R25" s="3">
        <f t="shared" si="0"/>
        <v>150</v>
      </c>
      <c r="S25" s="3">
        <f t="shared" si="0"/>
        <v>100</v>
      </c>
      <c r="T25" s="3">
        <f t="shared" si="0"/>
        <v>100</v>
      </c>
      <c r="U25" s="3">
        <v>1</v>
      </c>
      <c r="V25" s="3">
        <v>1</v>
      </c>
      <c r="W25" s="3">
        <v>1</v>
      </c>
    </row>
    <row r="26" spans="1:23">
      <c r="A26" s="1"/>
      <c r="B26" s="3" t="s">
        <v>337</v>
      </c>
      <c r="C26" s="3">
        <v>17</v>
      </c>
      <c r="D26" s="3">
        <v>2</v>
      </c>
      <c r="E26" s="3" cm="1">
        <f t="array" ref="E26">E$10+INDEX(E$4:E$6,MATCH(1,($B$4:$B$6=$B26)*($D$4:$D$6=$D26),0))*($C26-1)</f>
        <v>17</v>
      </c>
      <c r="F26" s="3" cm="1">
        <f t="array" ref="F26">F$10+INDEX(F$4:F$6,MATCH(1,($B$4:$B$6=$B26)*($D$4:$D$6=$D26),0))*($C26-1)</f>
        <v>17</v>
      </c>
      <c r="G26" s="3" cm="1">
        <f t="array" ref="G26">G$10+INDEX(G$4:G$6,MATCH(1,($B$4:$B$6=$B26)*($D$4:$D$6=$D26),0))*($C26-1)</f>
        <v>17</v>
      </c>
      <c r="H26" s="3" cm="1">
        <f t="array" ref="H26">H$10+INDEX(H$4:H$6,MATCH(1,($B$4:$B$6=$B26)*($D$4:$D$6=$D26),0))*($C26-1)</f>
        <v>17</v>
      </c>
      <c r="I26" s="3" cm="1">
        <f t="array" ref="I26">ROUND($I$10+(E26-1)*(属性总览!$H$4+INDEX($I$4:$I$6,MATCH(1,($B$4:$B$6=$B26)*($D$4:$D$6=$D26),0)))*系统框架!$F$17/系统框架!$F$15,0)</f>
        <v>74</v>
      </c>
      <c r="J26" s="3" cm="1">
        <f t="array" ref="J26">ROUND($J$10+(F26-1)*(属性总览!$H$5+INDEX($K$4:$K$6,MATCH(1,($B$4:$B$6=$B26)*($D$4:$D$6=$D26),0)))*系统框架!$F$17/系统框架!$F$15,0)</f>
        <v>137</v>
      </c>
      <c r="K26" s="3" cm="1">
        <f t="array" ref="K26">$K$10+(H26-1)*(属性总览!$H$7+INDEX($O$4:$O$6,MATCH(1,($B$4:$B$6=$B26)*($D$4:$D$6=$D26),0)))</f>
        <v>536</v>
      </c>
      <c r="L26" s="3" cm="1">
        <f t="array" ref="L26">$L$10+(F26-1)*(属性总览!$I$5+INDEX($L$4:$L$6,MATCH(1,($B$4:$B$6=$B26)*($D$4:$D$6=$D26),0)))</f>
        <v>436</v>
      </c>
      <c r="M26" s="3" cm="1">
        <f t="array" ref="M26">ROUND(MIN($M$10+(G26-1)*(属性总览!$H$6+INDEX($M$4:$M$6,MATCH(1,($B$4:$B$6=$B26)*($D$4:$D$6=$D26),0))),100),0)</f>
        <v>82</v>
      </c>
      <c r="N26" s="3" cm="1">
        <f t="array" ref="N26">ROUND(MIN($N$10+(G26-1)*(属性总览!$I$6+INDEX($N$4:$N$6,MATCH(1,($B$4:$B$6=$B26)*($D$4:$D$6=$D26),0))),30),0)</f>
        <v>12</v>
      </c>
      <c r="O26" s="3" cm="1">
        <f t="array" ref="O26">$O$10+(H26-1)*(属性总览!$H$5+INDEX($O$4:$O$7,MATCH(1,($B$4:$B$6=$B26)*($D$4:$D$6=$D26),0)))</f>
        <v>176</v>
      </c>
      <c r="P26" s="3">
        <f t="shared" si="0"/>
        <v>20</v>
      </c>
      <c r="Q26" s="3">
        <f t="shared" si="0"/>
        <v>20</v>
      </c>
      <c r="R26" s="3">
        <f t="shared" si="0"/>
        <v>150</v>
      </c>
      <c r="S26" s="3">
        <f t="shared" si="0"/>
        <v>100</v>
      </c>
      <c r="T26" s="3">
        <f t="shared" si="0"/>
        <v>100</v>
      </c>
      <c r="U26" s="3">
        <v>1</v>
      </c>
      <c r="V26" s="3">
        <v>1</v>
      </c>
      <c r="W26" s="3">
        <v>1</v>
      </c>
    </row>
    <row r="27" spans="1:23">
      <c r="A27" s="1"/>
      <c r="B27" s="3" t="s">
        <v>337</v>
      </c>
      <c r="C27" s="3">
        <v>18</v>
      </c>
      <c r="D27" s="3">
        <v>2</v>
      </c>
      <c r="E27" s="3" cm="1">
        <f t="array" ref="E27">E$10+INDEX(E$4:E$6,MATCH(1,($B$4:$B$6=$B27)*($D$4:$D$6=$D27),0))*($C27-1)</f>
        <v>18</v>
      </c>
      <c r="F27" s="3" cm="1">
        <f t="array" ref="F27">F$10+INDEX(F$4:F$6,MATCH(1,($B$4:$B$6=$B27)*($D$4:$D$6=$D27),0))*($C27-1)</f>
        <v>18</v>
      </c>
      <c r="G27" s="3" cm="1">
        <f t="array" ref="G27">G$10+INDEX(G$4:G$6,MATCH(1,($B$4:$B$6=$B27)*($D$4:$D$6=$D27),0))*($C27-1)</f>
        <v>18</v>
      </c>
      <c r="H27" s="3" cm="1">
        <f t="array" ref="H27">H$10+INDEX(H$4:H$6,MATCH(1,($B$4:$B$6=$B27)*($D$4:$D$6=$D27),0))*($C27-1)</f>
        <v>18</v>
      </c>
      <c r="I27" s="3" cm="1">
        <f t="array" ref="I27">ROUND($I$10+(E27-1)*(属性总览!$H$4+INDEX($I$4:$I$6,MATCH(1,($B$4:$B$6=$B27)*($D$4:$D$6=$D27),0)))*系统框架!$F$17/系统框架!$F$15,0)</f>
        <v>78</v>
      </c>
      <c r="J27" s="3" cm="1">
        <f t="array" ref="J27">ROUND($J$10+(F27-1)*(属性总览!$H$5+INDEX($K$4:$K$6,MATCH(1,($B$4:$B$6=$B27)*($D$4:$D$6=$D27),0)))*系统框架!$F$17/系统框架!$F$15,0)</f>
        <v>145</v>
      </c>
      <c r="K27" s="3" cm="1">
        <f t="array" ref="K27">$K$10+(H27-1)*(属性总览!$H$7+INDEX($O$4:$O$6,MATCH(1,($B$4:$B$6=$B27)*($D$4:$D$6=$D27),0)))</f>
        <v>557</v>
      </c>
      <c r="L27" s="3" cm="1">
        <f t="array" ref="L27">$L$10+(F27-1)*(属性总览!$I$5+INDEX($L$4:$L$6,MATCH(1,($B$4:$B$6=$B27)*($D$4:$D$6=$D27),0)))</f>
        <v>457</v>
      </c>
      <c r="M27" s="3" cm="1">
        <f t="array" ref="M27">ROUND(MIN($M$10+(G27-1)*(属性总览!$H$6+INDEX($M$4:$M$6,MATCH(1,($B$4:$B$6=$B27)*($D$4:$D$6=$D27),0))),100),0)</f>
        <v>83</v>
      </c>
      <c r="N27" s="3" cm="1">
        <f t="array" ref="N27">ROUND(MIN($N$10+(G27-1)*(属性总览!$I$6+INDEX($N$4:$N$6,MATCH(1,($B$4:$B$6=$B27)*($D$4:$D$6=$D27),0))),30),0)</f>
        <v>13</v>
      </c>
      <c r="O27" s="3" cm="1">
        <f t="array" ref="O27">$O$10+(H27-1)*(属性总览!$H$5+INDEX($O$4:$O$7,MATCH(1,($B$4:$B$6=$B27)*($D$4:$D$6=$D27),0)))</f>
        <v>187</v>
      </c>
      <c r="P27" s="3">
        <f t="shared" ref="P27:T27" si="1">P26</f>
        <v>20</v>
      </c>
      <c r="Q27" s="3">
        <f t="shared" si="1"/>
        <v>20</v>
      </c>
      <c r="R27" s="3">
        <f t="shared" si="1"/>
        <v>150</v>
      </c>
      <c r="S27" s="3">
        <f t="shared" si="1"/>
        <v>100</v>
      </c>
      <c r="T27" s="3">
        <f t="shared" si="1"/>
        <v>100</v>
      </c>
      <c r="U27" s="3">
        <v>1</v>
      </c>
      <c r="V27" s="3">
        <v>1</v>
      </c>
      <c r="W27" s="3">
        <v>1</v>
      </c>
    </row>
    <row r="28" spans="1:23">
      <c r="A28" s="1"/>
      <c r="B28" s="3" t="s">
        <v>337</v>
      </c>
      <c r="C28" s="3">
        <v>19</v>
      </c>
      <c r="D28" s="3">
        <v>2</v>
      </c>
      <c r="E28" s="3" cm="1">
        <f t="array" ref="E28">E$10+INDEX(E$4:E$6,MATCH(1,($B$4:$B$6=$B28)*($D$4:$D$6=$D28),0))*($C28-1)</f>
        <v>19</v>
      </c>
      <c r="F28" s="3" cm="1">
        <f t="array" ref="F28">F$10+INDEX(F$4:F$6,MATCH(1,($B$4:$B$6=$B28)*($D$4:$D$6=$D28),0))*($C28-1)</f>
        <v>19</v>
      </c>
      <c r="G28" s="3" cm="1">
        <f t="array" ref="G28">G$10+INDEX(G$4:G$6,MATCH(1,($B$4:$B$6=$B28)*($D$4:$D$6=$D28),0))*($C28-1)</f>
        <v>19</v>
      </c>
      <c r="H28" s="3" cm="1">
        <f t="array" ref="H28">H$10+INDEX(H$4:H$6,MATCH(1,($B$4:$B$6=$B28)*($D$4:$D$6=$D28),0))*($C28-1)</f>
        <v>19</v>
      </c>
      <c r="I28" s="3" cm="1">
        <f t="array" ref="I28">ROUND($I$10+(E28-1)*(属性总览!$H$4+INDEX($I$4:$I$6,MATCH(1,($B$4:$B$6=$B28)*($D$4:$D$6=$D28),0)))*系统框架!$F$17/系统框架!$F$15,0)</f>
        <v>82</v>
      </c>
      <c r="J28" s="3" cm="1">
        <f t="array" ref="J28">ROUND($J$10+(F28-1)*(属性总览!$H$5+INDEX($K$4:$K$6,MATCH(1,($B$4:$B$6=$B28)*($D$4:$D$6=$D28),0)))*系统框架!$F$17/系统框架!$F$15,0)</f>
        <v>152</v>
      </c>
      <c r="K28" s="3" cm="1">
        <f t="array" ref="K28">$K$10+(H28-1)*(属性总览!$H$7+INDEX($O$4:$O$6,MATCH(1,($B$4:$B$6=$B28)*($D$4:$D$6=$D28),0)))</f>
        <v>578</v>
      </c>
      <c r="L28" s="3" cm="1">
        <f t="array" ref="L28">$L$10+(F28-1)*(属性总览!$I$5+INDEX($L$4:$L$6,MATCH(1,($B$4:$B$6=$B28)*($D$4:$D$6=$D28),0)))</f>
        <v>478</v>
      </c>
      <c r="M28" s="3" cm="1">
        <f t="array" ref="M28">ROUND(MIN($M$10+(G28-1)*(属性总览!$H$6+INDEX($M$4:$M$6,MATCH(1,($B$4:$B$6=$B28)*($D$4:$D$6=$D28),0))),100),0)</f>
        <v>83</v>
      </c>
      <c r="N28" s="3" cm="1">
        <f t="array" ref="N28">ROUND(MIN($N$10+(G28-1)*(属性总览!$I$6+INDEX($N$4:$N$6,MATCH(1,($B$4:$B$6=$B28)*($D$4:$D$6=$D28),0))),30),0)</f>
        <v>13</v>
      </c>
      <c r="O28" s="3" cm="1">
        <f t="array" ref="O28">$O$10+(H28-1)*(属性总览!$H$5+INDEX($O$4:$O$7,MATCH(1,($B$4:$B$6=$B28)*($D$4:$D$6=$D28),0)))</f>
        <v>198</v>
      </c>
      <c r="P28" s="3">
        <f t="shared" ref="P28:T39" si="2">P27</f>
        <v>20</v>
      </c>
      <c r="Q28" s="3">
        <f t="shared" si="2"/>
        <v>20</v>
      </c>
      <c r="R28" s="3">
        <f t="shared" si="2"/>
        <v>150</v>
      </c>
      <c r="S28" s="3">
        <f t="shared" si="2"/>
        <v>100</v>
      </c>
      <c r="T28" s="3">
        <f t="shared" si="2"/>
        <v>100</v>
      </c>
      <c r="U28" s="3">
        <v>1</v>
      </c>
      <c r="V28" s="3">
        <v>1</v>
      </c>
      <c r="W28" s="3">
        <v>1</v>
      </c>
    </row>
    <row r="29" spans="1:23">
      <c r="A29" s="1"/>
      <c r="B29" s="3" t="s">
        <v>337</v>
      </c>
      <c r="C29" s="3">
        <v>20</v>
      </c>
      <c r="D29" s="3">
        <v>2</v>
      </c>
      <c r="E29" s="3" cm="1">
        <f t="array" ref="E29">E$10+INDEX(E$4:E$6,MATCH(1,($B$4:$B$6=$B29)*($D$4:$D$6=$D29),0))*($C29-1)</f>
        <v>20</v>
      </c>
      <c r="F29" s="3" cm="1">
        <f t="array" ref="F29">F$10+INDEX(F$4:F$6,MATCH(1,($B$4:$B$6=$B29)*($D$4:$D$6=$D29),0))*($C29-1)</f>
        <v>20</v>
      </c>
      <c r="G29" s="3" cm="1">
        <f t="array" ref="G29">G$10+INDEX(G$4:G$6,MATCH(1,($B$4:$B$6=$B29)*($D$4:$D$6=$D29),0))*($C29-1)</f>
        <v>20</v>
      </c>
      <c r="H29" s="3" cm="1">
        <f t="array" ref="H29">H$10+INDEX(H$4:H$6,MATCH(1,($B$4:$B$6=$B29)*($D$4:$D$6=$D29),0))*($C29-1)</f>
        <v>20</v>
      </c>
      <c r="I29" s="3" cm="1">
        <f t="array" ref="I29">ROUND($I$10+(E29-1)*(属性总览!$H$4+INDEX($I$4:$I$6,MATCH(1,($B$4:$B$6=$B29)*($D$4:$D$6=$D29),0)))*系统框架!$F$17/系统框架!$F$15,0)</f>
        <v>86</v>
      </c>
      <c r="J29" s="3" cm="1">
        <f t="array" ref="J29">ROUND($J$10+(F29-1)*(属性总览!$H$5+INDEX($K$4:$K$6,MATCH(1,($B$4:$B$6=$B29)*($D$4:$D$6=$D29),0)))*系统框架!$F$17/系统框架!$F$15,0)</f>
        <v>159</v>
      </c>
      <c r="K29" s="3" cm="1">
        <f t="array" ref="K29">$K$10+(H29-1)*(属性总览!$H$7+INDEX($O$4:$O$6,MATCH(1,($B$4:$B$6=$B29)*($D$4:$D$6=$D29),0)))</f>
        <v>599</v>
      </c>
      <c r="L29" s="3" cm="1">
        <f t="array" ref="L29">$L$10+(F29-1)*(属性总览!$I$5+INDEX($L$4:$L$6,MATCH(1,($B$4:$B$6=$B29)*($D$4:$D$6=$D29),0)))</f>
        <v>499</v>
      </c>
      <c r="M29" s="3" cm="1">
        <f t="array" ref="M29">ROUND(MIN($M$10+(G29-1)*(属性总览!$H$6+INDEX($M$4:$M$6,MATCH(1,($B$4:$B$6=$B29)*($D$4:$D$6=$D29),0))),100),0)</f>
        <v>83</v>
      </c>
      <c r="N29" s="3" cm="1">
        <f t="array" ref="N29">ROUND(MIN($N$10+(G29-1)*(属性总览!$I$6+INDEX($N$4:$N$6,MATCH(1,($B$4:$B$6=$B29)*($D$4:$D$6=$D29),0))),30),0)</f>
        <v>13</v>
      </c>
      <c r="O29" s="3" cm="1">
        <f t="array" ref="O29">$O$10+(H29-1)*(属性总览!$H$5+INDEX($O$4:$O$7,MATCH(1,($B$4:$B$6=$B29)*($D$4:$D$6=$D29),0)))</f>
        <v>209</v>
      </c>
      <c r="P29" s="3">
        <f t="shared" si="2"/>
        <v>20</v>
      </c>
      <c r="Q29" s="3">
        <f t="shared" si="2"/>
        <v>20</v>
      </c>
      <c r="R29" s="3">
        <f t="shared" si="2"/>
        <v>150</v>
      </c>
      <c r="S29" s="3">
        <f t="shared" si="2"/>
        <v>100</v>
      </c>
      <c r="T29" s="3">
        <f t="shared" si="2"/>
        <v>100</v>
      </c>
      <c r="U29" s="3">
        <v>1</v>
      </c>
      <c r="V29" s="3">
        <v>1</v>
      </c>
      <c r="W29" s="3">
        <v>1</v>
      </c>
    </row>
    <row r="30" spans="1:23">
      <c r="A30" s="1"/>
      <c r="B30" s="3" t="s">
        <v>337</v>
      </c>
      <c r="C30" s="3">
        <v>21</v>
      </c>
      <c r="D30" s="3">
        <v>3</v>
      </c>
      <c r="E30" s="3" cm="1">
        <f t="array" ref="E30">E$10+INDEX(E$4:E$6,MATCH(1,($B$4:$B$6=$B30)*($D$4:$D$6=$D30),0))*($C30-1)</f>
        <v>21</v>
      </c>
      <c r="F30" s="3" cm="1">
        <f t="array" ref="F30">F$10+INDEX(F$4:F$6,MATCH(1,($B$4:$B$6=$B30)*($D$4:$D$6=$D30),0))*($C30-1)</f>
        <v>21</v>
      </c>
      <c r="G30" s="3" cm="1">
        <f t="array" ref="G30">G$10+INDEX(G$4:G$6,MATCH(1,($B$4:$B$6=$B30)*($D$4:$D$6=$D30),0))*($C30-1)</f>
        <v>21</v>
      </c>
      <c r="H30" s="3" cm="1">
        <f t="array" ref="H30">H$10+INDEX(H$4:H$6,MATCH(1,($B$4:$B$6=$B30)*($D$4:$D$6=$D30),0))*($C30-1)</f>
        <v>21</v>
      </c>
      <c r="I30" s="3" cm="1">
        <f t="array" ref="I30">ROUND($I$10+(E30-1)*(属性总览!$H$4+INDEX($I$4:$I$6,MATCH(1,($B$4:$B$6=$B30)*($D$4:$D$6=$D30),0)))*系统框架!$F$17/系统框架!$F$15,0)</f>
        <v>103</v>
      </c>
      <c r="J30" s="3" cm="1">
        <f t="array" ref="J30">ROUND($J$10+(F30-1)*(属性总览!$H$5+INDEX($K$4:$K$6,MATCH(1,($B$4:$B$6=$B30)*($D$4:$D$6=$D30),0)))*系统框架!$F$17/系统框架!$F$15,0)</f>
        <v>180</v>
      </c>
      <c r="K30" s="3" cm="1">
        <f t="array" ref="K30">$K$10+(H30-1)*(属性总览!$H$7+INDEX($O$4:$O$6,MATCH(1,($B$4:$B$6=$B30)*($D$4:$D$6=$D30),0)))</f>
        <v>640</v>
      </c>
      <c r="L30" s="3" cm="1">
        <f t="array" ref="L30">$L$10+(F30-1)*(属性总览!$I$5+INDEX($L$4:$L$6,MATCH(1,($B$4:$B$6=$B30)*($D$4:$D$6=$D30),0)))</f>
        <v>540</v>
      </c>
      <c r="M30" s="3" cm="1">
        <f t="array" ref="M30">ROUND(MIN($M$10+(G30-1)*(属性总览!$H$6+INDEX($M$4:$M$6,MATCH(1,($B$4:$B$6=$B30)*($D$4:$D$6=$D30),0))),100),0)</f>
        <v>84</v>
      </c>
      <c r="N30" s="3" cm="1">
        <f t="array" ref="N30">ROUND(MIN($N$10+(G30-1)*(属性总览!$I$6+INDEX($N$4:$N$6,MATCH(1,($B$4:$B$6=$B30)*($D$4:$D$6=$D30),0))),30),0)</f>
        <v>14</v>
      </c>
      <c r="O30" s="3" cm="1">
        <f t="array" ref="O30">$O$10+(H30-1)*(属性总览!$H$5+INDEX($O$4:$O$7,MATCH(1,($B$4:$B$6=$B30)*($D$4:$D$6=$D30),0)))</f>
        <v>240</v>
      </c>
      <c r="P30" s="3">
        <f t="shared" si="2"/>
        <v>20</v>
      </c>
      <c r="Q30" s="3">
        <f t="shared" si="2"/>
        <v>20</v>
      </c>
      <c r="R30" s="3">
        <f t="shared" si="2"/>
        <v>150</v>
      </c>
      <c r="S30" s="3">
        <f t="shared" si="2"/>
        <v>100</v>
      </c>
      <c r="T30" s="3">
        <f t="shared" si="2"/>
        <v>100</v>
      </c>
      <c r="U30" s="3">
        <v>1</v>
      </c>
      <c r="V30" s="3">
        <v>1</v>
      </c>
      <c r="W30" s="3">
        <v>1</v>
      </c>
    </row>
    <row r="31" spans="1:23">
      <c r="A31" s="1"/>
      <c r="B31" s="3" t="s">
        <v>337</v>
      </c>
      <c r="C31" s="3">
        <v>22</v>
      </c>
      <c r="D31" s="3">
        <v>3</v>
      </c>
      <c r="E31" s="3" cm="1">
        <f t="array" ref="E31">E$10+INDEX(E$4:E$6,MATCH(1,($B$4:$B$6=$B31)*($D$4:$D$6=$D31),0))*($C31-1)</f>
        <v>22</v>
      </c>
      <c r="F31" s="3" cm="1">
        <f t="array" ref="F31">F$10+INDEX(F$4:F$6,MATCH(1,($B$4:$B$6=$B31)*($D$4:$D$6=$D31),0))*($C31-1)</f>
        <v>22</v>
      </c>
      <c r="G31" s="3" cm="1">
        <f t="array" ref="G31">G$10+INDEX(G$4:G$6,MATCH(1,($B$4:$B$6=$B31)*($D$4:$D$6=$D31),0))*($C31-1)</f>
        <v>22</v>
      </c>
      <c r="H31" s="3" cm="1">
        <f t="array" ref="H31">H$10+INDEX(H$4:H$6,MATCH(1,($B$4:$B$6=$B31)*($D$4:$D$6=$D31),0))*($C31-1)</f>
        <v>22</v>
      </c>
      <c r="I31" s="3" cm="1">
        <f t="array" ref="I31">ROUND($I$10+(E31-1)*(属性总览!$H$4+INDEX($I$4:$I$6,MATCH(1,($B$4:$B$6=$B31)*($D$4:$D$6=$D31),0)))*系统框架!$F$17/系统框架!$F$15,0)</f>
        <v>108</v>
      </c>
      <c r="J31" s="3" cm="1">
        <f t="array" ref="J31">ROUND($J$10+(F31-1)*(属性总览!$H$5+INDEX($K$4:$K$6,MATCH(1,($B$4:$B$6=$B31)*($D$4:$D$6=$D31),0)))*系统框架!$F$17/系统框架!$F$15,0)</f>
        <v>188</v>
      </c>
      <c r="K31" s="3" cm="1">
        <f t="array" ref="K31">$K$10+(H31-1)*(属性总览!$H$7+INDEX($O$4:$O$6,MATCH(1,($B$4:$B$6=$B31)*($D$4:$D$6=$D31),0)))</f>
        <v>662</v>
      </c>
      <c r="L31" s="3" cm="1">
        <f t="array" ref="L31">$L$10+(F31-1)*(属性总览!$I$5+INDEX($L$4:$L$6,MATCH(1,($B$4:$B$6=$B31)*($D$4:$D$6=$D31),0)))</f>
        <v>562</v>
      </c>
      <c r="M31" s="3" cm="1">
        <f t="array" ref="M31">ROUND(MIN($M$10+(G31-1)*(属性总览!$H$6+INDEX($M$4:$M$6,MATCH(1,($B$4:$B$6=$B31)*($D$4:$D$6=$D31),0))),100),0)</f>
        <v>84</v>
      </c>
      <c r="N31" s="3" cm="1">
        <f t="array" ref="N31">ROUND(MIN($N$10+(G31-1)*(属性总览!$I$6+INDEX($N$4:$N$6,MATCH(1,($B$4:$B$6=$B31)*($D$4:$D$6=$D31),0))),30),0)</f>
        <v>14</v>
      </c>
      <c r="O31" s="3" cm="1">
        <f t="array" ref="O31">$O$10+(H31-1)*(属性总览!$H$5+INDEX($O$4:$O$7,MATCH(1,($B$4:$B$6=$B31)*($D$4:$D$6=$D31),0)))</f>
        <v>252</v>
      </c>
      <c r="P31" s="3">
        <f t="shared" si="2"/>
        <v>20</v>
      </c>
      <c r="Q31" s="3">
        <f t="shared" si="2"/>
        <v>20</v>
      </c>
      <c r="R31" s="3">
        <f t="shared" si="2"/>
        <v>150</v>
      </c>
      <c r="S31" s="3">
        <f t="shared" si="2"/>
        <v>100</v>
      </c>
      <c r="T31" s="3">
        <f t="shared" si="2"/>
        <v>100</v>
      </c>
      <c r="U31" s="3">
        <v>1</v>
      </c>
      <c r="V31" s="3">
        <v>1</v>
      </c>
      <c r="W31" s="3">
        <v>1</v>
      </c>
    </row>
    <row r="32" spans="1:23">
      <c r="A32" s="1"/>
      <c r="B32" s="3" t="s">
        <v>337</v>
      </c>
      <c r="C32" s="3">
        <v>23</v>
      </c>
      <c r="D32" s="3">
        <v>3</v>
      </c>
      <c r="E32" s="3" cm="1">
        <f t="array" ref="E32">E$10+INDEX(E$4:E$6,MATCH(1,($B$4:$B$6=$B32)*($D$4:$D$6=$D32),0))*($C32-1)</f>
        <v>23</v>
      </c>
      <c r="F32" s="3" cm="1">
        <f t="array" ref="F32">F$10+INDEX(F$4:F$6,MATCH(1,($B$4:$B$6=$B32)*($D$4:$D$6=$D32),0))*($C32-1)</f>
        <v>23</v>
      </c>
      <c r="G32" s="3" cm="1">
        <f t="array" ref="G32">G$10+INDEX(G$4:G$6,MATCH(1,($B$4:$B$6=$B32)*($D$4:$D$6=$D32),0))*($C32-1)</f>
        <v>23</v>
      </c>
      <c r="H32" s="3" cm="1">
        <f t="array" ref="H32">H$10+INDEX(H$4:H$6,MATCH(1,($B$4:$B$6=$B32)*($D$4:$D$6=$D32),0))*($C32-1)</f>
        <v>23</v>
      </c>
      <c r="I32" s="3" cm="1">
        <f t="array" ref="I32">ROUND($I$10+(E32-1)*(属性总览!$H$4+INDEX($I$4:$I$6,MATCH(1,($B$4:$B$6=$B32)*($D$4:$D$6=$D32),0)))*系统框架!$F$17/系统框架!$F$15,0)</f>
        <v>113</v>
      </c>
      <c r="J32" s="3" cm="1">
        <f t="array" ref="J32">ROUND($J$10+(F32-1)*(属性总览!$H$5+INDEX($K$4:$K$6,MATCH(1,($B$4:$B$6=$B32)*($D$4:$D$6=$D32),0)))*系统框架!$F$17/系统框架!$F$15,0)</f>
        <v>196</v>
      </c>
      <c r="K32" s="3" cm="1">
        <f t="array" ref="K32">$K$10+(H32-1)*(属性总览!$H$7+INDEX($O$4:$O$6,MATCH(1,($B$4:$B$6=$B32)*($D$4:$D$6=$D32),0)))</f>
        <v>684</v>
      </c>
      <c r="L32" s="3" cm="1">
        <f t="array" ref="L32">$L$10+(F32-1)*(属性总览!$I$5+INDEX($L$4:$L$6,MATCH(1,($B$4:$B$6=$B32)*($D$4:$D$6=$D32),0)))</f>
        <v>584</v>
      </c>
      <c r="M32" s="3" cm="1">
        <f t="array" ref="M32">ROUND(MIN($M$10+(G32-1)*(属性总览!$H$6+INDEX($M$4:$M$6,MATCH(1,($B$4:$B$6=$B32)*($D$4:$D$6=$D32),0))),100),0)</f>
        <v>84</v>
      </c>
      <c r="N32" s="3" cm="1">
        <f t="array" ref="N32">ROUND(MIN($N$10+(G32-1)*(属性总览!$I$6+INDEX($N$4:$N$6,MATCH(1,($B$4:$B$6=$B32)*($D$4:$D$6=$D32),0))),30),0)</f>
        <v>14</v>
      </c>
      <c r="O32" s="3" cm="1">
        <f t="array" ref="O32">$O$10+(H32-1)*(属性总览!$H$5+INDEX($O$4:$O$7,MATCH(1,($B$4:$B$6=$B32)*($D$4:$D$6=$D32),0)))</f>
        <v>264</v>
      </c>
      <c r="P32" s="3">
        <f t="shared" si="2"/>
        <v>20</v>
      </c>
      <c r="Q32" s="3">
        <f t="shared" si="2"/>
        <v>20</v>
      </c>
      <c r="R32" s="3">
        <f t="shared" si="2"/>
        <v>150</v>
      </c>
      <c r="S32" s="3">
        <f t="shared" si="2"/>
        <v>100</v>
      </c>
      <c r="T32" s="3">
        <f t="shared" si="2"/>
        <v>100</v>
      </c>
      <c r="U32" s="3">
        <v>1</v>
      </c>
      <c r="V32" s="3">
        <v>1</v>
      </c>
      <c r="W32" s="3">
        <v>1</v>
      </c>
    </row>
    <row r="33" spans="1:23">
      <c r="A33" s="1"/>
      <c r="B33" s="3" t="s">
        <v>337</v>
      </c>
      <c r="C33" s="3">
        <v>24</v>
      </c>
      <c r="D33" s="3">
        <v>3</v>
      </c>
      <c r="E33" s="3" cm="1">
        <f t="array" ref="E33">E$10+INDEX(E$4:E$6,MATCH(1,($B$4:$B$6=$B33)*($D$4:$D$6=$D33),0))*($C33-1)</f>
        <v>24</v>
      </c>
      <c r="F33" s="3" cm="1">
        <f t="array" ref="F33">F$10+INDEX(F$4:F$6,MATCH(1,($B$4:$B$6=$B33)*($D$4:$D$6=$D33),0))*($C33-1)</f>
        <v>24</v>
      </c>
      <c r="G33" s="3" cm="1">
        <f t="array" ref="G33">G$10+INDEX(G$4:G$6,MATCH(1,($B$4:$B$6=$B33)*($D$4:$D$6=$D33),0))*($C33-1)</f>
        <v>24</v>
      </c>
      <c r="H33" s="3" cm="1">
        <f t="array" ref="H33">H$10+INDEX(H$4:H$6,MATCH(1,($B$4:$B$6=$B33)*($D$4:$D$6=$D33),0))*($C33-1)</f>
        <v>24</v>
      </c>
      <c r="I33" s="3" cm="1">
        <f t="array" ref="I33">ROUND($I$10+(E33-1)*(属性总览!$H$4+INDEX($I$4:$I$6,MATCH(1,($B$4:$B$6=$B33)*($D$4:$D$6=$D33),0)))*系统框架!$F$17/系统框架!$F$15,0)</f>
        <v>117</v>
      </c>
      <c r="J33" s="3" cm="1">
        <f t="array" ref="J33">ROUND($J$10+(F33-1)*(属性总览!$H$5+INDEX($K$4:$K$6,MATCH(1,($B$4:$B$6=$B33)*($D$4:$D$6=$D33),0)))*系统框架!$F$17/系统框架!$F$15,0)</f>
        <v>204</v>
      </c>
      <c r="K33" s="3" cm="1">
        <f t="array" ref="K33">$K$10+(H33-1)*(属性总览!$H$7+INDEX($O$4:$O$6,MATCH(1,($B$4:$B$6=$B33)*($D$4:$D$6=$D33),0)))</f>
        <v>706</v>
      </c>
      <c r="L33" s="3" cm="1">
        <f t="array" ref="L33">$L$10+(F33-1)*(属性总览!$I$5+INDEX($L$4:$L$6,MATCH(1,($B$4:$B$6=$B33)*($D$4:$D$6=$D33),0)))</f>
        <v>606</v>
      </c>
      <c r="M33" s="3" cm="1">
        <f t="array" ref="M33">ROUND(MIN($M$10+(G33-1)*(属性总览!$H$6+INDEX($M$4:$M$6,MATCH(1,($B$4:$B$6=$B33)*($D$4:$D$6=$D33),0))),100),0)</f>
        <v>85</v>
      </c>
      <c r="N33" s="3" cm="1">
        <f t="array" ref="N33">ROUND(MIN($N$10+(G33-1)*(属性总览!$I$6+INDEX($N$4:$N$6,MATCH(1,($B$4:$B$6=$B33)*($D$4:$D$6=$D33),0))),30),0)</f>
        <v>15</v>
      </c>
      <c r="O33" s="3" cm="1">
        <f t="array" ref="O33">$O$10+(H33-1)*(属性总览!$H$5+INDEX($O$4:$O$7,MATCH(1,($B$4:$B$6=$B33)*($D$4:$D$6=$D33),0)))</f>
        <v>276</v>
      </c>
      <c r="P33" s="3">
        <f t="shared" si="2"/>
        <v>20</v>
      </c>
      <c r="Q33" s="3">
        <f t="shared" si="2"/>
        <v>20</v>
      </c>
      <c r="R33" s="3">
        <f t="shared" si="2"/>
        <v>150</v>
      </c>
      <c r="S33" s="3">
        <f t="shared" si="2"/>
        <v>100</v>
      </c>
      <c r="T33" s="3">
        <f t="shared" si="2"/>
        <v>100</v>
      </c>
      <c r="U33" s="3">
        <v>1</v>
      </c>
      <c r="V33" s="3">
        <v>1</v>
      </c>
      <c r="W33" s="3">
        <v>1</v>
      </c>
    </row>
    <row r="34" spans="1:23">
      <c r="A34" s="1"/>
      <c r="B34" s="3" t="s">
        <v>337</v>
      </c>
      <c r="C34" s="3">
        <v>25</v>
      </c>
      <c r="D34" s="3">
        <v>3</v>
      </c>
      <c r="E34" s="3" cm="1">
        <f t="array" ref="E34">E$10+INDEX(E$4:E$6,MATCH(1,($B$4:$B$6=$B34)*($D$4:$D$6=$D34),0))*($C34-1)</f>
        <v>25</v>
      </c>
      <c r="F34" s="3" cm="1">
        <f t="array" ref="F34">F$10+INDEX(F$4:F$6,MATCH(1,($B$4:$B$6=$B34)*($D$4:$D$6=$D34),0))*($C34-1)</f>
        <v>25</v>
      </c>
      <c r="G34" s="3" cm="1">
        <f t="array" ref="G34">G$10+INDEX(G$4:G$6,MATCH(1,($B$4:$B$6=$B34)*($D$4:$D$6=$D34),0))*($C34-1)</f>
        <v>25</v>
      </c>
      <c r="H34" s="3" cm="1">
        <f t="array" ref="H34">H$10+INDEX(H$4:H$6,MATCH(1,($B$4:$B$6=$B34)*($D$4:$D$6=$D34),0))*($C34-1)</f>
        <v>25</v>
      </c>
      <c r="I34" s="3" cm="1">
        <f t="array" ref="I34">ROUND($I$10+(E34-1)*(属性总览!$H$4+INDEX($I$4:$I$6,MATCH(1,($B$4:$B$6=$B34)*($D$4:$D$6=$D34),0)))*系统框架!$F$17/系统框架!$F$15,0)</f>
        <v>122</v>
      </c>
      <c r="J34" s="3" cm="1">
        <f t="array" ref="J34">ROUND($J$10+(F34-1)*(属性总览!$H$5+INDEX($K$4:$K$6,MATCH(1,($B$4:$B$6=$B34)*($D$4:$D$6=$D34),0)))*系统框架!$F$17/系统框架!$F$15,0)</f>
        <v>212</v>
      </c>
      <c r="K34" s="3" cm="1">
        <f t="array" ref="K34">$K$10+(H34-1)*(属性总览!$H$7+INDEX($O$4:$O$6,MATCH(1,($B$4:$B$6=$B34)*($D$4:$D$6=$D34),0)))</f>
        <v>728</v>
      </c>
      <c r="L34" s="3" cm="1">
        <f t="array" ref="L34">$L$10+(F34-1)*(属性总览!$I$5+INDEX($L$4:$L$6,MATCH(1,($B$4:$B$6=$B34)*($D$4:$D$6=$D34),0)))</f>
        <v>628</v>
      </c>
      <c r="M34" s="3" cm="1">
        <f t="array" ref="M34">ROUND(MIN($M$10+(G34-1)*(属性总览!$H$6+INDEX($M$4:$M$6,MATCH(1,($B$4:$B$6=$B34)*($D$4:$D$6=$D34),0))),100),0)</f>
        <v>85</v>
      </c>
      <c r="N34" s="3" cm="1">
        <f t="array" ref="N34">ROUND(MIN($N$10+(G34-1)*(属性总览!$I$6+INDEX($N$4:$N$6,MATCH(1,($B$4:$B$6=$B34)*($D$4:$D$6=$D34),0))),30),0)</f>
        <v>15</v>
      </c>
      <c r="O34" s="3" cm="1">
        <f t="array" ref="O34">$O$10+(H34-1)*(属性总览!$H$5+INDEX($O$4:$O$7,MATCH(1,($B$4:$B$6=$B34)*($D$4:$D$6=$D34),0)))</f>
        <v>288</v>
      </c>
      <c r="P34" s="3">
        <f t="shared" si="2"/>
        <v>20</v>
      </c>
      <c r="Q34" s="3">
        <f t="shared" si="2"/>
        <v>20</v>
      </c>
      <c r="R34" s="3">
        <f t="shared" si="2"/>
        <v>150</v>
      </c>
      <c r="S34" s="3">
        <f t="shared" si="2"/>
        <v>100</v>
      </c>
      <c r="T34" s="3">
        <f t="shared" si="2"/>
        <v>100</v>
      </c>
      <c r="U34" s="3">
        <v>1</v>
      </c>
      <c r="V34" s="3">
        <v>1</v>
      </c>
      <c r="W34" s="3">
        <v>1</v>
      </c>
    </row>
    <row r="35" spans="1:23">
      <c r="A35" s="1"/>
      <c r="B35" s="3" t="s">
        <v>337</v>
      </c>
      <c r="C35" s="3">
        <v>26</v>
      </c>
      <c r="D35" s="3">
        <v>3</v>
      </c>
      <c r="E35" s="3" cm="1">
        <f t="array" ref="E35">E$10+INDEX(E$4:E$6,MATCH(1,($B$4:$B$6=$B35)*($D$4:$D$6=$D35),0))*($C35-1)</f>
        <v>26</v>
      </c>
      <c r="F35" s="3" cm="1">
        <f t="array" ref="F35">F$10+INDEX(F$4:F$6,MATCH(1,($B$4:$B$6=$B35)*($D$4:$D$6=$D35),0))*($C35-1)</f>
        <v>26</v>
      </c>
      <c r="G35" s="3" cm="1">
        <f t="array" ref="G35">G$10+INDEX(G$4:G$6,MATCH(1,($B$4:$B$6=$B35)*($D$4:$D$6=$D35),0))*($C35-1)</f>
        <v>26</v>
      </c>
      <c r="H35" s="3" cm="1">
        <f t="array" ref="H35">H$10+INDEX(H$4:H$6,MATCH(1,($B$4:$B$6=$B35)*($D$4:$D$6=$D35),0))*($C35-1)</f>
        <v>26</v>
      </c>
      <c r="I35" s="3" cm="1">
        <f t="array" ref="I35">ROUND($I$10+(E35-1)*(属性总览!$H$4+INDEX($I$4:$I$6,MATCH(1,($B$4:$B$6=$B35)*($D$4:$D$6=$D35),0)))*系统框架!$F$17/系统框架!$F$15,0)</f>
        <v>127</v>
      </c>
      <c r="J35" s="3" cm="1">
        <f t="array" ref="J35">ROUND($J$10+(F35-1)*(属性总览!$H$5+INDEX($K$4:$K$6,MATCH(1,($B$4:$B$6=$B35)*($D$4:$D$6=$D35),0)))*系统框架!$F$17/系统框架!$F$15,0)</f>
        <v>220</v>
      </c>
      <c r="K35" s="3" cm="1">
        <f t="array" ref="K35">$K$10+(H35-1)*(属性总览!$H$7+INDEX($O$4:$O$6,MATCH(1,($B$4:$B$6=$B35)*($D$4:$D$6=$D35),0)))</f>
        <v>750</v>
      </c>
      <c r="L35" s="3" cm="1">
        <f t="array" ref="L35">$L$10+(F35-1)*(属性总览!$I$5+INDEX($L$4:$L$6,MATCH(1,($B$4:$B$6=$B35)*($D$4:$D$6=$D35),0)))</f>
        <v>650</v>
      </c>
      <c r="M35" s="3" cm="1">
        <f t="array" ref="M35">ROUND(MIN($M$10+(G35-1)*(属性总览!$H$6+INDEX($M$4:$M$6,MATCH(1,($B$4:$B$6=$B35)*($D$4:$D$6=$D35),0))),100),0)</f>
        <v>85</v>
      </c>
      <c r="N35" s="3" cm="1">
        <f t="array" ref="N35">ROUND(MIN($N$10+(G35-1)*(属性总览!$I$6+INDEX($N$4:$N$6,MATCH(1,($B$4:$B$6=$B35)*($D$4:$D$6=$D35),0))),30),0)</f>
        <v>15</v>
      </c>
      <c r="O35" s="3" cm="1">
        <f t="array" ref="O35">$O$10+(H35-1)*(属性总览!$H$5+INDEX($O$4:$O$7,MATCH(1,($B$4:$B$6=$B35)*($D$4:$D$6=$D35),0)))</f>
        <v>300</v>
      </c>
      <c r="P35" s="3">
        <f t="shared" si="2"/>
        <v>20</v>
      </c>
      <c r="Q35" s="3">
        <f t="shared" si="2"/>
        <v>20</v>
      </c>
      <c r="R35" s="3">
        <f t="shared" si="2"/>
        <v>150</v>
      </c>
      <c r="S35" s="3">
        <f t="shared" si="2"/>
        <v>100</v>
      </c>
      <c r="T35" s="3">
        <f t="shared" si="2"/>
        <v>100</v>
      </c>
      <c r="U35" s="3">
        <v>1</v>
      </c>
      <c r="V35" s="3">
        <v>1</v>
      </c>
      <c r="W35" s="3">
        <v>1</v>
      </c>
    </row>
    <row r="36" spans="1:23">
      <c r="A36" s="1"/>
      <c r="B36" s="3" t="s">
        <v>337</v>
      </c>
      <c r="C36" s="3">
        <v>27</v>
      </c>
      <c r="D36" s="3">
        <v>3</v>
      </c>
      <c r="E36" s="3" cm="1">
        <f t="array" ref="E36">E$10+INDEX(E$4:E$6,MATCH(1,($B$4:$B$6=$B36)*($D$4:$D$6=$D36),0))*($C36-1)</f>
        <v>27</v>
      </c>
      <c r="F36" s="3" cm="1">
        <f t="array" ref="F36">F$10+INDEX(F$4:F$6,MATCH(1,($B$4:$B$6=$B36)*($D$4:$D$6=$D36),0))*($C36-1)</f>
        <v>27</v>
      </c>
      <c r="G36" s="3" cm="1">
        <f t="array" ref="G36">G$10+INDEX(G$4:G$6,MATCH(1,($B$4:$B$6=$B36)*($D$4:$D$6=$D36),0))*($C36-1)</f>
        <v>27</v>
      </c>
      <c r="H36" s="3" cm="1">
        <f t="array" ref="H36">H$10+INDEX(H$4:H$6,MATCH(1,($B$4:$B$6=$B36)*($D$4:$D$6=$D36),0))*($C36-1)</f>
        <v>27</v>
      </c>
      <c r="I36" s="3" cm="1">
        <f t="array" ref="I36">ROUND($I$10+(E36-1)*(属性总览!$H$4+INDEX($I$4:$I$6,MATCH(1,($B$4:$B$6=$B36)*($D$4:$D$6=$D36),0)))*系统框架!$F$17/系统框架!$F$15,0)</f>
        <v>131</v>
      </c>
      <c r="J36" s="3" cm="1">
        <f t="array" ref="J36">ROUND($J$10+(F36-1)*(属性总览!$H$5+INDEX($K$4:$K$6,MATCH(1,($B$4:$B$6=$B36)*($D$4:$D$6=$D36),0)))*系统框架!$F$17/系统框架!$F$15,0)</f>
        <v>228</v>
      </c>
      <c r="K36" s="3" cm="1">
        <f t="array" ref="K36">$K$10+(H36-1)*(属性总览!$H$7+INDEX($O$4:$O$6,MATCH(1,($B$4:$B$6=$B36)*($D$4:$D$6=$D36),0)))</f>
        <v>772</v>
      </c>
      <c r="L36" s="3" cm="1">
        <f t="array" ref="L36">$L$10+(F36-1)*(属性总览!$I$5+INDEX($L$4:$L$6,MATCH(1,($B$4:$B$6=$B36)*($D$4:$D$6=$D36),0)))</f>
        <v>672</v>
      </c>
      <c r="M36" s="3" cm="1">
        <f t="array" ref="M36">ROUND(MIN($M$10+(G36-1)*(属性总览!$H$6+INDEX($M$4:$M$6,MATCH(1,($B$4:$B$6=$B36)*($D$4:$D$6=$D36),0))),100),0)</f>
        <v>85</v>
      </c>
      <c r="N36" s="3" cm="1">
        <f t="array" ref="N36">ROUND(MIN($N$10+(G36-1)*(属性总览!$I$6+INDEX($N$4:$N$6,MATCH(1,($B$4:$B$6=$B36)*($D$4:$D$6=$D36),0))),30),0)</f>
        <v>15</v>
      </c>
      <c r="O36" s="3" cm="1">
        <f t="array" ref="O36">$O$10+(H36-1)*(属性总览!$H$5+INDEX($O$4:$O$7,MATCH(1,($B$4:$B$6=$B36)*($D$4:$D$6=$D36),0)))</f>
        <v>312</v>
      </c>
      <c r="P36" s="3">
        <f t="shared" si="2"/>
        <v>20</v>
      </c>
      <c r="Q36" s="3">
        <f t="shared" si="2"/>
        <v>20</v>
      </c>
      <c r="R36" s="3">
        <f t="shared" si="2"/>
        <v>150</v>
      </c>
      <c r="S36" s="3">
        <f t="shared" si="2"/>
        <v>100</v>
      </c>
      <c r="T36" s="3">
        <f t="shared" si="2"/>
        <v>100</v>
      </c>
      <c r="U36" s="3">
        <v>1</v>
      </c>
      <c r="V36" s="3">
        <v>1</v>
      </c>
      <c r="W36" s="3">
        <v>1</v>
      </c>
    </row>
    <row r="37" spans="1:23">
      <c r="A37" s="1"/>
      <c r="B37" s="3" t="s">
        <v>337</v>
      </c>
      <c r="C37" s="3">
        <v>28</v>
      </c>
      <c r="D37" s="3">
        <v>3</v>
      </c>
      <c r="E37" s="3" cm="1">
        <f t="array" ref="E37">E$10+INDEX(E$4:E$6,MATCH(1,($B$4:$B$6=$B37)*($D$4:$D$6=$D37),0))*($C37-1)</f>
        <v>28</v>
      </c>
      <c r="F37" s="3" cm="1">
        <f t="array" ref="F37">F$10+INDEX(F$4:F$6,MATCH(1,($B$4:$B$6=$B37)*($D$4:$D$6=$D37),0))*($C37-1)</f>
        <v>28</v>
      </c>
      <c r="G37" s="3" cm="1">
        <f t="array" ref="G37">G$10+INDEX(G$4:G$6,MATCH(1,($B$4:$B$6=$B37)*($D$4:$D$6=$D37),0))*($C37-1)</f>
        <v>28</v>
      </c>
      <c r="H37" s="3" cm="1">
        <f t="array" ref="H37">H$10+INDEX(H$4:H$6,MATCH(1,($B$4:$B$6=$B37)*($D$4:$D$6=$D37),0))*($C37-1)</f>
        <v>28</v>
      </c>
      <c r="I37" s="3" cm="1">
        <f t="array" ref="I37">ROUND($I$10+(E37-1)*(属性总览!$H$4+INDEX($I$4:$I$6,MATCH(1,($B$4:$B$6=$B37)*($D$4:$D$6=$D37),0)))*系统框架!$F$17/系统框架!$F$15,0)</f>
        <v>136</v>
      </c>
      <c r="J37" s="3" cm="1">
        <f t="array" ref="J37">ROUND($J$10+(F37-1)*(属性总览!$H$5+INDEX($K$4:$K$6,MATCH(1,($B$4:$B$6=$B37)*($D$4:$D$6=$D37),0)))*系统框架!$F$17/系统框架!$F$15,0)</f>
        <v>236</v>
      </c>
      <c r="K37" s="3" cm="1">
        <f t="array" ref="K37">$K$10+(H37-1)*(属性总览!$H$7+INDEX($O$4:$O$6,MATCH(1,($B$4:$B$6=$B37)*($D$4:$D$6=$D37),0)))</f>
        <v>794</v>
      </c>
      <c r="L37" s="3" cm="1">
        <f t="array" ref="L37">$L$10+(F37-1)*(属性总览!$I$5+INDEX($L$4:$L$6,MATCH(1,($B$4:$B$6=$B37)*($D$4:$D$6=$D37),0)))</f>
        <v>694</v>
      </c>
      <c r="M37" s="3" cm="1">
        <f t="array" ref="M37">ROUND(MIN($M$10+(G37-1)*(属性总览!$H$6+INDEX($M$4:$M$6,MATCH(1,($B$4:$B$6=$B37)*($D$4:$D$6=$D37),0))),100),0)</f>
        <v>85</v>
      </c>
      <c r="N37" s="3" cm="1">
        <f t="array" ref="N37">ROUND(MIN($N$10+(G37-1)*(属性总览!$I$6+INDEX($N$4:$N$6,MATCH(1,($B$4:$B$6=$B37)*($D$4:$D$6=$D37),0))),30),0)</f>
        <v>15</v>
      </c>
      <c r="O37" s="3" cm="1">
        <f t="array" ref="O37">$O$10+(H37-1)*(属性总览!$H$5+INDEX($O$4:$O$7,MATCH(1,($B$4:$B$6=$B37)*($D$4:$D$6=$D37),0)))</f>
        <v>324</v>
      </c>
      <c r="P37" s="3">
        <f t="shared" si="2"/>
        <v>20</v>
      </c>
      <c r="Q37" s="3">
        <f t="shared" si="2"/>
        <v>20</v>
      </c>
      <c r="R37" s="3">
        <f t="shared" si="2"/>
        <v>150</v>
      </c>
      <c r="S37" s="3">
        <f t="shared" si="2"/>
        <v>100</v>
      </c>
      <c r="T37" s="3">
        <f t="shared" si="2"/>
        <v>100</v>
      </c>
      <c r="U37" s="3">
        <v>1</v>
      </c>
      <c r="V37" s="3">
        <v>1</v>
      </c>
      <c r="W37" s="3">
        <v>1</v>
      </c>
    </row>
    <row r="38" spans="1:23">
      <c r="A38" s="1"/>
      <c r="B38" s="3" t="s">
        <v>337</v>
      </c>
      <c r="C38" s="3">
        <v>29</v>
      </c>
      <c r="D38" s="3">
        <v>3</v>
      </c>
      <c r="E38" s="3" cm="1">
        <f t="array" ref="E38">E$10+INDEX(E$4:E$6,MATCH(1,($B$4:$B$6=$B38)*($D$4:$D$6=$D38),0))*($C38-1)</f>
        <v>29</v>
      </c>
      <c r="F38" s="3" cm="1">
        <f t="array" ref="F38">F$10+INDEX(F$4:F$6,MATCH(1,($B$4:$B$6=$B38)*($D$4:$D$6=$D38),0))*($C38-1)</f>
        <v>29</v>
      </c>
      <c r="G38" s="3" cm="1">
        <f t="array" ref="G38">G$10+INDEX(G$4:G$6,MATCH(1,($B$4:$B$6=$B38)*($D$4:$D$6=$D38),0))*($C38-1)</f>
        <v>29</v>
      </c>
      <c r="H38" s="3" cm="1">
        <f t="array" ref="H38">H$10+INDEX(H$4:H$6,MATCH(1,($B$4:$B$6=$B38)*($D$4:$D$6=$D38),0))*($C38-1)</f>
        <v>29</v>
      </c>
      <c r="I38" s="3" cm="1">
        <f t="array" ref="I38">ROUND($I$10+(E38-1)*(属性总览!$H$4+INDEX($I$4:$I$6,MATCH(1,($B$4:$B$6=$B38)*($D$4:$D$6=$D38),0)))*系统框架!$F$17/系统框架!$F$15,0)</f>
        <v>141</v>
      </c>
      <c r="J38" s="3" cm="1">
        <f t="array" ref="J38">ROUND($J$10+(F38-1)*(属性总览!$H$5+INDEX($K$4:$K$6,MATCH(1,($B$4:$B$6=$B38)*($D$4:$D$6=$D38),0)))*系统框架!$F$17/系统框架!$F$15,0)</f>
        <v>244</v>
      </c>
      <c r="K38" s="3" cm="1">
        <f t="array" ref="K38">$K$10+(H38-1)*(属性总览!$H$7+INDEX($O$4:$O$6,MATCH(1,($B$4:$B$6=$B38)*($D$4:$D$6=$D38),0)))</f>
        <v>816</v>
      </c>
      <c r="L38" s="3" cm="1">
        <f t="array" ref="L38">$L$10+(F38-1)*(属性总览!$I$5+INDEX($L$4:$L$6,MATCH(1,($B$4:$B$6=$B38)*($D$4:$D$6=$D38),0)))</f>
        <v>716</v>
      </c>
      <c r="M38" s="3" cm="1">
        <f t="array" ref="M38">ROUND(MIN($M$10+(G38-1)*(属性总览!$H$6+INDEX($M$4:$M$6,MATCH(1,($B$4:$B$6=$B38)*($D$4:$D$6=$D38),0))),100),0)</f>
        <v>86</v>
      </c>
      <c r="N38" s="3" cm="1">
        <f t="array" ref="N38">ROUND(MIN($N$10+(G38-1)*(属性总览!$I$6+INDEX($N$4:$N$6,MATCH(1,($B$4:$B$6=$B38)*($D$4:$D$6=$D38),0))),30),0)</f>
        <v>16</v>
      </c>
      <c r="O38" s="3" cm="1">
        <f t="array" ref="O38">$O$10+(H38-1)*(属性总览!$H$5+INDEX($O$4:$O$7,MATCH(1,($B$4:$B$6=$B38)*($D$4:$D$6=$D38),0)))</f>
        <v>336</v>
      </c>
      <c r="P38" s="3">
        <f t="shared" si="2"/>
        <v>20</v>
      </c>
      <c r="Q38" s="3">
        <f t="shared" si="2"/>
        <v>20</v>
      </c>
      <c r="R38" s="3">
        <f t="shared" si="2"/>
        <v>150</v>
      </c>
      <c r="S38" s="3">
        <f t="shared" si="2"/>
        <v>100</v>
      </c>
      <c r="T38" s="3">
        <f t="shared" si="2"/>
        <v>100</v>
      </c>
      <c r="U38" s="3">
        <v>1</v>
      </c>
      <c r="V38" s="3">
        <v>1</v>
      </c>
      <c r="W38" s="3">
        <v>1</v>
      </c>
    </row>
    <row r="39" spans="1:23">
      <c r="A39" s="1"/>
      <c r="B39" s="3" t="s">
        <v>337</v>
      </c>
      <c r="C39" s="3">
        <v>30</v>
      </c>
      <c r="D39" s="3">
        <v>3</v>
      </c>
      <c r="E39" s="3" cm="1">
        <f t="array" ref="E39">E$10+INDEX(E$4:E$6,MATCH(1,($B$4:$B$6=$B39)*($D$4:$D$6=$D39),0))*($C39-1)</f>
        <v>30</v>
      </c>
      <c r="F39" s="3" cm="1">
        <f t="array" ref="F39">F$10+INDEX(F$4:F$6,MATCH(1,($B$4:$B$6=$B39)*($D$4:$D$6=$D39),0))*($C39-1)</f>
        <v>30</v>
      </c>
      <c r="G39" s="3" cm="1">
        <f t="array" ref="G39">G$10+INDEX(G$4:G$6,MATCH(1,($B$4:$B$6=$B39)*($D$4:$D$6=$D39),0))*($C39-1)</f>
        <v>30</v>
      </c>
      <c r="H39" s="3" cm="1">
        <f t="array" ref="H39">H$10+INDEX(H$4:H$6,MATCH(1,($B$4:$B$6=$B39)*($D$4:$D$6=$D39),0))*($C39-1)</f>
        <v>30</v>
      </c>
      <c r="I39" s="3" cm="1">
        <f t="array" ref="I39">ROUND($I$10+(E39-1)*(属性总览!$H$4+INDEX($I$4:$I$6,MATCH(1,($B$4:$B$6=$B39)*($D$4:$D$6=$D39),0)))*系统框架!$F$17/系统框架!$F$15,0)</f>
        <v>145</v>
      </c>
      <c r="J39" s="3" cm="1">
        <f t="array" ref="J39">ROUND($J$10+(F39-1)*(属性总览!$H$5+INDEX($K$4:$K$6,MATCH(1,($B$4:$B$6=$B39)*($D$4:$D$6=$D39),0)))*系统框架!$F$17/系统框架!$F$15,0)</f>
        <v>252</v>
      </c>
      <c r="K39" s="3" cm="1">
        <f t="array" ref="K39">$K$10+(H39-1)*(属性总览!$H$7+INDEX($O$4:$O$6,MATCH(1,($B$4:$B$6=$B39)*($D$4:$D$6=$D39),0)))</f>
        <v>838</v>
      </c>
      <c r="L39" s="3" cm="1">
        <f t="array" ref="L39">$L$10+(F39-1)*(属性总览!$I$5+INDEX($L$4:$L$6,MATCH(1,($B$4:$B$6=$B39)*($D$4:$D$6=$D39),0)))</f>
        <v>738</v>
      </c>
      <c r="M39" s="3" cm="1">
        <f t="array" ref="M39">ROUND(MIN($M$10+(G39-1)*(属性总览!$H$6+INDEX($M$4:$M$6,MATCH(1,($B$4:$B$6=$B39)*($D$4:$D$6=$D39),0))),100),0)</f>
        <v>86</v>
      </c>
      <c r="N39" s="3" cm="1">
        <f t="array" ref="N39">ROUND(MIN($N$10+(G39-1)*(属性总览!$I$6+INDEX($N$4:$N$6,MATCH(1,($B$4:$B$6=$B39)*($D$4:$D$6=$D39),0))),30),0)</f>
        <v>16</v>
      </c>
      <c r="O39" s="3" cm="1">
        <f t="array" ref="O39">$O$10+(H39-1)*(属性总览!$H$5+INDEX($O$4:$O$7,MATCH(1,($B$4:$B$6=$B39)*($D$4:$D$6=$D39),0)))</f>
        <v>348</v>
      </c>
      <c r="P39" s="3">
        <f t="shared" si="2"/>
        <v>20</v>
      </c>
      <c r="Q39" s="3">
        <f t="shared" si="2"/>
        <v>20</v>
      </c>
      <c r="R39" s="3">
        <f t="shared" si="2"/>
        <v>150</v>
      </c>
      <c r="S39" s="3">
        <f t="shared" si="2"/>
        <v>100</v>
      </c>
      <c r="T39" s="3">
        <f t="shared" si="2"/>
        <v>100</v>
      </c>
      <c r="U39" s="3">
        <v>1</v>
      </c>
      <c r="V39" s="3">
        <v>1</v>
      </c>
      <c r="W39" s="3">
        <v>1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62671-391E-4C57-A652-EE1869FCFAE2}">
  <sheetPr codeName="Sheet8"/>
  <dimension ref="A2:W39"/>
  <sheetViews>
    <sheetView workbookViewId="0">
      <selection activeCell="U9" sqref="U9:W9"/>
    </sheetView>
  </sheetViews>
  <sheetFormatPr defaultColWidth="13.77734375" defaultRowHeight="15.6"/>
  <cols>
    <col min="13" max="14" width="13.77734375" style="1"/>
    <col min="21" max="21" width="13.77734375" style="1"/>
  </cols>
  <sheetData>
    <row r="2" spans="1:23" ht="16.2">
      <c r="A2" s="1"/>
      <c r="B2" s="2" t="s">
        <v>346</v>
      </c>
      <c r="C2" s="1"/>
      <c r="D2" s="1"/>
      <c r="E2" s="1"/>
      <c r="F2" s="1"/>
      <c r="G2" s="1"/>
      <c r="H2" s="1"/>
      <c r="I2" s="1"/>
      <c r="J2" s="1"/>
      <c r="K2" s="1"/>
      <c r="L2" s="1"/>
      <c r="O2" s="1"/>
      <c r="P2" s="1"/>
      <c r="Q2" s="1"/>
      <c r="R2" s="1"/>
      <c r="S2" s="1"/>
      <c r="T2" s="1"/>
    </row>
    <row r="3" spans="1:23" ht="16.2">
      <c r="A3" s="1"/>
      <c r="B3" s="35" t="s">
        <v>342</v>
      </c>
      <c r="C3" s="35" t="s">
        <v>176</v>
      </c>
      <c r="D3" s="35" t="s">
        <v>326</v>
      </c>
      <c r="E3" s="35" t="s">
        <v>318</v>
      </c>
      <c r="F3" s="35" t="s">
        <v>319</v>
      </c>
      <c r="G3" s="35" t="s">
        <v>320</v>
      </c>
      <c r="H3" s="35" t="s">
        <v>321</v>
      </c>
      <c r="I3" s="35" t="s">
        <v>322</v>
      </c>
      <c r="J3" s="35" t="s">
        <v>323</v>
      </c>
      <c r="K3" s="35" t="s">
        <v>324</v>
      </c>
      <c r="L3" s="35" t="s">
        <v>325</v>
      </c>
      <c r="M3" s="35" t="s">
        <v>327</v>
      </c>
      <c r="N3" s="35" t="s">
        <v>334</v>
      </c>
      <c r="O3" s="35" t="s">
        <v>328</v>
      </c>
      <c r="P3" s="35" t="s">
        <v>329</v>
      </c>
      <c r="Q3" s="1"/>
      <c r="R3" s="1"/>
      <c r="S3" s="1"/>
      <c r="T3" s="1"/>
    </row>
    <row r="4" spans="1:23">
      <c r="A4" s="1"/>
      <c r="B4" s="3" t="s">
        <v>345</v>
      </c>
      <c r="C4" s="3" t="s">
        <v>44</v>
      </c>
      <c r="D4" s="3">
        <v>1</v>
      </c>
      <c r="E4" s="3">
        <v>1</v>
      </c>
      <c r="F4" s="3">
        <v>1</v>
      </c>
      <c r="G4" s="3">
        <v>1</v>
      </c>
      <c r="H4" s="3">
        <v>1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1"/>
      <c r="R4" s="1"/>
      <c r="S4" s="1"/>
      <c r="T4" s="1"/>
    </row>
    <row r="5" spans="1:23">
      <c r="A5" s="1"/>
      <c r="B5" s="3" t="s">
        <v>345</v>
      </c>
      <c r="C5" s="3" t="s">
        <v>44</v>
      </c>
      <c r="D5" s="3">
        <v>2</v>
      </c>
      <c r="E5" s="3">
        <v>1</v>
      </c>
      <c r="F5" s="3">
        <v>1</v>
      </c>
      <c r="G5" s="3">
        <v>1</v>
      </c>
      <c r="H5" s="3">
        <v>1</v>
      </c>
      <c r="I5" s="3">
        <v>1</v>
      </c>
      <c r="J5" s="3">
        <v>1</v>
      </c>
      <c r="K5" s="3">
        <v>1</v>
      </c>
      <c r="L5" s="3">
        <v>1</v>
      </c>
      <c r="M5" s="3">
        <v>0.1</v>
      </c>
      <c r="N5" s="3">
        <v>0.1</v>
      </c>
      <c r="O5" s="3">
        <v>1</v>
      </c>
      <c r="P5" s="3">
        <v>1</v>
      </c>
      <c r="Q5" s="1"/>
      <c r="R5" s="1"/>
      <c r="S5" s="1"/>
      <c r="T5" s="1"/>
    </row>
    <row r="6" spans="1:23">
      <c r="A6" s="1"/>
      <c r="B6" s="3" t="s">
        <v>345</v>
      </c>
      <c r="C6" s="3" t="s">
        <v>44</v>
      </c>
      <c r="D6" s="3">
        <v>3</v>
      </c>
      <c r="E6" s="3">
        <v>1</v>
      </c>
      <c r="F6" s="3">
        <v>1</v>
      </c>
      <c r="G6" s="3">
        <v>1</v>
      </c>
      <c r="H6" s="3">
        <v>1</v>
      </c>
      <c r="I6" s="3">
        <v>2</v>
      </c>
      <c r="J6" s="3">
        <v>2</v>
      </c>
      <c r="K6" s="3">
        <v>2</v>
      </c>
      <c r="L6" s="3">
        <v>2</v>
      </c>
      <c r="M6" s="3">
        <v>0.15</v>
      </c>
      <c r="N6" s="3">
        <v>0.15</v>
      </c>
      <c r="O6" s="3">
        <v>2</v>
      </c>
      <c r="P6" s="3">
        <v>2</v>
      </c>
      <c r="Q6" s="1"/>
      <c r="R6" s="1"/>
      <c r="S6" s="1"/>
      <c r="T6" s="1"/>
    </row>
    <row r="7" spans="1:2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O7" s="1"/>
      <c r="P7" s="1"/>
      <c r="Q7" s="1"/>
      <c r="R7" s="1"/>
      <c r="S7" s="1"/>
      <c r="T7" s="1"/>
    </row>
    <row r="8" spans="1:23" ht="16.2">
      <c r="A8" s="1"/>
      <c r="B8" s="2" t="s">
        <v>341</v>
      </c>
      <c r="C8" s="1"/>
      <c r="D8" s="1"/>
      <c r="E8" s="1"/>
      <c r="F8" s="1"/>
      <c r="G8" s="1"/>
      <c r="H8" s="1"/>
      <c r="I8" s="1"/>
      <c r="J8" s="1"/>
      <c r="K8" s="1"/>
      <c r="L8" s="1"/>
      <c r="O8" s="1"/>
      <c r="P8" s="1"/>
      <c r="Q8" s="1"/>
      <c r="R8" s="1"/>
      <c r="S8" s="1"/>
      <c r="T8" s="1"/>
    </row>
    <row r="9" spans="1:23" ht="16.2">
      <c r="A9" s="1"/>
      <c r="B9" s="35" t="s">
        <v>342</v>
      </c>
      <c r="C9" s="35" t="s">
        <v>343</v>
      </c>
      <c r="D9" s="35" t="s">
        <v>344</v>
      </c>
      <c r="E9" s="35" t="s">
        <v>216</v>
      </c>
      <c r="F9" s="35" t="s">
        <v>305</v>
      </c>
      <c r="G9" s="35" t="s">
        <v>307</v>
      </c>
      <c r="H9" s="35" t="s">
        <v>213</v>
      </c>
      <c r="I9" s="35" t="s">
        <v>285</v>
      </c>
      <c r="J9" s="35" t="s">
        <v>287</v>
      </c>
      <c r="K9" s="35" t="s">
        <v>309</v>
      </c>
      <c r="L9" s="35" t="s">
        <v>310</v>
      </c>
      <c r="M9" s="35" t="s">
        <v>311</v>
      </c>
      <c r="N9" s="35" t="s">
        <v>312</v>
      </c>
      <c r="O9" s="35" t="s">
        <v>282</v>
      </c>
      <c r="P9" s="35" t="s">
        <v>314</v>
      </c>
      <c r="Q9" s="35" t="s">
        <v>315</v>
      </c>
      <c r="R9" s="35" t="s">
        <v>313</v>
      </c>
      <c r="S9" s="35" t="s">
        <v>331</v>
      </c>
      <c r="T9" s="35" t="s">
        <v>349</v>
      </c>
      <c r="U9" s="35" t="s">
        <v>504</v>
      </c>
      <c r="V9" s="35" t="s">
        <v>505</v>
      </c>
      <c r="W9" s="35" t="s">
        <v>506</v>
      </c>
    </row>
    <row r="10" spans="1:23">
      <c r="A10" s="1"/>
      <c r="B10" s="3" t="s">
        <v>345</v>
      </c>
      <c r="C10" s="3">
        <v>1</v>
      </c>
      <c r="D10" s="3">
        <v>1</v>
      </c>
      <c r="E10" s="3">
        <v>1</v>
      </c>
      <c r="F10" s="3">
        <v>1</v>
      </c>
      <c r="G10" s="3">
        <v>1</v>
      </c>
      <c r="H10" s="3">
        <v>1</v>
      </c>
      <c r="I10" s="3">
        <v>10</v>
      </c>
      <c r="J10" s="3">
        <v>20</v>
      </c>
      <c r="K10" s="3">
        <v>200</v>
      </c>
      <c r="L10" s="3">
        <v>100</v>
      </c>
      <c r="M10" s="3">
        <v>80</v>
      </c>
      <c r="N10" s="3">
        <v>10</v>
      </c>
      <c r="O10" s="3">
        <v>0</v>
      </c>
      <c r="P10" s="3">
        <v>20</v>
      </c>
      <c r="Q10" s="3">
        <v>20</v>
      </c>
      <c r="R10" s="3">
        <v>150</v>
      </c>
      <c r="S10" s="3">
        <v>100</v>
      </c>
      <c r="T10" s="3">
        <v>100</v>
      </c>
      <c r="U10" s="3">
        <v>1</v>
      </c>
      <c r="V10" s="3">
        <v>1</v>
      </c>
      <c r="W10" s="3">
        <v>1</v>
      </c>
    </row>
    <row r="11" spans="1:23">
      <c r="A11" s="1"/>
      <c r="B11" s="3" t="s">
        <v>345</v>
      </c>
      <c r="C11" s="3">
        <v>2</v>
      </c>
      <c r="D11" s="3">
        <v>1</v>
      </c>
      <c r="E11" s="3" cm="1">
        <f t="array" ref="E11">E$10+INDEX(E$4:E$6,MATCH(1,($B$4:$B$6=$B11)*($D$4:$D$6=$D11),0))*($C11-1)</f>
        <v>2</v>
      </c>
      <c r="F11" s="3" cm="1">
        <f t="array" ref="F11">F$10+INDEX(F$4:F$6,MATCH(1,($B$4:$B$6=$B11)*($D$4:$D$6=$D11),0))*($C11-1)</f>
        <v>2</v>
      </c>
      <c r="G11" s="3" cm="1">
        <f t="array" ref="G11">G$10+INDEX(G$4:G$6,MATCH(1,($B$4:$B$6=$B11)*($D$4:$D$6=$D11),0))*($C11-1)</f>
        <v>2</v>
      </c>
      <c r="H11" s="3" cm="1">
        <f t="array" ref="H11">H$10+INDEX(H$4:H$6,MATCH(1,($B$4:$B$6=$B11)*($D$4:$D$6=$D11),0))*($C11-1)</f>
        <v>2</v>
      </c>
      <c r="I11" s="3" cm="1">
        <f t="array" ref="I11">ROUND($I$10+(E11-1)*(属性总览!$H$4+INDEX($I$4:$I$6,MATCH(1,($B$4:$B$6=$B11)*($D$4:$D$6=$D11),0)))*系统框架!$H$16/系统框架!$H$15,0)</f>
        <v>12</v>
      </c>
      <c r="J11" s="3" cm="1">
        <f t="array" ref="J11">ROUND($J$10+(F11-1)*(属性总览!$H$5+INDEX($K$4:$K$6,MATCH(1,($B$4:$B$6=$B11)*($D$4:$D$6=$D11),0)))*系统框架!$F$16/系统框架!$F$15,0)</f>
        <v>23</v>
      </c>
      <c r="K11" s="3" cm="1">
        <f t="array" ref="K11">$K$10+(H11-1)*(属性总览!$H$7+INDEX($O$4:$O$6,MATCH(1,($B$4:$B$6=$B11)*($D$4:$D$6=$D11),0)))</f>
        <v>220</v>
      </c>
      <c r="L11" s="3" cm="1">
        <f t="array" ref="L11">$L$10+(F11-1)*(属性总览!$I$5+INDEX($L$4:$L$6,MATCH(1,($B$4:$B$6=$B11)*($D$4:$D$6=$D11),0)))</f>
        <v>120</v>
      </c>
      <c r="M11" s="3" cm="1">
        <f t="array" ref="M11">ROUND(MIN($M$10+(G11-1)*(属性总览!$H$6+INDEX($M$4:$M$6,MATCH(1,($B$4:$B$6=$B11)*($D$4:$D$6=$D11),0))),100),0)</f>
        <v>80</v>
      </c>
      <c r="N11" s="3" cm="1">
        <f t="array" ref="N11">ROUND(MIN($N$10+(G11-1)*(属性总览!$I$6+INDEX($N$4:$N$6,MATCH(1,($B$4:$B$6=$B11)*($D$4:$D$6=$D11),0))),30),0)</f>
        <v>10</v>
      </c>
      <c r="O11" s="3" cm="1">
        <f t="array" ref="O11">$O$10+(H11-1)*(属性总览!$H$5+INDEX($O$4:$O$7,MATCH(1,($B$4:$B$6=$B11)*($D$4:$D$6=$D11),0)))</f>
        <v>10</v>
      </c>
      <c r="P11" s="3">
        <f t="shared" ref="P11:T26" si="0">P10</f>
        <v>20</v>
      </c>
      <c r="Q11" s="3">
        <f t="shared" si="0"/>
        <v>20</v>
      </c>
      <c r="R11" s="3">
        <f t="shared" si="0"/>
        <v>150</v>
      </c>
      <c r="S11" s="3">
        <f>S10</f>
        <v>100</v>
      </c>
      <c r="T11" s="3">
        <f>T10</f>
        <v>100</v>
      </c>
      <c r="U11" s="3">
        <v>1</v>
      </c>
      <c r="V11" s="3">
        <v>1</v>
      </c>
      <c r="W11" s="3">
        <v>1</v>
      </c>
    </row>
    <row r="12" spans="1:23">
      <c r="A12" s="1"/>
      <c r="B12" s="3" t="s">
        <v>345</v>
      </c>
      <c r="C12" s="3">
        <v>3</v>
      </c>
      <c r="D12" s="3">
        <v>1</v>
      </c>
      <c r="E12" s="3" cm="1">
        <f t="array" ref="E12">E$10+INDEX(E$4:E$6,MATCH(1,($B$4:$B$6=$B12)*($D$4:$D$6=$D12),0))*($C12-1)</f>
        <v>3</v>
      </c>
      <c r="F12" s="3" cm="1">
        <f t="array" ref="F12">F$10+INDEX(F$4:F$6,MATCH(1,($B$4:$B$6=$B12)*($D$4:$D$6=$D12),0))*($C12-1)</f>
        <v>3</v>
      </c>
      <c r="G12" s="3" cm="1">
        <f t="array" ref="G12">G$10+INDEX(G$4:G$6,MATCH(1,($B$4:$B$6=$B12)*($D$4:$D$6=$D12),0))*($C12-1)</f>
        <v>3</v>
      </c>
      <c r="H12" s="3" cm="1">
        <f t="array" ref="H12">H$10+INDEX(H$4:H$6,MATCH(1,($B$4:$B$6=$B12)*($D$4:$D$6=$D12),0))*($C12-1)</f>
        <v>3</v>
      </c>
      <c r="I12" s="3" cm="1">
        <f t="array" ref="I12">ROUND($I$10+(E12-1)*(属性总览!$H$4+INDEX($I$4:$I$6,MATCH(1,($B$4:$B$6=$B12)*($D$4:$D$6=$D12),0)))*系统框架!$H$16/系统框架!$H$15,0)</f>
        <v>13</v>
      </c>
      <c r="J12" s="3" cm="1">
        <f t="array" ref="J12">ROUND($J$10+(F12-1)*(属性总览!$H$5+INDEX($K$4:$K$6,MATCH(1,($B$4:$B$6=$B12)*($D$4:$D$6=$D12),0)))*系统框架!$F$16/系统框架!$F$15,0)</f>
        <v>27</v>
      </c>
      <c r="K12" s="3" cm="1">
        <f t="array" ref="K12">$K$10+(H12-1)*(属性总览!$H$7+INDEX($O$4:$O$6,MATCH(1,($B$4:$B$6=$B12)*($D$4:$D$6=$D12),0)))</f>
        <v>240</v>
      </c>
      <c r="L12" s="3" cm="1">
        <f t="array" ref="L12">$L$10+(F12-1)*(属性总览!$I$5+INDEX($L$4:$L$6,MATCH(1,($B$4:$B$6=$B12)*($D$4:$D$6=$D12),0)))</f>
        <v>140</v>
      </c>
      <c r="M12" s="3" cm="1">
        <f t="array" ref="M12">ROUND(MIN($M$10+(G12-1)*(属性总览!$H$6+INDEX($M$4:$M$6,MATCH(1,($B$4:$B$6=$B12)*($D$4:$D$6=$D12),0))),100),0)</f>
        <v>80</v>
      </c>
      <c r="N12" s="3" cm="1">
        <f t="array" ref="N12">ROUND(MIN($N$10+(G12-1)*(属性总览!$I$6+INDEX($N$4:$N$6,MATCH(1,($B$4:$B$6=$B12)*($D$4:$D$6=$D12),0))),30),0)</f>
        <v>10</v>
      </c>
      <c r="O12" s="3" cm="1">
        <f t="array" ref="O12">$O$10+(H12-1)*(属性总览!$H$5+INDEX($O$4:$O$7,MATCH(1,($B$4:$B$6=$B12)*($D$4:$D$6=$D12),0)))</f>
        <v>20</v>
      </c>
      <c r="P12" s="3">
        <f t="shared" si="0"/>
        <v>20</v>
      </c>
      <c r="Q12" s="3">
        <f t="shared" si="0"/>
        <v>20</v>
      </c>
      <c r="R12" s="3">
        <f t="shared" si="0"/>
        <v>150</v>
      </c>
      <c r="S12" s="3">
        <f t="shared" si="0"/>
        <v>100</v>
      </c>
      <c r="T12" s="3">
        <f t="shared" si="0"/>
        <v>100</v>
      </c>
      <c r="U12" s="3">
        <v>1</v>
      </c>
      <c r="V12" s="3">
        <v>1</v>
      </c>
      <c r="W12" s="3">
        <v>1</v>
      </c>
    </row>
    <row r="13" spans="1:23">
      <c r="A13" s="1"/>
      <c r="B13" s="3" t="s">
        <v>345</v>
      </c>
      <c r="C13" s="3">
        <v>4</v>
      </c>
      <c r="D13" s="3">
        <v>1</v>
      </c>
      <c r="E13" s="3" cm="1">
        <f t="array" ref="E13">E$10+INDEX(E$4:E$6,MATCH(1,($B$4:$B$6=$B13)*($D$4:$D$6=$D13),0))*($C13-1)</f>
        <v>4</v>
      </c>
      <c r="F13" s="3" cm="1">
        <f t="array" ref="F13">F$10+INDEX(F$4:F$6,MATCH(1,($B$4:$B$6=$B13)*($D$4:$D$6=$D13),0))*($C13-1)</f>
        <v>4</v>
      </c>
      <c r="G13" s="3" cm="1">
        <f t="array" ref="G13">G$10+INDEX(G$4:G$6,MATCH(1,($B$4:$B$6=$B13)*($D$4:$D$6=$D13),0))*($C13-1)</f>
        <v>4</v>
      </c>
      <c r="H13" s="3" cm="1">
        <f t="array" ref="H13">H$10+INDEX(H$4:H$6,MATCH(1,($B$4:$B$6=$B13)*($D$4:$D$6=$D13),0))*($C13-1)</f>
        <v>4</v>
      </c>
      <c r="I13" s="3" cm="1">
        <f t="array" ref="I13">ROUND($I$10+(E13-1)*(属性总览!$H$4+INDEX($I$4:$I$6,MATCH(1,($B$4:$B$6=$B13)*($D$4:$D$6=$D13),0)))*系统框架!$H$16/系统框架!$H$15,0)</f>
        <v>15</v>
      </c>
      <c r="J13" s="3" cm="1">
        <f t="array" ref="J13">ROUND($J$10+(F13-1)*(属性总览!$H$5+INDEX($K$4:$K$6,MATCH(1,($B$4:$B$6=$B13)*($D$4:$D$6=$D13),0)))*系统框架!$F$16/系统框架!$F$15,0)</f>
        <v>30</v>
      </c>
      <c r="K13" s="3" cm="1">
        <f t="array" ref="K13">$K$10+(H13-1)*(属性总览!$H$7+INDEX($O$4:$O$6,MATCH(1,($B$4:$B$6=$B13)*($D$4:$D$6=$D13),0)))</f>
        <v>260</v>
      </c>
      <c r="L13" s="3" cm="1">
        <f t="array" ref="L13">$L$10+(F13-1)*(属性总览!$I$5+INDEX($L$4:$L$6,MATCH(1,($B$4:$B$6=$B13)*($D$4:$D$6=$D13),0)))</f>
        <v>160</v>
      </c>
      <c r="M13" s="3" cm="1">
        <f t="array" ref="M13">ROUND(MIN($M$10+(G13-1)*(属性总览!$H$6+INDEX($M$4:$M$6,MATCH(1,($B$4:$B$6=$B13)*($D$4:$D$6=$D13),0))),100),0)</f>
        <v>80</v>
      </c>
      <c r="N13" s="3" cm="1">
        <f t="array" ref="N13">ROUND(MIN($N$10+(G13-1)*(属性总览!$I$6+INDEX($N$4:$N$6,MATCH(1,($B$4:$B$6=$B13)*($D$4:$D$6=$D13),0))),30),0)</f>
        <v>10</v>
      </c>
      <c r="O13" s="3" cm="1">
        <f t="array" ref="O13">$O$10+(H13-1)*(属性总览!$H$5+INDEX($O$4:$O$7,MATCH(1,($B$4:$B$6=$B13)*($D$4:$D$6=$D13),0)))</f>
        <v>30</v>
      </c>
      <c r="P13" s="3">
        <f t="shared" si="0"/>
        <v>20</v>
      </c>
      <c r="Q13" s="3">
        <f t="shared" si="0"/>
        <v>20</v>
      </c>
      <c r="R13" s="3">
        <f t="shared" si="0"/>
        <v>150</v>
      </c>
      <c r="S13" s="3">
        <f t="shared" si="0"/>
        <v>100</v>
      </c>
      <c r="T13" s="3">
        <f t="shared" si="0"/>
        <v>100</v>
      </c>
      <c r="U13" s="3">
        <v>1</v>
      </c>
      <c r="V13" s="3">
        <v>1</v>
      </c>
      <c r="W13" s="3">
        <v>1</v>
      </c>
    </row>
    <row r="14" spans="1:23">
      <c r="A14" s="1"/>
      <c r="B14" s="3" t="s">
        <v>345</v>
      </c>
      <c r="C14" s="3">
        <v>5</v>
      </c>
      <c r="D14" s="3">
        <v>1</v>
      </c>
      <c r="E14" s="3" cm="1">
        <f t="array" ref="E14">E$10+INDEX(E$4:E$6,MATCH(1,($B$4:$B$6=$B14)*($D$4:$D$6=$D14),0))*($C14-1)</f>
        <v>5</v>
      </c>
      <c r="F14" s="3" cm="1">
        <f t="array" ref="F14">F$10+INDEX(F$4:F$6,MATCH(1,($B$4:$B$6=$B14)*($D$4:$D$6=$D14),0))*($C14-1)</f>
        <v>5</v>
      </c>
      <c r="G14" s="3" cm="1">
        <f t="array" ref="G14">G$10+INDEX(G$4:G$6,MATCH(1,($B$4:$B$6=$B14)*($D$4:$D$6=$D14),0))*($C14-1)</f>
        <v>5</v>
      </c>
      <c r="H14" s="3" cm="1">
        <f t="array" ref="H14">H$10+INDEX(H$4:H$6,MATCH(1,($B$4:$B$6=$B14)*($D$4:$D$6=$D14),0))*($C14-1)</f>
        <v>5</v>
      </c>
      <c r="I14" s="3" cm="1">
        <f t="array" ref="I14">ROUND($I$10+(E14-1)*(属性总览!$H$4+INDEX($I$4:$I$6,MATCH(1,($B$4:$B$6=$B14)*($D$4:$D$6=$D14),0)))*系统框架!$H$16/系统框架!$H$15,0)</f>
        <v>17</v>
      </c>
      <c r="J14" s="3" cm="1">
        <f t="array" ref="J14">ROUND($J$10+(F14-1)*(属性总览!$H$5+INDEX($K$4:$K$6,MATCH(1,($B$4:$B$6=$B14)*($D$4:$D$6=$D14),0)))*系统框架!$F$16/系统框架!$F$15,0)</f>
        <v>33</v>
      </c>
      <c r="K14" s="3" cm="1">
        <f t="array" ref="K14">$K$10+(H14-1)*(属性总览!$H$7+INDEX($O$4:$O$6,MATCH(1,($B$4:$B$6=$B14)*($D$4:$D$6=$D14),0)))</f>
        <v>280</v>
      </c>
      <c r="L14" s="3" cm="1">
        <f t="array" ref="L14">$L$10+(F14-1)*(属性总览!$I$5+INDEX($L$4:$L$6,MATCH(1,($B$4:$B$6=$B14)*($D$4:$D$6=$D14),0)))</f>
        <v>180</v>
      </c>
      <c r="M14" s="3" cm="1">
        <f t="array" ref="M14">ROUND(MIN($M$10+(G14-1)*(属性总览!$H$6+INDEX($M$4:$M$6,MATCH(1,($B$4:$B$6=$B14)*($D$4:$D$6=$D14),0))),100),0)</f>
        <v>80</v>
      </c>
      <c r="N14" s="3" cm="1">
        <f t="array" ref="N14">ROUND(MIN($N$10+(G14-1)*(属性总览!$I$6+INDEX($N$4:$N$6,MATCH(1,($B$4:$B$6=$B14)*($D$4:$D$6=$D14),0))),30),0)</f>
        <v>10</v>
      </c>
      <c r="O14" s="3" cm="1">
        <f t="array" ref="O14">$O$10+(H14-1)*(属性总览!$H$5+INDEX($O$4:$O$7,MATCH(1,($B$4:$B$6=$B14)*($D$4:$D$6=$D14),0)))</f>
        <v>40</v>
      </c>
      <c r="P14" s="3">
        <f t="shared" si="0"/>
        <v>20</v>
      </c>
      <c r="Q14" s="3">
        <f t="shared" si="0"/>
        <v>20</v>
      </c>
      <c r="R14" s="3">
        <f t="shared" si="0"/>
        <v>150</v>
      </c>
      <c r="S14" s="3">
        <f t="shared" si="0"/>
        <v>100</v>
      </c>
      <c r="T14" s="3">
        <f t="shared" si="0"/>
        <v>100</v>
      </c>
      <c r="U14" s="3">
        <v>1</v>
      </c>
      <c r="V14" s="3">
        <v>1</v>
      </c>
      <c r="W14" s="3">
        <v>1</v>
      </c>
    </row>
    <row r="15" spans="1:23">
      <c r="A15" s="1"/>
      <c r="B15" s="3" t="s">
        <v>345</v>
      </c>
      <c r="C15" s="3">
        <v>6</v>
      </c>
      <c r="D15" s="3">
        <v>1</v>
      </c>
      <c r="E15" s="3" cm="1">
        <f t="array" ref="E15">E$10+INDEX(E$4:E$6,MATCH(1,($B$4:$B$6=$B15)*($D$4:$D$6=$D15),0))*($C15-1)</f>
        <v>6</v>
      </c>
      <c r="F15" s="3" cm="1">
        <f t="array" ref="F15">F$10+INDEX(F$4:F$6,MATCH(1,($B$4:$B$6=$B15)*($D$4:$D$6=$D15),0))*($C15-1)</f>
        <v>6</v>
      </c>
      <c r="G15" s="3" cm="1">
        <f t="array" ref="G15">G$10+INDEX(G$4:G$6,MATCH(1,($B$4:$B$6=$B15)*($D$4:$D$6=$D15),0))*($C15-1)</f>
        <v>6</v>
      </c>
      <c r="H15" s="3" cm="1">
        <f t="array" ref="H15">H$10+INDEX(H$4:H$6,MATCH(1,($B$4:$B$6=$B15)*($D$4:$D$6=$D15),0))*($C15-1)</f>
        <v>6</v>
      </c>
      <c r="I15" s="3" cm="1">
        <f t="array" ref="I15">ROUND($I$10+(E15-1)*(属性总览!$H$4+INDEX($I$4:$I$6,MATCH(1,($B$4:$B$6=$B15)*($D$4:$D$6=$D15),0)))*系统框架!$H$16/系统框架!$H$15,0)</f>
        <v>18</v>
      </c>
      <c r="J15" s="3" cm="1">
        <f t="array" ref="J15">ROUND($J$10+(F15-1)*(属性总览!$H$5+INDEX($K$4:$K$6,MATCH(1,($B$4:$B$6=$B15)*($D$4:$D$6=$D15),0)))*系统框架!$F$16/系统框架!$F$15,0)</f>
        <v>37</v>
      </c>
      <c r="K15" s="3" cm="1">
        <f t="array" ref="K15">$K$10+(H15-1)*(属性总览!$H$7+INDEX($O$4:$O$6,MATCH(1,($B$4:$B$6=$B15)*($D$4:$D$6=$D15),0)))</f>
        <v>300</v>
      </c>
      <c r="L15" s="3" cm="1">
        <f t="array" ref="L15">$L$10+(F15-1)*(属性总览!$I$5+INDEX($L$4:$L$6,MATCH(1,($B$4:$B$6=$B15)*($D$4:$D$6=$D15),0)))</f>
        <v>200</v>
      </c>
      <c r="M15" s="3" cm="1">
        <f t="array" ref="M15">ROUND(MIN($M$10+(G15-1)*(属性总览!$H$6+INDEX($M$4:$M$6,MATCH(1,($B$4:$B$6=$B15)*($D$4:$D$6=$D15),0))),100),0)</f>
        <v>80</v>
      </c>
      <c r="N15" s="3" cm="1">
        <f t="array" ref="N15">ROUND(MIN($N$10+(G15-1)*(属性总览!$I$6+INDEX($N$4:$N$6,MATCH(1,($B$4:$B$6=$B15)*($D$4:$D$6=$D15),0))),30),0)</f>
        <v>10</v>
      </c>
      <c r="O15" s="3" cm="1">
        <f t="array" ref="O15">$O$10+(H15-1)*(属性总览!$H$5+INDEX($O$4:$O$7,MATCH(1,($B$4:$B$6=$B15)*($D$4:$D$6=$D15),0)))</f>
        <v>50</v>
      </c>
      <c r="P15" s="3">
        <f t="shared" si="0"/>
        <v>20</v>
      </c>
      <c r="Q15" s="3">
        <f t="shared" si="0"/>
        <v>20</v>
      </c>
      <c r="R15" s="3">
        <f t="shared" si="0"/>
        <v>150</v>
      </c>
      <c r="S15" s="3">
        <f t="shared" si="0"/>
        <v>100</v>
      </c>
      <c r="T15" s="3">
        <f t="shared" si="0"/>
        <v>100</v>
      </c>
      <c r="U15" s="3">
        <v>1</v>
      </c>
      <c r="V15" s="3">
        <v>1</v>
      </c>
      <c r="W15" s="3">
        <v>1</v>
      </c>
    </row>
    <row r="16" spans="1:23">
      <c r="A16" s="1"/>
      <c r="B16" s="3" t="s">
        <v>345</v>
      </c>
      <c r="C16" s="3">
        <v>7</v>
      </c>
      <c r="D16" s="3">
        <v>1</v>
      </c>
      <c r="E16" s="3" cm="1">
        <f t="array" ref="E16">E$10+INDEX(E$4:E$6,MATCH(1,($B$4:$B$6=$B16)*($D$4:$D$6=$D16),0))*($C16-1)</f>
        <v>7</v>
      </c>
      <c r="F16" s="3" cm="1">
        <f t="array" ref="F16">F$10+INDEX(F$4:F$6,MATCH(1,($B$4:$B$6=$B16)*($D$4:$D$6=$D16),0))*($C16-1)</f>
        <v>7</v>
      </c>
      <c r="G16" s="3" cm="1">
        <f t="array" ref="G16">G$10+INDEX(G$4:G$6,MATCH(1,($B$4:$B$6=$B16)*($D$4:$D$6=$D16),0))*($C16-1)</f>
        <v>7</v>
      </c>
      <c r="H16" s="3" cm="1">
        <f t="array" ref="H16">H$10+INDEX(H$4:H$6,MATCH(1,($B$4:$B$6=$B16)*($D$4:$D$6=$D16),0))*($C16-1)</f>
        <v>7</v>
      </c>
      <c r="I16" s="3" cm="1">
        <f t="array" ref="I16">ROUND($I$10+(E16-1)*(属性总览!$H$4+INDEX($I$4:$I$6,MATCH(1,($B$4:$B$6=$B16)*($D$4:$D$6=$D16),0)))*系统框架!$H$16/系统框架!$H$15,0)</f>
        <v>20</v>
      </c>
      <c r="J16" s="3" cm="1">
        <f t="array" ref="J16">ROUND($J$10+(F16-1)*(属性总览!$H$5+INDEX($K$4:$K$6,MATCH(1,($B$4:$B$6=$B16)*($D$4:$D$6=$D16),0)))*系统框架!$F$16/系统框架!$F$15,0)</f>
        <v>40</v>
      </c>
      <c r="K16" s="3" cm="1">
        <f t="array" ref="K16">$K$10+(H16-1)*(属性总览!$H$7+INDEX($O$4:$O$6,MATCH(1,($B$4:$B$6=$B16)*($D$4:$D$6=$D16),0)))</f>
        <v>320</v>
      </c>
      <c r="L16" s="3" cm="1">
        <f t="array" ref="L16">$L$10+(F16-1)*(属性总览!$I$5+INDEX($L$4:$L$6,MATCH(1,($B$4:$B$6=$B16)*($D$4:$D$6=$D16),0)))</f>
        <v>220</v>
      </c>
      <c r="M16" s="3" cm="1">
        <f t="array" ref="M16">ROUND(MIN($M$10+(G16-1)*(属性总览!$H$6+INDEX($M$4:$M$6,MATCH(1,($B$4:$B$6=$B16)*($D$4:$D$6=$D16),0))),100),0)</f>
        <v>80</v>
      </c>
      <c r="N16" s="3" cm="1">
        <f t="array" ref="N16">ROUND(MIN($N$10+(G16-1)*(属性总览!$I$6+INDEX($N$4:$N$6,MATCH(1,($B$4:$B$6=$B16)*($D$4:$D$6=$D16),0))),30),0)</f>
        <v>10</v>
      </c>
      <c r="O16" s="3" cm="1">
        <f t="array" ref="O16">$O$10+(H16-1)*(属性总览!$H$5+INDEX($O$4:$O$7,MATCH(1,($B$4:$B$6=$B16)*($D$4:$D$6=$D16),0)))</f>
        <v>60</v>
      </c>
      <c r="P16" s="3">
        <f t="shared" si="0"/>
        <v>20</v>
      </c>
      <c r="Q16" s="3">
        <f t="shared" si="0"/>
        <v>20</v>
      </c>
      <c r="R16" s="3">
        <f t="shared" si="0"/>
        <v>150</v>
      </c>
      <c r="S16" s="3">
        <f t="shared" si="0"/>
        <v>100</v>
      </c>
      <c r="T16" s="3">
        <f t="shared" si="0"/>
        <v>100</v>
      </c>
      <c r="U16" s="3">
        <v>1</v>
      </c>
      <c r="V16" s="3">
        <v>1</v>
      </c>
      <c r="W16" s="3">
        <v>1</v>
      </c>
    </row>
    <row r="17" spans="1:23">
      <c r="A17" s="1"/>
      <c r="B17" s="3" t="s">
        <v>345</v>
      </c>
      <c r="C17" s="3">
        <v>8</v>
      </c>
      <c r="D17" s="3">
        <v>1</v>
      </c>
      <c r="E17" s="3" cm="1">
        <f t="array" ref="E17">E$10+INDEX(E$4:E$6,MATCH(1,($B$4:$B$6=$B17)*($D$4:$D$6=$D17),0))*($C17-1)</f>
        <v>8</v>
      </c>
      <c r="F17" s="3" cm="1">
        <f t="array" ref="F17">F$10+INDEX(F$4:F$6,MATCH(1,($B$4:$B$6=$B17)*($D$4:$D$6=$D17),0))*($C17-1)</f>
        <v>8</v>
      </c>
      <c r="G17" s="3" cm="1">
        <f t="array" ref="G17">G$10+INDEX(G$4:G$6,MATCH(1,($B$4:$B$6=$B17)*($D$4:$D$6=$D17),0))*($C17-1)</f>
        <v>8</v>
      </c>
      <c r="H17" s="3" cm="1">
        <f t="array" ref="H17">H$10+INDEX(H$4:H$6,MATCH(1,($B$4:$B$6=$B17)*($D$4:$D$6=$D17),0))*($C17-1)</f>
        <v>8</v>
      </c>
      <c r="I17" s="3" cm="1">
        <f t="array" ref="I17">ROUND($I$10+(E17-1)*(属性总览!$H$4+INDEX($I$4:$I$6,MATCH(1,($B$4:$B$6=$B17)*($D$4:$D$6=$D17),0)))*系统框架!$H$16/系统框架!$H$15,0)</f>
        <v>22</v>
      </c>
      <c r="J17" s="3" cm="1">
        <f t="array" ref="J17">ROUND($J$10+(F17-1)*(属性总览!$H$5+INDEX($K$4:$K$6,MATCH(1,($B$4:$B$6=$B17)*($D$4:$D$6=$D17),0)))*系统框架!$F$16/系统框架!$F$15,0)</f>
        <v>43</v>
      </c>
      <c r="K17" s="3" cm="1">
        <f t="array" ref="K17">$K$10+(H17-1)*(属性总览!$H$7+INDEX($O$4:$O$6,MATCH(1,($B$4:$B$6=$B17)*($D$4:$D$6=$D17),0)))</f>
        <v>340</v>
      </c>
      <c r="L17" s="3" cm="1">
        <f t="array" ref="L17">$L$10+(F17-1)*(属性总览!$I$5+INDEX($L$4:$L$6,MATCH(1,($B$4:$B$6=$B17)*($D$4:$D$6=$D17),0)))</f>
        <v>240</v>
      </c>
      <c r="M17" s="3" cm="1">
        <f t="array" ref="M17">ROUND(MIN($M$10+(G17-1)*(属性总览!$H$6+INDEX($M$4:$M$6,MATCH(1,($B$4:$B$6=$B17)*($D$4:$D$6=$D17),0))),100),0)</f>
        <v>80</v>
      </c>
      <c r="N17" s="3" cm="1">
        <f t="array" ref="N17">ROUND(MIN($N$10+(G17-1)*(属性总览!$I$6+INDEX($N$4:$N$6,MATCH(1,($B$4:$B$6=$B17)*($D$4:$D$6=$D17),0))),30),0)</f>
        <v>10</v>
      </c>
      <c r="O17" s="3" cm="1">
        <f t="array" ref="O17">$O$10+(H17-1)*(属性总览!$H$5+INDEX($O$4:$O$7,MATCH(1,($B$4:$B$6=$B17)*($D$4:$D$6=$D17),0)))</f>
        <v>70</v>
      </c>
      <c r="P17" s="3">
        <f t="shared" si="0"/>
        <v>20</v>
      </c>
      <c r="Q17" s="3">
        <f t="shared" si="0"/>
        <v>20</v>
      </c>
      <c r="R17" s="3">
        <f t="shared" si="0"/>
        <v>150</v>
      </c>
      <c r="S17" s="3">
        <f t="shared" si="0"/>
        <v>100</v>
      </c>
      <c r="T17" s="3">
        <f t="shared" si="0"/>
        <v>100</v>
      </c>
      <c r="U17" s="3">
        <v>1</v>
      </c>
      <c r="V17" s="3">
        <v>1</v>
      </c>
      <c r="W17" s="3">
        <v>1</v>
      </c>
    </row>
    <row r="18" spans="1:23">
      <c r="A18" s="1"/>
      <c r="B18" s="3" t="s">
        <v>345</v>
      </c>
      <c r="C18" s="3">
        <v>9</v>
      </c>
      <c r="D18" s="3">
        <v>1</v>
      </c>
      <c r="E18" s="3" cm="1">
        <f t="array" ref="E18">E$10+INDEX(E$4:E$6,MATCH(1,($B$4:$B$6=$B18)*($D$4:$D$6=$D18),0))*($C18-1)</f>
        <v>9</v>
      </c>
      <c r="F18" s="3" cm="1">
        <f t="array" ref="F18">F$10+INDEX(F$4:F$6,MATCH(1,($B$4:$B$6=$B18)*($D$4:$D$6=$D18),0))*($C18-1)</f>
        <v>9</v>
      </c>
      <c r="G18" s="3" cm="1">
        <f t="array" ref="G18">G$10+INDEX(G$4:G$6,MATCH(1,($B$4:$B$6=$B18)*($D$4:$D$6=$D18),0))*($C18-1)</f>
        <v>9</v>
      </c>
      <c r="H18" s="3" cm="1">
        <f t="array" ref="H18">H$10+INDEX(H$4:H$6,MATCH(1,($B$4:$B$6=$B18)*($D$4:$D$6=$D18),0))*($C18-1)</f>
        <v>9</v>
      </c>
      <c r="I18" s="3" cm="1">
        <f t="array" ref="I18">ROUND($I$10+(E18-1)*(属性总览!$H$4+INDEX($I$4:$I$6,MATCH(1,($B$4:$B$6=$B18)*($D$4:$D$6=$D18),0)))*系统框架!$H$16/系统框架!$H$15,0)</f>
        <v>23</v>
      </c>
      <c r="J18" s="3" cm="1">
        <f t="array" ref="J18">ROUND($J$10+(F18-1)*(属性总览!$H$5+INDEX($K$4:$K$6,MATCH(1,($B$4:$B$6=$B18)*($D$4:$D$6=$D18),0)))*系统框架!$F$16/系统框架!$F$15,0)</f>
        <v>47</v>
      </c>
      <c r="K18" s="3" cm="1">
        <f t="array" ref="K18">$K$10+(H18-1)*(属性总览!$H$7+INDEX($O$4:$O$6,MATCH(1,($B$4:$B$6=$B18)*($D$4:$D$6=$D18),0)))</f>
        <v>360</v>
      </c>
      <c r="L18" s="3" cm="1">
        <f t="array" ref="L18">$L$10+(F18-1)*(属性总览!$I$5+INDEX($L$4:$L$6,MATCH(1,($B$4:$B$6=$B18)*($D$4:$D$6=$D18),0)))</f>
        <v>260</v>
      </c>
      <c r="M18" s="3" cm="1">
        <f t="array" ref="M18">ROUND(MIN($M$10+(G18-1)*(属性总览!$H$6+INDEX($M$4:$M$6,MATCH(1,($B$4:$B$6=$B18)*($D$4:$D$6=$D18),0))),100),0)</f>
        <v>80</v>
      </c>
      <c r="N18" s="3" cm="1">
        <f t="array" ref="N18">ROUND(MIN($N$10+(G18-1)*(属性总览!$I$6+INDEX($N$4:$N$6,MATCH(1,($B$4:$B$6=$B18)*($D$4:$D$6=$D18),0))),30),0)</f>
        <v>10</v>
      </c>
      <c r="O18" s="3" cm="1">
        <f t="array" ref="O18">$O$10+(H18-1)*(属性总览!$H$5+INDEX($O$4:$O$7,MATCH(1,($B$4:$B$6=$B18)*($D$4:$D$6=$D18),0)))</f>
        <v>80</v>
      </c>
      <c r="P18" s="3">
        <f t="shared" si="0"/>
        <v>20</v>
      </c>
      <c r="Q18" s="3">
        <f t="shared" si="0"/>
        <v>20</v>
      </c>
      <c r="R18" s="3">
        <f t="shared" si="0"/>
        <v>150</v>
      </c>
      <c r="S18" s="3">
        <f t="shared" si="0"/>
        <v>100</v>
      </c>
      <c r="T18" s="3">
        <f t="shared" si="0"/>
        <v>100</v>
      </c>
      <c r="U18" s="3">
        <v>1</v>
      </c>
      <c r="V18" s="3">
        <v>1</v>
      </c>
      <c r="W18" s="3">
        <v>1</v>
      </c>
    </row>
    <row r="19" spans="1:23">
      <c r="A19" s="1"/>
      <c r="B19" s="3" t="s">
        <v>345</v>
      </c>
      <c r="C19" s="3">
        <v>10</v>
      </c>
      <c r="D19" s="3">
        <v>1</v>
      </c>
      <c r="E19" s="3" cm="1">
        <f t="array" ref="E19">E$10+INDEX(E$4:E$6,MATCH(1,($B$4:$B$6=$B19)*($D$4:$D$6=$D19),0))*($C19-1)</f>
        <v>10</v>
      </c>
      <c r="F19" s="3" cm="1">
        <f t="array" ref="F19">F$10+INDEX(F$4:F$6,MATCH(1,($B$4:$B$6=$B19)*($D$4:$D$6=$D19),0))*($C19-1)</f>
        <v>10</v>
      </c>
      <c r="G19" s="3" cm="1">
        <f t="array" ref="G19">G$10+INDEX(G$4:G$6,MATCH(1,($B$4:$B$6=$B19)*($D$4:$D$6=$D19),0))*($C19-1)</f>
        <v>10</v>
      </c>
      <c r="H19" s="3" cm="1">
        <f t="array" ref="H19">H$10+INDEX(H$4:H$6,MATCH(1,($B$4:$B$6=$B19)*($D$4:$D$6=$D19),0))*($C19-1)</f>
        <v>10</v>
      </c>
      <c r="I19" s="3" cm="1">
        <f t="array" ref="I19">ROUND($I$10+(E19-1)*(属性总览!$H$4+INDEX($I$4:$I$6,MATCH(1,($B$4:$B$6=$B19)*($D$4:$D$6=$D19),0)))*系统框架!$H$16/系统框架!$H$15,0)</f>
        <v>25</v>
      </c>
      <c r="J19" s="3" cm="1">
        <f t="array" ref="J19">ROUND($J$10+(F19-1)*(属性总览!$H$5+INDEX($K$4:$K$6,MATCH(1,($B$4:$B$6=$B19)*($D$4:$D$6=$D19),0)))*系统框架!$F$16/系统框架!$F$15,0)</f>
        <v>50</v>
      </c>
      <c r="K19" s="3" cm="1">
        <f t="array" ref="K19">$K$10+(H19-1)*(属性总览!$H$7+INDEX($O$4:$O$6,MATCH(1,($B$4:$B$6=$B19)*($D$4:$D$6=$D19),0)))</f>
        <v>380</v>
      </c>
      <c r="L19" s="3" cm="1">
        <f t="array" ref="L19">$L$10+(F19-1)*(属性总览!$I$5+INDEX($L$4:$L$6,MATCH(1,($B$4:$B$6=$B19)*($D$4:$D$6=$D19),0)))</f>
        <v>280</v>
      </c>
      <c r="M19" s="3" cm="1">
        <f t="array" ref="M19">ROUND(MIN($M$10+(G19-1)*(属性总览!$H$6+INDEX($M$4:$M$6,MATCH(1,($B$4:$B$6=$B19)*($D$4:$D$6=$D19),0))),100),0)</f>
        <v>80</v>
      </c>
      <c r="N19" s="3" cm="1">
        <f t="array" ref="N19">ROUND(MIN($N$10+(G19-1)*(属性总览!$I$6+INDEX($N$4:$N$6,MATCH(1,($B$4:$B$6=$B19)*($D$4:$D$6=$D19),0))),30),0)</f>
        <v>10</v>
      </c>
      <c r="O19" s="3" cm="1">
        <f t="array" ref="O19">$O$10+(H19-1)*(属性总览!$H$5+INDEX($O$4:$O$7,MATCH(1,($B$4:$B$6=$B19)*($D$4:$D$6=$D19),0)))</f>
        <v>90</v>
      </c>
      <c r="P19" s="3">
        <f t="shared" si="0"/>
        <v>20</v>
      </c>
      <c r="Q19" s="3">
        <f t="shared" si="0"/>
        <v>20</v>
      </c>
      <c r="R19" s="3">
        <f t="shared" si="0"/>
        <v>150</v>
      </c>
      <c r="S19" s="3">
        <f t="shared" si="0"/>
        <v>100</v>
      </c>
      <c r="T19" s="3">
        <f t="shared" si="0"/>
        <v>100</v>
      </c>
      <c r="U19" s="3">
        <v>1</v>
      </c>
      <c r="V19" s="3">
        <v>1</v>
      </c>
      <c r="W19" s="3">
        <v>1</v>
      </c>
    </row>
    <row r="20" spans="1:23">
      <c r="A20" s="1"/>
      <c r="B20" s="3" t="s">
        <v>345</v>
      </c>
      <c r="C20" s="3">
        <v>11</v>
      </c>
      <c r="D20" s="3">
        <v>2</v>
      </c>
      <c r="E20" s="3" cm="1">
        <f t="array" ref="E20">E$10+INDEX(E$4:E$6,MATCH(1,($B$4:$B$6=$B20)*($D$4:$D$6=$D20),0))*($C20-1)</f>
        <v>11</v>
      </c>
      <c r="F20" s="3" cm="1">
        <f t="array" ref="F20">F$10+INDEX(F$4:F$6,MATCH(1,($B$4:$B$6=$B20)*($D$4:$D$6=$D20),0))*($C20-1)</f>
        <v>11</v>
      </c>
      <c r="G20" s="3" cm="1">
        <f t="array" ref="G20">G$10+INDEX(G$4:G$6,MATCH(1,($B$4:$B$6=$B20)*($D$4:$D$6=$D20),0))*($C20-1)</f>
        <v>11</v>
      </c>
      <c r="H20" s="3" cm="1">
        <f t="array" ref="H20">H$10+INDEX(H$4:H$6,MATCH(1,($B$4:$B$6=$B20)*($D$4:$D$6=$D20),0))*($C20-1)</f>
        <v>11</v>
      </c>
      <c r="I20" s="3" cm="1">
        <f t="array" ref="I20">ROUND($I$10+(E20-1)*(属性总览!$H$4+INDEX($I$4:$I$6,MATCH(1,($B$4:$B$6=$B20)*($D$4:$D$6=$D20),0)))*系统框架!$H$16/系统框架!$H$15,0)</f>
        <v>30</v>
      </c>
      <c r="J20" s="3" cm="1">
        <f t="array" ref="J20">ROUND($J$10+(F20-1)*(属性总览!$H$5+INDEX($K$4:$K$6,MATCH(1,($B$4:$B$6=$B20)*($D$4:$D$6=$D20),0)))*系统框架!$F$16/系统框架!$F$15,0)</f>
        <v>57</v>
      </c>
      <c r="K20" s="3" cm="1">
        <f t="array" ref="K20">$K$10+(H20-1)*(属性总览!$H$7+INDEX($O$4:$O$6,MATCH(1,($B$4:$B$6=$B20)*($D$4:$D$6=$D20),0)))</f>
        <v>410</v>
      </c>
      <c r="L20" s="3" cm="1">
        <f t="array" ref="L20">$L$10+(F20-1)*(属性总览!$I$5+INDEX($L$4:$L$6,MATCH(1,($B$4:$B$6=$B20)*($D$4:$D$6=$D20),0)))</f>
        <v>310</v>
      </c>
      <c r="M20" s="3" cm="1">
        <f t="array" ref="M20">ROUND(MIN($M$10+(G20-1)*(属性总览!$H$6+INDEX($M$4:$M$6,MATCH(1,($B$4:$B$6=$B20)*($D$4:$D$6=$D20),0))),100),0)</f>
        <v>82</v>
      </c>
      <c r="N20" s="3" cm="1">
        <f t="array" ref="N20">ROUND(MIN($N$10+(G20-1)*(属性总览!$I$6+INDEX($N$4:$N$6,MATCH(1,($B$4:$B$6=$B20)*($D$4:$D$6=$D20),0))),30),0)</f>
        <v>12</v>
      </c>
      <c r="O20" s="3" cm="1">
        <f t="array" ref="O20">$O$10+(H20-1)*(属性总览!$H$5+INDEX($O$4:$O$7,MATCH(1,($B$4:$B$6=$B20)*($D$4:$D$6=$D20),0)))</f>
        <v>110</v>
      </c>
      <c r="P20" s="3">
        <f t="shared" si="0"/>
        <v>20</v>
      </c>
      <c r="Q20" s="3">
        <f t="shared" si="0"/>
        <v>20</v>
      </c>
      <c r="R20" s="3">
        <f t="shared" si="0"/>
        <v>150</v>
      </c>
      <c r="S20" s="3">
        <f t="shared" si="0"/>
        <v>100</v>
      </c>
      <c r="T20" s="3">
        <f t="shared" si="0"/>
        <v>100</v>
      </c>
      <c r="U20" s="3">
        <v>1</v>
      </c>
      <c r="V20" s="3">
        <v>1</v>
      </c>
      <c r="W20" s="3">
        <v>1</v>
      </c>
    </row>
    <row r="21" spans="1:23">
      <c r="A21" s="1"/>
      <c r="B21" s="3" t="s">
        <v>345</v>
      </c>
      <c r="C21" s="3">
        <v>12</v>
      </c>
      <c r="D21" s="3">
        <v>2</v>
      </c>
      <c r="E21" s="3" cm="1">
        <f t="array" ref="E21">E$10+INDEX(E$4:E$6,MATCH(1,($B$4:$B$6=$B21)*($D$4:$D$6=$D21),0))*($C21-1)</f>
        <v>12</v>
      </c>
      <c r="F21" s="3" cm="1">
        <f t="array" ref="F21">F$10+INDEX(F$4:F$6,MATCH(1,($B$4:$B$6=$B21)*($D$4:$D$6=$D21),0))*($C21-1)</f>
        <v>12</v>
      </c>
      <c r="G21" s="3" cm="1">
        <f t="array" ref="G21">G$10+INDEX(G$4:G$6,MATCH(1,($B$4:$B$6=$B21)*($D$4:$D$6=$D21),0))*($C21-1)</f>
        <v>12</v>
      </c>
      <c r="H21" s="3" cm="1">
        <f t="array" ref="H21">H$10+INDEX(H$4:H$6,MATCH(1,($B$4:$B$6=$B21)*($D$4:$D$6=$D21),0))*($C21-1)</f>
        <v>12</v>
      </c>
      <c r="I21" s="3" cm="1">
        <f t="array" ref="I21">ROUND($I$10+(E21-1)*(属性总览!$H$4+INDEX($I$4:$I$6,MATCH(1,($B$4:$B$6=$B21)*($D$4:$D$6=$D21),0)))*系统框架!$H$16/系统框架!$H$15,0)</f>
        <v>32</v>
      </c>
      <c r="J21" s="3" cm="1">
        <f t="array" ref="J21">ROUND($J$10+(F21-1)*(属性总览!$H$5+INDEX($K$4:$K$6,MATCH(1,($B$4:$B$6=$B21)*($D$4:$D$6=$D21),0)))*系统框架!$F$16/系统框架!$F$15,0)</f>
        <v>60</v>
      </c>
      <c r="K21" s="3" cm="1">
        <f t="array" ref="K21">$K$10+(H21-1)*(属性总览!$H$7+INDEX($O$4:$O$6,MATCH(1,($B$4:$B$6=$B21)*($D$4:$D$6=$D21),0)))</f>
        <v>431</v>
      </c>
      <c r="L21" s="3" cm="1">
        <f t="array" ref="L21">$L$10+(F21-1)*(属性总览!$I$5+INDEX($L$4:$L$6,MATCH(1,($B$4:$B$6=$B21)*($D$4:$D$6=$D21),0)))</f>
        <v>331</v>
      </c>
      <c r="M21" s="3" cm="1">
        <f t="array" ref="M21">ROUND(MIN($M$10+(G21-1)*(属性总览!$H$6+INDEX($M$4:$M$6,MATCH(1,($B$4:$B$6=$B21)*($D$4:$D$6=$D21),0))),100),0)</f>
        <v>82</v>
      </c>
      <c r="N21" s="3" cm="1">
        <f t="array" ref="N21">ROUND(MIN($N$10+(G21-1)*(属性总览!$I$6+INDEX($N$4:$N$6,MATCH(1,($B$4:$B$6=$B21)*($D$4:$D$6=$D21),0))),30),0)</f>
        <v>12</v>
      </c>
      <c r="O21" s="3" cm="1">
        <f t="array" ref="O21">$O$10+(H21-1)*(属性总览!$H$5+INDEX($O$4:$O$7,MATCH(1,($B$4:$B$6=$B21)*($D$4:$D$6=$D21),0)))</f>
        <v>121</v>
      </c>
      <c r="P21" s="3">
        <f t="shared" si="0"/>
        <v>20</v>
      </c>
      <c r="Q21" s="3">
        <f t="shared" si="0"/>
        <v>20</v>
      </c>
      <c r="R21" s="3">
        <f t="shared" si="0"/>
        <v>150</v>
      </c>
      <c r="S21" s="3">
        <f t="shared" si="0"/>
        <v>100</v>
      </c>
      <c r="T21" s="3">
        <f t="shared" si="0"/>
        <v>100</v>
      </c>
      <c r="U21" s="3">
        <v>1</v>
      </c>
      <c r="V21" s="3">
        <v>1</v>
      </c>
      <c r="W21" s="3">
        <v>1</v>
      </c>
    </row>
    <row r="22" spans="1:23">
      <c r="A22" s="1"/>
      <c r="B22" s="3" t="s">
        <v>345</v>
      </c>
      <c r="C22" s="3">
        <v>13</v>
      </c>
      <c r="D22" s="3">
        <v>2</v>
      </c>
      <c r="E22" s="3" cm="1">
        <f t="array" ref="E22">E$10+INDEX(E$4:E$6,MATCH(1,($B$4:$B$6=$B22)*($D$4:$D$6=$D22),0))*($C22-1)</f>
        <v>13</v>
      </c>
      <c r="F22" s="3" cm="1">
        <f t="array" ref="F22">F$10+INDEX(F$4:F$6,MATCH(1,($B$4:$B$6=$B22)*($D$4:$D$6=$D22),0))*($C22-1)</f>
        <v>13</v>
      </c>
      <c r="G22" s="3" cm="1">
        <f t="array" ref="G22">G$10+INDEX(G$4:G$6,MATCH(1,($B$4:$B$6=$B22)*($D$4:$D$6=$D22),0))*($C22-1)</f>
        <v>13</v>
      </c>
      <c r="H22" s="3" cm="1">
        <f t="array" ref="H22">H$10+INDEX(H$4:H$6,MATCH(1,($B$4:$B$6=$B22)*($D$4:$D$6=$D22),0))*($C22-1)</f>
        <v>13</v>
      </c>
      <c r="I22" s="3" cm="1">
        <f t="array" ref="I22">ROUND($I$10+(E22-1)*(属性总览!$H$4+INDEX($I$4:$I$6,MATCH(1,($B$4:$B$6=$B22)*($D$4:$D$6=$D22),0)))*系统框架!$H$16/系统框架!$H$15,0)</f>
        <v>34</v>
      </c>
      <c r="J22" s="3" cm="1">
        <f t="array" ref="J22">ROUND($J$10+(F22-1)*(属性总览!$H$5+INDEX($K$4:$K$6,MATCH(1,($B$4:$B$6=$B22)*($D$4:$D$6=$D22),0)))*系统框架!$F$16/系统框架!$F$15,0)</f>
        <v>64</v>
      </c>
      <c r="K22" s="3" cm="1">
        <f t="array" ref="K22">$K$10+(H22-1)*(属性总览!$H$7+INDEX($O$4:$O$6,MATCH(1,($B$4:$B$6=$B22)*($D$4:$D$6=$D22),0)))</f>
        <v>452</v>
      </c>
      <c r="L22" s="3" cm="1">
        <f t="array" ref="L22">$L$10+(F22-1)*(属性总览!$I$5+INDEX($L$4:$L$6,MATCH(1,($B$4:$B$6=$B22)*($D$4:$D$6=$D22),0)))</f>
        <v>352</v>
      </c>
      <c r="M22" s="3" cm="1">
        <f t="array" ref="M22">ROUND(MIN($M$10+(G22-1)*(属性总览!$H$6+INDEX($M$4:$M$6,MATCH(1,($B$4:$B$6=$B22)*($D$4:$D$6=$D22),0))),100),0)</f>
        <v>82</v>
      </c>
      <c r="N22" s="3" cm="1">
        <f t="array" ref="N22">ROUND(MIN($N$10+(G22-1)*(属性总览!$I$6+INDEX($N$4:$N$6,MATCH(1,($B$4:$B$6=$B22)*($D$4:$D$6=$D22),0))),30),0)</f>
        <v>12</v>
      </c>
      <c r="O22" s="3" cm="1">
        <f t="array" ref="O22">$O$10+(H22-1)*(属性总览!$H$5+INDEX($O$4:$O$7,MATCH(1,($B$4:$B$6=$B22)*($D$4:$D$6=$D22),0)))</f>
        <v>132</v>
      </c>
      <c r="P22" s="3">
        <f t="shared" si="0"/>
        <v>20</v>
      </c>
      <c r="Q22" s="3">
        <f t="shared" si="0"/>
        <v>20</v>
      </c>
      <c r="R22" s="3">
        <f t="shared" si="0"/>
        <v>150</v>
      </c>
      <c r="S22" s="3">
        <f t="shared" si="0"/>
        <v>100</v>
      </c>
      <c r="T22" s="3">
        <f t="shared" si="0"/>
        <v>100</v>
      </c>
      <c r="U22" s="3">
        <v>1</v>
      </c>
      <c r="V22" s="3">
        <v>1</v>
      </c>
      <c r="W22" s="3">
        <v>1</v>
      </c>
    </row>
    <row r="23" spans="1:23">
      <c r="A23" s="1"/>
      <c r="B23" s="3" t="s">
        <v>345</v>
      </c>
      <c r="C23" s="3">
        <v>14</v>
      </c>
      <c r="D23" s="3">
        <v>2</v>
      </c>
      <c r="E23" s="3" cm="1">
        <f t="array" ref="E23">E$10+INDEX(E$4:E$6,MATCH(1,($B$4:$B$6=$B23)*($D$4:$D$6=$D23),0))*($C23-1)</f>
        <v>14</v>
      </c>
      <c r="F23" s="3" cm="1">
        <f t="array" ref="F23">F$10+INDEX(F$4:F$6,MATCH(1,($B$4:$B$6=$B23)*($D$4:$D$6=$D23),0))*($C23-1)</f>
        <v>14</v>
      </c>
      <c r="G23" s="3" cm="1">
        <f t="array" ref="G23">G$10+INDEX(G$4:G$6,MATCH(1,($B$4:$B$6=$B23)*($D$4:$D$6=$D23),0))*($C23-1)</f>
        <v>14</v>
      </c>
      <c r="H23" s="3" cm="1">
        <f t="array" ref="H23">H$10+INDEX(H$4:H$6,MATCH(1,($B$4:$B$6=$B23)*($D$4:$D$6=$D23),0))*($C23-1)</f>
        <v>14</v>
      </c>
      <c r="I23" s="3" cm="1">
        <f t="array" ref="I23">ROUND($I$10+(E23-1)*(属性总览!$H$4+INDEX($I$4:$I$6,MATCH(1,($B$4:$B$6=$B23)*($D$4:$D$6=$D23),0)))*系统框架!$H$16/系统框架!$H$15,0)</f>
        <v>36</v>
      </c>
      <c r="J23" s="3" cm="1">
        <f t="array" ref="J23">ROUND($J$10+(F23-1)*(属性总览!$H$5+INDEX($K$4:$K$6,MATCH(1,($B$4:$B$6=$B23)*($D$4:$D$6=$D23),0)))*系统框架!$F$16/系统框架!$F$15,0)</f>
        <v>68</v>
      </c>
      <c r="K23" s="3" cm="1">
        <f t="array" ref="K23">$K$10+(H23-1)*(属性总览!$H$7+INDEX($O$4:$O$6,MATCH(1,($B$4:$B$6=$B23)*($D$4:$D$6=$D23),0)))</f>
        <v>473</v>
      </c>
      <c r="L23" s="3" cm="1">
        <f t="array" ref="L23">$L$10+(F23-1)*(属性总览!$I$5+INDEX($L$4:$L$6,MATCH(1,($B$4:$B$6=$B23)*($D$4:$D$6=$D23),0)))</f>
        <v>373</v>
      </c>
      <c r="M23" s="3" cm="1">
        <f t="array" ref="M23">ROUND(MIN($M$10+(G23-1)*(属性总览!$H$6+INDEX($M$4:$M$6,MATCH(1,($B$4:$B$6=$B23)*($D$4:$D$6=$D23),0))),100),0)</f>
        <v>82</v>
      </c>
      <c r="N23" s="3" cm="1">
        <f t="array" ref="N23">ROUND(MIN($N$10+(G23-1)*(属性总览!$I$6+INDEX($N$4:$N$6,MATCH(1,($B$4:$B$6=$B23)*($D$4:$D$6=$D23),0))),30),0)</f>
        <v>12</v>
      </c>
      <c r="O23" s="3" cm="1">
        <f t="array" ref="O23">$O$10+(H23-1)*(属性总览!$H$5+INDEX($O$4:$O$7,MATCH(1,($B$4:$B$6=$B23)*($D$4:$D$6=$D23),0)))</f>
        <v>143</v>
      </c>
      <c r="P23" s="3">
        <f t="shared" si="0"/>
        <v>20</v>
      </c>
      <c r="Q23" s="3">
        <f t="shared" si="0"/>
        <v>20</v>
      </c>
      <c r="R23" s="3">
        <f t="shared" si="0"/>
        <v>150</v>
      </c>
      <c r="S23" s="3">
        <f t="shared" si="0"/>
        <v>100</v>
      </c>
      <c r="T23" s="3">
        <f t="shared" si="0"/>
        <v>100</v>
      </c>
      <c r="U23" s="3">
        <v>1</v>
      </c>
      <c r="V23" s="3">
        <v>1</v>
      </c>
      <c r="W23" s="3">
        <v>1</v>
      </c>
    </row>
    <row r="24" spans="1:23">
      <c r="A24" s="1"/>
      <c r="B24" s="3" t="s">
        <v>345</v>
      </c>
      <c r="C24" s="3">
        <v>15</v>
      </c>
      <c r="D24" s="3">
        <v>2</v>
      </c>
      <c r="E24" s="3" cm="1">
        <f t="array" ref="E24">E$10+INDEX(E$4:E$6,MATCH(1,($B$4:$B$6=$B24)*($D$4:$D$6=$D24),0))*($C24-1)</f>
        <v>15</v>
      </c>
      <c r="F24" s="3" cm="1">
        <f t="array" ref="F24">F$10+INDEX(F$4:F$6,MATCH(1,($B$4:$B$6=$B24)*($D$4:$D$6=$D24),0))*($C24-1)</f>
        <v>15</v>
      </c>
      <c r="G24" s="3" cm="1">
        <f t="array" ref="G24">G$10+INDEX(G$4:G$6,MATCH(1,($B$4:$B$6=$B24)*($D$4:$D$6=$D24),0))*($C24-1)</f>
        <v>15</v>
      </c>
      <c r="H24" s="3" cm="1">
        <f t="array" ref="H24">H$10+INDEX(H$4:H$6,MATCH(1,($B$4:$B$6=$B24)*($D$4:$D$6=$D24),0))*($C24-1)</f>
        <v>15</v>
      </c>
      <c r="I24" s="3" cm="1">
        <f t="array" ref="I24">ROUND($I$10+(E24-1)*(属性总览!$H$4+INDEX($I$4:$I$6,MATCH(1,($B$4:$B$6=$B24)*($D$4:$D$6=$D24),0)))*系统框架!$H$16/系统框架!$H$15,0)</f>
        <v>38</v>
      </c>
      <c r="J24" s="3" cm="1">
        <f t="array" ref="J24">ROUND($J$10+(F24-1)*(属性总览!$H$5+INDEX($K$4:$K$6,MATCH(1,($B$4:$B$6=$B24)*($D$4:$D$6=$D24),0)))*系统框架!$F$16/系统框架!$F$15,0)</f>
        <v>71</v>
      </c>
      <c r="K24" s="3" cm="1">
        <f t="array" ref="K24">$K$10+(H24-1)*(属性总览!$H$7+INDEX($O$4:$O$6,MATCH(1,($B$4:$B$6=$B24)*($D$4:$D$6=$D24),0)))</f>
        <v>494</v>
      </c>
      <c r="L24" s="3" cm="1">
        <f t="array" ref="L24">$L$10+(F24-1)*(属性总览!$I$5+INDEX($L$4:$L$6,MATCH(1,($B$4:$B$6=$B24)*($D$4:$D$6=$D24),0)))</f>
        <v>394</v>
      </c>
      <c r="M24" s="3" cm="1">
        <f t="array" ref="M24">ROUND(MIN($M$10+(G24-1)*(属性总览!$H$6+INDEX($M$4:$M$6,MATCH(1,($B$4:$B$6=$B24)*($D$4:$D$6=$D24),0))),100),0)</f>
        <v>82</v>
      </c>
      <c r="N24" s="3" cm="1">
        <f t="array" ref="N24">ROUND(MIN($N$10+(G24-1)*(属性总览!$I$6+INDEX($N$4:$N$6,MATCH(1,($B$4:$B$6=$B24)*($D$4:$D$6=$D24),0))),30),0)</f>
        <v>12</v>
      </c>
      <c r="O24" s="3" cm="1">
        <f t="array" ref="O24">$O$10+(H24-1)*(属性总览!$H$5+INDEX($O$4:$O$7,MATCH(1,($B$4:$B$6=$B24)*($D$4:$D$6=$D24),0)))</f>
        <v>154</v>
      </c>
      <c r="P24" s="3">
        <f t="shared" si="0"/>
        <v>20</v>
      </c>
      <c r="Q24" s="3">
        <f t="shared" si="0"/>
        <v>20</v>
      </c>
      <c r="R24" s="3">
        <f t="shared" si="0"/>
        <v>150</v>
      </c>
      <c r="S24" s="3">
        <f t="shared" si="0"/>
        <v>100</v>
      </c>
      <c r="T24" s="3">
        <f t="shared" si="0"/>
        <v>100</v>
      </c>
      <c r="U24" s="3">
        <v>1</v>
      </c>
      <c r="V24" s="3">
        <v>1</v>
      </c>
      <c r="W24" s="3">
        <v>1</v>
      </c>
    </row>
    <row r="25" spans="1:23">
      <c r="A25" s="1"/>
      <c r="B25" s="3" t="s">
        <v>345</v>
      </c>
      <c r="C25" s="3">
        <v>16</v>
      </c>
      <c r="D25" s="3">
        <v>2</v>
      </c>
      <c r="E25" s="3" cm="1">
        <f t="array" ref="E25">E$10+INDEX(E$4:E$6,MATCH(1,($B$4:$B$6=$B25)*($D$4:$D$6=$D25),0))*($C25-1)</f>
        <v>16</v>
      </c>
      <c r="F25" s="3" cm="1">
        <f t="array" ref="F25">F$10+INDEX(F$4:F$6,MATCH(1,($B$4:$B$6=$B25)*($D$4:$D$6=$D25),0))*($C25-1)</f>
        <v>16</v>
      </c>
      <c r="G25" s="3" cm="1">
        <f t="array" ref="G25">G$10+INDEX(G$4:G$6,MATCH(1,($B$4:$B$6=$B25)*($D$4:$D$6=$D25),0))*($C25-1)</f>
        <v>16</v>
      </c>
      <c r="H25" s="3" cm="1">
        <f t="array" ref="H25">H$10+INDEX(H$4:H$6,MATCH(1,($B$4:$B$6=$B25)*($D$4:$D$6=$D25),0))*($C25-1)</f>
        <v>16</v>
      </c>
      <c r="I25" s="3" cm="1">
        <f t="array" ref="I25">ROUND($I$10+(E25-1)*(属性总览!$H$4+INDEX($I$4:$I$6,MATCH(1,($B$4:$B$6=$B25)*($D$4:$D$6=$D25),0)))*系统框架!$H$16/系统框架!$H$15,0)</f>
        <v>40</v>
      </c>
      <c r="J25" s="3" cm="1">
        <f t="array" ref="J25">ROUND($J$10+(F25-1)*(属性总览!$H$5+INDEX($K$4:$K$6,MATCH(1,($B$4:$B$6=$B25)*($D$4:$D$6=$D25),0)))*系统框架!$F$16/系统框架!$F$15,0)</f>
        <v>75</v>
      </c>
      <c r="K25" s="3" cm="1">
        <f t="array" ref="K25">$K$10+(H25-1)*(属性总览!$H$7+INDEX($O$4:$O$6,MATCH(1,($B$4:$B$6=$B25)*($D$4:$D$6=$D25),0)))</f>
        <v>515</v>
      </c>
      <c r="L25" s="3" cm="1">
        <f t="array" ref="L25">$L$10+(F25-1)*(属性总览!$I$5+INDEX($L$4:$L$6,MATCH(1,($B$4:$B$6=$B25)*($D$4:$D$6=$D25),0)))</f>
        <v>415</v>
      </c>
      <c r="M25" s="3" cm="1">
        <f t="array" ref="M25">ROUND(MIN($M$10+(G25-1)*(属性总览!$H$6+INDEX($M$4:$M$6,MATCH(1,($B$4:$B$6=$B25)*($D$4:$D$6=$D25),0))),100),0)</f>
        <v>82</v>
      </c>
      <c r="N25" s="3" cm="1">
        <f t="array" ref="N25">ROUND(MIN($N$10+(G25-1)*(属性总览!$I$6+INDEX($N$4:$N$6,MATCH(1,($B$4:$B$6=$B25)*($D$4:$D$6=$D25),0))),30),0)</f>
        <v>12</v>
      </c>
      <c r="O25" s="3" cm="1">
        <f t="array" ref="O25">$O$10+(H25-1)*(属性总览!$H$5+INDEX($O$4:$O$7,MATCH(1,($B$4:$B$6=$B25)*($D$4:$D$6=$D25),0)))</f>
        <v>165</v>
      </c>
      <c r="P25" s="3">
        <f t="shared" si="0"/>
        <v>20</v>
      </c>
      <c r="Q25" s="3">
        <f t="shared" si="0"/>
        <v>20</v>
      </c>
      <c r="R25" s="3">
        <f t="shared" si="0"/>
        <v>150</v>
      </c>
      <c r="S25" s="3">
        <f t="shared" si="0"/>
        <v>100</v>
      </c>
      <c r="T25" s="3">
        <f t="shared" si="0"/>
        <v>100</v>
      </c>
      <c r="U25" s="3">
        <v>1</v>
      </c>
      <c r="V25" s="3">
        <v>1</v>
      </c>
      <c r="W25" s="3">
        <v>1</v>
      </c>
    </row>
    <row r="26" spans="1:23">
      <c r="A26" s="1"/>
      <c r="B26" s="3" t="s">
        <v>345</v>
      </c>
      <c r="C26" s="3">
        <v>17</v>
      </c>
      <c r="D26" s="3">
        <v>2</v>
      </c>
      <c r="E26" s="3" cm="1">
        <f t="array" ref="E26">E$10+INDEX(E$4:E$6,MATCH(1,($B$4:$B$6=$B26)*($D$4:$D$6=$D26),0))*($C26-1)</f>
        <v>17</v>
      </c>
      <c r="F26" s="3" cm="1">
        <f t="array" ref="F26">F$10+INDEX(F$4:F$6,MATCH(1,($B$4:$B$6=$B26)*($D$4:$D$6=$D26),0))*($C26-1)</f>
        <v>17</v>
      </c>
      <c r="G26" s="3" cm="1">
        <f t="array" ref="G26">G$10+INDEX(G$4:G$6,MATCH(1,($B$4:$B$6=$B26)*($D$4:$D$6=$D26),0))*($C26-1)</f>
        <v>17</v>
      </c>
      <c r="H26" s="3" cm="1">
        <f t="array" ref="H26">H$10+INDEX(H$4:H$6,MATCH(1,($B$4:$B$6=$B26)*($D$4:$D$6=$D26),0))*($C26-1)</f>
        <v>17</v>
      </c>
      <c r="I26" s="3" cm="1">
        <f t="array" ref="I26">ROUND($I$10+(E26-1)*(属性总览!$H$4+INDEX($I$4:$I$6,MATCH(1,($B$4:$B$6=$B26)*($D$4:$D$6=$D26),0)))*系统框架!$H$16/系统框架!$H$15,0)</f>
        <v>42</v>
      </c>
      <c r="J26" s="3" cm="1">
        <f t="array" ref="J26">ROUND($J$10+(F26-1)*(属性总览!$H$5+INDEX($K$4:$K$6,MATCH(1,($B$4:$B$6=$B26)*($D$4:$D$6=$D26),0)))*系统框架!$F$16/系统框架!$F$15,0)</f>
        <v>79</v>
      </c>
      <c r="K26" s="3" cm="1">
        <f t="array" ref="K26">$K$10+(H26-1)*(属性总览!$H$7+INDEX($O$4:$O$6,MATCH(1,($B$4:$B$6=$B26)*($D$4:$D$6=$D26),0)))</f>
        <v>536</v>
      </c>
      <c r="L26" s="3" cm="1">
        <f t="array" ref="L26">$L$10+(F26-1)*(属性总览!$I$5+INDEX($L$4:$L$6,MATCH(1,($B$4:$B$6=$B26)*($D$4:$D$6=$D26),0)))</f>
        <v>436</v>
      </c>
      <c r="M26" s="3" cm="1">
        <f t="array" ref="M26">ROUND(MIN($M$10+(G26-1)*(属性总览!$H$6+INDEX($M$4:$M$6,MATCH(1,($B$4:$B$6=$B26)*($D$4:$D$6=$D26),0))),100),0)</f>
        <v>82</v>
      </c>
      <c r="N26" s="3" cm="1">
        <f t="array" ref="N26">ROUND(MIN($N$10+(G26-1)*(属性总览!$I$6+INDEX($N$4:$N$6,MATCH(1,($B$4:$B$6=$B26)*($D$4:$D$6=$D26),0))),30),0)</f>
        <v>12</v>
      </c>
      <c r="O26" s="3" cm="1">
        <f t="array" ref="O26">$O$10+(H26-1)*(属性总览!$H$5+INDEX($O$4:$O$7,MATCH(1,($B$4:$B$6=$B26)*($D$4:$D$6=$D26),0)))</f>
        <v>176</v>
      </c>
      <c r="P26" s="3">
        <f t="shared" si="0"/>
        <v>20</v>
      </c>
      <c r="Q26" s="3">
        <f t="shared" si="0"/>
        <v>20</v>
      </c>
      <c r="R26" s="3">
        <f t="shared" si="0"/>
        <v>150</v>
      </c>
      <c r="S26" s="3">
        <f t="shared" si="0"/>
        <v>100</v>
      </c>
      <c r="T26" s="3">
        <f t="shared" si="0"/>
        <v>100</v>
      </c>
      <c r="U26" s="3">
        <v>1</v>
      </c>
      <c r="V26" s="3">
        <v>1</v>
      </c>
      <c r="W26" s="3">
        <v>1</v>
      </c>
    </row>
    <row r="27" spans="1:23">
      <c r="A27" s="1"/>
      <c r="B27" s="3" t="s">
        <v>345</v>
      </c>
      <c r="C27" s="3">
        <v>18</v>
      </c>
      <c r="D27" s="3">
        <v>2</v>
      </c>
      <c r="E27" s="3" cm="1">
        <f t="array" ref="E27">E$10+INDEX(E$4:E$6,MATCH(1,($B$4:$B$6=$B27)*($D$4:$D$6=$D27),0))*($C27-1)</f>
        <v>18</v>
      </c>
      <c r="F27" s="3" cm="1">
        <f t="array" ref="F27">F$10+INDEX(F$4:F$6,MATCH(1,($B$4:$B$6=$B27)*($D$4:$D$6=$D27),0))*($C27-1)</f>
        <v>18</v>
      </c>
      <c r="G27" s="3" cm="1">
        <f t="array" ref="G27">G$10+INDEX(G$4:G$6,MATCH(1,($B$4:$B$6=$B27)*($D$4:$D$6=$D27),0))*($C27-1)</f>
        <v>18</v>
      </c>
      <c r="H27" s="3" cm="1">
        <f t="array" ref="H27">H$10+INDEX(H$4:H$6,MATCH(1,($B$4:$B$6=$B27)*($D$4:$D$6=$D27),0))*($C27-1)</f>
        <v>18</v>
      </c>
      <c r="I27" s="3" cm="1">
        <f t="array" ref="I27">ROUND($I$10+(E27-1)*(属性总览!$H$4+INDEX($I$4:$I$6,MATCH(1,($B$4:$B$6=$B27)*($D$4:$D$6=$D27),0)))*系统框架!$H$16/系统框架!$H$15,0)</f>
        <v>44</v>
      </c>
      <c r="J27" s="3" cm="1">
        <f t="array" ref="J27">ROUND($J$10+(F27-1)*(属性总览!$H$5+INDEX($K$4:$K$6,MATCH(1,($B$4:$B$6=$B27)*($D$4:$D$6=$D27),0)))*系统框架!$F$16/系统框架!$F$15,0)</f>
        <v>82</v>
      </c>
      <c r="K27" s="3" cm="1">
        <f t="array" ref="K27">$K$10+(H27-1)*(属性总览!$H$7+INDEX($O$4:$O$6,MATCH(1,($B$4:$B$6=$B27)*($D$4:$D$6=$D27),0)))</f>
        <v>557</v>
      </c>
      <c r="L27" s="3" cm="1">
        <f t="array" ref="L27">$L$10+(F27-1)*(属性总览!$I$5+INDEX($L$4:$L$6,MATCH(1,($B$4:$B$6=$B27)*($D$4:$D$6=$D27),0)))</f>
        <v>457</v>
      </c>
      <c r="M27" s="3" cm="1">
        <f t="array" ref="M27">ROUND(MIN($M$10+(G27-1)*(属性总览!$H$6+INDEX($M$4:$M$6,MATCH(1,($B$4:$B$6=$B27)*($D$4:$D$6=$D27),0))),100),0)</f>
        <v>83</v>
      </c>
      <c r="N27" s="3" cm="1">
        <f t="array" ref="N27">ROUND(MIN($N$10+(G27-1)*(属性总览!$I$6+INDEX($N$4:$N$6,MATCH(1,($B$4:$B$6=$B27)*($D$4:$D$6=$D27),0))),30),0)</f>
        <v>13</v>
      </c>
      <c r="O27" s="3" cm="1">
        <f t="array" ref="O27">$O$10+(H27-1)*(属性总览!$H$5+INDEX($O$4:$O$7,MATCH(1,($B$4:$B$6=$B27)*($D$4:$D$6=$D27),0)))</f>
        <v>187</v>
      </c>
      <c r="P27" s="3">
        <f t="shared" ref="P27:T27" si="1">P26</f>
        <v>20</v>
      </c>
      <c r="Q27" s="3">
        <f t="shared" si="1"/>
        <v>20</v>
      </c>
      <c r="R27" s="3">
        <f t="shared" si="1"/>
        <v>150</v>
      </c>
      <c r="S27" s="3">
        <f t="shared" si="1"/>
        <v>100</v>
      </c>
      <c r="T27" s="3">
        <f t="shared" si="1"/>
        <v>100</v>
      </c>
      <c r="U27" s="3">
        <v>1</v>
      </c>
      <c r="V27" s="3">
        <v>1</v>
      </c>
      <c r="W27" s="3">
        <v>1</v>
      </c>
    </row>
    <row r="28" spans="1:23">
      <c r="A28" s="1"/>
      <c r="B28" s="3" t="s">
        <v>345</v>
      </c>
      <c r="C28" s="3">
        <v>19</v>
      </c>
      <c r="D28" s="3">
        <v>2</v>
      </c>
      <c r="E28" s="3" cm="1">
        <f t="array" ref="E28">E$10+INDEX(E$4:E$6,MATCH(1,($B$4:$B$6=$B28)*($D$4:$D$6=$D28),0))*($C28-1)</f>
        <v>19</v>
      </c>
      <c r="F28" s="3" cm="1">
        <f t="array" ref="F28">F$10+INDEX(F$4:F$6,MATCH(1,($B$4:$B$6=$B28)*($D$4:$D$6=$D28),0))*($C28-1)</f>
        <v>19</v>
      </c>
      <c r="G28" s="3" cm="1">
        <f t="array" ref="G28">G$10+INDEX(G$4:G$6,MATCH(1,($B$4:$B$6=$B28)*($D$4:$D$6=$D28),0))*($C28-1)</f>
        <v>19</v>
      </c>
      <c r="H28" s="3" cm="1">
        <f t="array" ref="H28">H$10+INDEX(H$4:H$6,MATCH(1,($B$4:$B$6=$B28)*($D$4:$D$6=$D28),0))*($C28-1)</f>
        <v>19</v>
      </c>
      <c r="I28" s="3" cm="1">
        <f t="array" ref="I28">ROUND($I$10+(E28-1)*(属性总览!$H$4+INDEX($I$4:$I$6,MATCH(1,($B$4:$B$6=$B28)*($D$4:$D$6=$D28),0)))*系统框架!$H$16/系统框架!$H$15,0)</f>
        <v>46</v>
      </c>
      <c r="J28" s="3" cm="1">
        <f t="array" ref="J28">ROUND($J$10+(F28-1)*(属性总览!$H$5+INDEX($K$4:$K$6,MATCH(1,($B$4:$B$6=$B28)*($D$4:$D$6=$D28),0)))*系统框架!$F$16/系统框架!$F$15,0)</f>
        <v>86</v>
      </c>
      <c r="K28" s="3" cm="1">
        <f t="array" ref="K28">$K$10+(H28-1)*(属性总览!$H$7+INDEX($O$4:$O$6,MATCH(1,($B$4:$B$6=$B28)*($D$4:$D$6=$D28),0)))</f>
        <v>578</v>
      </c>
      <c r="L28" s="3" cm="1">
        <f t="array" ref="L28">$L$10+(F28-1)*(属性总览!$I$5+INDEX($L$4:$L$6,MATCH(1,($B$4:$B$6=$B28)*($D$4:$D$6=$D28),0)))</f>
        <v>478</v>
      </c>
      <c r="M28" s="3" cm="1">
        <f t="array" ref="M28">ROUND(MIN($M$10+(G28-1)*(属性总览!$H$6+INDEX($M$4:$M$6,MATCH(1,($B$4:$B$6=$B28)*($D$4:$D$6=$D28),0))),100),0)</f>
        <v>83</v>
      </c>
      <c r="N28" s="3" cm="1">
        <f t="array" ref="N28">ROUND(MIN($N$10+(G28-1)*(属性总览!$I$6+INDEX($N$4:$N$6,MATCH(1,($B$4:$B$6=$B28)*($D$4:$D$6=$D28),0))),30),0)</f>
        <v>13</v>
      </c>
      <c r="O28" s="3" cm="1">
        <f t="array" ref="O28">$O$10+(H28-1)*(属性总览!$H$5+INDEX($O$4:$O$7,MATCH(1,($B$4:$B$6=$B28)*($D$4:$D$6=$D28),0)))</f>
        <v>198</v>
      </c>
      <c r="P28" s="3">
        <f t="shared" ref="P28:T39" si="2">P27</f>
        <v>20</v>
      </c>
      <c r="Q28" s="3">
        <f t="shared" si="2"/>
        <v>20</v>
      </c>
      <c r="R28" s="3">
        <f t="shared" si="2"/>
        <v>150</v>
      </c>
      <c r="S28" s="3">
        <f t="shared" si="2"/>
        <v>100</v>
      </c>
      <c r="T28" s="3">
        <f t="shared" si="2"/>
        <v>100</v>
      </c>
      <c r="U28" s="3">
        <v>1</v>
      </c>
      <c r="V28" s="3">
        <v>1</v>
      </c>
      <c r="W28" s="3">
        <v>1</v>
      </c>
    </row>
    <row r="29" spans="1:23">
      <c r="A29" s="1"/>
      <c r="B29" s="3" t="s">
        <v>345</v>
      </c>
      <c r="C29" s="3">
        <v>20</v>
      </c>
      <c r="D29" s="3">
        <v>2</v>
      </c>
      <c r="E29" s="3" cm="1">
        <f t="array" ref="E29">E$10+INDEX(E$4:E$6,MATCH(1,($B$4:$B$6=$B29)*($D$4:$D$6=$D29),0))*($C29-1)</f>
        <v>20</v>
      </c>
      <c r="F29" s="3" cm="1">
        <f t="array" ref="F29">F$10+INDEX(F$4:F$6,MATCH(1,($B$4:$B$6=$B29)*($D$4:$D$6=$D29),0))*($C29-1)</f>
        <v>20</v>
      </c>
      <c r="G29" s="3" cm="1">
        <f t="array" ref="G29">G$10+INDEX(G$4:G$6,MATCH(1,($B$4:$B$6=$B29)*($D$4:$D$6=$D29),0))*($C29-1)</f>
        <v>20</v>
      </c>
      <c r="H29" s="3" cm="1">
        <f t="array" ref="H29">H$10+INDEX(H$4:H$6,MATCH(1,($B$4:$B$6=$B29)*($D$4:$D$6=$D29),0))*($C29-1)</f>
        <v>20</v>
      </c>
      <c r="I29" s="3" cm="1">
        <f t="array" ref="I29">ROUND($I$10+(E29-1)*(属性总览!$H$4+INDEX($I$4:$I$6,MATCH(1,($B$4:$B$6=$B29)*($D$4:$D$6=$D29),0)))*系统框架!$H$16/系统框架!$H$15,0)</f>
        <v>48</v>
      </c>
      <c r="J29" s="3" cm="1">
        <f t="array" ref="J29">ROUND($J$10+(F29-1)*(属性总览!$H$5+INDEX($K$4:$K$6,MATCH(1,($B$4:$B$6=$B29)*($D$4:$D$6=$D29),0)))*系统框架!$F$16/系统框架!$F$15,0)</f>
        <v>90</v>
      </c>
      <c r="K29" s="3" cm="1">
        <f t="array" ref="K29">$K$10+(H29-1)*(属性总览!$H$7+INDEX($O$4:$O$6,MATCH(1,($B$4:$B$6=$B29)*($D$4:$D$6=$D29),0)))</f>
        <v>599</v>
      </c>
      <c r="L29" s="3" cm="1">
        <f t="array" ref="L29">$L$10+(F29-1)*(属性总览!$I$5+INDEX($L$4:$L$6,MATCH(1,($B$4:$B$6=$B29)*($D$4:$D$6=$D29),0)))</f>
        <v>499</v>
      </c>
      <c r="M29" s="3" cm="1">
        <f t="array" ref="M29">ROUND(MIN($M$10+(G29-1)*(属性总览!$H$6+INDEX($M$4:$M$6,MATCH(1,($B$4:$B$6=$B29)*($D$4:$D$6=$D29),0))),100),0)</f>
        <v>83</v>
      </c>
      <c r="N29" s="3" cm="1">
        <f t="array" ref="N29">ROUND(MIN($N$10+(G29-1)*(属性总览!$I$6+INDEX($N$4:$N$6,MATCH(1,($B$4:$B$6=$B29)*($D$4:$D$6=$D29),0))),30),0)</f>
        <v>13</v>
      </c>
      <c r="O29" s="3" cm="1">
        <f t="array" ref="O29">$O$10+(H29-1)*(属性总览!$H$5+INDEX($O$4:$O$7,MATCH(1,($B$4:$B$6=$B29)*($D$4:$D$6=$D29),0)))</f>
        <v>209</v>
      </c>
      <c r="P29" s="3">
        <f t="shared" si="2"/>
        <v>20</v>
      </c>
      <c r="Q29" s="3">
        <f t="shared" si="2"/>
        <v>20</v>
      </c>
      <c r="R29" s="3">
        <f t="shared" si="2"/>
        <v>150</v>
      </c>
      <c r="S29" s="3">
        <f t="shared" si="2"/>
        <v>100</v>
      </c>
      <c r="T29" s="3">
        <f t="shared" si="2"/>
        <v>100</v>
      </c>
      <c r="U29" s="3">
        <v>1</v>
      </c>
      <c r="V29" s="3">
        <v>1</v>
      </c>
      <c r="W29" s="3">
        <v>1</v>
      </c>
    </row>
    <row r="30" spans="1:23">
      <c r="A30" s="1"/>
      <c r="B30" s="3" t="s">
        <v>345</v>
      </c>
      <c r="C30" s="3">
        <v>21</v>
      </c>
      <c r="D30" s="3">
        <v>3</v>
      </c>
      <c r="E30" s="3" cm="1">
        <f t="array" ref="E30">E$10+INDEX(E$4:E$6,MATCH(1,($B$4:$B$6=$B30)*($D$4:$D$6=$D30),0))*($C30-1)</f>
        <v>21</v>
      </c>
      <c r="F30" s="3" cm="1">
        <f t="array" ref="F30">F$10+INDEX(F$4:F$6,MATCH(1,($B$4:$B$6=$B30)*($D$4:$D$6=$D30),0))*($C30-1)</f>
        <v>21</v>
      </c>
      <c r="G30" s="3" cm="1">
        <f t="array" ref="G30">G$10+INDEX(G$4:G$6,MATCH(1,($B$4:$B$6=$B30)*($D$4:$D$6=$D30),0))*($C30-1)</f>
        <v>21</v>
      </c>
      <c r="H30" s="3" cm="1">
        <f t="array" ref="H30">H$10+INDEX(H$4:H$6,MATCH(1,($B$4:$B$6=$B30)*($D$4:$D$6=$D30),0))*($C30-1)</f>
        <v>21</v>
      </c>
      <c r="I30" s="3" cm="1">
        <f t="array" ref="I30">ROUND($I$10+(E30-1)*(属性总览!$H$4+INDEX($I$4:$I$6,MATCH(1,($B$4:$B$6=$B30)*($D$4:$D$6=$D30),0)))*系统框架!$H$16/系统框架!$H$15,0)</f>
        <v>57</v>
      </c>
      <c r="J30" s="3" cm="1">
        <f t="array" ref="J30">ROUND($J$10+(F30-1)*(属性总览!$H$5+INDEX($K$4:$K$6,MATCH(1,($B$4:$B$6=$B30)*($D$4:$D$6=$D30),0)))*系统框架!$F$16/系统框架!$F$15,0)</f>
        <v>100</v>
      </c>
      <c r="K30" s="3" cm="1">
        <f t="array" ref="K30">$K$10+(H30-1)*(属性总览!$H$7+INDEX($O$4:$O$6,MATCH(1,($B$4:$B$6=$B30)*($D$4:$D$6=$D30),0)))</f>
        <v>640</v>
      </c>
      <c r="L30" s="3" cm="1">
        <f t="array" ref="L30">$L$10+(F30-1)*(属性总览!$I$5+INDEX($L$4:$L$6,MATCH(1,($B$4:$B$6=$B30)*($D$4:$D$6=$D30),0)))</f>
        <v>540</v>
      </c>
      <c r="M30" s="3" cm="1">
        <f t="array" ref="M30">ROUND(MIN($M$10+(G30-1)*(属性总览!$H$6+INDEX($M$4:$M$6,MATCH(1,($B$4:$B$6=$B30)*($D$4:$D$6=$D30),0))),100),0)</f>
        <v>84</v>
      </c>
      <c r="N30" s="3" cm="1">
        <f t="array" ref="N30">ROUND(MIN($N$10+(G30-1)*(属性总览!$I$6+INDEX($N$4:$N$6,MATCH(1,($B$4:$B$6=$B30)*($D$4:$D$6=$D30),0))),30),0)</f>
        <v>14</v>
      </c>
      <c r="O30" s="3" cm="1">
        <f t="array" ref="O30">$O$10+(H30-1)*(属性总览!$H$5+INDEX($O$4:$O$7,MATCH(1,($B$4:$B$6=$B30)*($D$4:$D$6=$D30),0)))</f>
        <v>240</v>
      </c>
      <c r="P30" s="3">
        <f t="shared" si="2"/>
        <v>20</v>
      </c>
      <c r="Q30" s="3">
        <f t="shared" si="2"/>
        <v>20</v>
      </c>
      <c r="R30" s="3">
        <f t="shared" si="2"/>
        <v>150</v>
      </c>
      <c r="S30" s="3">
        <f t="shared" si="2"/>
        <v>100</v>
      </c>
      <c r="T30" s="3">
        <f t="shared" si="2"/>
        <v>100</v>
      </c>
      <c r="U30" s="3">
        <v>1</v>
      </c>
      <c r="V30" s="3">
        <v>1</v>
      </c>
      <c r="W30" s="3">
        <v>1</v>
      </c>
    </row>
    <row r="31" spans="1:23">
      <c r="A31" s="1"/>
      <c r="B31" s="3" t="s">
        <v>345</v>
      </c>
      <c r="C31" s="3">
        <v>22</v>
      </c>
      <c r="D31" s="3">
        <v>3</v>
      </c>
      <c r="E31" s="3" cm="1">
        <f t="array" ref="E31">E$10+INDEX(E$4:E$6,MATCH(1,($B$4:$B$6=$B31)*($D$4:$D$6=$D31),0))*($C31-1)</f>
        <v>22</v>
      </c>
      <c r="F31" s="3" cm="1">
        <f t="array" ref="F31">F$10+INDEX(F$4:F$6,MATCH(1,($B$4:$B$6=$B31)*($D$4:$D$6=$D31),0))*($C31-1)</f>
        <v>22</v>
      </c>
      <c r="G31" s="3" cm="1">
        <f t="array" ref="G31">G$10+INDEX(G$4:G$6,MATCH(1,($B$4:$B$6=$B31)*($D$4:$D$6=$D31),0))*($C31-1)</f>
        <v>22</v>
      </c>
      <c r="H31" s="3" cm="1">
        <f t="array" ref="H31">H$10+INDEX(H$4:H$6,MATCH(1,($B$4:$B$6=$B31)*($D$4:$D$6=$D31),0))*($C31-1)</f>
        <v>22</v>
      </c>
      <c r="I31" s="3" cm="1">
        <f t="array" ref="I31">ROUND($I$10+(E31-1)*(属性总览!$H$4+INDEX($I$4:$I$6,MATCH(1,($B$4:$B$6=$B31)*($D$4:$D$6=$D31),0)))*系统框架!$H$16/系统框架!$H$15,0)</f>
        <v>59</v>
      </c>
      <c r="J31" s="3" cm="1">
        <f t="array" ref="J31">ROUND($J$10+(F31-1)*(属性总览!$H$5+INDEX($K$4:$K$6,MATCH(1,($B$4:$B$6=$B31)*($D$4:$D$6=$D31),0)))*系统框架!$F$16/系统框架!$F$15,0)</f>
        <v>104</v>
      </c>
      <c r="K31" s="3" cm="1">
        <f t="array" ref="K31">$K$10+(H31-1)*(属性总览!$H$7+INDEX($O$4:$O$6,MATCH(1,($B$4:$B$6=$B31)*($D$4:$D$6=$D31),0)))</f>
        <v>662</v>
      </c>
      <c r="L31" s="3" cm="1">
        <f t="array" ref="L31">$L$10+(F31-1)*(属性总览!$I$5+INDEX($L$4:$L$6,MATCH(1,($B$4:$B$6=$B31)*($D$4:$D$6=$D31),0)))</f>
        <v>562</v>
      </c>
      <c r="M31" s="3" cm="1">
        <f t="array" ref="M31">ROUND(MIN($M$10+(G31-1)*(属性总览!$H$6+INDEX($M$4:$M$6,MATCH(1,($B$4:$B$6=$B31)*($D$4:$D$6=$D31),0))),100),0)</f>
        <v>84</v>
      </c>
      <c r="N31" s="3" cm="1">
        <f t="array" ref="N31">ROUND(MIN($N$10+(G31-1)*(属性总览!$I$6+INDEX($N$4:$N$6,MATCH(1,($B$4:$B$6=$B31)*($D$4:$D$6=$D31),0))),30),0)</f>
        <v>14</v>
      </c>
      <c r="O31" s="3" cm="1">
        <f t="array" ref="O31">$O$10+(H31-1)*(属性总览!$H$5+INDEX($O$4:$O$7,MATCH(1,($B$4:$B$6=$B31)*($D$4:$D$6=$D31),0)))</f>
        <v>252</v>
      </c>
      <c r="P31" s="3">
        <f t="shared" si="2"/>
        <v>20</v>
      </c>
      <c r="Q31" s="3">
        <f t="shared" si="2"/>
        <v>20</v>
      </c>
      <c r="R31" s="3">
        <f t="shared" si="2"/>
        <v>150</v>
      </c>
      <c r="S31" s="3">
        <f t="shared" si="2"/>
        <v>100</v>
      </c>
      <c r="T31" s="3">
        <f t="shared" si="2"/>
        <v>100</v>
      </c>
      <c r="U31" s="3">
        <v>1</v>
      </c>
      <c r="V31" s="3">
        <v>1</v>
      </c>
      <c r="W31" s="3">
        <v>1</v>
      </c>
    </row>
    <row r="32" spans="1:23">
      <c r="A32" s="1"/>
      <c r="B32" s="3" t="s">
        <v>345</v>
      </c>
      <c r="C32" s="3">
        <v>23</v>
      </c>
      <c r="D32" s="3">
        <v>3</v>
      </c>
      <c r="E32" s="3" cm="1">
        <f t="array" ref="E32">E$10+INDEX(E$4:E$6,MATCH(1,($B$4:$B$6=$B32)*($D$4:$D$6=$D32),0))*($C32-1)</f>
        <v>23</v>
      </c>
      <c r="F32" s="3" cm="1">
        <f t="array" ref="F32">F$10+INDEX(F$4:F$6,MATCH(1,($B$4:$B$6=$B32)*($D$4:$D$6=$D32),0))*($C32-1)</f>
        <v>23</v>
      </c>
      <c r="G32" s="3" cm="1">
        <f t="array" ref="G32">G$10+INDEX(G$4:G$6,MATCH(1,($B$4:$B$6=$B32)*($D$4:$D$6=$D32),0))*($C32-1)</f>
        <v>23</v>
      </c>
      <c r="H32" s="3" cm="1">
        <f t="array" ref="H32">H$10+INDEX(H$4:H$6,MATCH(1,($B$4:$B$6=$B32)*($D$4:$D$6=$D32),0))*($C32-1)</f>
        <v>23</v>
      </c>
      <c r="I32" s="3" cm="1">
        <f t="array" ref="I32">ROUND($I$10+(E32-1)*(属性总览!$H$4+INDEX($I$4:$I$6,MATCH(1,($B$4:$B$6=$B32)*($D$4:$D$6=$D32),0)))*系统框架!$H$16/系统框架!$H$15,0)</f>
        <v>61</v>
      </c>
      <c r="J32" s="3" cm="1">
        <f t="array" ref="J32">ROUND($J$10+(F32-1)*(属性总览!$H$5+INDEX($K$4:$K$6,MATCH(1,($B$4:$B$6=$B32)*($D$4:$D$6=$D32),0)))*系统框架!$F$16/系统框架!$F$15,0)</f>
        <v>108</v>
      </c>
      <c r="K32" s="3" cm="1">
        <f t="array" ref="K32">$K$10+(H32-1)*(属性总览!$H$7+INDEX($O$4:$O$6,MATCH(1,($B$4:$B$6=$B32)*($D$4:$D$6=$D32),0)))</f>
        <v>684</v>
      </c>
      <c r="L32" s="3" cm="1">
        <f t="array" ref="L32">$L$10+(F32-1)*(属性总览!$I$5+INDEX($L$4:$L$6,MATCH(1,($B$4:$B$6=$B32)*($D$4:$D$6=$D32),0)))</f>
        <v>584</v>
      </c>
      <c r="M32" s="3" cm="1">
        <f t="array" ref="M32">ROUND(MIN($M$10+(G32-1)*(属性总览!$H$6+INDEX($M$4:$M$6,MATCH(1,($B$4:$B$6=$B32)*($D$4:$D$6=$D32),0))),100),0)</f>
        <v>84</v>
      </c>
      <c r="N32" s="3" cm="1">
        <f t="array" ref="N32">ROUND(MIN($N$10+(G32-1)*(属性总览!$I$6+INDEX($N$4:$N$6,MATCH(1,($B$4:$B$6=$B32)*($D$4:$D$6=$D32),0))),30),0)</f>
        <v>14</v>
      </c>
      <c r="O32" s="3" cm="1">
        <f t="array" ref="O32">$O$10+(H32-1)*(属性总览!$H$5+INDEX($O$4:$O$7,MATCH(1,($B$4:$B$6=$B32)*($D$4:$D$6=$D32),0)))</f>
        <v>264</v>
      </c>
      <c r="P32" s="3">
        <f t="shared" si="2"/>
        <v>20</v>
      </c>
      <c r="Q32" s="3">
        <f t="shared" si="2"/>
        <v>20</v>
      </c>
      <c r="R32" s="3">
        <f t="shared" si="2"/>
        <v>150</v>
      </c>
      <c r="S32" s="3">
        <f t="shared" si="2"/>
        <v>100</v>
      </c>
      <c r="T32" s="3">
        <f t="shared" si="2"/>
        <v>100</v>
      </c>
      <c r="U32" s="3">
        <v>1</v>
      </c>
      <c r="V32" s="3">
        <v>1</v>
      </c>
      <c r="W32" s="3">
        <v>1</v>
      </c>
    </row>
    <row r="33" spans="1:23">
      <c r="A33" s="1"/>
      <c r="B33" s="3" t="s">
        <v>345</v>
      </c>
      <c r="C33" s="3">
        <v>24</v>
      </c>
      <c r="D33" s="3">
        <v>3</v>
      </c>
      <c r="E33" s="3" cm="1">
        <f t="array" ref="E33">E$10+INDEX(E$4:E$6,MATCH(1,($B$4:$B$6=$B33)*($D$4:$D$6=$D33),0))*($C33-1)</f>
        <v>24</v>
      </c>
      <c r="F33" s="3" cm="1">
        <f t="array" ref="F33">F$10+INDEX(F$4:F$6,MATCH(1,($B$4:$B$6=$B33)*($D$4:$D$6=$D33),0))*($C33-1)</f>
        <v>24</v>
      </c>
      <c r="G33" s="3" cm="1">
        <f t="array" ref="G33">G$10+INDEX(G$4:G$6,MATCH(1,($B$4:$B$6=$B33)*($D$4:$D$6=$D33),0))*($C33-1)</f>
        <v>24</v>
      </c>
      <c r="H33" s="3" cm="1">
        <f t="array" ref="H33">H$10+INDEX(H$4:H$6,MATCH(1,($B$4:$B$6=$B33)*($D$4:$D$6=$D33),0))*($C33-1)</f>
        <v>24</v>
      </c>
      <c r="I33" s="3" cm="1">
        <f t="array" ref="I33">ROUND($I$10+(E33-1)*(属性总览!$H$4+INDEX($I$4:$I$6,MATCH(1,($B$4:$B$6=$B33)*($D$4:$D$6=$D33),0)))*系统框架!$H$16/系统框架!$H$15,0)</f>
        <v>64</v>
      </c>
      <c r="J33" s="3" cm="1">
        <f t="array" ref="J33">ROUND($J$10+(F33-1)*(属性总览!$H$5+INDEX($K$4:$K$6,MATCH(1,($B$4:$B$6=$B33)*($D$4:$D$6=$D33),0)))*系统框架!$F$16/系统框架!$F$15,0)</f>
        <v>112</v>
      </c>
      <c r="K33" s="3" cm="1">
        <f t="array" ref="K33">$K$10+(H33-1)*(属性总览!$H$7+INDEX($O$4:$O$6,MATCH(1,($B$4:$B$6=$B33)*($D$4:$D$6=$D33),0)))</f>
        <v>706</v>
      </c>
      <c r="L33" s="3" cm="1">
        <f t="array" ref="L33">$L$10+(F33-1)*(属性总览!$I$5+INDEX($L$4:$L$6,MATCH(1,($B$4:$B$6=$B33)*($D$4:$D$6=$D33),0)))</f>
        <v>606</v>
      </c>
      <c r="M33" s="3" cm="1">
        <f t="array" ref="M33">ROUND(MIN($M$10+(G33-1)*(属性总览!$H$6+INDEX($M$4:$M$6,MATCH(1,($B$4:$B$6=$B33)*($D$4:$D$6=$D33),0))),100),0)</f>
        <v>85</v>
      </c>
      <c r="N33" s="3" cm="1">
        <f t="array" ref="N33">ROUND(MIN($N$10+(G33-1)*(属性总览!$I$6+INDEX($N$4:$N$6,MATCH(1,($B$4:$B$6=$B33)*($D$4:$D$6=$D33),0))),30),0)</f>
        <v>15</v>
      </c>
      <c r="O33" s="3" cm="1">
        <f t="array" ref="O33">$O$10+(H33-1)*(属性总览!$H$5+INDEX($O$4:$O$7,MATCH(1,($B$4:$B$6=$B33)*($D$4:$D$6=$D33),0)))</f>
        <v>276</v>
      </c>
      <c r="P33" s="3">
        <f t="shared" si="2"/>
        <v>20</v>
      </c>
      <c r="Q33" s="3">
        <f t="shared" si="2"/>
        <v>20</v>
      </c>
      <c r="R33" s="3">
        <f t="shared" si="2"/>
        <v>150</v>
      </c>
      <c r="S33" s="3">
        <f t="shared" si="2"/>
        <v>100</v>
      </c>
      <c r="T33" s="3">
        <f t="shared" si="2"/>
        <v>100</v>
      </c>
      <c r="U33" s="3">
        <v>1</v>
      </c>
      <c r="V33" s="3">
        <v>1</v>
      </c>
      <c r="W33" s="3">
        <v>1</v>
      </c>
    </row>
    <row r="34" spans="1:23">
      <c r="A34" s="1"/>
      <c r="B34" s="3" t="s">
        <v>345</v>
      </c>
      <c r="C34" s="3">
        <v>25</v>
      </c>
      <c r="D34" s="3">
        <v>3</v>
      </c>
      <c r="E34" s="3" cm="1">
        <f t="array" ref="E34">E$10+INDEX(E$4:E$6,MATCH(1,($B$4:$B$6=$B34)*($D$4:$D$6=$D34),0))*($C34-1)</f>
        <v>25</v>
      </c>
      <c r="F34" s="3" cm="1">
        <f t="array" ref="F34">F$10+INDEX(F$4:F$6,MATCH(1,($B$4:$B$6=$B34)*($D$4:$D$6=$D34),0))*($C34-1)</f>
        <v>25</v>
      </c>
      <c r="G34" s="3" cm="1">
        <f t="array" ref="G34">G$10+INDEX(G$4:G$6,MATCH(1,($B$4:$B$6=$B34)*($D$4:$D$6=$D34),0))*($C34-1)</f>
        <v>25</v>
      </c>
      <c r="H34" s="3" cm="1">
        <f t="array" ref="H34">H$10+INDEX(H$4:H$6,MATCH(1,($B$4:$B$6=$B34)*($D$4:$D$6=$D34),0))*($C34-1)</f>
        <v>25</v>
      </c>
      <c r="I34" s="3" cm="1">
        <f t="array" ref="I34">ROUND($I$10+(E34-1)*(属性总览!$H$4+INDEX($I$4:$I$6,MATCH(1,($B$4:$B$6=$B34)*($D$4:$D$6=$D34),0)))*系统框架!$H$16/系统框架!$H$15,0)</f>
        <v>66</v>
      </c>
      <c r="J34" s="3" cm="1">
        <f t="array" ref="J34">ROUND($J$10+(F34-1)*(属性总览!$H$5+INDEX($K$4:$K$6,MATCH(1,($B$4:$B$6=$B34)*($D$4:$D$6=$D34),0)))*系统框架!$F$16/系统框架!$F$15,0)</f>
        <v>116</v>
      </c>
      <c r="K34" s="3" cm="1">
        <f t="array" ref="K34">$K$10+(H34-1)*(属性总览!$H$7+INDEX($O$4:$O$6,MATCH(1,($B$4:$B$6=$B34)*($D$4:$D$6=$D34),0)))</f>
        <v>728</v>
      </c>
      <c r="L34" s="3" cm="1">
        <f t="array" ref="L34">$L$10+(F34-1)*(属性总览!$I$5+INDEX($L$4:$L$6,MATCH(1,($B$4:$B$6=$B34)*($D$4:$D$6=$D34),0)))</f>
        <v>628</v>
      </c>
      <c r="M34" s="3" cm="1">
        <f t="array" ref="M34">ROUND(MIN($M$10+(G34-1)*(属性总览!$H$6+INDEX($M$4:$M$6,MATCH(1,($B$4:$B$6=$B34)*($D$4:$D$6=$D34),0))),100),0)</f>
        <v>85</v>
      </c>
      <c r="N34" s="3" cm="1">
        <f t="array" ref="N34">ROUND(MIN($N$10+(G34-1)*(属性总览!$I$6+INDEX($N$4:$N$6,MATCH(1,($B$4:$B$6=$B34)*($D$4:$D$6=$D34),0))),30),0)</f>
        <v>15</v>
      </c>
      <c r="O34" s="3" cm="1">
        <f t="array" ref="O34">$O$10+(H34-1)*(属性总览!$H$5+INDEX($O$4:$O$7,MATCH(1,($B$4:$B$6=$B34)*($D$4:$D$6=$D34),0)))</f>
        <v>288</v>
      </c>
      <c r="P34" s="3">
        <f t="shared" si="2"/>
        <v>20</v>
      </c>
      <c r="Q34" s="3">
        <f t="shared" si="2"/>
        <v>20</v>
      </c>
      <c r="R34" s="3">
        <f t="shared" si="2"/>
        <v>150</v>
      </c>
      <c r="S34" s="3">
        <f t="shared" si="2"/>
        <v>100</v>
      </c>
      <c r="T34" s="3">
        <f t="shared" si="2"/>
        <v>100</v>
      </c>
      <c r="U34" s="3">
        <v>1</v>
      </c>
      <c r="V34" s="3">
        <v>1</v>
      </c>
      <c r="W34" s="3">
        <v>1</v>
      </c>
    </row>
    <row r="35" spans="1:23">
      <c r="A35" s="1"/>
      <c r="B35" s="3" t="s">
        <v>345</v>
      </c>
      <c r="C35" s="3">
        <v>26</v>
      </c>
      <c r="D35" s="3">
        <v>3</v>
      </c>
      <c r="E35" s="3" cm="1">
        <f t="array" ref="E35">E$10+INDEX(E$4:E$6,MATCH(1,($B$4:$B$6=$B35)*($D$4:$D$6=$D35),0))*($C35-1)</f>
        <v>26</v>
      </c>
      <c r="F35" s="3" cm="1">
        <f t="array" ref="F35">F$10+INDEX(F$4:F$6,MATCH(1,($B$4:$B$6=$B35)*($D$4:$D$6=$D35),0))*($C35-1)</f>
        <v>26</v>
      </c>
      <c r="G35" s="3" cm="1">
        <f t="array" ref="G35">G$10+INDEX(G$4:G$6,MATCH(1,($B$4:$B$6=$B35)*($D$4:$D$6=$D35),0))*($C35-1)</f>
        <v>26</v>
      </c>
      <c r="H35" s="3" cm="1">
        <f t="array" ref="H35">H$10+INDEX(H$4:H$6,MATCH(1,($B$4:$B$6=$B35)*($D$4:$D$6=$D35),0))*($C35-1)</f>
        <v>26</v>
      </c>
      <c r="I35" s="3" cm="1">
        <f t="array" ref="I35">ROUND($I$10+(E35-1)*(属性总览!$H$4+INDEX($I$4:$I$6,MATCH(1,($B$4:$B$6=$B35)*($D$4:$D$6=$D35),0)))*系统框架!$H$16/系统框架!$H$15,0)</f>
        <v>68</v>
      </c>
      <c r="J35" s="3" cm="1">
        <f t="array" ref="J35">ROUND($J$10+(F35-1)*(属性总览!$H$5+INDEX($K$4:$K$6,MATCH(1,($B$4:$B$6=$B35)*($D$4:$D$6=$D35),0)))*系统框架!$F$16/系统框架!$F$15,0)</f>
        <v>120</v>
      </c>
      <c r="K35" s="3" cm="1">
        <f t="array" ref="K35">$K$10+(H35-1)*(属性总览!$H$7+INDEX($O$4:$O$6,MATCH(1,($B$4:$B$6=$B35)*($D$4:$D$6=$D35),0)))</f>
        <v>750</v>
      </c>
      <c r="L35" s="3" cm="1">
        <f t="array" ref="L35">$L$10+(F35-1)*(属性总览!$I$5+INDEX($L$4:$L$6,MATCH(1,($B$4:$B$6=$B35)*($D$4:$D$6=$D35),0)))</f>
        <v>650</v>
      </c>
      <c r="M35" s="3" cm="1">
        <f t="array" ref="M35">ROUND(MIN($M$10+(G35-1)*(属性总览!$H$6+INDEX($M$4:$M$6,MATCH(1,($B$4:$B$6=$B35)*($D$4:$D$6=$D35),0))),100),0)</f>
        <v>85</v>
      </c>
      <c r="N35" s="3" cm="1">
        <f t="array" ref="N35">ROUND(MIN($N$10+(G35-1)*(属性总览!$I$6+INDEX($N$4:$N$6,MATCH(1,($B$4:$B$6=$B35)*($D$4:$D$6=$D35),0))),30),0)</f>
        <v>15</v>
      </c>
      <c r="O35" s="3" cm="1">
        <f t="array" ref="O35">$O$10+(H35-1)*(属性总览!$H$5+INDEX($O$4:$O$7,MATCH(1,($B$4:$B$6=$B35)*($D$4:$D$6=$D35),0)))</f>
        <v>300</v>
      </c>
      <c r="P35" s="3">
        <f t="shared" si="2"/>
        <v>20</v>
      </c>
      <c r="Q35" s="3">
        <f t="shared" si="2"/>
        <v>20</v>
      </c>
      <c r="R35" s="3">
        <f t="shared" si="2"/>
        <v>150</v>
      </c>
      <c r="S35" s="3">
        <f t="shared" si="2"/>
        <v>100</v>
      </c>
      <c r="T35" s="3">
        <f t="shared" si="2"/>
        <v>100</v>
      </c>
      <c r="U35" s="3">
        <v>1</v>
      </c>
      <c r="V35" s="3">
        <v>1</v>
      </c>
      <c r="W35" s="3">
        <v>1</v>
      </c>
    </row>
    <row r="36" spans="1:23">
      <c r="A36" s="1"/>
      <c r="B36" s="3" t="s">
        <v>345</v>
      </c>
      <c r="C36" s="3">
        <v>27</v>
      </c>
      <c r="D36" s="3">
        <v>3</v>
      </c>
      <c r="E36" s="3" cm="1">
        <f t="array" ref="E36">E$10+INDEX(E$4:E$6,MATCH(1,($B$4:$B$6=$B36)*($D$4:$D$6=$D36),0))*($C36-1)</f>
        <v>27</v>
      </c>
      <c r="F36" s="3" cm="1">
        <f t="array" ref="F36">F$10+INDEX(F$4:F$6,MATCH(1,($B$4:$B$6=$B36)*($D$4:$D$6=$D36),0))*($C36-1)</f>
        <v>27</v>
      </c>
      <c r="G36" s="3" cm="1">
        <f t="array" ref="G36">G$10+INDEX(G$4:G$6,MATCH(1,($B$4:$B$6=$B36)*($D$4:$D$6=$D36),0))*($C36-1)</f>
        <v>27</v>
      </c>
      <c r="H36" s="3" cm="1">
        <f t="array" ref="H36">H$10+INDEX(H$4:H$6,MATCH(1,($B$4:$B$6=$B36)*($D$4:$D$6=$D36),0))*($C36-1)</f>
        <v>27</v>
      </c>
      <c r="I36" s="3" cm="1">
        <f t="array" ref="I36">ROUND($I$10+(E36-1)*(属性总览!$H$4+INDEX($I$4:$I$6,MATCH(1,($B$4:$B$6=$B36)*($D$4:$D$6=$D36),0)))*系统框架!$H$16/系统框架!$H$15,0)</f>
        <v>71</v>
      </c>
      <c r="J36" s="3" cm="1">
        <f t="array" ref="J36">ROUND($J$10+(F36-1)*(属性总览!$H$5+INDEX($K$4:$K$6,MATCH(1,($B$4:$B$6=$B36)*($D$4:$D$6=$D36),0)))*系统框架!$F$16/系统框架!$F$15,0)</f>
        <v>124</v>
      </c>
      <c r="K36" s="3" cm="1">
        <f t="array" ref="K36">$K$10+(H36-1)*(属性总览!$H$7+INDEX($O$4:$O$6,MATCH(1,($B$4:$B$6=$B36)*($D$4:$D$6=$D36),0)))</f>
        <v>772</v>
      </c>
      <c r="L36" s="3" cm="1">
        <f t="array" ref="L36">$L$10+(F36-1)*(属性总览!$I$5+INDEX($L$4:$L$6,MATCH(1,($B$4:$B$6=$B36)*($D$4:$D$6=$D36),0)))</f>
        <v>672</v>
      </c>
      <c r="M36" s="3" cm="1">
        <f t="array" ref="M36">ROUND(MIN($M$10+(G36-1)*(属性总览!$H$6+INDEX($M$4:$M$6,MATCH(1,($B$4:$B$6=$B36)*($D$4:$D$6=$D36),0))),100),0)</f>
        <v>85</v>
      </c>
      <c r="N36" s="3" cm="1">
        <f t="array" ref="N36">ROUND(MIN($N$10+(G36-1)*(属性总览!$I$6+INDEX($N$4:$N$6,MATCH(1,($B$4:$B$6=$B36)*($D$4:$D$6=$D36),0))),30),0)</f>
        <v>15</v>
      </c>
      <c r="O36" s="3" cm="1">
        <f t="array" ref="O36">$O$10+(H36-1)*(属性总览!$H$5+INDEX($O$4:$O$7,MATCH(1,($B$4:$B$6=$B36)*($D$4:$D$6=$D36),0)))</f>
        <v>312</v>
      </c>
      <c r="P36" s="3">
        <f t="shared" si="2"/>
        <v>20</v>
      </c>
      <c r="Q36" s="3">
        <f t="shared" si="2"/>
        <v>20</v>
      </c>
      <c r="R36" s="3">
        <f t="shared" si="2"/>
        <v>150</v>
      </c>
      <c r="S36" s="3">
        <f t="shared" si="2"/>
        <v>100</v>
      </c>
      <c r="T36" s="3">
        <f t="shared" si="2"/>
        <v>100</v>
      </c>
      <c r="U36" s="3">
        <v>1</v>
      </c>
      <c r="V36" s="3">
        <v>1</v>
      </c>
      <c r="W36" s="3">
        <v>1</v>
      </c>
    </row>
    <row r="37" spans="1:23">
      <c r="A37" s="1"/>
      <c r="B37" s="3" t="s">
        <v>345</v>
      </c>
      <c r="C37" s="3">
        <v>28</v>
      </c>
      <c r="D37" s="3">
        <v>3</v>
      </c>
      <c r="E37" s="3" cm="1">
        <f t="array" ref="E37">E$10+INDEX(E$4:E$6,MATCH(1,($B$4:$B$6=$B37)*($D$4:$D$6=$D37),0))*($C37-1)</f>
        <v>28</v>
      </c>
      <c r="F37" s="3" cm="1">
        <f t="array" ref="F37">F$10+INDEX(F$4:F$6,MATCH(1,($B$4:$B$6=$B37)*($D$4:$D$6=$D37),0))*($C37-1)</f>
        <v>28</v>
      </c>
      <c r="G37" s="3" cm="1">
        <f t="array" ref="G37">G$10+INDEX(G$4:G$6,MATCH(1,($B$4:$B$6=$B37)*($D$4:$D$6=$D37),0))*($C37-1)</f>
        <v>28</v>
      </c>
      <c r="H37" s="3" cm="1">
        <f t="array" ref="H37">H$10+INDEX(H$4:H$6,MATCH(1,($B$4:$B$6=$B37)*($D$4:$D$6=$D37),0))*($C37-1)</f>
        <v>28</v>
      </c>
      <c r="I37" s="3" cm="1">
        <f t="array" ref="I37">ROUND($I$10+(E37-1)*(属性总览!$H$4+INDEX($I$4:$I$6,MATCH(1,($B$4:$B$6=$B37)*($D$4:$D$6=$D37),0)))*系统框架!$H$16/系统框架!$H$15,0)</f>
        <v>73</v>
      </c>
      <c r="J37" s="3" cm="1">
        <f t="array" ref="J37">ROUND($J$10+(F37-1)*(属性总览!$H$5+INDEX($K$4:$K$6,MATCH(1,($B$4:$B$6=$B37)*($D$4:$D$6=$D37),0)))*系统框架!$F$16/系统框架!$F$15,0)</f>
        <v>128</v>
      </c>
      <c r="K37" s="3" cm="1">
        <f t="array" ref="K37">$K$10+(H37-1)*(属性总览!$H$7+INDEX($O$4:$O$6,MATCH(1,($B$4:$B$6=$B37)*($D$4:$D$6=$D37),0)))</f>
        <v>794</v>
      </c>
      <c r="L37" s="3" cm="1">
        <f t="array" ref="L37">$L$10+(F37-1)*(属性总览!$I$5+INDEX($L$4:$L$6,MATCH(1,($B$4:$B$6=$B37)*($D$4:$D$6=$D37),0)))</f>
        <v>694</v>
      </c>
      <c r="M37" s="3" cm="1">
        <f t="array" ref="M37">ROUND(MIN($M$10+(G37-1)*(属性总览!$H$6+INDEX($M$4:$M$6,MATCH(1,($B$4:$B$6=$B37)*($D$4:$D$6=$D37),0))),100),0)</f>
        <v>85</v>
      </c>
      <c r="N37" s="3" cm="1">
        <f t="array" ref="N37">ROUND(MIN($N$10+(G37-1)*(属性总览!$I$6+INDEX($N$4:$N$6,MATCH(1,($B$4:$B$6=$B37)*($D$4:$D$6=$D37),0))),30),0)</f>
        <v>15</v>
      </c>
      <c r="O37" s="3" cm="1">
        <f t="array" ref="O37">$O$10+(H37-1)*(属性总览!$H$5+INDEX($O$4:$O$7,MATCH(1,($B$4:$B$6=$B37)*($D$4:$D$6=$D37),0)))</f>
        <v>324</v>
      </c>
      <c r="P37" s="3">
        <f t="shared" si="2"/>
        <v>20</v>
      </c>
      <c r="Q37" s="3">
        <f t="shared" si="2"/>
        <v>20</v>
      </c>
      <c r="R37" s="3">
        <f t="shared" si="2"/>
        <v>150</v>
      </c>
      <c r="S37" s="3">
        <f t="shared" si="2"/>
        <v>100</v>
      </c>
      <c r="T37" s="3">
        <f t="shared" si="2"/>
        <v>100</v>
      </c>
      <c r="U37" s="3">
        <v>1</v>
      </c>
      <c r="V37" s="3">
        <v>1</v>
      </c>
      <c r="W37" s="3">
        <v>1</v>
      </c>
    </row>
    <row r="38" spans="1:23">
      <c r="A38" s="1"/>
      <c r="B38" s="3" t="s">
        <v>345</v>
      </c>
      <c r="C38" s="3">
        <v>29</v>
      </c>
      <c r="D38" s="3">
        <v>3</v>
      </c>
      <c r="E38" s="3" cm="1">
        <f t="array" ref="E38">E$10+INDEX(E$4:E$6,MATCH(1,($B$4:$B$6=$B38)*($D$4:$D$6=$D38),0))*($C38-1)</f>
        <v>29</v>
      </c>
      <c r="F38" s="3" cm="1">
        <f t="array" ref="F38">F$10+INDEX(F$4:F$6,MATCH(1,($B$4:$B$6=$B38)*($D$4:$D$6=$D38),0))*($C38-1)</f>
        <v>29</v>
      </c>
      <c r="G38" s="3" cm="1">
        <f t="array" ref="G38">G$10+INDEX(G$4:G$6,MATCH(1,($B$4:$B$6=$B38)*($D$4:$D$6=$D38),0))*($C38-1)</f>
        <v>29</v>
      </c>
      <c r="H38" s="3" cm="1">
        <f t="array" ref="H38">H$10+INDEX(H$4:H$6,MATCH(1,($B$4:$B$6=$B38)*($D$4:$D$6=$D38),0))*($C38-1)</f>
        <v>29</v>
      </c>
      <c r="I38" s="3" cm="1">
        <f t="array" ref="I38">ROUND($I$10+(E38-1)*(属性总览!$H$4+INDEX($I$4:$I$6,MATCH(1,($B$4:$B$6=$B38)*($D$4:$D$6=$D38),0)))*系统框架!$H$16/系统框架!$H$15,0)</f>
        <v>75</v>
      </c>
      <c r="J38" s="3" cm="1">
        <f t="array" ref="J38">ROUND($J$10+(F38-1)*(属性总览!$H$5+INDEX($K$4:$K$6,MATCH(1,($B$4:$B$6=$B38)*($D$4:$D$6=$D38),0)))*系统框架!$F$16/系统框架!$F$15,0)</f>
        <v>132</v>
      </c>
      <c r="K38" s="3" cm="1">
        <f t="array" ref="K38">$K$10+(H38-1)*(属性总览!$H$7+INDEX($O$4:$O$6,MATCH(1,($B$4:$B$6=$B38)*($D$4:$D$6=$D38),0)))</f>
        <v>816</v>
      </c>
      <c r="L38" s="3" cm="1">
        <f t="array" ref="L38">$L$10+(F38-1)*(属性总览!$I$5+INDEX($L$4:$L$6,MATCH(1,($B$4:$B$6=$B38)*($D$4:$D$6=$D38),0)))</f>
        <v>716</v>
      </c>
      <c r="M38" s="3" cm="1">
        <f t="array" ref="M38">ROUND(MIN($M$10+(G38-1)*(属性总览!$H$6+INDEX($M$4:$M$6,MATCH(1,($B$4:$B$6=$B38)*($D$4:$D$6=$D38),0))),100),0)</f>
        <v>86</v>
      </c>
      <c r="N38" s="3" cm="1">
        <f t="array" ref="N38">ROUND(MIN($N$10+(G38-1)*(属性总览!$I$6+INDEX($N$4:$N$6,MATCH(1,($B$4:$B$6=$B38)*($D$4:$D$6=$D38),0))),30),0)</f>
        <v>16</v>
      </c>
      <c r="O38" s="3" cm="1">
        <f t="array" ref="O38">$O$10+(H38-1)*(属性总览!$H$5+INDEX($O$4:$O$7,MATCH(1,($B$4:$B$6=$B38)*($D$4:$D$6=$D38),0)))</f>
        <v>336</v>
      </c>
      <c r="P38" s="3">
        <f t="shared" si="2"/>
        <v>20</v>
      </c>
      <c r="Q38" s="3">
        <f t="shared" si="2"/>
        <v>20</v>
      </c>
      <c r="R38" s="3">
        <f t="shared" si="2"/>
        <v>150</v>
      </c>
      <c r="S38" s="3">
        <f t="shared" si="2"/>
        <v>100</v>
      </c>
      <c r="T38" s="3">
        <f t="shared" si="2"/>
        <v>100</v>
      </c>
      <c r="U38" s="3">
        <v>1</v>
      </c>
      <c r="V38" s="3">
        <v>1</v>
      </c>
      <c r="W38" s="3">
        <v>1</v>
      </c>
    </row>
    <row r="39" spans="1:23">
      <c r="A39" s="1"/>
      <c r="B39" s="3" t="s">
        <v>345</v>
      </c>
      <c r="C39" s="3">
        <v>30</v>
      </c>
      <c r="D39" s="3">
        <v>3</v>
      </c>
      <c r="E39" s="3" cm="1">
        <f t="array" ref="E39">E$10+INDEX(E$4:E$6,MATCH(1,($B$4:$B$6=$B39)*($D$4:$D$6=$D39),0))*($C39-1)</f>
        <v>30</v>
      </c>
      <c r="F39" s="3" cm="1">
        <f t="array" ref="F39">F$10+INDEX(F$4:F$6,MATCH(1,($B$4:$B$6=$B39)*($D$4:$D$6=$D39),0))*($C39-1)</f>
        <v>30</v>
      </c>
      <c r="G39" s="3" cm="1">
        <f t="array" ref="G39">G$10+INDEX(G$4:G$6,MATCH(1,($B$4:$B$6=$B39)*($D$4:$D$6=$D39),0))*($C39-1)</f>
        <v>30</v>
      </c>
      <c r="H39" s="3" cm="1">
        <f t="array" ref="H39">H$10+INDEX(H$4:H$6,MATCH(1,($B$4:$B$6=$B39)*($D$4:$D$6=$D39),0))*($C39-1)</f>
        <v>30</v>
      </c>
      <c r="I39" s="3" cm="1">
        <f t="array" ref="I39">ROUND($I$10+(E39-1)*(属性总览!$H$4+INDEX($I$4:$I$6,MATCH(1,($B$4:$B$6=$B39)*($D$4:$D$6=$D39),0)))*系统框架!$H$16/系统框架!$H$15,0)</f>
        <v>78</v>
      </c>
      <c r="J39" s="3" cm="1">
        <f t="array" ref="J39">ROUND($J$10+(F39-1)*(属性总览!$H$5+INDEX($K$4:$K$6,MATCH(1,($B$4:$B$6=$B39)*($D$4:$D$6=$D39),0)))*系统框架!$F$16/系统框架!$F$15,0)</f>
        <v>136</v>
      </c>
      <c r="K39" s="3" cm="1">
        <f t="array" ref="K39">$K$10+(H39-1)*(属性总览!$H$7+INDEX($O$4:$O$6,MATCH(1,($B$4:$B$6=$B39)*($D$4:$D$6=$D39),0)))</f>
        <v>838</v>
      </c>
      <c r="L39" s="3" cm="1">
        <f t="array" ref="L39">$L$10+(F39-1)*(属性总览!$I$5+INDEX($L$4:$L$6,MATCH(1,($B$4:$B$6=$B39)*($D$4:$D$6=$D39),0)))</f>
        <v>738</v>
      </c>
      <c r="M39" s="3" cm="1">
        <f t="array" ref="M39">ROUND(MIN($M$10+(G39-1)*(属性总览!$H$6+INDEX($M$4:$M$6,MATCH(1,($B$4:$B$6=$B39)*($D$4:$D$6=$D39),0))),100),0)</f>
        <v>86</v>
      </c>
      <c r="N39" s="3" cm="1">
        <f t="array" ref="N39">ROUND(MIN($N$10+(G39-1)*(属性总览!$I$6+INDEX($N$4:$N$6,MATCH(1,($B$4:$B$6=$B39)*($D$4:$D$6=$D39),0))),30),0)</f>
        <v>16</v>
      </c>
      <c r="O39" s="3" cm="1">
        <f t="array" ref="O39">$O$10+(H39-1)*(属性总览!$H$5+INDEX($O$4:$O$7,MATCH(1,($B$4:$B$6=$B39)*($D$4:$D$6=$D39),0)))</f>
        <v>348</v>
      </c>
      <c r="P39" s="3">
        <f t="shared" si="2"/>
        <v>20</v>
      </c>
      <c r="Q39" s="3">
        <f t="shared" si="2"/>
        <v>20</v>
      </c>
      <c r="R39" s="3">
        <f t="shared" si="2"/>
        <v>150</v>
      </c>
      <c r="S39" s="3">
        <f t="shared" si="2"/>
        <v>100</v>
      </c>
      <c r="T39" s="3">
        <f t="shared" si="2"/>
        <v>100</v>
      </c>
      <c r="U39" s="3">
        <v>1</v>
      </c>
      <c r="V39" s="3">
        <v>1</v>
      </c>
      <c r="W39" s="3">
        <v>1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9BA6E-F376-4AAC-A4FC-632A576CE3CA}">
  <sheetPr codeName="Sheet19"/>
  <dimension ref="B2:W58"/>
  <sheetViews>
    <sheetView workbookViewId="0">
      <selection activeCell="J13" sqref="J13"/>
    </sheetView>
  </sheetViews>
  <sheetFormatPr defaultColWidth="13.77734375" defaultRowHeight="15.6"/>
  <cols>
    <col min="1" max="16384" width="13.77734375" style="1"/>
  </cols>
  <sheetData>
    <row r="2" spans="2:13" ht="16.2">
      <c r="B2" s="2" t="s">
        <v>484</v>
      </c>
    </row>
    <row r="3" spans="2:13" ht="16.2">
      <c r="B3" s="35" t="s">
        <v>471</v>
      </c>
      <c r="C3" s="35" t="s">
        <v>473</v>
      </c>
      <c r="D3" s="35" t="s">
        <v>474</v>
      </c>
      <c r="E3" s="35" t="s">
        <v>499</v>
      </c>
      <c r="F3" s="35" t="s">
        <v>475</v>
      </c>
      <c r="G3" s="35" t="s">
        <v>476</v>
      </c>
      <c r="H3" s="35" t="s">
        <v>477</v>
      </c>
      <c r="I3" s="35" t="s">
        <v>478</v>
      </c>
      <c r="J3" s="35" t="s">
        <v>479</v>
      </c>
      <c r="K3" s="35" t="s">
        <v>480</v>
      </c>
      <c r="L3" s="35" t="s">
        <v>481</v>
      </c>
      <c r="M3" s="35" t="s">
        <v>510</v>
      </c>
    </row>
    <row r="4" spans="2:13">
      <c r="B4" s="3" t="s">
        <v>483</v>
      </c>
      <c r="C4" s="3">
        <v>1</v>
      </c>
      <c r="D4" s="3">
        <v>1</v>
      </c>
      <c r="E4" s="3">
        <v>1</v>
      </c>
      <c r="F4" s="3">
        <v>1</v>
      </c>
      <c r="G4" s="3">
        <v>1</v>
      </c>
      <c r="H4" s="3">
        <v>1</v>
      </c>
      <c r="I4" s="3">
        <v>1</v>
      </c>
      <c r="J4" s="3">
        <v>1</v>
      </c>
      <c r="K4" s="3">
        <v>1</v>
      </c>
      <c r="L4" s="3">
        <v>1</v>
      </c>
      <c r="M4" s="3">
        <v>1</v>
      </c>
    </row>
    <row r="5" spans="2:13">
      <c r="B5" s="3" t="s">
        <v>485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</row>
    <row r="6" spans="2:13">
      <c r="B6" s="3" t="s">
        <v>486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</row>
    <row r="7" spans="2:13">
      <c r="B7" s="3" t="s">
        <v>487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</row>
    <row r="9" spans="2:13" ht="16.2">
      <c r="B9" s="2" t="s">
        <v>489</v>
      </c>
    </row>
    <row r="10" spans="2:13" ht="16.2">
      <c r="B10" s="35" t="s">
        <v>488</v>
      </c>
      <c r="C10" s="35" t="s">
        <v>473</v>
      </c>
      <c r="D10" s="35" t="s">
        <v>474</v>
      </c>
      <c r="E10" s="35" t="s">
        <v>499</v>
      </c>
      <c r="F10" s="35" t="s">
        <v>475</v>
      </c>
      <c r="G10" s="35" t="s">
        <v>476</v>
      </c>
      <c r="H10" s="35" t="s">
        <v>477</v>
      </c>
      <c r="I10" s="35" t="s">
        <v>478</v>
      </c>
      <c r="J10" s="35" t="s">
        <v>479</v>
      </c>
      <c r="K10" s="35" t="s">
        <v>480</v>
      </c>
      <c r="L10" s="35" t="s">
        <v>481</v>
      </c>
      <c r="M10" s="35" t="s">
        <v>510</v>
      </c>
    </row>
    <row r="11" spans="2:13" ht="16.2">
      <c r="B11" s="3" t="s">
        <v>498</v>
      </c>
      <c r="C11" s="35"/>
      <c r="D11" s="35"/>
      <c r="E11" s="3"/>
      <c r="F11" s="35"/>
      <c r="G11" s="35"/>
      <c r="H11" s="35"/>
      <c r="I11" s="35"/>
      <c r="J11" s="35"/>
      <c r="K11" s="35"/>
      <c r="L11" s="35"/>
      <c r="M11" s="3"/>
    </row>
    <row r="12" spans="2:13">
      <c r="B12" s="3" t="s">
        <v>490</v>
      </c>
      <c r="C12" s="3">
        <v>1</v>
      </c>
      <c r="D12" s="3">
        <v>0</v>
      </c>
      <c r="E12" s="3">
        <v>1</v>
      </c>
      <c r="F12" s="3">
        <v>1</v>
      </c>
      <c r="G12" s="3">
        <v>1</v>
      </c>
      <c r="H12" s="3">
        <v>1</v>
      </c>
      <c r="I12" s="3">
        <v>1</v>
      </c>
      <c r="J12" s="3">
        <v>0</v>
      </c>
      <c r="K12" s="3">
        <v>1</v>
      </c>
      <c r="L12" s="3">
        <v>1</v>
      </c>
      <c r="M12" s="3">
        <v>1</v>
      </c>
    </row>
    <row r="13" spans="2:13">
      <c r="B13" s="3" t="s">
        <v>497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</row>
    <row r="14" spans="2:13">
      <c r="B14" s="3" t="s">
        <v>492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</row>
    <row r="15" spans="2:13">
      <c r="B15" s="3" t="s">
        <v>495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</row>
    <row r="16" spans="2:13">
      <c r="B16" s="3" t="s">
        <v>496</v>
      </c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</row>
    <row r="17" spans="2:23">
      <c r="B17" s="3" t="s">
        <v>494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</row>
    <row r="18" spans="2:23">
      <c r="B18" s="3" t="s">
        <v>493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</row>
    <row r="19" spans="2:23">
      <c r="B19" s="3" t="s">
        <v>491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</row>
    <row r="21" spans="2:23" ht="16.2">
      <c r="B21" s="2" t="s">
        <v>472</v>
      </c>
    </row>
    <row r="22" spans="2:23" ht="16.2">
      <c r="B22" s="35" t="s">
        <v>482</v>
      </c>
      <c r="C22" s="35" t="s">
        <v>473</v>
      </c>
      <c r="D22" s="35" t="s">
        <v>474</v>
      </c>
      <c r="E22" s="35" t="s">
        <v>499</v>
      </c>
      <c r="F22" s="35" t="s">
        <v>475</v>
      </c>
      <c r="G22" s="35" t="s">
        <v>476</v>
      </c>
      <c r="H22" s="35" t="s">
        <v>477</v>
      </c>
      <c r="I22" s="35" t="s">
        <v>478</v>
      </c>
      <c r="J22" s="35" t="s">
        <v>479</v>
      </c>
      <c r="K22" s="35" t="s">
        <v>480</v>
      </c>
      <c r="L22" s="35" t="s">
        <v>481</v>
      </c>
      <c r="M22" s="35" t="s">
        <v>510</v>
      </c>
    </row>
    <row r="23" spans="2:23">
      <c r="B23" s="3" t="s">
        <v>468</v>
      </c>
      <c r="C23" s="3">
        <v>1</v>
      </c>
      <c r="D23" s="3">
        <v>1</v>
      </c>
      <c r="E23" s="3">
        <v>1</v>
      </c>
      <c r="F23" s="3">
        <v>1</v>
      </c>
      <c r="G23" s="3">
        <v>1</v>
      </c>
      <c r="H23" s="3">
        <v>1</v>
      </c>
      <c r="I23" s="3">
        <v>1</v>
      </c>
      <c r="J23" s="3">
        <v>1</v>
      </c>
      <c r="K23" s="3">
        <v>1</v>
      </c>
      <c r="L23" s="3">
        <v>1</v>
      </c>
      <c r="M23" s="3">
        <v>1</v>
      </c>
    </row>
    <row r="24" spans="2:23"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</row>
    <row r="25" spans="2:23"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</row>
    <row r="27" spans="2:23" ht="16.2">
      <c r="B27" s="2" t="s">
        <v>469</v>
      </c>
    </row>
    <row r="28" spans="2:23" ht="16.2">
      <c r="B28" s="35" t="s">
        <v>467</v>
      </c>
      <c r="C28" s="35" t="s">
        <v>470</v>
      </c>
      <c r="D28" s="35" t="s">
        <v>471</v>
      </c>
      <c r="E28" s="35" t="s">
        <v>488</v>
      </c>
      <c r="F28" s="35" t="s">
        <v>285</v>
      </c>
      <c r="G28" s="35" t="s">
        <v>287</v>
      </c>
      <c r="H28" s="35" t="s">
        <v>309</v>
      </c>
      <c r="I28" s="35" t="s">
        <v>311</v>
      </c>
      <c r="J28" s="35" t="s">
        <v>312</v>
      </c>
      <c r="K28" s="35" t="s">
        <v>282</v>
      </c>
      <c r="L28" s="35" t="s">
        <v>452</v>
      </c>
      <c r="M28" s="35" t="s">
        <v>454</v>
      </c>
      <c r="N28" s="35" t="s">
        <v>455</v>
      </c>
      <c r="O28" s="35" t="s">
        <v>457</v>
      </c>
      <c r="P28" s="35" t="s">
        <v>459</v>
      </c>
      <c r="Q28" s="35" t="s">
        <v>461</v>
      </c>
      <c r="R28" s="35" t="s">
        <v>463</v>
      </c>
      <c r="S28" s="35" t="s">
        <v>314</v>
      </c>
      <c r="T28" s="35" t="s">
        <v>315</v>
      </c>
      <c r="U28" s="35" t="s">
        <v>313</v>
      </c>
      <c r="V28" s="35" t="s">
        <v>349</v>
      </c>
      <c r="W28" s="35" t="s">
        <v>504</v>
      </c>
    </row>
    <row r="29" spans="2:23">
      <c r="B29" s="3" t="s">
        <v>468</v>
      </c>
      <c r="C29" s="3">
        <v>1</v>
      </c>
      <c r="D29" s="3" t="s">
        <v>483</v>
      </c>
      <c r="E29" s="3" t="s">
        <v>490</v>
      </c>
      <c r="F29" s="3">
        <f>ROUND(1/体验规划!$C$7*英雄成长!K10/(系统框架!$F$15/(系统框架!$F$15+系统框架!$F$14))*_xlfn.XLOOKUP($E29,$B$10:$B$19,C$10:C$19)*_xlfn.XLOOKUP($D29,$B$3:$B$7,C$3:C$7)*_xlfn.XLOOKUP(B29,$B$22:$B$25,C$22:C$25),0)</f>
        <v>47</v>
      </c>
      <c r="G29" s="3">
        <f>ROUND(1/体验规划!$C$7*英雄成长!K10/(系统框架!$F$15/(系统框架!$F$15+系统框架!$F$14))*_xlfn.XLOOKUP($E29,$B$10:$B$19,D$10:D$19)*_xlfn.XLOOKUP($D29,$B$3:$B$7,D$3:D$7)*_xlfn.XLOOKUP(B29,$B$22:$B$25,D$22:D$25),0)</f>
        <v>0</v>
      </c>
      <c r="H29" s="3">
        <f>ROUND(体验规划!$C$8*(英雄成长!I10/(系统框架!$F$15))*_xlfn.XLOOKUP($E29,$B$10:$B$19,E$10:E$19)*_xlfn.XLOOKUP($D29,$B$3:$B$7,E$3:E$7)*_xlfn.XLOOKUP($B29,$B$22:$B$25,E$22:E$25),0)</f>
        <v>333</v>
      </c>
      <c r="I29" s="3">
        <f>ROUND(英雄成长!M10*_xlfn.XLOOKUP($E29,$B$10:$B$19,F$10:F$19)*_xlfn.XLOOKUP($D29,$B$3:$B$7,F$3:F$7)*_xlfn.XLOOKUP($B29,$B$22:$B$25,F$22:F$25),0)</f>
        <v>80</v>
      </c>
      <c r="J29" s="3">
        <f>ROUND(英雄成长!N10*_xlfn.XLOOKUP($E29,$B$10:$B$19,G$10:G$19)*_xlfn.XLOOKUP($D29,$B$3:$B$7,G$3:G$7)*_xlfn.XLOOKUP($B29,$B$22:$B$25,G$22:G$25),0)</f>
        <v>10</v>
      </c>
      <c r="K29" s="3">
        <f>ROUND(英雄成长!O10*_xlfn.XLOOKUP($E29,$B$10:$B$19,H$10:H$19)*_xlfn.XLOOKUP($D29,$B$3:$B$7,H$3:H$7)*_xlfn.XLOOKUP($B29,$B$22:$B$25,H$22:H$25),0)</f>
        <v>0</v>
      </c>
      <c r="L29" s="3">
        <v>0</v>
      </c>
      <c r="M29" s="3">
        <v>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3">
        <f>ROUND(英雄成长!P10*_xlfn.XLOOKUP($E29,$B$10:$B$19,I$10:I$19)*_xlfn.XLOOKUP($D29,$B$3:$B$7,I$3:I$7)*_xlfn.XLOOKUP($B29,$B$22:$B$25,I$22:I$25),0)</f>
        <v>20</v>
      </c>
      <c r="T29" s="3">
        <f>ROUND(英雄成长!Q10*_xlfn.XLOOKUP($E29,$B$10:$B$19,J$10:J$19)*_xlfn.XLOOKUP($D29,$B$3:$B$7,J$3:J$7)*_xlfn.XLOOKUP($B29,$B$22:$B$25,J$22:J$25),0)</f>
        <v>0</v>
      </c>
      <c r="U29" s="3">
        <f>ROUND(英雄成长!R10*_xlfn.XLOOKUP($E29,$B$10:$B$19,K$10:K$19)*_xlfn.XLOOKUP($D29,$B$3:$B$7,K$3:K$7)*_xlfn.XLOOKUP($B29,$B$22:$B$25,K$22:K$25),0)</f>
        <v>150</v>
      </c>
      <c r="V29" s="3">
        <f>ROUND(英雄成长!T10*_xlfn.XLOOKUP($E29,$B$10:$B$19,L$10:L$19)*_xlfn.XLOOKUP($D29,$B$3:$B$7,L$3:L$7)*_xlfn.XLOOKUP($B29,$B$22:$B$25,L$22:L$25),0)</f>
        <v>100</v>
      </c>
      <c r="W29" s="3">
        <f>ROUND(英雄成长!U10*_xlfn.XLOOKUP($E29,$B$10:$B$19,M$10:M$19)*_xlfn.XLOOKUP($D29,$B$3:$B$7,M$3:M$7)*_xlfn.XLOOKUP($B29,$B$22:$B$25,M$22:M$25),0)</f>
        <v>1</v>
      </c>
    </row>
    <row r="30" spans="2:23">
      <c r="B30" s="3" t="s">
        <v>468</v>
      </c>
      <c r="C30" s="3">
        <v>2</v>
      </c>
      <c r="D30" s="3" t="s">
        <v>483</v>
      </c>
      <c r="E30" s="3" t="s">
        <v>490</v>
      </c>
      <c r="F30" s="3">
        <f>ROUND(1/体验规划!$C$7*英雄成长!K11/(系统框架!$F$15/(系统框架!$F$15+系统框架!$F$14))*_xlfn.XLOOKUP($E30,$B$10:$B$19,C$10:C$19)*_xlfn.XLOOKUP($D30,$B$3:$B$7,C$3:C$7)*_xlfn.XLOOKUP(B30,$B$22:$B$25,C$22:C$25),0)</f>
        <v>51</v>
      </c>
      <c r="G30" s="3">
        <f>ROUND(1/体验规划!$C$7*英雄成长!K11/(系统框架!$F$15/(系统框架!$F$15+系统框架!$F$14))*_xlfn.XLOOKUP($E30,$B$10:$B$19,D$10:D$19)*_xlfn.XLOOKUP($D30,$B$3:$B$7,D$3:D$7)*_xlfn.XLOOKUP(B30,$B$22:$B$25,D$22:D$25),0)</f>
        <v>0</v>
      </c>
      <c r="H30" s="3">
        <f>ROUND(体验规划!$C$8*(英雄成长!I11/(系统框架!$F$15))*_xlfn.XLOOKUP($E30,$B$10:$B$19,E$10:E$19)*_xlfn.XLOOKUP($D30,$B$3:$B$7,E$3:E$7)*_xlfn.XLOOKUP($B30,$B$22:$B$25,E$22:E$25),0)</f>
        <v>417</v>
      </c>
      <c r="I30" s="3">
        <f>ROUND(英雄成长!M11*_xlfn.XLOOKUP($E30,$B$10:$B$19,F$10:F$19)*_xlfn.XLOOKUP($D30,$B$3:$B$7,F$3:F$7)*_xlfn.XLOOKUP($B30,$B$22:$B$25,F$22:F$25),0)</f>
        <v>80</v>
      </c>
      <c r="J30" s="3">
        <f>ROUND(英雄成长!N11*_xlfn.XLOOKUP($E30,$B$10:$B$19,G$10:G$19)*_xlfn.XLOOKUP($D30,$B$3:$B$7,G$3:G$7)*_xlfn.XLOOKUP($B30,$B$22:$B$25,G$22:G$25),0)</f>
        <v>10</v>
      </c>
      <c r="K30" s="3">
        <f>ROUND(英雄成长!O11*_xlfn.XLOOKUP($E30,$B$10:$B$19,H$10:H$19)*_xlfn.XLOOKUP($D30,$B$3:$B$7,H$3:H$7)*_xlfn.XLOOKUP($B30,$B$22:$B$25,H$22:H$25),0)</f>
        <v>10</v>
      </c>
      <c r="L30" s="3">
        <f>L29</f>
        <v>0</v>
      </c>
      <c r="M30" s="3">
        <f t="shared" ref="M30:R30" si="0">M29</f>
        <v>0</v>
      </c>
      <c r="N30" s="3">
        <f t="shared" si="0"/>
        <v>0</v>
      </c>
      <c r="O30" s="3">
        <f t="shared" si="0"/>
        <v>0</v>
      </c>
      <c r="P30" s="3">
        <f t="shared" si="0"/>
        <v>0</v>
      </c>
      <c r="Q30" s="3">
        <f t="shared" si="0"/>
        <v>0</v>
      </c>
      <c r="R30" s="3">
        <f t="shared" si="0"/>
        <v>0</v>
      </c>
      <c r="S30" s="3">
        <f>ROUND(英雄成长!P11*_xlfn.XLOOKUP($E30,$B$10:$B$19,I$10:I$19)*_xlfn.XLOOKUP($D30,$B$3:$B$7,I$3:I$7)*_xlfn.XLOOKUP($B30,$B$22:$B$25,I$22:I$25),0)</f>
        <v>20</v>
      </c>
      <c r="T30" s="3">
        <f>ROUND(英雄成长!Q11*_xlfn.XLOOKUP($E30,$B$10:$B$19,J$10:J$19)*_xlfn.XLOOKUP($D30,$B$3:$B$7,J$3:J$7)*_xlfn.XLOOKUP($B30,$B$22:$B$25,J$22:J$25),0)</f>
        <v>0</v>
      </c>
      <c r="U30" s="3">
        <f>ROUND(英雄成长!R11*_xlfn.XLOOKUP($E30,$B$10:$B$19,K$10:K$19)*_xlfn.XLOOKUP($D30,$B$3:$B$7,K$3:K$7)*_xlfn.XLOOKUP($B30,$B$22:$B$25,K$22:K$25),0)</f>
        <v>150</v>
      </c>
      <c r="V30" s="3">
        <f>ROUND(英雄成长!T11*_xlfn.XLOOKUP($E30,$B$10:$B$19,L$10:L$19)*_xlfn.XLOOKUP($D30,$B$3:$B$7,L$3:L$7)*_xlfn.XLOOKUP($B30,$B$22:$B$25,L$22:L$25),0)</f>
        <v>100</v>
      </c>
      <c r="W30" s="3">
        <f>ROUND(英雄成长!U11*_xlfn.XLOOKUP($E30,$B$10:$B$19,M$10:M$19)*_xlfn.XLOOKUP($D30,$B$3:$B$7,M$3:M$7)*_xlfn.XLOOKUP($B30,$B$22:$B$25,M$22:M$25),0)</f>
        <v>1</v>
      </c>
    </row>
    <row r="31" spans="2:23">
      <c r="B31" s="3" t="s">
        <v>468</v>
      </c>
      <c r="C31" s="3">
        <v>3</v>
      </c>
      <c r="D31" s="3" t="s">
        <v>483</v>
      </c>
      <c r="E31" s="3" t="s">
        <v>490</v>
      </c>
      <c r="F31" s="3">
        <f>ROUND(1/体验规划!$C$7*英雄成长!K12/(系统框架!$F$15/(系统框架!$F$15+系统框架!$F$14))*_xlfn.XLOOKUP($E31,$B$10:$B$19,C$10:C$19)*_xlfn.XLOOKUP($D31,$B$3:$B$7,C$3:C$7)*_xlfn.XLOOKUP(B31,$B$22:$B$25,C$22:C$25),0)</f>
        <v>56</v>
      </c>
      <c r="G31" s="3">
        <f>ROUND(1/体验规划!$C$7*英雄成长!K12/(系统框架!$F$15/(系统框架!$F$15+系统框架!$F$14))*_xlfn.XLOOKUP($E31,$B$10:$B$19,D$10:D$19)*_xlfn.XLOOKUP($D31,$B$3:$B$7,D$3:D$7)*_xlfn.XLOOKUP(B31,$B$22:$B$25,D$22:D$25),0)</f>
        <v>0</v>
      </c>
      <c r="H31" s="3">
        <f>ROUND(体验规划!$C$8*(英雄成长!I12/(系统框架!$F$15))*_xlfn.XLOOKUP($E31,$B$10:$B$19,E$10:E$19)*_xlfn.XLOOKUP($D31,$B$3:$B$7,E$3:E$7)*_xlfn.XLOOKUP($B31,$B$22:$B$25,E$22:E$25),0)</f>
        <v>500</v>
      </c>
      <c r="I31" s="3">
        <f>ROUND(英雄成长!M12*_xlfn.XLOOKUP($E31,$B$10:$B$19,F$10:F$19)*_xlfn.XLOOKUP($D31,$B$3:$B$7,F$3:F$7)*_xlfn.XLOOKUP($B31,$B$22:$B$25,F$22:F$25),0)</f>
        <v>80</v>
      </c>
      <c r="J31" s="3">
        <f>ROUND(英雄成长!N12*_xlfn.XLOOKUP($E31,$B$10:$B$19,G$10:G$19)*_xlfn.XLOOKUP($D31,$B$3:$B$7,G$3:G$7)*_xlfn.XLOOKUP($B31,$B$22:$B$25,G$22:G$25),0)</f>
        <v>10</v>
      </c>
      <c r="K31" s="3">
        <f>ROUND(英雄成长!O12*_xlfn.XLOOKUP($E31,$B$10:$B$19,H$10:H$19)*_xlfn.XLOOKUP($D31,$B$3:$B$7,H$3:H$7)*_xlfn.XLOOKUP($B31,$B$22:$B$25,H$22:H$25),0)</f>
        <v>20</v>
      </c>
      <c r="L31" s="3">
        <f t="shared" ref="L31:L58" si="1">L30</f>
        <v>0</v>
      </c>
      <c r="M31" s="3">
        <f t="shared" ref="M31:M58" si="2">M30</f>
        <v>0</v>
      </c>
      <c r="N31" s="3">
        <f t="shared" ref="N31:N58" si="3">N30</f>
        <v>0</v>
      </c>
      <c r="O31" s="3">
        <f t="shared" ref="O31:O58" si="4">O30</f>
        <v>0</v>
      </c>
      <c r="P31" s="3">
        <f t="shared" ref="P31:P58" si="5">P30</f>
        <v>0</v>
      </c>
      <c r="Q31" s="3">
        <f t="shared" ref="Q31:Q58" si="6">Q30</f>
        <v>0</v>
      </c>
      <c r="R31" s="3">
        <f t="shared" ref="R31:R58" si="7">R30</f>
        <v>0</v>
      </c>
      <c r="S31" s="3">
        <f>ROUND(英雄成长!P12*_xlfn.XLOOKUP($E31,$B$10:$B$19,I$10:I$19)*_xlfn.XLOOKUP($D31,$B$3:$B$7,I$3:I$7)*_xlfn.XLOOKUP($B31,$B$22:$B$25,I$22:I$25),0)</f>
        <v>20</v>
      </c>
      <c r="T31" s="3">
        <f>ROUND(英雄成长!Q12*_xlfn.XLOOKUP($E31,$B$10:$B$19,J$10:J$19)*_xlfn.XLOOKUP($D31,$B$3:$B$7,J$3:J$7)*_xlfn.XLOOKUP($B31,$B$22:$B$25,J$22:J$25),0)</f>
        <v>0</v>
      </c>
      <c r="U31" s="3">
        <f>ROUND(英雄成长!R12*_xlfn.XLOOKUP($E31,$B$10:$B$19,K$10:K$19)*_xlfn.XLOOKUP($D31,$B$3:$B$7,K$3:K$7)*_xlfn.XLOOKUP($B31,$B$22:$B$25,K$22:K$25),0)</f>
        <v>150</v>
      </c>
      <c r="V31" s="3">
        <f>ROUND(英雄成长!T12*_xlfn.XLOOKUP($E31,$B$10:$B$19,L$10:L$19)*_xlfn.XLOOKUP($D31,$B$3:$B$7,L$3:L$7)*_xlfn.XLOOKUP($B31,$B$22:$B$25,L$22:L$25),0)</f>
        <v>100</v>
      </c>
      <c r="W31" s="3">
        <f>ROUND(英雄成长!U12*_xlfn.XLOOKUP($E31,$B$10:$B$19,M$10:M$19)*_xlfn.XLOOKUP($D31,$B$3:$B$7,M$3:M$7)*_xlfn.XLOOKUP($B31,$B$22:$B$25,M$22:M$25),0)</f>
        <v>1</v>
      </c>
    </row>
    <row r="32" spans="2:23">
      <c r="B32" s="3" t="s">
        <v>468</v>
      </c>
      <c r="C32" s="3">
        <v>4</v>
      </c>
      <c r="D32" s="3" t="s">
        <v>483</v>
      </c>
      <c r="E32" s="3" t="s">
        <v>490</v>
      </c>
      <c r="F32" s="3">
        <f>ROUND(1/体验规划!$C$7*英雄成长!K13/(系统框架!$F$15/(系统框架!$F$15+系统框架!$F$14))*_xlfn.XLOOKUP($E32,$B$10:$B$19,C$10:C$19)*_xlfn.XLOOKUP($D32,$B$3:$B$7,C$3:C$7)*_xlfn.XLOOKUP(B32,$B$22:$B$25,C$22:C$25),0)</f>
        <v>61</v>
      </c>
      <c r="G32" s="3">
        <f>ROUND(1/体验规划!$C$7*英雄成长!K13/(系统框架!$F$15/(系统框架!$F$15+系统框架!$F$14))*_xlfn.XLOOKUP($E32,$B$10:$B$19,D$10:D$19)*_xlfn.XLOOKUP($D32,$B$3:$B$7,D$3:D$7)*_xlfn.XLOOKUP(B32,$B$22:$B$25,D$22:D$25),0)</f>
        <v>0</v>
      </c>
      <c r="H32" s="3">
        <f>ROUND(体验规划!$C$8*(英雄成长!I13/(系统框架!$F$15))*_xlfn.XLOOKUP($E32,$B$10:$B$19,E$10:E$19)*_xlfn.XLOOKUP($D32,$B$3:$B$7,E$3:E$7)*_xlfn.XLOOKUP($B32,$B$22:$B$25,E$22:E$25),0)</f>
        <v>583</v>
      </c>
      <c r="I32" s="3">
        <f>ROUND(英雄成长!M13*_xlfn.XLOOKUP($E32,$B$10:$B$19,F$10:F$19)*_xlfn.XLOOKUP($D32,$B$3:$B$7,F$3:F$7)*_xlfn.XLOOKUP($B32,$B$22:$B$25,F$22:F$25),0)</f>
        <v>80</v>
      </c>
      <c r="J32" s="3">
        <f>ROUND(英雄成长!N13*_xlfn.XLOOKUP($E32,$B$10:$B$19,G$10:G$19)*_xlfn.XLOOKUP($D32,$B$3:$B$7,G$3:G$7)*_xlfn.XLOOKUP($B32,$B$22:$B$25,G$22:G$25),0)</f>
        <v>10</v>
      </c>
      <c r="K32" s="3">
        <f>ROUND(英雄成长!O13*_xlfn.XLOOKUP($E32,$B$10:$B$19,H$10:H$19)*_xlfn.XLOOKUP($D32,$B$3:$B$7,H$3:H$7)*_xlfn.XLOOKUP($B32,$B$22:$B$25,H$22:H$25),0)</f>
        <v>30</v>
      </c>
      <c r="L32" s="3">
        <f t="shared" si="1"/>
        <v>0</v>
      </c>
      <c r="M32" s="3">
        <f t="shared" si="2"/>
        <v>0</v>
      </c>
      <c r="N32" s="3">
        <f t="shared" si="3"/>
        <v>0</v>
      </c>
      <c r="O32" s="3">
        <f t="shared" si="4"/>
        <v>0</v>
      </c>
      <c r="P32" s="3">
        <f t="shared" si="5"/>
        <v>0</v>
      </c>
      <c r="Q32" s="3">
        <f t="shared" si="6"/>
        <v>0</v>
      </c>
      <c r="R32" s="3">
        <f t="shared" si="7"/>
        <v>0</v>
      </c>
      <c r="S32" s="3">
        <f>ROUND(英雄成长!P13*_xlfn.XLOOKUP($E32,$B$10:$B$19,I$10:I$19)*_xlfn.XLOOKUP($D32,$B$3:$B$7,I$3:I$7)*_xlfn.XLOOKUP($B32,$B$22:$B$25,I$22:I$25),0)</f>
        <v>20</v>
      </c>
      <c r="T32" s="3">
        <f>ROUND(英雄成长!Q13*_xlfn.XLOOKUP($E32,$B$10:$B$19,J$10:J$19)*_xlfn.XLOOKUP($D32,$B$3:$B$7,J$3:J$7)*_xlfn.XLOOKUP($B32,$B$22:$B$25,J$22:J$25),0)</f>
        <v>0</v>
      </c>
      <c r="U32" s="3">
        <f>ROUND(英雄成长!R13*_xlfn.XLOOKUP($E32,$B$10:$B$19,K$10:K$19)*_xlfn.XLOOKUP($D32,$B$3:$B$7,K$3:K$7)*_xlfn.XLOOKUP($B32,$B$22:$B$25,K$22:K$25),0)</f>
        <v>150</v>
      </c>
      <c r="V32" s="3">
        <f>ROUND(英雄成长!T13*_xlfn.XLOOKUP($E32,$B$10:$B$19,L$10:L$19)*_xlfn.XLOOKUP($D32,$B$3:$B$7,L$3:L$7)*_xlfn.XLOOKUP($B32,$B$22:$B$25,L$22:L$25),0)</f>
        <v>100</v>
      </c>
      <c r="W32" s="3">
        <f>ROUND(英雄成长!U13*_xlfn.XLOOKUP($E32,$B$10:$B$19,M$10:M$19)*_xlfn.XLOOKUP($D32,$B$3:$B$7,M$3:M$7)*_xlfn.XLOOKUP($B32,$B$22:$B$25,M$22:M$25),0)</f>
        <v>1</v>
      </c>
    </row>
    <row r="33" spans="2:23">
      <c r="B33" s="3" t="s">
        <v>468</v>
      </c>
      <c r="C33" s="3">
        <v>5</v>
      </c>
      <c r="D33" s="3" t="s">
        <v>483</v>
      </c>
      <c r="E33" s="3" t="s">
        <v>490</v>
      </c>
      <c r="F33" s="3">
        <f>ROUND(1/体验规划!$C$7*英雄成长!K14/(系统框架!$F$15/(系统框架!$F$15+系统框架!$F$14))*_xlfn.XLOOKUP($E33,$B$10:$B$19,C$10:C$19)*_xlfn.XLOOKUP($D33,$B$3:$B$7,C$3:C$7)*_xlfn.XLOOKUP(B33,$B$22:$B$25,C$22:C$25),0)</f>
        <v>65</v>
      </c>
      <c r="G33" s="3">
        <f>ROUND(1/体验规划!$C$7*英雄成长!K14/(系统框架!$F$15/(系统框架!$F$15+系统框架!$F$14))*_xlfn.XLOOKUP($E33,$B$10:$B$19,D$10:D$19)*_xlfn.XLOOKUP($D33,$B$3:$B$7,D$3:D$7)*_xlfn.XLOOKUP(B33,$B$22:$B$25,D$22:D$25),0)</f>
        <v>0</v>
      </c>
      <c r="H33" s="3">
        <f>ROUND(体验规划!$C$8*(英雄成长!I14/(系统框架!$F$15))*_xlfn.XLOOKUP($E33,$B$10:$B$19,E$10:E$19)*_xlfn.XLOOKUP($D33,$B$3:$B$7,E$3:E$7)*_xlfn.XLOOKUP($B33,$B$22:$B$25,E$22:E$25),0)</f>
        <v>667</v>
      </c>
      <c r="I33" s="3">
        <f>ROUND(英雄成长!M14*_xlfn.XLOOKUP($E33,$B$10:$B$19,F$10:F$19)*_xlfn.XLOOKUP($D33,$B$3:$B$7,F$3:F$7)*_xlfn.XLOOKUP($B33,$B$22:$B$25,F$22:F$25),0)</f>
        <v>80</v>
      </c>
      <c r="J33" s="3">
        <f>ROUND(英雄成长!N14*_xlfn.XLOOKUP($E33,$B$10:$B$19,G$10:G$19)*_xlfn.XLOOKUP($D33,$B$3:$B$7,G$3:G$7)*_xlfn.XLOOKUP($B33,$B$22:$B$25,G$22:G$25),0)</f>
        <v>10</v>
      </c>
      <c r="K33" s="3">
        <f>ROUND(英雄成长!O14*_xlfn.XLOOKUP($E33,$B$10:$B$19,H$10:H$19)*_xlfn.XLOOKUP($D33,$B$3:$B$7,H$3:H$7)*_xlfn.XLOOKUP($B33,$B$22:$B$25,H$22:H$25),0)</f>
        <v>40</v>
      </c>
      <c r="L33" s="3">
        <f t="shared" si="1"/>
        <v>0</v>
      </c>
      <c r="M33" s="3">
        <f t="shared" si="2"/>
        <v>0</v>
      </c>
      <c r="N33" s="3">
        <f t="shared" si="3"/>
        <v>0</v>
      </c>
      <c r="O33" s="3">
        <f t="shared" si="4"/>
        <v>0</v>
      </c>
      <c r="P33" s="3">
        <f t="shared" si="5"/>
        <v>0</v>
      </c>
      <c r="Q33" s="3">
        <f t="shared" si="6"/>
        <v>0</v>
      </c>
      <c r="R33" s="3">
        <f t="shared" si="7"/>
        <v>0</v>
      </c>
      <c r="S33" s="3">
        <f>ROUND(英雄成长!P14*_xlfn.XLOOKUP($E33,$B$10:$B$19,I$10:I$19)*_xlfn.XLOOKUP($D33,$B$3:$B$7,I$3:I$7)*_xlfn.XLOOKUP($B33,$B$22:$B$25,I$22:I$25),0)</f>
        <v>20</v>
      </c>
      <c r="T33" s="3">
        <f>ROUND(英雄成长!Q14*_xlfn.XLOOKUP($E33,$B$10:$B$19,J$10:J$19)*_xlfn.XLOOKUP($D33,$B$3:$B$7,J$3:J$7)*_xlfn.XLOOKUP($B33,$B$22:$B$25,J$22:J$25),0)</f>
        <v>0</v>
      </c>
      <c r="U33" s="3">
        <f>ROUND(英雄成长!R14*_xlfn.XLOOKUP($E33,$B$10:$B$19,K$10:K$19)*_xlfn.XLOOKUP($D33,$B$3:$B$7,K$3:K$7)*_xlfn.XLOOKUP($B33,$B$22:$B$25,K$22:K$25),0)</f>
        <v>150</v>
      </c>
      <c r="V33" s="3">
        <f>ROUND(英雄成长!T14*_xlfn.XLOOKUP($E33,$B$10:$B$19,L$10:L$19)*_xlfn.XLOOKUP($D33,$B$3:$B$7,L$3:L$7)*_xlfn.XLOOKUP($B33,$B$22:$B$25,L$22:L$25),0)</f>
        <v>100</v>
      </c>
      <c r="W33" s="3">
        <f>ROUND(英雄成长!U14*_xlfn.XLOOKUP($E33,$B$10:$B$19,M$10:M$19)*_xlfn.XLOOKUP($D33,$B$3:$B$7,M$3:M$7)*_xlfn.XLOOKUP($B33,$B$22:$B$25,M$22:M$25),0)</f>
        <v>1</v>
      </c>
    </row>
    <row r="34" spans="2:23">
      <c r="B34" s="3" t="s">
        <v>468</v>
      </c>
      <c r="C34" s="3">
        <v>6</v>
      </c>
      <c r="D34" s="3" t="s">
        <v>483</v>
      </c>
      <c r="E34" s="3" t="s">
        <v>490</v>
      </c>
      <c r="F34" s="3">
        <f>ROUND(1/体验规划!$C$7*英雄成长!K15/(系统框架!$F$15/(系统框架!$F$15+系统框架!$F$14))*_xlfn.XLOOKUP($E34,$B$10:$B$19,C$10:C$19)*_xlfn.XLOOKUP($D34,$B$3:$B$7,C$3:C$7)*_xlfn.XLOOKUP(B34,$B$22:$B$25,C$22:C$25),0)</f>
        <v>70</v>
      </c>
      <c r="G34" s="3">
        <f>ROUND(1/体验规划!$C$7*英雄成长!K15/(系统框架!$F$15/(系统框架!$F$15+系统框架!$F$14))*_xlfn.XLOOKUP($E34,$B$10:$B$19,D$10:D$19)*_xlfn.XLOOKUP($D34,$B$3:$B$7,D$3:D$7)*_xlfn.XLOOKUP(B34,$B$22:$B$25,D$22:D$25),0)</f>
        <v>0</v>
      </c>
      <c r="H34" s="3">
        <f>ROUND(体验规划!$C$8*(英雄成长!I15/(系统框架!$F$15))*_xlfn.XLOOKUP($E34,$B$10:$B$19,E$10:E$19)*_xlfn.XLOOKUP($D34,$B$3:$B$7,E$3:E$7)*_xlfn.XLOOKUP($B34,$B$22:$B$25,E$22:E$25),0)</f>
        <v>750</v>
      </c>
      <c r="I34" s="3">
        <f>ROUND(英雄成长!M15*_xlfn.XLOOKUP($E34,$B$10:$B$19,F$10:F$19)*_xlfn.XLOOKUP($D34,$B$3:$B$7,F$3:F$7)*_xlfn.XLOOKUP($B34,$B$22:$B$25,F$22:F$25),0)</f>
        <v>80</v>
      </c>
      <c r="J34" s="3">
        <f>ROUND(英雄成长!N15*_xlfn.XLOOKUP($E34,$B$10:$B$19,G$10:G$19)*_xlfn.XLOOKUP($D34,$B$3:$B$7,G$3:G$7)*_xlfn.XLOOKUP($B34,$B$22:$B$25,G$22:G$25),0)</f>
        <v>10</v>
      </c>
      <c r="K34" s="3">
        <f>ROUND(英雄成长!O15*_xlfn.XLOOKUP($E34,$B$10:$B$19,H$10:H$19)*_xlfn.XLOOKUP($D34,$B$3:$B$7,H$3:H$7)*_xlfn.XLOOKUP($B34,$B$22:$B$25,H$22:H$25),0)</f>
        <v>50</v>
      </c>
      <c r="L34" s="3">
        <f t="shared" si="1"/>
        <v>0</v>
      </c>
      <c r="M34" s="3">
        <f t="shared" si="2"/>
        <v>0</v>
      </c>
      <c r="N34" s="3">
        <f t="shared" si="3"/>
        <v>0</v>
      </c>
      <c r="O34" s="3">
        <f t="shared" si="4"/>
        <v>0</v>
      </c>
      <c r="P34" s="3">
        <f t="shared" si="5"/>
        <v>0</v>
      </c>
      <c r="Q34" s="3">
        <f t="shared" si="6"/>
        <v>0</v>
      </c>
      <c r="R34" s="3">
        <f t="shared" si="7"/>
        <v>0</v>
      </c>
      <c r="S34" s="3">
        <f>ROUND(英雄成长!P15*_xlfn.XLOOKUP($E34,$B$10:$B$19,I$10:I$19)*_xlfn.XLOOKUP($D34,$B$3:$B$7,I$3:I$7)*_xlfn.XLOOKUP($B34,$B$22:$B$25,I$22:I$25),0)</f>
        <v>20</v>
      </c>
      <c r="T34" s="3">
        <f>ROUND(英雄成长!Q15*_xlfn.XLOOKUP($E34,$B$10:$B$19,J$10:J$19)*_xlfn.XLOOKUP($D34,$B$3:$B$7,J$3:J$7)*_xlfn.XLOOKUP($B34,$B$22:$B$25,J$22:J$25),0)</f>
        <v>0</v>
      </c>
      <c r="U34" s="3">
        <f>ROUND(英雄成长!R15*_xlfn.XLOOKUP($E34,$B$10:$B$19,K$10:K$19)*_xlfn.XLOOKUP($D34,$B$3:$B$7,K$3:K$7)*_xlfn.XLOOKUP($B34,$B$22:$B$25,K$22:K$25),0)</f>
        <v>150</v>
      </c>
      <c r="V34" s="3">
        <f>ROUND(英雄成长!T15*_xlfn.XLOOKUP($E34,$B$10:$B$19,L$10:L$19)*_xlfn.XLOOKUP($D34,$B$3:$B$7,L$3:L$7)*_xlfn.XLOOKUP($B34,$B$22:$B$25,L$22:L$25),0)</f>
        <v>100</v>
      </c>
      <c r="W34" s="3">
        <f>ROUND(英雄成长!U15*_xlfn.XLOOKUP($E34,$B$10:$B$19,M$10:M$19)*_xlfn.XLOOKUP($D34,$B$3:$B$7,M$3:M$7)*_xlfn.XLOOKUP($B34,$B$22:$B$25,M$22:M$25),0)</f>
        <v>1</v>
      </c>
    </row>
    <row r="35" spans="2:23">
      <c r="B35" s="3" t="s">
        <v>468</v>
      </c>
      <c r="C35" s="3">
        <v>7</v>
      </c>
      <c r="D35" s="3" t="s">
        <v>483</v>
      </c>
      <c r="E35" s="3" t="s">
        <v>490</v>
      </c>
      <c r="F35" s="3">
        <f>ROUND(1/体验规划!$C$7*英雄成长!K16/(系统框架!$F$15/(系统框架!$F$15+系统框架!$F$14))*_xlfn.XLOOKUP($E35,$B$10:$B$19,C$10:C$19)*_xlfn.XLOOKUP($D35,$B$3:$B$7,C$3:C$7)*_xlfn.XLOOKUP(B35,$B$22:$B$25,C$22:C$25),0)</f>
        <v>75</v>
      </c>
      <c r="G35" s="3">
        <f>ROUND(1/体验规划!$C$7*英雄成长!K16/(系统框架!$F$15/(系统框架!$F$15+系统框架!$F$14))*_xlfn.XLOOKUP($E35,$B$10:$B$19,D$10:D$19)*_xlfn.XLOOKUP($D35,$B$3:$B$7,D$3:D$7)*_xlfn.XLOOKUP(B35,$B$22:$B$25,D$22:D$25),0)</f>
        <v>0</v>
      </c>
      <c r="H35" s="3">
        <f>ROUND(体验规划!$C$8*(英雄成长!I16/(系统框架!$F$15))*_xlfn.XLOOKUP($E35,$B$10:$B$19,E$10:E$19)*_xlfn.XLOOKUP($D35,$B$3:$B$7,E$3:E$7)*_xlfn.XLOOKUP($B35,$B$22:$B$25,E$22:E$25),0)</f>
        <v>833</v>
      </c>
      <c r="I35" s="3">
        <f>ROUND(英雄成长!M16*_xlfn.XLOOKUP($E35,$B$10:$B$19,F$10:F$19)*_xlfn.XLOOKUP($D35,$B$3:$B$7,F$3:F$7)*_xlfn.XLOOKUP($B35,$B$22:$B$25,F$22:F$25),0)</f>
        <v>80</v>
      </c>
      <c r="J35" s="3">
        <f>ROUND(英雄成长!N16*_xlfn.XLOOKUP($E35,$B$10:$B$19,G$10:G$19)*_xlfn.XLOOKUP($D35,$B$3:$B$7,G$3:G$7)*_xlfn.XLOOKUP($B35,$B$22:$B$25,G$22:G$25),0)</f>
        <v>10</v>
      </c>
      <c r="K35" s="3">
        <f>ROUND(英雄成长!O16*_xlfn.XLOOKUP($E35,$B$10:$B$19,H$10:H$19)*_xlfn.XLOOKUP($D35,$B$3:$B$7,H$3:H$7)*_xlfn.XLOOKUP($B35,$B$22:$B$25,H$22:H$25),0)</f>
        <v>60</v>
      </c>
      <c r="L35" s="3">
        <f>L34</f>
        <v>0</v>
      </c>
      <c r="M35" s="3">
        <f t="shared" si="2"/>
        <v>0</v>
      </c>
      <c r="N35" s="3">
        <f t="shared" si="3"/>
        <v>0</v>
      </c>
      <c r="O35" s="3">
        <f t="shared" si="4"/>
        <v>0</v>
      </c>
      <c r="P35" s="3">
        <f t="shared" si="5"/>
        <v>0</v>
      </c>
      <c r="Q35" s="3">
        <f t="shared" si="6"/>
        <v>0</v>
      </c>
      <c r="R35" s="3">
        <f t="shared" si="7"/>
        <v>0</v>
      </c>
      <c r="S35" s="3">
        <f>ROUND(英雄成长!P16*_xlfn.XLOOKUP($E35,$B$10:$B$19,I$10:I$19)*_xlfn.XLOOKUP($D35,$B$3:$B$7,I$3:I$7)*_xlfn.XLOOKUP($B35,$B$22:$B$25,I$22:I$25),0)</f>
        <v>20</v>
      </c>
      <c r="T35" s="3">
        <f>ROUND(英雄成长!Q16*_xlfn.XLOOKUP($E35,$B$10:$B$19,J$10:J$19)*_xlfn.XLOOKUP($D35,$B$3:$B$7,J$3:J$7)*_xlfn.XLOOKUP($B35,$B$22:$B$25,J$22:J$25),0)</f>
        <v>0</v>
      </c>
      <c r="U35" s="3">
        <f>ROUND(英雄成长!R16*_xlfn.XLOOKUP($E35,$B$10:$B$19,K$10:K$19)*_xlfn.XLOOKUP($D35,$B$3:$B$7,K$3:K$7)*_xlfn.XLOOKUP($B35,$B$22:$B$25,K$22:K$25),0)</f>
        <v>150</v>
      </c>
      <c r="V35" s="3">
        <f>ROUND(英雄成长!T16*_xlfn.XLOOKUP($E35,$B$10:$B$19,L$10:L$19)*_xlfn.XLOOKUP($D35,$B$3:$B$7,L$3:L$7)*_xlfn.XLOOKUP($B35,$B$22:$B$25,L$22:L$25),0)</f>
        <v>100</v>
      </c>
      <c r="W35" s="3">
        <f>ROUND(英雄成长!U16*_xlfn.XLOOKUP($E35,$B$10:$B$19,M$10:M$19)*_xlfn.XLOOKUP($D35,$B$3:$B$7,M$3:M$7)*_xlfn.XLOOKUP($B35,$B$22:$B$25,M$22:M$25),0)</f>
        <v>1</v>
      </c>
    </row>
    <row r="36" spans="2:23">
      <c r="B36" s="3" t="s">
        <v>468</v>
      </c>
      <c r="C36" s="3">
        <v>8</v>
      </c>
      <c r="D36" s="3" t="s">
        <v>483</v>
      </c>
      <c r="E36" s="3" t="s">
        <v>490</v>
      </c>
      <c r="F36" s="3">
        <f>ROUND(1/体验规划!$C$7*英雄成长!K17/(系统框架!$F$15/(系统框架!$F$15+系统框架!$F$14))*_xlfn.XLOOKUP($E36,$B$10:$B$19,C$10:C$19)*_xlfn.XLOOKUP($D36,$B$3:$B$7,C$3:C$7)*_xlfn.XLOOKUP(B36,$B$22:$B$25,C$22:C$25),0)</f>
        <v>79</v>
      </c>
      <c r="G36" s="3">
        <f>ROUND(1/体验规划!$C$7*英雄成长!K17/(系统框架!$F$15/(系统框架!$F$15+系统框架!$F$14))*_xlfn.XLOOKUP($E36,$B$10:$B$19,D$10:D$19)*_xlfn.XLOOKUP($D36,$B$3:$B$7,D$3:D$7)*_xlfn.XLOOKUP(B36,$B$22:$B$25,D$22:D$25),0)</f>
        <v>0</v>
      </c>
      <c r="H36" s="3">
        <f>ROUND(体验规划!$C$8*(英雄成长!I17/(系统框架!$F$15))*_xlfn.XLOOKUP($E36,$B$10:$B$19,E$10:E$19)*_xlfn.XLOOKUP($D36,$B$3:$B$7,E$3:E$7)*_xlfn.XLOOKUP($B36,$B$22:$B$25,E$22:E$25),0)</f>
        <v>917</v>
      </c>
      <c r="I36" s="3">
        <f>ROUND(英雄成长!M17*_xlfn.XLOOKUP($E36,$B$10:$B$19,F$10:F$19)*_xlfn.XLOOKUP($D36,$B$3:$B$7,F$3:F$7)*_xlfn.XLOOKUP($B36,$B$22:$B$25,F$22:F$25),0)</f>
        <v>80</v>
      </c>
      <c r="J36" s="3">
        <f>ROUND(英雄成长!N17*_xlfn.XLOOKUP($E36,$B$10:$B$19,G$10:G$19)*_xlfn.XLOOKUP($D36,$B$3:$B$7,G$3:G$7)*_xlfn.XLOOKUP($B36,$B$22:$B$25,G$22:G$25),0)</f>
        <v>10</v>
      </c>
      <c r="K36" s="3">
        <f>ROUND(英雄成长!O17*_xlfn.XLOOKUP($E36,$B$10:$B$19,H$10:H$19)*_xlfn.XLOOKUP($D36,$B$3:$B$7,H$3:H$7)*_xlfn.XLOOKUP($B36,$B$22:$B$25,H$22:H$25),0)</f>
        <v>70</v>
      </c>
      <c r="L36" s="3">
        <f t="shared" si="1"/>
        <v>0</v>
      </c>
      <c r="M36" s="3">
        <f t="shared" si="2"/>
        <v>0</v>
      </c>
      <c r="N36" s="3">
        <f t="shared" si="3"/>
        <v>0</v>
      </c>
      <c r="O36" s="3">
        <f t="shared" si="4"/>
        <v>0</v>
      </c>
      <c r="P36" s="3">
        <f t="shared" si="5"/>
        <v>0</v>
      </c>
      <c r="Q36" s="3">
        <f t="shared" si="6"/>
        <v>0</v>
      </c>
      <c r="R36" s="3">
        <f t="shared" si="7"/>
        <v>0</v>
      </c>
      <c r="S36" s="3">
        <f>ROUND(英雄成长!P17*_xlfn.XLOOKUP($E36,$B$10:$B$19,I$10:I$19)*_xlfn.XLOOKUP($D36,$B$3:$B$7,I$3:I$7)*_xlfn.XLOOKUP($B36,$B$22:$B$25,I$22:I$25),0)</f>
        <v>20</v>
      </c>
      <c r="T36" s="3">
        <f>ROUND(英雄成长!Q17*_xlfn.XLOOKUP($E36,$B$10:$B$19,J$10:J$19)*_xlfn.XLOOKUP($D36,$B$3:$B$7,J$3:J$7)*_xlfn.XLOOKUP($B36,$B$22:$B$25,J$22:J$25),0)</f>
        <v>0</v>
      </c>
      <c r="U36" s="3">
        <f>ROUND(英雄成长!R17*_xlfn.XLOOKUP($E36,$B$10:$B$19,K$10:K$19)*_xlfn.XLOOKUP($D36,$B$3:$B$7,K$3:K$7)*_xlfn.XLOOKUP($B36,$B$22:$B$25,K$22:K$25),0)</f>
        <v>150</v>
      </c>
      <c r="V36" s="3">
        <f>ROUND(英雄成长!T17*_xlfn.XLOOKUP($E36,$B$10:$B$19,L$10:L$19)*_xlfn.XLOOKUP($D36,$B$3:$B$7,L$3:L$7)*_xlfn.XLOOKUP($B36,$B$22:$B$25,L$22:L$25),0)</f>
        <v>100</v>
      </c>
      <c r="W36" s="3">
        <f>ROUND(英雄成长!U17*_xlfn.XLOOKUP($E36,$B$10:$B$19,M$10:M$19)*_xlfn.XLOOKUP($D36,$B$3:$B$7,M$3:M$7)*_xlfn.XLOOKUP($B36,$B$22:$B$25,M$22:M$25),0)</f>
        <v>1</v>
      </c>
    </row>
    <row r="37" spans="2:23">
      <c r="B37" s="3" t="s">
        <v>468</v>
      </c>
      <c r="C37" s="3">
        <v>9</v>
      </c>
      <c r="D37" s="3" t="s">
        <v>483</v>
      </c>
      <c r="E37" s="3" t="s">
        <v>490</v>
      </c>
      <c r="F37" s="3">
        <f>ROUND(1/体验规划!$C$7*英雄成长!K18/(系统框架!$F$15/(系统框架!$F$15+系统框架!$F$14))*_xlfn.XLOOKUP($E37,$B$10:$B$19,C$10:C$19)*_xlfn.XLOOKUP($D37,$B$3:$B$7,C$3:C$7)*_xlfn.XLOOKUP(B37,$B$22:$B$25,C$22:C$25),0)</f>
        <v>84</v>
      </c>
      <c r="G37" s="3">
        <f>ROUND(1/体验规划!$C$7*英雄成长!K18/(系统框架!$F$15/(系统框架!$F$15+系统框架!$F$14))*_xlfn.XLOOKUP($E37,$B$10:$B$19,D$10:D$19)*_xlfn.XLOOKUP($D37,$B$3:$B$7,D$3:D$7)*_xlfn.XLOOKUP(B37,$B$22:$B$25,D$22:D$25),0)</f>
        <v>0</v>
      </c>
      <c r="H37" s="3">
        <f>ROUND(体验规划!$C$8*(英雄成长!I18/(系统框架!$F$15))*_xlfn.XLOOKUP($E37,$B$10:$B$19,E$10:E$19)*_xlfn.XLOOKUP($D37,$B$3:$B$7,E$3:E$7)*_xlfn.XLOOKUP($B37,$B$22:$B$25,E$22:E$25),0)</f>
        <v>1000</v>
      </c>
      <c r="I37" s="3">
        <f>ROUND(英雄成长!M18*_xlfn.XLOOKUP($E37,$B$10:$B$19,F$10:F$19)*_xlfn.XLOOKUP($D37,$B$3:$B$7,F$3:F$7)*_xlfn.XLOOKUP($B37,$B$22:$B$25,F$22:F$25),0)</f>
        <v>80</v>
      </c>
      <c r="J37" s="3">
        <f>ROUND(英雄成长!N18*_xlfn.XLOOKUP($E37,$B$10:$B$19,G$10:G$19)*_xlfn.XLOOKUP($D37,$B$3:$B$7,G$3:G$7)*_xlfn.XLOOKUP($B37,$B$22:$B$25,G$22:G$25),0)</f>
        <v>10</v>
      </c>
      <c r="K37" s="3">
        <f>ROUND(英雄成长!O18*_xlfn.XLOOKUP($E37,$B$10:$B$19,H$10:H$19)*_xlfn.XLOOKUP($D37,$B$3:$B$7,H$3:H$7)*_xlfn.XLOOKUP($B37,$B$22:$B$25,H$22:H$25),0)</f>
        <v>80</v>
      </c>
      <c r="L37" s="3">
        <f t="shared" si="1"/>
        <v>0</v>
      </c>
      <c r="M37" s="3">
        <f t="shared" si="2"/>
        <v>0</v>
      </c>
      <c r="N37" s="3">
        <f t="shared" si="3"/>
        <v>0</v>
      </c>
      <c r="O37" s="3">
        <f t="shared" si="4"/>
        <v>0</v>
      </c>
      <c r="P37" s="3">
        <f t="shared" si="5"/>
        <v>0</v>
      </c>
      <c r="Q37" s="3">
        <f t="shared" si="6"/>
        <v>0</v>
      </c>
      <c r="R37" s="3">
        <f t="shared" si="7"/>
        <v>0</v>
      </c>
      <c r="S37" s="3">
        <f>ROUND(英雄成长!P18*_xlfn.XLOOKUP($E37,$B$10:$B$19,I$10:I$19)*_xlfn.XLOOKUP($D37,$B$3:$B$7,I$3:I$7)*_xlfn.XLOOKUP($B37,$B$22:$B$25,I$22:I$25),0)</f>
        <v>20</v>
      </c>
      <c r="T37" s="3">
        <f>ROUND(英雄成长!Q18*_xlfn.XLOOKUP($E37,$B$10:$B$19,J$10:J$19)*_xlfn.XLOOKUP($D37,$B$3:$B$7,J$3:J$7)*_xlfn.XLOOKUP($B37,$B$22:$B$25,J$22:J$25),0)</f>
        <v>0</v>
      </c>
      <c r="U37" s="3">
        <f>ROUND(英雄成长!R18*_xlfn.XLOOKUP($E37,$B$10:$B$19,K$10:K$19)*_xlfn.XLOOKUP($D37,$B$3:$B$7,K$3:K$7)*_xlfn.XLOOKUP($B37,$B$22:$B$25,K$22:K$25),0)</f>
        <v>150</v>
      </c>
      <c r="V37" s="3">
        <f>ROUND(英雄成长!T18*_xlfn.XLOOKUP($E37,$B$10:$B$19,L$10:L$19)*_xlfn.XLOOKUP($D37,$B$3:$B$7,L$3:L$7)*_xlfn.XLOOKUP($B37,$B$22:$B$25,L$22:L$25),0)</f>
        <v>100</v>
      </c>
      <c r="W37" s="3">
        <f>ROUND(英雄成长!U18*_xlfn.XLOOKUP($E37,$B$10:$B$19,M$10:M$19)*_xlfn.XLOOKUP($D37,$B$3:$B$7,M$3:M$7)*_xlfn.XLOOKUP($B37,$B$22:$B$25,M$22:M$25),0)</f>
        <v>1</v>
      </c>
    </row>
    <row r="38" spans="2:23">
      <c r="B38" s="3" t="s">
        <v>468</v>
      </c>
      <c r="C38" s="3">
        <v>10</v>
      </c>
      <c r="D38" s="3" t="s">
        <v>483</v>
      </c>
      <c r="E38" s="3" t="s">
        <v>490</v>
      </c>
      <c r="F38" s="3">
        <f>ROUND(1/体验规划!$C$7*英雄成长!K19/(系统框架!$F$15/(系统框架!$F$15+系统框架!$F$14))*_xlfn.XLOOKUP($E38,$B$10:$B$19,C$10:C$19)*_xlfn.XLOOKUP($D38,$B$3:$B$7,C$3:C$7)*_xlfn.XLOOKUP(B38,$B$22:$B$25,C$22:C$25),0)</f>
        <v>89</v>
      </c>
      <c r="G38" s="3">
        <f>ROUND(1/体验规划!$C$7*英雄成长!K19/(系统框架!$F$15/(系统框架!$F$15+系统框架!$F$14))*_xlfn.XLOOKUP($E38,$B$10:$B$19,D$10:D$19)*_xlfn.XLOOKUP($D38,$B$3:$B$7,D$3:D$7)*_xlfn.XLOOKUP(B38,$B$22:$B$25,D$22:D$25),0)</f>
        <v>0</v>
      </c>
      <c r="H38" s="3">
        <f>ROUND(体验规划!$C$8*(英雄成长!I19/(系统框架!$F$15))*_xlfn.XLOOKUP($E38,$B$10:$B$19,E$10:E$19)*_xlfn.XLOOKUP($D38,$B$3:$B$7,E$3:E$7)*_xlfn.XLOOKUP($B38,$B$22:$B$25,E$22:E$25),0)</f>
        <v>1083</v>
      </c>
      <c r="I38" s="3">
        <f>ROUND(英雄成长!M19*_xlfn.XLOOKUP($E38,$B$10:$B$19,F$10:F$19)*_xlfn.XLOOKUP($D38,$B$3:$B$7,F$3:F$7)*_xlfn.XLOOKUP($B38,$B$22:$B$25,F$22:F$25),0)</f>
        <v>80</v>
      </c>
      <c r="J38" s="3">
        <f>ROUND(英雄成长!N19*_xlfn.XLOOKUP($E38,$B$10:$B$19,G$10:G$19)*_xlfn.XLOOKUP($D38,$B$3:$B$7,G$3:G$7)*_xlfn.XLOOKUP($B38,$B$22:$B$25,G$22:G$25),0)</f>
        <v>10</v>
      </c>
      <c r="K38" s="3">
        <f>ROUND(英雄成长!O19*_xlfn.XLOOKUP($E38,$B$10:$B$19,H$10:H$19)*_xlfn.XLOOKUP($D38,$B$3:$B$7,H$3:H$7)*_xlfn.XLOOKUP($B38,$B$22:$B$25,H$22:H$25),0)</f>
        <v>90</v>
      </c>
      <c r="L38" s="3">
        <f t="shared" si="1"/>
        <v>0</v>
      </c>
      <c r="M38" s="3">
        <f t="shared" si="2"/>
        <v>0</v>
      </c>
      <c r="N38" s="3">
        <f t="shared" si="3"/>
        <v>0</v>
      </c>
      <c r="O38" s="3">
        <f t="shared" si="4"/>
        <v>0</v>
      </c>
      <c r="P38" s="3">
        <f t="shared" si="5"/>
        <v>0</v>
      </c>
      <c r="Q38" s="3">
        <f t="shared" si="6"/>
        <v>0</v>
      </c>
      <c r="R38" s="3">
        <f t="shared" si="7"/>
        <v>0</v>
      </c>
      <c r="S38" s="3">
        <f>ROUND(英雄成长!P19*_xlfn.XLOOKUP($E38,$B$10:$B$19,I$10:I$19)*_xlfn.XLOOKUP($D38,$B$3:$B$7,I$3:I$7)*_xlfn.XLOOKUP($B38,$B$22:$B$25,I$22:I$25),0)</f>
        <v>20</v>
      </c>
      <c r="T38" s="3">
        <f>ROUND(英雄成长!Q19*_xlfn.XLOOKUP($E38,$B$10:$B$19,J$10:J$19)*_xlfn.XLOOKUP($D38,$B$3:$B$7,J$3:J$7)*_xlfn.XLOOKUP($B38,$B$22:$B$25,J$22:J$25),0)</f>
        <v>0</v>
      </c>
      <c r="U38" s="3">
        <f>ROUND(英雄成长!R19*_xlfn.XLOOKUP($E38,$B$10:$B$19,K$10:K$19)*_xlfn.XLOOKUP($D38,$B$3:$B$7,K$3:K$7)*_xlfn.XLOOKUP($B38,$B$22:$B$25,K$22:K$25),0)</f>
        <v>150</v>
      </c>
      <c r="V38" s="3">
        <f>ROUND(英雄成长!T19*_xlfn.XLOOKUP($E38,$B$10:$B$19,L$10:L$19)*_xlfn.XLOOKUP($D38,$B$3:$B$7,L$3:L$7)*_xlfn.XLOOKUP($B38,$B$22:$B$25,L$22:L$25),0)</f>
        <v>100</v>
      </c>
      <c r="W38" s="3">
        <f>ROUND(英雄成长!U19*_xlfn.XLOOKUP($E38,$B$10:$B$19,M$10:M$19)*_xlfn.XLOOKUP($D38,$B$3:$B$7,M$3:M$7)*_xlfn.XLOOKUP($B38,$B$22:$B$25,M$22:M$25),0)</f>
        <v>1</v>
      </c>
    </row>
    <row r="39" spans="2:23">
      <c r="B39" s="3" t="s">
        <v>468</v>
      </c>
      <c r="C39" s="3">
        <v>11</v>
      </c>
      <c r="D39" s="3" t="s">
        <v>483</v>
      </c>
      <c r="E39" s="3" t="s">
        <v>490</v>
      </c>
      <c r="F39" s="3">
        <f>ROUND(1/体验规划!$C$7*英雄成长!K20/(系统框架!$F$15/(系统框架!$F$15+系统框架!$F$14))*_xlfn.XLOOKUP($E39,$B$10:$B$19,C$10:C$19)*_xlfn.XLOOKUP($D39,$B$3:$B$7,C$3:C$7)*_xlfn.XLOOKUP(B39,$B$22:$B$25,C$22:C$25),0)</f>
        <v>96</v>
      </c>
      <c r="G39" s="3">
        <f>ROUND(1/体验规划!$C$7*英雄成长!K20/(系统框架!$F$15/(系统框架!$F$15+系统框架!$F$14))*_xlfn.XLOOKUP($E39,$B$10:$B$19,D$10:D$19)*_xlfn.XLOOKUP($D39,$B$3:$B$7,D$3:D$7)*_xlfn.XLOOKUP(B39,$B$22:$B$25,D$22:D$25),0)</f>
        <v>0</v>
      </c>
      <c r="H39" s="3">
        <f>ROUND(体验规划!$C$8*(英雄成长!I20/(系统框架!$F$15))*_xlfn.XLOOKUP($E39,$B$10:$B$19,E$10:E$19)*_xlfn.XLOOKUP($D39,$B$3:$B$7,E$3:E$7)*_xlfn.XLOOKUP($B39,$B$22:$B$25,E$22:E$25),0)</f>
        <v>1333</v>
      </c>
      <c r="I39" s="3">
        <f>ROUND(英雄成长!M20*_xlfn.XLOOKUP($E39,$B$10:$B$19,F$10:F$19)*_xlfn.XLOOKUP($D39,$B$3:$B$7,F$3:F$7)*_xlfn.XLOOKUP($B39,$B$22:$B$25,F$22:F$25),0)</f>
        <v>82</v>
      </c>
      <c r="J39" s="3">
        <f>ROUND(英雄成长!N20*_xlfn.XLOOKUP($E39,$B$10:$B$19,G$10:G$19)*_xlfn.XLOOKUP($D39,$B$3:$B$7,G$3:G$7)*_xlfn.XLOOKUP($B39,$B$22:$B$25,G$22:G$25),0)</f>
        <v>12</v>
      </c>
      <c r="K39" s="3">
        <f>ROUND(英雄成长!O20*_xlfn.XLOOKUP($E39,$B$10:$B$19,H$10:H$19)*_xlfn.XLOOKUP($D39,$B$3:$B$7,H$3:H$7)*_xlfn.XLOOKUP($B39,$B$22:$B$25,H$22:H$25),0)</f>
        <v>110</v>
      </c>
      <c r="L39" s="3">
        <f t="shared" si="1"/>
        <v>0</v>
      </c>
      <c r="M39" s="3">
        <f t="shared" si="2"/>
        <v>0</v>
      </c>
      <c r="N39" s="3">
        <f t="shared" si="3"/>
        <v>0</v>
      </c>
      <c r="O39" s="3">
        <f t="shared" si="4"/>
        <v>0</v>
      </c>
      <c r="P39" s="3">
        <f t="shared" si="5"/>
        <v>0</v>
      </c>
      <c r="Q39" s="3">
        <f t="shared" si="6"/>
        <v>0</v>
      </c>
      <c r="R39" s="3">
        <f t="shared" si="7"/>
        <v>0</v>
      </c>
      <c r="S39" s="3">
        <f>ROUND(英雄成长!P20*_xlfn.XLOOKUP($E39,$B$10:$B$19,I$10:I$19)*_xlfn.XLOOKUP($D39,$B$3:$B$7,I$3:I$7)*_xlfn.XLOOKUP($B39,$B$22:$B$25,I$22:I$25),0)</f>
        <v>20</v>
      </c>
      <c r="T39" s="3">
        <f>ROUND(英雄成长!Q20*_xlfn.XLOOKUP($E39,$B$10:$B$19,J$10:J$19)*_xlfn.XLOOKUP($D39,$B$3:$B$7,J$3:J$7)*_xlfn.XLOOKUP($B39,$B$22:$B$25,J$22:J$25),0)</f>
        <v>0</v>
      </c>
      <c r="U39" s="3">
        <f>ROUND(英雄成长!R20*_xlfn.XLOOKUP($E39,$B$10:$B$19,K$10:K$19)*_xlfn.XLOOKUP($D39,$B$3:$B$7,K$3:K$7)*_xlfn.XLOOKUP($B39,$B$22:$B$25,K$22:K$25),0)</f>
        <v>150</v>
      </c>
      <c r="V39" s="3">
        <f>ROUND(英雄成长!T20*_xlfn.XLOOKUP($E39,$B$10:$B$19,L$10:L$19)*_xlfn.XLOOKUP($D39,$B$3:$B$7,L$3:L$7)*_xlfn.XLOOKUP($B39,$B$22:$B$25,L$22:L$25),0)</f>
        <v>100</v>
      </c>
      <c r="W39" s="3">
        <f>ROUND(英雄成长!U20*_xlfn.XLOOKUP($E39,$B$10:$B$19,M$10:M$19)*_xlfn.XLOOKUP($D39,$B$3:$B$7,M$3:M$7)*_xlfn.XLOOKUP($B39,$B$22:$B$25,M$22:M$25),0)</f>
        <v>1</v>
      </c>
    </row>
    <row r="40" spans="2:23">
      <c r="B40" s="3" t="s">
        <v>468</v>
      </c>
      <c r="C40" s="3">
        <v>12</v>
      </c>
      <c r="D40" s="3" t="s">
        <v>483</v>
      </c>
      <c r="E40" s="3" t="s">
        <v>490</v>
      </c>
      <c r="F40" s="3">
        <f>ROUND(1/体验规划!$C$7*英雄成长!K21/(系统框架!$F$15/(系统框架!$F$15+系统框架!$F$14))*_xlfn.XLOOKUP($E40,$B$10:$B$19,C$10:C$19)*_xlfn.XLOOKUP($D40,$B$3:$B$7,C$3:C$7)*_xlfn.XLOOKUP(B40,$B$22:$B$25,C$22:C$25),0)</f>
        <v>101</v>
      </c>
      <c r="G40" s="3">
        <f>ROUND(1/体验规划!$C$7*英雄成长!K21/(系统框架!$F$15/(系统框架!$F$15+系统框架!$F$14))*_xlfn.XLOOKUP($E40,$B$10:$B$19,D$10:D$19)*_xlfn.XLOOKUP($D40,$B$3:$B$7,D$3:D$7)*_xlfn.XLOOKUP(B40,$B$22:$B$25,D$22:D$25),0)</f>
        <v>0</v>
      </c>
      <c r="H40" s="3">
        <f>ROUND(体验规划!$C$8*(英雄成长!I21/(系统框架!$F$15))*_xlfn.XLOOKUP($E40,$B$10:$B$19,E$10:E$19)*_xlfn.XLOOKUP($D40,$B$3:$B$7,E$3:E$7)*_xlfn.XLOOKUP($B40,$B$22:$B$25,E$22:E$25),0)</f>
        <v>1433</v>
      </c>
      <c r="I40" s="3">
        <f>ROUND(英雄成长!M21*_xlfn.XLOOKUP($E40,$B$10:$B$19,F$10:F$19)*_xlfn.XLOOKUP($D40,$B$3:$B$7,F$3:F$7)*_xlfn.XLOOKUP($B40,$B$22:$B$25,F$22:F$25),0)</f>
        <v>82</v>
      </c>
      <c r="J40" s="3">
        <f>ROUND(英雄成长!N21*_xlfn.XLOOKUP($E40,$B$10:$B$19,G$10:G$19)*_xlfn.XLOOKUP($D40,$B$3:$B$7,G$3:G$7)*_xlfn.XLOOKUP($B40,$B$22:$B$25,G$22:G$25),0)</f>
        <v>12</v>
      </c>
      <c r="K40" s="3">
        <f>ROUND(英雄成长!O21*_xlfn.XLOOKUP($E40,$B$10:$B$19,H$10:H$19)*_xlfn.XLOOKUP($D40,$B$3:$B$7,H$3:H$7)*_xlfn.XLOOKUP($B40,$B$22:$B$25,H$22:H$25),0)</f>
        <v>121</v>
      </c>
      <c r="L40" s="3">
        <f t="shared" si="1"/>
        <v>0</v>
      </c>
      <c r="M40" s="3">
        <f t="shared" si="2"/>
        <v>0</v>
      </c>
      <c r="N40" s="3">
        <f t="shared" si="3"/>
        <v>0</v>
      </c>
      <c r="O40" s="3">
        <f t="shared" si="4"/>
        <v>0</v>
      </c>
      <c r="P40" s="3">
        <f t="shared" si="5"/>
        <v>0</v>
      </c>
      <c r="Q40" s="3">
        <f t="shared" si="6"/>
        <v>0</v>
      </c>
      <c r="R40" s="3">
        <f t="shared" si="7"/>
        <v>0</v>
      </c>
      <c r="S40" s="3">
        <f>ROUND(英雄成长!P21*_xlfn.XLOOKUP($E40,$B$10:$B$19,I$10:I$19)*_xlfn.XLOOKUP($D40,$B$3:$B$7,I$3:I$7)*_xlfn.XLOOKUP($B40,$B$22:$B$25,I$22:I$25),0)</f>
        <v>20</v>
      </c>
      <c r="T40" s="3">
        <f>ROUND(英雄成长!Q21*_xlfn.XLOOKUP($E40,$B$10:$B$19,J$10:J$19)*_xlfn.XLOOKUP($D40,$B$3:$B$7,J$3:J$7)*_xlfn.XLOOKUP($B40,$B$22:$B$25,J$22:J$25),0)</f>
        <v>0</v>
      </c>
      <c r="U40" s="3">
        <f>ROUND(英雄成长!R21*_xlfn.XLOOKUP($E40,$B$10:$B$19,K$10:K$19)*_xlfn.XLOOKUP($D40,$B$3:$B$7,K$3:K$7)*_xlfn.XLOOKUP($B40,$B$22:$B$25,K$22:K$25),0)</f>
        <v>150</v>
      </c>
      <c r="V40" s="3">
        <f>ROUND(英雄成长!T21*_xlfn.XLOOKUP($E40,$B$10:$B$19,L$10:L$19)*_xlfn.XLOOKUP($D40,$B$3:$B$7,L$3:L$7)*_xlfn.XLOOKUP($B40,$B$22:$B$25,L$22:L$25),0)</f>
        <v>100</v>
      </c>
      <c r="W40" s="3">
        <f>ROUND(英雄成长!U21*_xlfn.XLOOKUP($E40,$B$10:$B$19,M$10:M$19)*_xlfn.XLOOKUP($D40,$B$3:$B$7,M$3:M$7)*_xlfn.XLOOKUP($B40,$B$22:$B$25,M$22:M$25),0)</f>
        <v>1</v>
      </c>
    </row>
    <row r="41" spans="2:23">
      <c r="B41" s="3" t="s">
        <v>468</v>
      </c>
      <c r="C41" s="3">
        <v>13</v>
      </c>
      <c r="D41" s="3" t="s">
        <v>483</v>
      </c>
      <c r="E41" s="3" t="s">
        <v>490</v>
      </c>
      <c r="F41" s="3">
        <f>ROUND(1/体验规划!$C$7*英雄成长!K22/(系统框架!$F$15/(系统框架!$F$15+系统框架!$F$14))*_xlfn.XLOOKUP($E41,$B$10:$B$19,C$10:C$19)*_xlfn.XLOOKUP($D41,$B$3:$B$7,C$3:C$7)*_xlfn.XLOOKUP(B41,$B$22:$B$25,C$22:C$25),0)</f>
        <v>105</v>
      </c>
      <c r="G41" s="3">
        <f>ROUND(1/体验规划!$C$7*英雄成长!K22/(系统框架!$F$15/(系统框架!$F$15+系统框架!$F$14))*_xlfn.XLOOKUP($E41,$B$10:$B$19,D$10:D$19)*_xlfn.XLOOKUP($D41,$B$3:$B$7,D$3:D$7)*_xlfn.XLOOKUP(B41,$B$22:$B$25,D$22:D$25),0)</f>
        <v>0</v>
      </c>
      <c r="H41" s="3">
        <f>ROUND(体验规划!$C$8*(英雄成长!I22/(系统框架!$F$15))*_xlfn.XLOOKUP($E41,$B$10:$B$19,E$10:E$19)*_xlfn.XLOOKUP($D41,$B$3:$B$7,E$3:E$7)*_xlfn.XLOOKUP($B41,$B$22:$B$25,E$22:E$25),0)</f>
        <v>1533</v>
      </c>
      <c r="I41" s="3">
        <f>ROUND(英雄成长!M22*_xlfn.XLOOKUP($E41,$B$10:$B$19,F$10:F$19)*_xlfn.XLOOKUP($D41,$B$3:$B$7,F$3:F$7)*_xlfn.XLOOKUP($B41,$B$22:$B$25,F$22:F$25),0)</f>
        <v>82</v>
      </c>
      <c r="J41" s="3">
        <f>ROUND(英雄成长!N22*_xlfn.XLOOKUP($E41,$B$10:$B$19,G$10:G$19)*_xlfn.XLOOKUP($D41,$B$3:$B$7,G$3:G$7)*_xlfn.XLOOKUP($B41,$B$22:$B$25,G$22:G$25),0)</f>
        <v>12</v>
      </c>
      <c r="K41" s="3">
        <f>ROUND(英雄成长!O22*_xlfn.XLOOKUP($E41,$B$10:$B$19,H$10:H$19)*_xlfn.XLOOKUP($D41,$B$3:$B$7,H$3:H$7)*_xlfn.XLOOKUP($B41,$B$22:$B$25,H$22:H$25),0)</f>
        <v>132</v>
      </c>
      <c r="L41" s="3">
        <f t="shared" si="1"/>
        <v>0</v>
      </c>
      <c r="M41" s="3">
        <f t="shared" si="2"/>
        <v>0</v>
      </c>
      <c r="N41" s="3">
        <f t="shared" si="3"/>
        <v>0</v>
      </c>
      <c r="O41" s="3">
        <f t="shared" si="4"/>
        <v>0</v>
      </c>
      <c r="P41" s="3">
        <f t="shared" si="5"/>
        <v>0</v>
      </c>
      <c r="Q41" s="3">
        <f t="shared" si="6"/>
        <v>0</v>
      </c>
      <c r="R41" s="3">
        <f t="shared" si="7"/>
        <v>0</v>
      </c>
      <c r="S41" s="3">
        <f>ROUND(英雄成长!P22*_xlfn.XLOOKUP($E41,$B$10:$B$19,I$10:I$19)*_xlfn.XLOOKUP($D41,$B$3:$B$7,I$3:I$7)*_xlfn.XLOOKUP($B41,$B$22:$B$25,I$22:I$25),0)</f>
        <v>20</v>
      </c>
      <c r="T41" s="3">
        <f>ROUND(英雄成长!Q22*_xlfn.XLOOKUP($E41,$B$10:$B$19,J$10:J$19)*_xlfn.XLOOKUP($D41,$B$3:$B$7,J$3:J$7)*_xlfn.XLOOKUP($B41,$B$22:$B$25,J$22:J$25),0)</f>
        <v>0</v>
      </c>
      <c r="U41" s="3">
        <f>ROUND(英雄成长!R22*_xlfn.XLOOKUP($E41,$B$10:$B$19,K$10:K$19)*_xlfn.XLOOKUP($D41,$B$3:$B$7,K$3:K$7)*_xlfn.XLOOKUP($B41,$B$22:$B$25,K$22:K$25),0)</f>
        <v>150</v>
      </c>
      <c r="V41" s="3">
        <f>ROUND(英雄成长!T22*_xlfn.XLOOKUP($E41,$B$10:$B$19,L$10:L$19)*_xlfn.XLOOKUP($D41,$B$3:$B$7,L$3:L$7)*_xlfn.XLOOKUP($B41,$B$22:$B$25,L$22:L$25),0)</f>
        <v>100</v>
      </c>
      <c r="W41" s="3">
        <f>ROUND(英雄成长!U22*_xlfn.XLOOKUP($E41,$B$10:$B$19,M$10:M$19)*_xlfn.XLOOKUP($D41,$B$3:$B$7,M$3:M$7)*_xlfn.XLOOKUP($B41,$B$22:$B$25,M$22:M$25),0)</f>
        <v>1</v>
      </c>
    </row>
    <row r="42" spans="2:23">
      <c r="B42" s="3" t="s">
        <v>468</v>
      </c>
      <c r="C42" s="3">
        <v>14</v>
      </c>
      <c r="D42" s="3" t="s">
        <v>483</v>
      </c>
      <c r="E42" s="3" t="s">
        <v>490</v>
      </c>
      <c r="F42" s="3">
        <f>ROUND(1/体验规划!$C$7*英雄成长!K23/(系统框架!$F$15/(系统框架!$F$15+系统框架!$F$14))*_xlfn.XLOOKUP($E42,$B$10:$B$19,C$10:C$19)*_xlfn.XLOOKUP($D42,$B$3:$B$7,C$3:C$7)*_xlfn.XLOOKUP(B42,$B$22:$B$25,C$22:C$25),0)</f>
        <v>110</v>
      </c>
      <c r="G42" s="3">
        <f>ROUND(1/体验规划!$C$7*英雄成长!K23/(系统框架!$F$15/(系统框架!$F$15+系统框架!$F$14))*_xlfn.XLOOKUP($E42,$B$10:$B$19,D$10:D$19)*_xlfn.XLOOKUP($D42,$B$3:$B$7,D$3:D$7)*_xlfn.XLOOKUP(B42,$B$22:$B$25,D$22:D$25),0)</f>
        <v>0</v>
      </c>
      <c r="H42" s="3">
        <f>ROUND(体验规划!$C$8*(英雄成长!I23/(系统框架!$F$15))*_xlfn.XLOOKUP($E42,$B$10:$B$19,E$10:E$19)*_xlfn.XLOOKUP($D42,$B$3:$B$7,E$3:E$7)*_xlfn.XLOOKUP($B42,$B$22:$B$25,E$22:E$25),0)</f>
        <v>1633</v>
      </c>
      <c r="I42" s="3">
        <f>ROUND(英雄成长!M23*_xlfn.XLOOKUP($E42,$B$10:$B$19,F$10:F$19)*_xlfn.XLOOKUP($D42,$B$3:$B$7,F$3:F$7)*_xlfn.XLOOKUP($B42,$B$22:$B$25,F$22:F$25),0)</f>
        <v>82</v>
      </c>
      <c r="J42" s="3">
        <f>ROUND(英雄成长!N23*_xlfn.XLOOKUP($E42,$B$10:$B$19,G$10:G$19)*_xlfn.XLOOKUP($D42,$B$3:$B$7,G$3:G$7)*_xlfn.XLOOKUP($B42,$B$22:$B$25,G$22:G$25),0)</f>
        <v>12</v>
      </c>
      <c r="K42" s="3">
        <f>ROUND(英雄成长!O23*_xlfn.XLOOKUP($E42,$B$10:$B$19,H$10:H$19)*_xlfn.XLOOKUP($D42,$B$3:$B$7,H$3:H$7)*_xlfn.XLOOKUP($B42,$B$22:$B$25,H$22:H$25),0)</f>
        <v>143</v>
      </c>
      <c r="L42" s="3">
        <f t="shared" si="1"/>
        <v>0</v>
      </c>
      <c r="M42" s="3">
        <f t="shared" si="2"/>
        <v>0</v>
      </c>
      <c r="N42" s="3">
        <f t="shared" si="3"/>
        <v>0</v>
      </c>
      <c r="O42" s="3">
        <f t="shared" si="4"/>
        <v>0</v>
      </c>
      <c r="P42" s="3">
        <f t="shared" si="5"/>
        <v>0</v>
      </c>
      <c r="Q42" s="3">
        <f t="shared" si="6"/>
        <v>0</v>
      </c>
      <c r="R42" s="3">
        <f t="shared" si="7"/>
        <v>0</v>
      </c>
      <c r="S42" s="3">
        <f>ROUND(英雄成长!P23*_xlfn.XLOOKUP($E42,$B$10:$B$19,I$10:I$19)*_xlfn.XLOOKUP($D42,$B$3:$B$7,I$3:I$7)*_xlfn.XLOOKUP($B42,$B$22:$B$25,I$22:I$25),0)</f>
        <v>20</v>
      </c>
      <c r="T42" s="3">
        <f>ROUND(英雄成长!Q23*_xlfn.XLOOKUP($E42,$B$10:$B$19,J$10:J$19)*_xlfn.XLOOKUP($D42,$B$3:$B$7,J$3:J$7)*_xlfn.XLOOKUP($B42,$B$22:$B$25,J$22:J$25),0)</f>
        <v>0</v>
      </c>
      <c r="U42" s="3">
        <f>ROUND(英雄成长!R23*_xlfn.XLOOKUP($E42,$B$10:$B$19,K$10:K$19)*_xlfn.XLOOKUP($D42,$B$3:$B$7,K$3:K$7)*_xlfn.XLOOKUP($B42,$B$22:$B$25,K$22:K$25),0)</f>
        <v>150</v>
      </c>
      <c r="V42" s="3">
        <f>ROUND(英雄成长!T23*_xlfn.XLOOKUP($E42,$B$10:$B$19,L$10:L$19)*_xlfn.XLOOKUP($D42,$B$3:$B$7,L$3:L$7)*_xlfn.XLOOKUP($B42,$B$22:$B$25,L$22:L$25),0)</f>
        <v>100</v>
      </c>
      <c r="W42" s="3">
        <f>ROUND(英雄成长!U23*_xlfn.XLOOKUP($E42,$B$10:$B$19,M$10:M$19)*_xlfn.XLOOKUP($D42,$B$3:$B$7,M$3:M$7)*_xlfn.XLOOKUP($B42,$B$22:$B$25,M$22:M$25),0)</f>
        <v>1</v>
      </c>
    </row>
    <row r="43" spans="2:23">
      <c r="B43" s="3" t="s">
        <v>468</v>
      </c>
      <c r="C43" s="3">
        <v>15</v>
      </c>
      <c r="D43" s="3" t="s">
        <v>483</v>
      </c>
      <c r="E43" s="3" t="s">
        <v>490</v>
      </c>
      <c r="F43" s="3">
        <f>ROUND(1/体验规划!$C$7*英雄成长!K24/(系统框架!$F$15/(系统框架!$F$15+系统框架!$F$14))*_xlfn.XLOOKUP($E43,$B$10:$B$19,C$10:C$19)*_xlfn.XLOOKUP($D43,$B$3:$B$7,C$3:C$7)*_xlfn.XLOOKUP(B43,$B$22:$B$25,C$22:C$25),0)</f>
        <v>115</v>
      </c>
      <c r="G43" s="3">
        <f>ROUND(1/体验规划!$C$7*英雄成长!K24/(系统框架!$F$15/(系统框架!$F$15+系统框架!$F$14))*_xlfn.XLOOKUP($E43,$B$10:$B$19,D$10:D$19)*_xlfn.XLOOKUP($D43,$B$3:$B$7,D$3:D$7)*_xlfn.XLOOKUP(B43,$B$22:$B$25,D$22:D$25),0)</f>
        <v>0</v>
      </c>
      <c r="H43" s="3">
        <f>ROUND(体验规划!$C$8*(英雄成长!I24/(系统框架!$F$15))*_xlfn.XLOOKUP($E43,$B$10:$B$19,E$10:E$19)*_xlfn.XLOOKUP($D43,$B$3:$B$7,E$3:E$7)*_xlfn.XLOOKUP($B43,$B$22:$B$25,E$22:E$25),0)</f>
        <v>1733</v>
      </c>
      <c r="I43" s="3">
        <f>ROUND(英雄成长!M24*_xlfn.XLOOKUP($E43,$B$10:$B$19,F$10:F$19)*_xlfn.XLOOKUP($D43,$B$3:$B$7,F$3:F$7)*_xlfn.XLOOKUP($B43,$B$22:$B$25,F$22:F$25),0)</f>
        <v>82</v>
      </c>
      <c r="J43" s="3">
        <f>ROUND(英雄成长!N24*_xlfn.XLOOKUP($E43,$B$10:$B$19,G$10:G$19)*_xlfn.XLOOKUP($D43,$B$3:$B$7,G$3:G$7)*_xlfn.XLOOKUP($B43,$B$22:$B$25,G$22:G$25),0)</f>
        <v>12</v>
      </c>
      <c r="K43" s="3">
        <f>ROUND(英雄成长!O24*_xlfn.XLOOKUP($E43,$B$10:$B$19,H$10:H$19)*_xlfn.XLOOKUP($D43,$B$3:$B$7,H$3:H$7)*_xlfn.XLOOKUP($B43,$B$22:$B$25,H$22:H$25),0)</f>
        <v>154</v>
      </c>
      <c r="L43" s="3">
        <f t="shared" si="1"/>
        <v>0</v>
      </c>
      <c r="M43" s="3">
        <f t="shared" si="2"/>
        <v>0</v>
      </c>
      <c r="N43" s="3">
        <f t="shared" si="3"/>
        <v>0</v>
      </c>
      <c r="O43" s="3">
        <f t="shared" si="4"/>
        <v>0</v>
      </c>
      <c r="P43" s="3">
        <f t="shared" si="5"/>
        <v>0</v>
      </c>
      <c r="Q43" s="3">
        <f t="shared" si="6"/>
        <v>0</v>
      </c>
      <c r="R43" s="3">
        <f t="shared" si="7"/>
        <v>0</v>
      </c>
      <c r="S43" s="3">
        <f>ROUND(英雄成长!P24*_xlfn.XLOOKUP($E43,$B$10:$B$19,I$10:I$19)*_xlfn.XLOOKUP($D43,$B$3:$B$7,I$3:I$7)*_xlfn.XLOOKUP($B43,$B$22:$B$25,I$22:I$25),0)</f>
        <v>20</v>
      </c>
      <c r="T43" s="3">
        <f>ROUND(英雄成长!Q24*_xlfn.XLOOKUP($E43,$B$10:$B$19,J$10:J$19)*_xlfn.XLOOKUP($D43,$B$3:$B$7,J$3:J$7)*_xlfn.XLOOKUP($B43,$B$22:$B$25,J$22:J$25),0)</f>
        <v>0</v>
      </c>
      <c r="U43" s="3">
        <f>ROUND(英雄成长!R24*_xlfn.XLOOKUP($E43,$B$10:$B$19,K$10:K$19)*_xlfn.XLOOKUP($D43,$B$3:$B$7,K$3:K$7)*_xlfn.XLOOKUP($B43,$B$22:$B$25,K$22:K$25),0)</f>
        <v>150</v>
      </c>
      <c r="V43" s="3">
        <f>ROUND(英雄成长!T24*_xlfn.XLOOKUP($E43,$B$10:$B$19,L$10:L$19)*_xlfn.XLOOKUP($D43,$B$3:$B$7,L$3:L$7)*_xlfn.XLOOKUP($B43,$B$22:$B$25,L$22:L$25),0)</f>
        <v>100</v>
      </c>
      <c r="W43" s="3">
        <f>ROUND(英雄成长!U24*_xlfn.XLOOKUP($E43,$B$10:$B$19,M$10:M$19)*_xlfn.XLOOKUP($D43,$B$3:$B$7,M$3:M$7)*_xlfn.XLOOKUP($B43,$B$22:$B$25,M$22:M$25),0)</f>
        <v>1</v>
      </c>
    </row>
    <row r="44" spans="2:23">
      <c r="B44" s="3" t="s">
        <v>468</v>
      </c>
      <c r="C44" s="3">
        <v>16</v>
      </c>
      <c r="D44" s="3" t="s">
        <v>483</v>
      </c>
      <c r="E44" s="3" t="s">
        <v>490</v>
      </c>
      <c r="F44" s="3">
        <f>ROUND(1/体验规划!$C$7*英雄成长!K25/(系统框架!$F$15/(系统框架!$F$15+系统框架!$F$14))*_xlfn.XLOOKUP($E44,$B$10:$B$19,C$10:C$19)*_xlfn.XLOOKUP($D44,$B$3:$B$7,C$3:C$7)*_xlfn.XLOOKUP(B44,$B$22:$B$25,C$22:C$25),0)</f>
        <v>120</v>
      </c>
      <c r="G44" s="3">
        <f>ROUND(1/体验规划!$C$7*英雄成长!K25/(系统框架!$F$15/(系统框架!$F$15+系统框架!$F$14))*_xlfn.XLOOKUP($E44,$B$10:$B$19,D$10:D$19)*_xlfn.XLOOKUP($D44,$B$3:$B$7,D$3:D$7)*_xlfn.XLOOKUP(B44,$B$22:$B$25,D$22:D$25),0)</f>
        <v>0</v>
      </c>
      <c r="H44" s="3">
        <f>ROUND(体验规划!$C$8*(英雄成长!I25/(系统框架!$F$15))*_xlfn.XLOOKUP($E44,$B$10:$B$19,E$10:E$19)*_xlfn.XLOOKUP($D44,$B$3:$B$7,E$3:E$7)*_xlfn.XLOOKUP($B44,$B$22:$B$25,E$22:E$25),0)</f>
        <v>1833</v>
      </c>
      <c r="I44" s="3">
        <f>ROUND(英雄成长!M25*_xlfn.XLOOKUP($E44,$B$10:$B$19,F$10:F$19)*_xlfn.XLOOKUP($D44,$B$3:$B$7,F$3:F$7)*_xlfn.XLOOKUP($B44,$B$22:$B$25,F$22:F$25),0)</f>
        <v>82</v>
      </c>
      <c r="J44" s="3">
        <f>ROUND(英雄成长!N25*_xlfn.XLOOKUP($E44,$B$10:$B$19,G$10:G$19)*_xlfn.XLOOKUP($D44,$B$3:$B$7,G$3:G$7)*_xlfn.XLOOKUP($B44,$B$22:$B$25,G$22:G$25),0)</f>
        <v>12</v>
      </c>
      <c r="K44" s="3">
        <f>ROUND(英雄成长!O25*_xlfn.XLOOKUP($E44,$B$10:$B$19,H$10:H$19)*_xlfn.XLOOKUP($D44,$B$3:$B$7,H$3:H$7)*_xlfn.XLOOKUP($B44,$B$22:$B$25,H$22:H$25),0)</f>
        <v>165</v>
      </c>
      <c r="L44" s="3">
        <f t="shared" si="1"/>
        <v>0</v>
      </c>
      <c r="M44" s="3">
        <f t="shared" si="2"/>
        <v>0</v>
      </c>
      <c r="N44" s="3">
        <f t="shared" si="3"/>
        <v>0</v>
      </c>
      <c r="O44" s="3">
        <f t="shared" si="4"/>
        <v>0</v>
      </c>
      <c r="P44" s="3">
        <f t="shared" si="5"/>
        <v>0</v>
      </c>
      <c r="Q44" s="3">
        <f t="shared" si="6"/>
        <v>0</v>
      </c>
      <c r="R44" s="3">
        <f t="shared" si="7"/>
        <v>0</v>
      </c>
      <c r="S44" s="3">
        <f>ROUND(英雄成长!P25*_xlfn.XLOOKUP($E44,$B$10:$B$19,I$10:I$19)*_xlfn.XLOOKUP($D44,$B$3:$B$7,I$3:I$7)*_xlfn.XLOOKUP($B44,$B$22:$B$25,I$22:I$25),0)</f>
        <v>20</v>
      </c>
      <c r="T44" s="3">
        <f>ROUND(英雄成长!Q25*_xlfn.XLOOKUP($E44,$B$10:$B$19,J$10:J$19)*_xlfn.XLOOKUP($D44,$B$3:$B$7,J$3:J$7)*_xlfn.XLOOKUP($B44,$B$22:$B$25,J$22:J$25),0)</f>
        <v>0</v>
      </c>
      <c r="U44" s="3">
        <f>ROUND(英雄成长!R25*_xlfn.XLOOKUP($E44,$B$10:$B$19,K$10:K$19)*_xlfn.XLOOKUP($D44,$B$3:$B$7,K$3:K$7)*_xlfn.XLOOKUP($B44,$B$22:$B$25,K$22:K$25),0)</f>
        <v>150</v>
      </c>
      <c r="V44" s="3">
        <f>ROUND(英雄成长!T25*_xlfn.XLOOKUP($E44,$B$10:$B$19,L$10:L$19)*_xlfn.XLOOKUP($D44,$B$3:$B$7,L$3:L$7)*_xlfn.XLOOKUP($B44,$B$22:$B$25,L$22:L$25),0)</f>
        <v>100</v>
      </c>
      <c r="W44" s="3">
        <f>ROUND(英雄成长!U25*_xlfn.XLOOKUP($E44,$B$10:$B$19,M$10:M$19)*_xlfn.XLOOKUP($D44,$B$3:$B$7,M$3:M$7)*_xlfn.XLOOKUP($B44,$B$22:$B$25,M$22:M$25),0)</f>
        <v>1</v>
      </c>
    </row>
    <row r="45" spans="2:23">
      <c r="B45" s="3" t="s">
        <v>468</v>
      </c>
      <c r="C45" s="3">
        <v>17</v>
      </c>
      <c r="D45" s="3" t="s">
        <v>483</v>
      </c>
      <c r="E45" s="3" t="s">
        <v>490</v>
      </c>
      <c r="F45" s="3">
        <f>ROUND(1/体验规划!$C$7*英雄成长!K26/(系统框架!$F$15/(系统框架!$F$15+系统框架!$F$14))*_xlfn.XLOOKUP($E45,$B$10:$B$19,C$10:C$19)*_xlfn.XLOOKUP($D45,$B$3:$B$7,C$3:C$7)*_xlfn.XLOOKUP(B45,$B$22:$B$25,C$22:C$25),0)</f>
        <v>125</v>
      </c>
      <c r="G45" s="3">
        <f>ROUND(1/体验规划!$C$7*英雄成长!K26/(系统框架!$F$15/(系统框架!$F$15+系统框架!$F$14))*_xlfn.XLOOKUP($E45,$B$10:$B$19,D$10:D$19)*_xlfn.XLOOKUP($D45,$B$3:$B$7,D$3:D$7)*_xlfn.XLOOKUP(B45,$B$22:$B$25,D$22:D$25),0)</f>
        <v>0</v>
      </c>
      <c r="H45" s="3">
        <f>ROUND(体验规划!$C$8*(英雄成长!I26/(系统框架!$F$15))*_xlfn.XLOOKUP($E45,$B$10:$B$19,E$10:E$19)*_xlfn.XLOOKUP($D45,$B$3:$B$7,E$3:E$7)*_xlfn.XLOOKUP($B45,$B$22:$B$25,E$22:E$25),0)</f>
        <v>1933</v>
      </c>
      <c r="I45" s="3">
        <f>ROUND(英雄成长!M26*_xlfn.XLOOKUP($E45,$B$10:$B$19,F$10:F$19)*_xlfn.XLOOKUP($D45,$B$3:$B$7,F$3:F$7)*_xlfn.XLOOKUP($B45,$B$22:$B$25,F$22:F$25),0)</f>
        <v>82</v>
      </c>
      <c r="J45" s="3">
        <f>ROUND(英雄成长!N26*_xlfn.XLOOKUP($E45,$B$10:$B$19,G$10:G$19)*_xlfn.XLOOKUP($D45,$B$3:$B$7,G$3:G$7)*_xlfn.XLOOKUP($B45,$B$22:$B$25,G$22:G$25),0)</f>
        <v>12</v>
      </c>
      <c r="K45" s="3">
        <f>ROUND(英雄成长!O26*_xlfn.XLOOKUP($E45,$B$10:$B$19,H$10:H$19)*_xlfn.XLOOKUP($D45,$B$3:$B$7,H$3:H$7)*_xlfn.XLOOKUP($B45,$B$22:$B$25,H$22:H$25),0)</f>
        <v>176</v>
      </c>
      <c r="L45" s="3">
        <f t="shared" si="1"/>
        <v>0</v>
      </c>
      <c r="M45" s="3">
        <f t="shared" si="2"/>
        <v>0</v>
      </c>
      <c r="N45" s="3">
        <f t="shared" si="3"/>
        <v>0</v>
      </c>
      <c r="O45" s="3">
        <f t="shared" si="4"/>
        <v>0</v>
      </c>
      <c r="P45" s="3">
        <f t="shared" si="5"/>
        <v>0</v>
      </c>
      <c r="Q45" s="3">
        <f t="shared" si="6"/>
        <v>0</v>
      </c>
      <c r="R45" s="3">
        <f t="shared" si="7"/>
        <v>0</v>
      </c>
      <c r="S45" s="3">
        <f>ROUND(英雄成长!P26*_xlfn.XLOOKUP($E45,$B$10:$B$19,I$10:I$19)*_xlfn.XLOOKUP($D45,$B$3:$B$7,I$3:I$7)*_xlfn.XLOOKUP($B45,$B$22:$B$25,I$22:I$25),0)</f>
        <v>20</v>
      </c>
      <c r="T45" s="3">
        <f>ROUND(英雄成长!Q26*_xlfn.XLOOKUP($E45,$B$10:$B$19,J$10:J$19)*_xlfn.XLOOKUP($D45,$B$3:$B$7,J$3:J$7)*_xlfn.XLOOKUP($B45,$B$22:$B$25,J$22:J$25),0)</f>
        <v>0</v>
      </c>
      <c r="U45" s="3">
        <f>ROUND(英雄成长!R26*_xlfn.XLOOKUP($E45,$B$10:$B$19,K$10:K$19)*_xlfn.XLOOKUP($D45,$B$3:$B$7,K$3:K$7)*_xlfn.XLOOKUP($B45,$B$22:$B$25,K$22:K$25),0)</f>
        <v>150</v>
      </c>
      <c r="V45" s="3">
        <f>ROUND(英雄成长!T26*_xlfn.XLOOKUP($E45,$B$10:$B$19,L$10:L$19)*_xlfn.XLOOKUP($D45,$B$3:$B$7,L$3:L$7)*_xlfn.XLOOKUP($B45,$B$22:$B$25,L$22:L$25),0)</f>
        <v>100</v>
      </c>
      <c r="W45" s="3">
        <f>ROUND(英雄成长!U26*_xlfn.XLOOKUP($E45,$B$10:$B$19,M$10:M$19)*_xlfn.XLOOKUP($D45,$B$3:$B$7,M$3:M$7)*_xlfn.XLOOKUP($B45,$B$22:$B$25,M$22:M$25),0)</f>
        <v>1</v>
      </c>
    </row>
    <row r="46" spans="2:23">
      <c r="B46" s="3" t="s">
        <v>468</v>
      </c>
      <c r="C46" s="3">
        <v>18</v>
      </c>
      <c r="D46" s="3" t="s">
        <v>483</v>
      </c>
      <c r="E46" s="3" t="s">
        <v>490</v>
      </c>
      <c r="F46" s="3">
        <f>ROUND(1/体验规划!$C$7*英雄成长!K27/(系统框架!$F$15/(系统框架!$F$15+系统框架!$F$14))*_xlfn.XLOOKUP($E46,$B$10:$B$19,C$10:C$19)*_xlfn.XLOOKUP($D46,$B$3:$B$7,C$3:C$7)*_xlfn.XLOOKUP(B46,$B$22:$B$25,C$22:C$25),0)</f>
        <v>130</v>
      </c>
      <c r="G46" s="3">
        <f>ROUND(1/体验规划!$C$7*英雄成长!K27/(系统框架!$F$15/(系统框架!$F$15+系统框架!$F$14))*_xlfn.XLOOKUP($E46,$B$10:$B$19,D$10:D$19)*_xlfn.XLOOKUP($D46,$B$3:$B$7,D$3:D$7)*_xlfn.XLOOKUP(B46,$B$22:$B$25,D$22:D$25),0)</f>
        <v>0</v>
      </c>
      <c r="H46" s="3">
        <f>ROUND(体验规划!$C$8*(英雄成长!I27/(系统框架!$F$15))*_xlfn.XLOOKUP($E46,$B$10:$B$19,E$10:E$19)*_xlfn.XLOOKUP($D46,$B$3:$B$7,E$3:E$7)*_xlfn.XLOOKUP($B46,$B$22:$B$25,E$22:E$25),0)</f>
        <v>2033</v>
      </c>
      <c r="I46" s="3">
        <f>ROUND(英雄成长!M27*_xlfn.XLOOKUP($E46,$B$10:$B$19,F$10:F$19)*_xlfn.XLOOKUP($D46,$B$3:$B$7,F$3:F$7)*_xlfn.XLOOKUP($B46,$B$22:$B$25,F$22:F$25),0)</f>
        <v>83</v>
      </c>
      <c r="J46" s="3">
        <f>ROUND(英雄成长!N27*_xlfn.XLOOKUP($E46,$B$10:$B$19,G$10:G$19)*_xlfn.XLOOKUP($D46,$B$3:$B$7,G$3:G$7)*_xlfn.XLOOKUP($B46,$B$22:$B$25,G$22:G$25),0)</f>
        <v>13</v>
      </c>
      <c r="K46" s="3">
        <f>ROUND(英雄成长!O27*_xlfn.XLOOKUP($E46,$B$10:$B$19,H$10:H$19)*_xlfn.XLOOKUP($D46,$B$3:$B$7,H$3:H$7)*_xlfn.XLOOKUP($B46,$B$22:$B$25,H$22:H$25),0)</f>
        <v>187</v>
      </c>
      <c r="L46" s="3">
        <f t="shared" si="1"/>
        <v>0</v>
      </c>
      <c r="M46" s="3">
        <f t="shared" si="2"/>
        <v>0</v>
      </c>
      <c r="N46" s="3">
        <f t="shared" si="3"/>
        <v>0</v>
      </c>
      <c r="O46" s="3">
        <f t="shared" si="4"/>
        <v>0</v>
      </c>
      <c r="P46" s="3">
        <f t="shared" si="5"/>
        <v>0</v>
      </c>
      <c r="Q46" s="3">
        <f t="shared" si="6"/>
        <v>0</v>
      </c>
      <c r="R46" s="3">
        <f t="shared" si="7"/>
        <v>0</v>
      </c>
      <c r="S46" s="3">
        <f>ROUND(英雄成长!P27*_xlfn.XLOOKUP($E46,$B$10:$B$19,I$10:I$19)*_xlfn.XLOOKUP($D46,$B$3:$B$7,I$3:I$7)*_xlfn.XLOOKUP($B46,$B$22:$B$25,I$22:I$25),0)</f>
        <v>20</v>
      </c>
      <c r="T46" s="3">
        <f>ROUND(英雄成长!Q27*_xlfn.XLOOKUP($E46,$B$10:$B$19,J$10:J$19)*_xlfn.XLOOKUP($D46,$B$3:$B$7,J$3:J$7)*_xlfn.XLOOKUP($B46,$B$22:$B$25,J$22:J$25),0)</f>
        <v>0</v>
      </c>
      <c r="U46" s="3">
        <f>ROUND(英雄成长!R27*_xlfn.XLOOKUP($E46,$B$10:$B$19,K$10:K$19)*_xlfn.XLOOKUP($D46,$B$3:$B$7,K$3:K$7)*_xlfn.XLOOKUP($B46,$B$22:$B$25,K$22:K$25),0)</f>
        <v>150</v>
      </c>
      <c r="V46" s="3">
        <f>ROUND(英雄成长!T27*_xlfn.XLOOKUP($E46,$B$10:$B$19,L$10:L$19)*_xlfn.XLOOKUP($D46,$B$3:$B$7,L$3:L$7)*_xlfn.XLOOKUP($B46,$B$22:$B$25,L$22:L$25),0)</f>
        <v>100</v>
      </c>
      <c r="W46" s="3">
        <f>ROUND(英雄成长!U27*_xlfn.XLOOKUP($E46,$B$10:$B$19,M$10:M$19)*_xlfn.XLOOKUP($D46,$B$3:$B$7,M$3:M$7)*_xlfn.XLOOKUP($B46,$B$22:$B$25,M$22:M$25),0)</f>
        <v>1</v>
      </c>
    </row>
    <row r="47" spans="2:23">
      <c r="B47" s="3" t="s">
        <v>468</v>
      </c>
      <c r="C47" s="3">
        <v>19</v>
      </c>
      <c r="D47" s="3" t="s">
        <v>483</v>
      </c>
      <c r="E47" s="3" t="s">
        <v>490</v>
      </c>
      <c r="F47" s="3">
        <f>ROUND(1/体验规划!$C$7*英雄成长!K28/(系统框架!$F$15/(系统框架!$F$15+系统框架!$F$14))*_xlfn.XLOOKUP($E47,$B$10:$B$19,C$10:C$19)*_xlfn.XLOOKUP($D47,$B$3:$B$7,C$3:C$7)*_xlfn.XLOOKUP(B47,$B$22:$B$25,C$22:C$25),0)</f>
        <v>135</v>
      </c>
      <c r="G47" s="3">
        <f>ROUND(1/体验规划!$C$7*英雄成长!K28/(系统框架!$F$15/(系统框架!$F$15+系统框架!$F$14))*_xlfn.XLOOKUP($E47,$B$10:$B$19,D$10:D$19)*_xlfn.XLOOKUP($D47,$B$3:$B$7,D$3:D$7)*_xlfn.XLOOKUP(B47,$B$22:$B$25,D$22:D$25),0)</f>
        <v>0</v>
      </c>
      <c r="H47" s="3">
        <f>ROUND(体验规划!$C$8*(英雄成长!I28/(系统框架!$F$15))*_xlfn.XLOOKUP($E47,$B$10:$B$19,E$10:E$19)*_xlfn.XLOOKUP($D47,$B$3:$B$7,E$3:E$7)*_xlfn.XLOOKUP($B47,$B$22:$B$25,E$22:E$25),0)</f>
        <v>2133</v>
      </c>
      <c r="I47" s="3">
        <f>ROUND(英雄成长!M28*_xlfn.XLOOKUP($E47,$B$10:$B$19,F$10:F$19)*_xlfn.XLOOKUP($D47,$B$3:$B$7,F$3:F$7)*_xlfn.XLOOKUP($B47,$B$22:$B$25,F$22:F$25),0)</f>
        <v>83</v>
      </c>
      <c r="J47" s="3">
        <f>ROUND(英雄成长!N28*_xlfn.XLOOKUP($E47,$B$10:$B$19,G$10:G$19)*_xlfn.XLOOKUP($D47,$B$3:$B$7,G$3:G$7)*_xlfn.XLOOKUP($B47,$B$22:$B$25,G$22:G$25),0)</f>
        <v>13</v>
      </c>
      <c r="K47" s="3">
        <f>ROUND(英雄成长!O28*_xlfn.XLOOKUP($E47,$B$10:$B$19,H$10:H$19)*_xlfn.XLOOKUP($D47,$B$3:$B$7,H$3:H$7)*_xlfn.XLOOKUP($B47,$B$22:$B$25,H$22:H$25),0)</f>
        <v>198</v>
      </c>
      <c r="L47" s="3">
        <f t="shared" si="1"/>
        <v>0</v>
      </c>
      <c r="M47" s="3">
        <f t="shared" si="2"/>
        <v>0</v>
      </c>
      <c r="N47" s="3">
        <f t="shared" si="3"/>
        <v>0</v>
      </c>
      <c r="O47" s="3">
        <f t="shared" si="4"/>
        <v>0</v>
      </c>
      <c r="P47" s="3">
        <f t="shared" si="5"/>
        <v>0</v>
      </c>
      <c r="Q47" s="3">
        <f t="shared" si="6"/>
        <v>0</v>
      </c>
      <c r="R47" s="3">
        <f t="shared" si="7"/>
        <v>0</v>
      </c>
      <c r="S47" s="3">
        <f>ROUND(英雄成长!P28*_xlfn.XLOOKUP($E47,$B$10:$B$19,I$10:I$19)*_xlfn.XLOOKUP($D47,$B$3:$B$7,I$3:I$7)*_xlfn.XLOOKUP($B47,$B$22:$B$25,I$22:I$25),0)</f>
        <v>20</v>
      </c>
      <c r="T47" s="3">
        <f>ROUND(英雄成长!Q28*_xlfn.XLOOKUP($E47,$B$10:$B$19,J$10:J$19)*_xlfn.XLOOKUP($D47,$B$3:$B$7,J$3:J$7)*_xlfn.XLOOKUP($B47,$B$22:$B$25,J$22:J$25),0)</f>
        <v>0</v>
      </c>
      <c r="U47" s="3">
        <f>ROUND(英雄成长!R28*_xlfn.XLOOKUP($E47,$B$10:$B$19,K$10:K$19)*_xlfn.XLOOKUP($D47,$B$3:$B$7,K$3:K$7)*_xlfn.XLOOKUP($B47,$B$22:$B$25,K$22:K$25),0)</f>
        <v>150</v>
      </c>
      <c r="V47" s="3">
        <f>ROUND(英雄成长!T28*_xlfn.XLOOKUP($E47,$B$10:$B$19,L$10:L$19)*_xlfn.XLOOKUP($D47,$B$3:$B$7,L$3:L$7)*_xlfn.XLOOKUP($B47,$B$22:$B$25,L$22:L$25),0)</f>
        <v>100</v>
      </c>
      <c r="W47" s="3">
        <f>ROUND(英雄成长!U28*_xlfn.XLOOKUP($E47,$B$10:$B$19,M$10:M$19)*_xlfn.XLOOKUP($D47,$B$3:$B$7,M$3:M$7)*_xlfn.XLOOKUP($B47,$B$22:$B$25,M$22:M$25),0)</f>
        <v>1</v>
      </c>
    </row>
    <row r="48" spans="2:23">
      <c r="B48" s="3" t="s">
        <v>468</v>
      </c>
      <c r="C48" s="3">
        <v>20</v>
      </c>
      <c r="D48" s="3" t="s">
        <v>483</v>
      </c>
      <c r="E48" s="3" t="s">
        <v>490</v>
      </c>
      <c r="F48" s="3">
        <f>ROUND(1/体验规划!$C$7*英雄成长!K29/(系统框架!$F$15/(系统框架!$F$15+系统框架!$F$14))*_xlfn.XLOOKUP($E48,$B$10:$B$19,C$10:C$19)*_xlfn.XLOOKUP($D48,$B$3:$B$7,C$3:C$7)*_xlfn.XLOOKUP(B48,$B$22:$B$25,C$22:C$25),0)</f>
        <v>140</v>
      </c>
      <c r="G48" s="3">
        <f>ROUND(1/体验规划!$C$7*英雄成长!K29/(系统框架!$F$15/(系统框架!$F$15+系统框架!$F$14))*_xlfn.XLOOKUP($E48,$B$10:$B$19,D$10:D$19)*_xlfn.XLOOKUP($D48,$B$3:$B$7,D$3:D$7)*_xlfn.XLOOKUP(B48,$B$22:$B$25,D$22:D$25),0)</f>
        <v>0</v>
      </c>
      <c r="H48" s="3">
        <f>ROUND(体验规划!$C$8*(英雄成长!I29/(系统框架!$F$15))*_xlfn.XLOOKUP($E48,$B$10:$B$19,E$10:E$19)*_xlfn.XLOOKUP($D48,$B$3:$B$7,E$3:E$7)*_xlfn.XLOOKUP($B48,$B$22:$B$25,E$22:E$25),0)</f>
        <v>2233</v>
      </c>
      <c r="I48" s="3">
        <f>ROUND(英雄成长!M29*_xlfn.XLOOKUP($E48,$B$10:$B$19,F$10:F$19)*_xlfn.XLOOKUP($D48,$B$3:$B$7,F$3:F$7)*_xlfn.XLOOKUP($B48,$B$22:$B$25,F$22:F$25),0)</f>
        <v>83</v>
      </c>
      <c r="J48" s="3">
        <f>ROUND(英雄成长!N29*_xlfn.XLOOKUP($E48,$B$10:$B$19,G$10:G$19)*_xlfn.XLOOKUP($D48,$B$3:$B$7,G$3:G$7)*_xlfn.XLOOKUP($B48,$B$22:$B$25,G$22:G$25),0)</f>
        <v>13</v>
      </c>
      <c r="K48" s="3">
        <f>ROUND(英雄成长!O29*_xlfn.XLOOKUP($E48,$B$10:$B$19,H$10:H$19)*_xlfn.XLOOKUP($D48,$B$3:$B$7,H$3:H$7)*_xlfn.XLOOKUP($B48,$B$22:$B$25,H$22:H$25),0)</f>
        <v>209</v>
      </c>
      <c r="L48" s="3">
        <f t="shared" si="1"/>
        <v>0</v>
      </c>
      <c r="M48" s="3">
        <f t="shared" si="2"/>
        <v>0</v>
      </c>
      <c r="N48" s="3">
        <f t="shared" si="3"/>
        <v>0</v>
      </c>
      <c r="O48" s="3">
        <f t="shared" si="4"/>
        <v>0</v>
      </c>
      <c r="P48" s="3">
        <f t="shared" si="5"/>
        <v>0</v>
      </c>
      <c r="Q48" s="3">
        <f t="shared" si="6"/>
        <v>0</v>
      </c>
      <c r="R48" s="3">
        <f t="shared" si="7"/>
        <v>0</v>
      </c>
      <c r="S48" s="3">
        <f>ROUND(英雄成长!P29*_xlfn.XLOOKUP($E48,$B$10:$B$19,I$10:I$19)*_xlfn.XLOOKUP($D48,$B$3:$B$7,I$3:I$7)*_xlfn.XLOOKUP($B48,$B$22:$B$25,I$22:I$25),0)</f>
        <v>20</v>
      </c>
      <c r="T48" s="3">
        <f>ROUND(英雄成长!Q29*_xlfn.XLOOKUP($E48,$B$10:$B$19,J$10:J$19)*_xlfn.XLOOKUP($D48,$B$3:$B$7,J$3:J$7)*_xlfn.XLOOKUP($B48,$B$22:$B$25,J$22:J$25),0)</f>
        <v>0</v>
      </c>
      <c r="U48" s="3">
        <f>ROUND(英雄成长!R29*_xlfn.XLOOKUP($E48,$B$10:$B$19,K$10:K$19)*_xlfn.XLOOKUP($D48,$B$3:$B$7,K$3:K$7)*_xlfn.XLOOKUP($B48,$B$22:$B$25,K$22:K$25),0)</f>
        <v>150</v>
      </c>
      <c r="V48" s="3">
        <f>ROUND(英雄成长!T29*_xlfn.XLOOKUP($E48,$B$10:$B$19,L$10:L$19)*_xlfn.XLOOKUP($D48,$B$3:$B$7,L$3:L$7)*_xlfn.XLOOKUP($B48,$B$22:$B$25,L$22:L$25),0)</f>
        <v>100</v>
      </c>
      <c r="W48" s="3">
        <f>ROUND(英雄成长!U29*_xlfn.XLOOKUP($E48,$B$10:$B$19,M$10:M$19)*_xlfn.XLOOKUP($D48,$B$3:$B$7,M$3:M$7)*_xlfn.XLOOKUP($B48,$B$22:$B$25,M$22:M$25),0)</f>
        <v>1</v>
      </c>
    </row>
    <row r="49" spans="2:23">
      <c r="B49" s="3" t="s">
        <v>468</v>
      </c>
      <c r="C49" s="3">
        <v>21</v>
      </c>
      <c r="D49" s="3" t="s">
        <v>483</v>
      </c>
      <c r="E49" s="3" t="s">
        <v>490</v>
      </c>
      <c r="F49" s="3">
        <f>ROUND(1/体验规划!$C$7*英雄成长!K30/(系统框架!$F$15/(系统框架!$F$15+系统框架!$F$14))*_xlfn.XLOOKUP($E49,$B$10:$B$19,C$10:C$19)*_xlfn.XLOOKUP($D49,$B$3:$B$7,C$3:C$7)*_xlfn.XLOOKUP(B49,$B$22:$B$25,C$22:C$25),0)</f>
        <v>149</v>
      </c>
      <c r="G49" s="3">
        <f>ROUND(1/体验规划!$C$7*英雄成长!K30/(系统框架!$F$15/(系统框架!$F$15+系统框架!$F$14))*_xlfn.XLOOKUP($E49,$B$10:$B$19,D$10:D$19)*_xlfn.XLOOKUP($D49,$B$3:$B$7,D$3:D$7)*_xlfn.XLOOKUP(B49,$B$22:$B$25,D$22:D$25),0)</f>
        <v>0</v>
      </c>
      <c r="H49" s="3">
        <f>ROUND(体验规划!$C$8*(英雄成长!I30/(系统框架!$F$15))*_xlfn.XLOOKUP($E49,$B$10:$B$19,E$10:E$19)*_xlfn.XLOOKUP($D49,$B$3:$B$7,E$3:E$7)*_xlfn.XLOOKUP($B49,$B$22:$B$25,E$22:E$25),0)</f>
        <v>2667</v>
      </c>
      <c r="I49" s="3">
        <f>ROUND(英雄成长!M30*_xlfn.XLOOKUP($E49,$B$10:$B$19,F$10:F$19)*_xlfn.XLOOKUP($D49,$B$3:$B$7,F$3:F$7)*_xlfn.XLOOKUP($B49,$B$22:$B$25,F$22:F$25),0)</f>
        <v>84</v>
      </c>
      <c r="J49" s="3">
        <f>ROUND(英雄成长!N30*_xlfn.XLOOKUP($E49,$B$10:$B$19,G$10:G$19)*_xlfn.XLOOKUP($D49,$B$3:$B$7,G$3:G$7)*_xlfn.XLOOKUP($B49,$B$22:$B$25,G$22:G$25),0)</f>
        <v>14</v>
      </c>
      <c r="K49" s="3">
        <f>ROUND(英雄成长!O30*_xlfn.XLOOKUP($E49,$B$10:$B$19,H$10:H$19)*_xlfn.XLOOKUP($D49,$B$3:$B$7,H$3:H$7)*_xlfn.XLOOKUP($B49,$B$22:$B$25,H$22:H$25),0)</f>
        <v>240</v>
      </c>
      <c r="L49" s="3">
        <f t="shared" si="1"/>
        <v>0</v>
      </c>
      <c r="M49" s="3">
        <f t="shared" si="2"/>
        <v>0</v>
      </c>
      <c r="N49" s="3">
        <f t="shared" si="3"/>
        <v>0</v>
      </c>
      <c r="O49" s="3">
        <f t="shared" si="4"/>
        <v>0</v>
      </c>
      <c r="P49" s="3">
        <f t="shared" si="5"/>
        <v>0</v>
      </c>
      <c r="Q49" s="3">
        <f t="shared" si="6"/>
        <v>0</v>
      </c>
      <c r="R49" s="3">
        <f t="shared" si="7"/>
        <v>0</v>
      </c>
      <c r="S49" s="3">
        <f>ROUND(英雄成长!P30*_xlfn.XLOOKUP($E49,$B$10:$B$19,I$10:I$19)*_xlfn.XLOOKUP($D49,$B$3:$B$7,I$3:I$7)*_xlfn.XLOOKUP($B49,$B$22:$B$25,I$22:I$25),0)</f>
        <v>20</v>
      </c>
      <c r="T49" s="3">
        <f>ROUND(英雄成长!Q30*_xlfn.XLOOKUP($E49,$B$10:$B$19,J$10:J$19)*_xlfn.XLOOKUP($D49,$B$3:$B$7,J$3:J$7)*_xlfn.XLOOKUP($B49,$B$22:$B$25,J$22:J$25),0)</f>
        <v>0</v>
      </c>
      <c r="U49" s="3">
        <f>ROUND(英雄成长!R30*_xlfn.XLOOKUP($E49,$B$10:$B$19,K$10:K$19)*_xlfn.XLOOKUP($D49,$B$3:$B$7,K$3:K$7)*_xlfn.XLOOKUP($B49,$B$22:$B$25,K$22:K$25),0)</f>
        <v>150</v>
      </c>
      <c r="V49" s="3">
        <f>ROUND(英雄成长!T30*_xlfn.XLOOKUP($E49,$B$10:$B$19,L$10:L$19)*_xlfn.XLOOKUP($D49,$B$3:$B$7,L$3:L$7)*_xlfn.XLOOKUP($B49,$B$22:$B$25,L$22:L$25),0)</f>
        <v>100</v>
      </c>
      <c r="W49" s="3">
        <f>ROUND(英雄成长!U30*_xlfn.XLOOKUP($E49,$B$10:$B$19,M$10:M$19)*_xlfn.XLOOKUP($D49,$B$3:$B$7,M$3:M$7)*_xlfn.XLOOKUP($B49,$B$22:$B$25,M$22:M$25),0)</f>
        <v>1</v>
      </c>
    </row>
    <row r="50" spans="2:23">
      <c r="B50" s="3" t="s">
        <v>468</v>
      </c>
      <c r="C50" s="3">
        <v>22</v>
      </c>
      <c r="D50" s="3" t="s">
        <v>483</v>
      </c>
      <c r="E50" s="3" t="s">
        <v>490</v>
      </c>
      <c r="F50" s="3">
        <f>ROUND(1/体验规划!$C$7*英雄成长!K31/(系统框架!$F$15/(系统框架!$F$15+系统框架!$F$14))*_xlfn.XLOOKUP($E50,$B$10:$B$19,C$10:C$19)*_xlfn.XLOOKUP($D50,$B$3:$B$7,C$3:C$7)*_xlfn.XLOOKUP(B50,$B$22:$B$25,C$22:C$25),0)</f>
        <v>154</v>
      </c>
      <c r="G50" s="3">
        <f>ROUND(1/体验规划!$C$7*英雄成长!K31/(系统框架!$F$15/(系统框架!$F$15+系统框架!$F$14))*_xlfn.XLOOKUP($E50,$B$10:$B$19,D$10:D$19)*_xlfn.XLOOKUP($D50,$B$3:$B$7,D$3:D$7)*_xlfn.XLOOKUP(B50,$B$22:$B$25,D$22:D$25),0)</f>
        <v>0</v>
      </c>
      <c r="H50" s="3">
        <f>ROUND(体验规划!$C$8*(英雄成长!I31/(系统框架!$F$15))*_xlfn.XLOOKUP($E50,$B$10:$B$19,E$10:E$19)*_xlfn.XLOOKUP($D50,$B$3:$B$7,E$3:E$7)*_xlfn.XLOOKUP($B50,$B$22:$B$25,E$22:E$25),0)</f>
        <v>2783</v>
      </c>
      <c r="I50" s="3">
        <f>ROUND(英雄成长!M31*_xlfn.XLOOKUP($E50,$B$10:$B$19,F$10:F$19)*_xlfn.XLOOKUP($D50,$B$3:$B$7,F$3:F$7)*_xlfn.XLOOKUP($B50,$B$22:$B$25,F$22:F$25),0)</f>
        <v>84</v>
      </c>
      <c r="J50" s="3">
        <f>ROUND(英雄成长!N31*_xlfn.XLOOKUP($E50,$B$10:$B$19,G$10:G$19)*_xlfn.XLOOKUP($D50,$B$3:$B$7,G$3:G$7)*_xlfn.XLOOKUP($B50,$B$22:$B$25,G$22:G$25),0)</f>
        <v>14</v>
      </c>
      <c r="K50" s="3">
        <f>ROUND(英雄成长!O31*_xlfn.XLOOKUP($E50,$B$10:$B$19,H$10:H$19)*_xlfn.XLOOKUP($D50,$B$3:$B$7,H$3:H$7)*_xlfn.XLOOKUP($B50,$B$22:$B$25,H$22:H$25),0)</f>
        <v>252</v>
      </c>
      <c r="L50" s="3">
        <f t="shared" si="1"/>
        <v>0</v>
      </c>
      <c r="M50" s="3">
        <f t="shared" si="2"/>
        <v>0</v>
      </c>
      <c r="N50" s="3">
        <f t="shared" si="3"/>
        <v>0</v>
      </c>
      <c r="O50" s="3">
        <f t="shared" si="4"/>
        <v>0</v>
      </c>
      <c r="P50" s="3">
        <f t="shared" si="5"/>
        <v>0</v>
      </c>
      <c r="Q50" s="3">
        <f t="shared" si="6"/>
        <v>0</v>
      </c>
      <c r="R50" s="3">
        <f t="shared" si="7"/>
        <v>0</v>
      </c>
      <c r="S50" s="3">
        <f>ROUND(英雄成长!P31*_xlfn.XLOOKUP($E50,$B$10:$B$19,I$10:I$19)*_xlfn.XLOOKUP($D50,$B$3:$B$7,I$3:I$7)*_xlfn.XLOOKUP($B50,$B$22:$B$25,I$22:I$25),0)</f>
        <v>20</v>
      </c>
      <c r="T50" s="3">
        <f>ROUND(英雄成长!Q31*_xlfn.XLOOKUP($E50,$B$10:$B$19,J$10:J$19)*_xlfn.XLOOKUP($D50,$B$3:$B$7,J$3:J$7)*_xlfn.XLOOKUP($B50,$B$22:$B$25,J$22:J$25),0)</f>
        <v>0</v>
      </c>
      <c r="U50" s="3">
        <f>ROUND(英雄成长!R31*_xlfn.XLOOKUP($E50,$B$10:$B$19,K$10:K$19)*_xlfn.XLOOKUP($D50,$B$3:$B$7,K$3:K$7)*_xlfn.XLOOKUP($B50,$B$22:$B$25,K$22:K$25),0)</f>
        <v>150</v>
      </c>
      <c r="V50" s="3">
        <f>ROUND(英雄成长!T31*_xlfn.XLOOKUP($E50,$B$10:$B$19,L$10:L$19)*_xlfn.XLOOKUP($D50,$B$3:$B$7,L$3:L$7)*_xlfn.XLOOKUP($B50,$B$22:$B$25,L$22:L$25),0)</f>
        <v>100</v>
      </c>
      <c r="W50" s="3">
        <f>ROUND(英雄成长!U31*_xlfn.XLOOKUP($E50,$B$10:$B$19,M$10:M$19)*_xlfn.XLOOKUP($D50,$B$3:$B$7,M$3:M$7)*_xlfn.XLOOKUP($B50,$B$22:$B$25,M$22:M$25),0)</f>
        <v>1</v>
      </c>
    </row>
    <row r="51" spans="2:23">
      <c r="B51" s="3" t="s">
        <v>468</v>
      </c>
      <c r="C51" s="3">
        <v>23</v>
      </c>
      <c r="D51" s="3" t="s">
        <v>483</v>
      </c>
      <c r="E51" s="3" t="s">
        <v>490</v>
      </c>
      <c r="F51" s="3">
        <f>ROUND(1/体验规划!$C$7*英雄成长!K32/(系统框架!$F$15/(系统框架!$F$15+系统框架!$F$14))*_xlfn.XLOOKUP($E51,$B$10:$B$19,C$10:C$19)*_xlfn.XLOOKUP($D51,$B$3:$B$7,C$3:C$7)*_xlfn.XLOOKUP(B51,$B$22:$B$25,C$22:C$25),0)</f>
        <v>160</v>
      </c>
      <c r="G51" s="3">
        <f>ROUND(1/体验规划!$C$7*英雄成长!K32/(系统框架!$F$15/(系统框架!$F$15+系统框架!$F$14))*_xlfn.XLOOKUP($E51,$B$10:$B$19,D$10:D$19)*_xlfn.XLOOKUP($D51,$B$3:$B$7,D$3:D$7)*_xlfn.XLOOKUP(B51,$B$22:$B$25,D$22:D$25),0)</f>
        <v>0</v>
      </c>
      <c r="H51" s="3">
        <f>ROUND(体验规划!$C$8*(英雄成长!I32/(系统框架!$F$15))*_xlfn.XLOOKUP($E51,$B$10:$B$19,E$10:E$19)*_xlfn.XLOOKUP($D51,$B$3:$B$7,E$3:E$7)*_xlfn.XLOOKUP($B51,$B$22:$B$25,E$22:E$25),0)</f>
        <v>2900</v>
      </c>
      <c r="I51" s="3">
        <f>ROUND(英雄成长!M32*_xlfn.XLOOKUP($E51,$B$10:$B$19,F$10:F$19)*_xlfn.XLOOKUP($D51,$B$3:$B$7,F$3:F$7)*_xlfn.XLOOKUP($B51,$B$22:$B$25,F$22:F$25),0)</f>
        <v>84</v>
      </c>
      <c r="J51" s="3">
        <f>ROUND(英雄成长!N32*_xlfn.XLOOKUP($E51,$B$10:$B$19,G$10:G$19)*_xlfn.XLOOKUP($D51,$B$3:$B$7,G$3:G$7)*_xlfn.XLOOKUP($B51,$B$22:$B$25,G$22:G$25),0)</f>
        <v>14</v>
      </c>
      <c r="K51" s="3">
        <f>ROUND(英雄成长!O32*_xlfn.XLOOKUP($E51,$B$10:$B$19,H$10:H$19)*_xlfn.XLOOKUP($D51,$B$3:$B$7,H$3:H$7)*_xlfn.XLOOKUP($B51,$B$22:$B$25,H$22:H$25),0)</f>
        <v>264</v>
      </c>
      <c r="L51" s="3">
        <f t="shared" si="1"/>
        <v>0</v>
      </c>
      <c r="M51" s="3">
        <f t="shared" si="2"/>
        <v>0</v>
      </c>
      <c r="N51" s="3">
        <f t="shared" si="3"/>
        <v>0</v>
      </c>
      <c r="O51" s="3">
        <f t="shared" si="4"/>
        <v>0</v>
      </c>
      <c r="P51" s="3">
        <f t="shared" si="5"/>
        <v>0</v>
      </c>
      <c r="Q51" s="3">
        <f t="shared" si="6"/>
        <v>0</v>
      </c>
      <c r="R51" s="3">
        <f t="shared" si="7"/>
        <v>0</v>
      </c>
      <c r="S51" s="3">
        <f>ROUND(英雄成长!P32*_xlfn.XLOOKUP($E51,$B$10:$B$19,I$10:I$19)*_xlfn.XLOOKUP($D51,$B$3:$B$7,I$3:I$7)*_xlfn.XLOOKUP($B51,$B$22:$B$25,I$22:I$25),0)</f>
        <v>20</v>
      </c>
      <c r="T51" s="3">
        <f>ROUND(英雄成长!Q32*_xlfn.XLOOKUP($E51,$B$10:$B$19,J$10:J$19)*_xlfn.XLOOKUP($D51,$B$3:$B$7,J$3:J$7)*_xlfn.XLOOKUP($B51,$B$22:$B$25,J$22:J$25),0)</f>
        <v>0</v>
      </c>
      <c r="U51" s="3">
        <f>ROUND(英雄成长!R32*_xlfn.XLOOKUP($E51,$B$10:$B$19,K$10:K$19)*_xlfn.XLOOKUP($D51,$B$3:$B$7,K$3:K$7)*_xlfn.XLOOKUP($B51,$B$22:$B$25,K$22:K$25),0)</f>
        <v>150</v>
      </c>
      <c r="V51" s="3">
        <f>ROUND(英雄成长!T32*_xlfn.XLOOKUP($E51,$B$10:$B$19,L$10:L$19)*_xlfn.XLOOKUP($D51,$B$3:$B$7,L$3:L$7)*_xlfn.XLOOKUP($B51,$B$22:$B$25,L$22:L$25),0)</f>
        <v>100</v>
      </c>
      <c r="W51" s="3">
        <f>ROUND(英雄成长!U32*_xlfn.XLOOKUP($E51,$B$10:$B$19,M$10:M$19)*_xlfn.XLOOKUP($D51,$B$3:$B$7,M$3:M$7)*_xlfn.XLOOKUP($B51,$B$22:$B$25,M$22:M$25),0)</f>
        <v>1</v>
      </c>
    </row>
    <row r="52" spans="2:23">
      <c r="B52" s="3" t="s">
        <v>468</v>
      </c>
      <c r="C52" s="3">
        <v>24</v>
      </c>
      <c r="D52" s="3" t="s">
        <v>483</v>
      </c>
      <c r="E52" s="3" t="s">
        <v>490</v>
      </c>
      <c r="F52" s="3">
        <f>ROUND(1/体验规划!$C$7*英雄成长!K33/(系统框架!$F$15/(系统框架!$F$15+系统框架!$F$14))*_xlfn.XLOOKUP($E52,$B$10:$B$19,C$10:C$19)*_xlfn.XLOOKUP($D52,$B$3:$B$7,C$3:C$7)*_xlfn.XLOOKUP(B52,$B$22:$B$25,C$22:C$25),0)</f>
        <v>165</v>
      </c>
      <c r="G52" s="3">
        <f>ROUND(1/体验规划!$C$7*英雄成长!K33/(系统框架!$F$15/(系统框架!$F$15+系统框架!$F$14))*_xlfn.XLOOKUP($E52,$B$10:$B$19,D$10:D$19)*_xlfn.XLOOKUP($D52,$B$3:$B$7,D$3:D$7)*_xlfn.XLOOKUP(B52,$B$22:$B$25,D$22:D$25),0)</f>
        <v>0</v>
      </c>
      <c r="H52" s="3">
        <f>ROUND(体验规划!$C$8*(英雄成长!I33/(系统框架!$F$15))*_xlfn.XLOOKUP($E52,$B$10:$B$19,E$10:E$19)*_xlfn.XLOOKUP($D52,$B$3:$B$7,E$3:E$7)*_xlfn.XLOOKUP($B52,$B$22:$B$25,E$22:E$25),0)</f>
        <v>3017</v>
      </c>
      <c r="I52" s="3">
        <f>ROUND(英雄成长!M33*_xlfn.XLOOKUP($E52,$B$10:$B$19,F$10:F$19)*_xlfn.XLOOKUP($D52,$B$3:$B$7,F$3:F$7)*_xlfn.XLOOKUP($B52,$B$22:$B$25,F$22:F$25),0)</f>
        <v>85</v>
      </c>
      <c r="J52" s="3">
        <f>ROUND(英雄成长!N33*_xlfn.XLOOKUP($E52,$B$10:$B$19,G$10:G$19)*_xlfn.XLOOKUP($D52,$B$3:$B$7,G$3:G$7)*_xlfn.XLOOKUP($B52,$B$22:$B$25,G$22:G$25),0)</f>
        <v>15</v>
      </c>
      <c r="K52" s="3">
        <f>ROUND(英雄成长!O33*_xlfn.XLOOKUP($E52,$B$10:$B$19,H$10:H$19)*_xlfn.XLOOKUP($D52,$B$3:$B$7,H$3:H$7)*_xlfn.XLOOKUP($B52,$B$22:$B$25,H$22:H$25),0)</f>
        <v>276</v>
      </c>
      <c r="L52" s="3">
        <f t="shared" si="1"/>
        <v>0</v>
      </c>
      <c r="M52" s="3">
        <f t="shared" si="2"/>
        <v>0</v>
      </c>
      <c r="N52" s="3">
        <f t="shared" si="3"/>
        <v>0</v>
      </c>
      <c r="O52" s="3">
        <f t="shared" si="4"/>
        <v>0</v>
      </c>
      <c r="P52" s="3">
        <f t="shared" si="5"/>
        <v>0</v>
      </c>
      <c r="Q52" s="3">
        <f t="shared" si="6"/>
        <v>0</v>
      </c>
      <c r="R52" s="3">
        <f t="shared" si="7"/>
        <v>0</v>
      </c>
      <c r="S52" s="3">
        <f>ROUND(英雄成长!P33*_xlfn.XLOOKUP($E52,$B$10:$B$19,I$10:I$19)*_xlfn.XLOOKUP($D52,$B$3:$B$7,I$3:I$7)*_xlfn.XLOOKUP($B52,$B$22:$B$25,I$22:I$25),0)</f>
        <v>20</v>
      </c>
      <c r="T52" s="3">
        <f>ROUND(英雄成长!Q33*_xlfn.XLOOKUP($E52,$B$10:$B$19,J$10:J$19)*_xlfn.XLOOKUP($D52,$B$3:$B$7,J$3:J$7)*_xlfn.XLOOKUP($B52,$B$22:$B$25,J$22:J$25),0)</f>
        <v>0</v>
      </c>
      <c r="U52" s="3">
        <f>ROUND(英雄成长!R33*_xlfn.XLOOKUP($E52,$B$10:$B$19,K$10:K$19)*_xlfn.XLOOKUP($D52,$B$3:$B$7,K$3:K$7)*_xlfn.XLOOKUP($B52,$B$22:$B$25,K$22:K$25),0)</f>
        <v>150</v>
      </c>
      <c r="V52" s="3">
        <f>ROUND(英雄成长!T33*_xlfn.XLOOKUP($E52,$B$10:$B$19,L$10:L$19)*_xlfn.XLOOKUP($D52,$B$3:$B$7,L$3:L$7)*_xlfn.XLOOKUP($B52,$B$22:$B$25,L$22:L$25),0)</f>
        <v>100</v>
      </c>
      <c r="W52" s="3">
        <f>ROUND(英雄成长!U33*_xlfn.XLOOKUP($E52,$B$10:$B$19,M$10:M$19)*_xlfn.XLOOKUP($D52,$B$3:$B$7,M$3:M$7)*_xlfn.XLOOKUP($B52,$B$22:$B$25,M$22:M$25),0)</f>
        <v>1</v>
      </c>
    </row>
    <row r="53" spans="2:23">
      <c r="B53" s="3" t="s">
        <v>468</v>
      </c>
      <c r="C53" s="3">
        <v>25</v>
      </c>
      <c r="D53" s="3" t="s">
        <v>483</v>
      </c>
      <c r="E53" s="3" t="s">
        <v>490</v>
      </c>
      <c r="F53" s="3">
        <f>ROUND(1/体验规划!$C$7*英雄成长!K34/(系统框架!$F$15/(系统框架!$F$15+系统框架!$F$14))*_xlfn.XLOOKUP($E53,$B$10:$B$19,C$10:C$19)*_xlfn.XLOOKUP($D53,$B$3:$B$7,C$3:C$7)*_xlfn.XLOOKUP(B53,$B$22:$B$25,C$22:C$25),0)</f>
        <v>170</v>
      </c>
      <c r="G53" s="3">
        <f>ROUND(1/体验规划!$C$7*英雄成长!K34/(系统框架!$F$15/(系统框架!$F$15+系统框架!$F$14))*_xlfn.XLOOKUP($E53,$B$10:$B$19,D$10:D$19)*_xlfn.XLOOKUP($D53,$B$3:$B$7,D$3:D$7)*_xlfn.XLOOKUP(B53,$B$22:$B$25,D$22:D$25),0)</f>
        <v>0</v>
      </c>
      <c r="H53" s="3">
        <f>ROUND(体验规划!$C$8*(英雄成长!I34/(系统框架!$F$15))*_xlfn.XLOOKUP($E53,$B$10:$B$19,E$10:E$19)*_xlfn.XLOOKUP($D53,$B$3:$B$7,E$3:E$7)*_xlfn.XLOOKUP($B53,$B$22:$B$25,E$22:E$25),0)</f>
        <v>3133</v>
      </c>
      <c r="I53" s="3">
        <f>ROUND(英雄成长!M34*_xlfn.XLOOKUP($E53,$B$10:$B$19,F$10:F$19)*_xlfn.XLOOKUP($D53,$B$3:$B$7,F$3:F$7)*_xlfn.XLOOKUP($B53,$B$22:$B$25,F$22:F$25),0)</f>
        <v>85</v>
      </c>
      <c r="J53" s="3">
        <f>ROUND(英雄成长!N34*_xlfn.XLOOKUP($E53,$B$10:$B$19,G$10:G$19)*_xlfn.XLOOKUP($D53,$B$3:$B$7,G$3:G$7)*_xlfn.XLOOKUP($B53,$B$22:$B$25,G$22:G$25),0)</f>
        <v>15</v>
      </c>
      <c r="K53" s="3">
        <f>ROUND(英雄成长!O34*_xlfn.XLOOKUP($E53,$B$10:$B$19,H$10:H$19)*_xlfn.XLOOKUP($D53,$B$3:$B$7,H$3:H$7)*_xlfn.XLOOKUP($B53,$B$22:$B$25,H$22:H$25),0)</f>
        <v>288</v>
      </c>
      <c r="L53" s="3">
        <f t="shared" si="1"/>
        <v>0</v>
      </c>
      <c r="M53" s="3">
        <f t="shared" si="2"/>
        <v>0</v>
      </c>
      <c r="N53" s="3">
        <f t="shared" si="3"/>
        <v>0</v>
      </c>
      <c r="O53" s="3">
        <f t="shared" si="4"/>
        <v>0</v>
      </c>
      <c r="P53" s="3">
        <f t="shared" si="5"/>
        <v>0</v>
      </c>
      <c r="Q53" s="3">
        <f t="shared" si="6"/>
        <v>0</v>
      </c>
      <c r="R53" s="3">
        <f t="shared" si="7"/>
        <v>0</v>
      </c>
      <c r="S53" s="3">
        <f>ROUND(英雄成长!P34*_xlfn.XLOOKUP($E53,$B$10:$B$19,I$10:I$19)*_xlfn.XLOOKUP($D53,$B$3:$B$7,I$3:I$7)*_xlfn.XLOOKUP($B53,$B$22:$B$25,I$22:I$25),0)</f>
        <v>20</v>
      </c>
      <c r="T53" s="3">
        <f>ROUND(英雄成长!Q34*_xlfn.XLOOKUP($E53,$B$10:$B$19,J$10:J$19)*_xlfn.XLOOKUP($D53,$B$3:$B$7,J$3:J$7)*_xlfn.XLOOKUP($B53,$B$22:$B$25,J$22:J$25),0)</f>
        <v>0</v>
      </c>
      <c r="U53" s="3">
        <f>ROUND(英雄成长!R34*_xlfn.XLOOKUP($E53,$B$10:$B$19,K$10:K$19)*_xlfn.XLOOKUP($D53,$B$3:$B$7,K$3:K$7)*_xlfn.XLOOKUP($B53,$B$22:$B$25,K$22:K$25),0)</f>
        <v>150</v>
      </c>
      <c r="V53" s="3">
        <f>ROUND(英雄成长!T34*_xlfn.XLOOKUP($E53,$B$10:$B$19,L$10:L$19)*_xlfn.XLOOKUP($D53,$B$3:$B$7,L$3:L$7)*_xlfn.XLOOKUP($B53,$B$22:$B$25,L$22:L$25),0)</f>
        <v>100</v>
      </c>
      <c r="W53" s="3">
        <f>ROUND(英雄成长!U34*_xlfn.XLOOKUP($E53,$B$10:$B$19,M$10:M$19)*_xlfn.XLOOKUP($D53,$B$3:$B$7,M$3:M$7)*_xlfn.XLOOKUP($B53,$B$22:$B$25,M$22:M$25),0)</f>
        <v>1</v>
      </c>
    </row>
    <row r="54" spans="2:23">
      <c r="B54" s="3" t="s">
        <v>468</v>
      </c>
      <c r="C54" s="3">
        <v>26</v>
      </c>
      <c r="D54" s="3" t="s">
        <v>483</v>
      </c>
      <c r="E54" s="3" t="s">
        <v>490</v>
      </c>
      <c r="F54" s="3">
        <f>ROUND(1/体验规划!$C$7*英雄成长!K35/(系统框架!$F$15/(系统框架!$F$15+系统框架!$F$14))*_xlfn.XLOOKUP($E54,$B$10:$B$19,C$10:C$19)*_xlfn.XLOOKUP($D54,$B$3:$B$7,C$3:C$7)*_xlfn.XLOOKUP(B54,$B$22:$B$25,C$22:C$25),0)</f>
        <v>175</v>
      </c>
      <c r="G54" s="3">
        <f>ROUND(1/体验规划!$C$7*英雄成长!K35/(系统框架!$F$15/(系统框架!$F$15+系统框架!$F$14))*_xlfn.XLOOKUP($E54,$B$10:$B$19,D$10:D$19)*_xlfn.XLOOKUP($D54,$B$3:$B$7,D$3:D$7)*_xlfn.XLOOKUP(B54,$B$22:$B$25,D$22:D$25),0)</f>
        <v>0</v>
      </c>
      <c r="H54" s="3">
        <f>ROUND(体验规划!$C$8*(英雄成长!I35/(系统框架!$F$15))*_xlfn.XLOOKUP($E54,$B$10:$B$19,E$10:E$19)*_xlfn.XLOOKUP($D54,$B$3:$B$7,E$3:E$7)*_xlfn.XLOOKUP($B54,$B$22:$B$25,E$22:E$25),0)</f>
        <v>3250</v>
      </c>
      <c r="I54" s="3">
        <f>ROUND(英雄成长!M35*_xlfn.XLOOKUP($E54,$B$10:$B$19,F$10:F$19)*_xlfn.XLOOKUP($D54,$B$3:$B$7,F$3:F$7)*_xlfn.XLOOKUP($B54,$B$22:$B$25,F$22:F$25),0)</f>
        <v>85</v>
      </c>
      <c r="J54" s="3">
        <f>ROUND(英雄成长!N35*_xlfn.XLOOKUP($E54,$B$10:$B$19,G$10:G$19)*_xlfn.XLOOKUP($D54,$B$3:$B$7,G$3:G$7)*_xlfn.XLOOKUP($B54,$B$22:$B$25,G$22:G$25),0)</f>
        <v>15</v>
      </c>
      <c r="K54" s="3">
        <f>ROUND(英雄成长!O35*_xlfn.XLOOKUP($E54,$B$10:$B$19,H$10:H$19)*_xlfn.XLOOKUP($D54,$B$3:$B$7,H$3:H$7)*_xlfn.XLOOKUP($B54,$B$22:$B$25,H$22:H$25),0)</f>
        <v>300</v>
      </c>
      <c r="L54" s="3">
        <f t="shared" si="1"/>
        <v>0</v>
      </c>
      <c r="M54" s="3">
        <f t="shared" si="2"/>
        <v>0</v>
      </c>
      <c r="N54" s="3">
        <f t="shared" si="3"/>
        <v>0</v>
      </c>
      <c r="O54" s="3">
        <f t="shared" si="4"/>
        <v>0</v>
      </c>
      <c r="P54" s="3">
        <f t="shared" si="5"/>
        <v>0</v>
      </c>
      <c r="Q54" s="3">
        <f t="shared" si="6"/>
        <v>0</v>
      </c>
      <c r="R54" s="3">
        <f t="shared" si="7"/>
        <v>0</v>
      </c>
      <c r="S54" s="3">
        <f>ROUND(英雄成长!P35*_xlfn.XLOOKUP($E54,$B$10:$B$19,I$10:I$19)*_xlfn.XLOOKUP($D54,$B$3:$B$7,I$3:I$7)*_xlfn.XLOOKUP($B54,$B$22:$B$25,I$22:I$25),0)</f>
        <v>20</v>
      </c>
      <c r="T54" s="3">
        <f>ROUND(英雄成长!Q35*_xlfn.XLOOKUP($E54,$B$10:$B$19,J$10:J$19)*_xlfn.XLOOKUP($D54,$B$3:$B$7,J$3:J$7)*_xlfn.XLOOKUP($B54,$B$22:$B$25,J$22:J$25),0)</f>
        <v>0</v>
      </c>
      <c r="U54" s="3">
        <f>ROUND(英雄成长!R35*_xlfn.XLOOKUP($E54,$B$10:$B$19,K$10:K$19)*_xlfn.XLOOKUP($D54,$B$3:$B$7,K$3:K$7)*_xlfn.XLOOKUP($B54,$B$22:$B$25,K$22:K$25),0)</f>
        <v>150</v>
      </c>
      <c r="V54" s="3">
        <f>ROUND(英雄成长!T35*_xlfn.XLOOKUP($E54,$B$10:$B$19,L$10:L$19)*_xlfn.XLOOKUP($D54,$B$3:$B$7,L$3:L$7)*_xlfn.XLOOKUP($B54,$B$22:$B$25,L$22:L$25),0)</f>
        <v>100</v>
      </c>
      <c r="W54" s="3">
        <f>ROUND(英雄成长!U35*_xlfn.XLOOKUP($E54,$B$10:$B$19,M$10:M$19)*_xlfn.XLOOKUP($D54,$B$3:$B$7,M$3:M$7)*_xlfn.XLOOKUP($B54,$B$22:$B$25,M$22:M$25),0)</f>
        <v>1</v>
      </c>
    </row>
    <row r="55" spans="2:23">
      <c r="B55" s="3" t="s">
        <v>468</v>
      </c>
      <c r="C55" s="3">
        <v>27</v>
      </c>
      <c r="D55" s="3" t="s">
        <v>483</v>
      </c>
      <c r="E55" s="3" t="s">
        <v>490</v>
      </c>
      <c r="F55" s="3">
        <f>ROUND(1/体验规划!$C$7*英雄成长!K36/(系统框架!$F$15/(系统框架!$F$15+系统框架!$F$14))*_xlfn.XLOOKUP($E55,$B$10:$B$19,C$10:C$19)*_xlfn.XLOOKUP($D55,$B$3:$B$7,C$3:C$7)*_xlfn.XLOOKUP(B55,$B$22:$B$25,C$22:C$25),0)</f>
        <v>180</v>
      </c>
      <c r="G55" s="3">
        <f>ROUND(1/体验规划!$C$7*英雄成长!K36/(系统框架!$F$15/(系统框架!$F$15+系统框架!$F$14))*_xlfn.XLOOKUP($E55,$B$10:$B$19,D$10:D$19)*_xlfn.XLOOKUP($D55,$B$3:$B$7,D$3:D$7)*_xlfn.XLOOKUP(B55,$B$22:$B$25,D$22:D$25),0)</f>
        <v>0</v>
      </c>
      <c r="H55" s="3">
        <f>ROUND(体验规划!$C$8*(英雄成长!I36/(系统框架!$F$15))*_xlfn.XLOOKUP($E55,$B$10:$B$19,E$10:E$19)*_xlfn.XLOOKUP($D55,$B$3:$B$7,E$3:E$7)*_xlfn.XLOOKUP($B55,$B$22:$B$25,E$22:E$25),0)</f>
        <v>3367</v>
      </c>
      <c r="I55" s="3">
        <f>ROUND(英雄成长!M36*_xlfn.XLOOKUP($E55,$B$10:$B$19,F$10:F$19)*_xlfn.XLOOKUP($D55,$B$3:$B$7,F$3:F$7)*_xlfn.XLOOKUP($B55,$B$22:$B$25,F$22:F$25),0)</f>
        <v>85</v>
      </c>
      <c r="J55" s="3">
        <f>ROUND(英雄成长!N36*_xlfn.XLOOKUP($E55,$B$10:$B$19,G$10:G$19)*_xlfn.XLOOKUP($D55,$B$3:$B$7,G$3:G$7)*_xlfn.XLOOKUP($B55,$B$22:$B$25,G$22:G$25),0)</f>
        <v>15</v>
      </c>
      <c r="K55" s="3">
        <f>ROUND(英雄成长!O36*_xlfn.XLOOKUP($E55,$B$10:$B$19,H$10:H$19)*_xlfn.XLOOKUP($D55,$B$3:$B$7,H$3:H$7)*_xlfn.XLOOKUP($B55,$B$22:$B$25,H$22:H$25),0)</f>
        <v>312</v>
      </c>
      <c r="L55" s="3">
        <f t="shared" si="1"/>
        <v>0</v>
      </c>
      <c r="M55" s="3">
        <f t="shared" si="2"/>
        <v>0</v>
      </c>
      <c r="N55" s="3">
        <f t="shared" si="3"/>
        <v>0</v>
      </c>
      <c r="O55" s="3">
        <f t="shared" si="4"/>
        <v>0</v>
      </c>
      <c r="P55" s="3">
        <f t="shared" si="5"/>
        <v>0</v>
      </c>
      <c r="Q55" s="3">
        <f t="shared" si="6"/>
        <v>0</v>
      </c>
      <c r="R55" s="3">
        <f t="shared" si="7"/>
        <v>0</v>
      </c>
      <c r="S55" s="3">
        <f>ROUND(英雄成长!P36*_xlfn.XLOOKUP($E55,$B$10:$B$19,I$10:I$19)*_xlfn.XLOOKUP($D55,$B$3:$B$7,I$3:I$7)*_xlfn.XLOOKUP($B55,$B$22:$B$25,I$22:I$25),0)</f>
        <v>20</v>
      </c>
      <c r="T55" s="3">
        <f>ROUND(英雄成长!Q36*_xlfn.XLOOKUP($E55,$B$10:$B$19,J$10:J$19)*_xlfn.XLOOKUP($D55,$B$3:$B$7,J$3:J$7)*_xlfn.XLOOKUP($B55,$B$22:$B$25,J$22:J$25),0)</f>
        <v>0</v>
      </c>
      <c r="U55" s="3">
        <f>ROUND(英雄成长!R36*_xlfn.XLOOKUP($E55,$B$10:$B$19,K$10:K$19)*_xlfn.XLOOKUP($D55,$B$3:$B$7,K$3:K$7)*_xlfn.XLOOKUP($B55,$B$22:$B$25,K$22:K$25),0)</f>
        <v>150</v>
      </c>
      <c r="V55" s="3">
        <f>ROUND(英雄成长!T36*_xlfn.XLOOKUP($E55,$B$10:$B$19,L$10:L$19)*_xlfn.XLOOKUP($D55,$B$3:$B$7,L$3:L$7)*_xlfn.XLOOKUP($B55,$B$22:$B$25,L$22:L$25),0)</f>
        <v>100</v>
      </c>
      <c r="W55" s="3">
        <f>ROUND(英雄成长!U36*_xlfn.XLOOKUP($E55,$B$10:$B$19,M$10:M$19)*_xlfn.XLOOKUP($D55,$B$3:$B$7,M$3:M$7)*_xlfn.XLOOKUP($B55,$B$22:$B$25,M$22:M$25),0)</f>
        <v>1</v>
      </c>
    </row>
    <row r="56" spans="2:23">
      <c r="B56" s="3" t="s">
        <v>468</v>
      </c>
      <c r="C56" s="3">
        <v>28</v>
      </c>
      <c r="D56" s="3" t="s">
        <v>483</v>
      </c>
      <c r="E56" s="3" t="s">
        <v>490</v>
      </c>
      <c r="F56" s="3">
        <f>ROUND(1/体验规划!$C$7*英雄成长!K37/(系统框架!$F$15/(系统框架!$F$15+系统框架!$F$14))*_xlfn.XLOOKUP($E56,$B$10:$B$19,C$10:C$19)*_xlfn.XLOOKUP($D56,$B$3:$B$7,C$3:C$7)*_xlfn.XLOOKUP(B56,$B$22:$B$25,C$22:C$25),0)</f>
        <v>185</v>
      </c>
      <c r="G56" s="3">
        <f>ROUND(1/体验规划!$C$7*英雄成长!K37/(系统框架!$F$15/(系统框架!$F$15+系统框架!$F$14))*_xlfn.XLOOKUP($E56,$B$10:$B$19,D$10:D$19)*_xlfn.XLOOKUP($D56,$B$3:$B$7,D$3:D$7)*_xlfn.XLOOKUP(B56,$B$22:$B$25,D$22:D$25),0)</f>
        <v>0</v>
      </c>
      <c r="H56" s="3">
        <f>ROUND(体验规划!$C$8*(英雄成长!I37/(系统框架!$F$15))*_xlfn.XLOOKUP($E56,$B$10:$B$19,E$10:E$19)*_xlfn.XLOOKUP($D56,$B$3:$B$7,E$3:E$7)*_xlfn.XLOOKUP($B56,$B$22:$B$25,E$22:E$25),0)</f>
        <v>3483</v>
      </c>
      <c r="I56" s="3">
        <f>ROUND(英雄成长!M37*_xlfn.XLOOKUP($E56,$B$10:$B$19,F$10:F$19)*_xlfn.XLOOKUP($D56,$B$3:$B$7,F$3:F$7)*_xlfn.XLOOKUP($B56,$B$22:$B$25,F$22:F$25),0)</f>
        <v>85</v>
      </c>
      <c r="J56" s="3">
        <f>ROUND(英雄成长!N37*_xlfn.XLOOKUP($E56,$B$10:$B$19,G$10:G$19)*_xlfn.XLOOKUP($D56,$B$3:$B$7,G$3:G$7)*_xlfn.XLOOKUP($B56,$B$22:$B$25,G$22:G$25),0)</f>
        <v>15</v>
      </c>
      <c r="K56" s="3">
        <f>ROUND(英雄成长!O37*_xlfn.XLOOKUP($E56,$B$10:$B$19,H$10:H$19)*_xlfn.XLOOKUP($D56,$B$3:$B$7,H$3:H$7)*_xlfn.XLOOKUP($B56,$B$22:$B$25,H$22:H$25),0)</f>
        <v>324</v>
      </c>
      <c r="L56" s="3">
        <f t="shared" si="1"/>
        <v>0</v>
      </c>
      <c r="M56" s="3">
        <f t="shared" si="2"/>
        <v>0</v>
      </c>
      <c r="N56" s="3">
        <f t="shared" si="3"/>
        <v>0</v>
      </c>
      <c r="O56" s="3">
        <f t="shared" si="4"/>
        <v>0</v>
      </c>
      <c r="P56" s="3">
        <f t="shared" si="5"/>
        <v>0</v>
      </c>
      <c r="Q56" s="3">
        <f t="shared" si="6"/>
        <v>0</v>
      </c>
      <c r="R56" s="3">
        <f t="shared" si="7"/>
        <v>0</v>
      </c>
      <c r="S56" s="3">
        <f>ROUND(英雄成长!P37*_xlfn.XLOOKUP($E56,$B$10:$B$19,I$10:I$19)*_xlfn.XLOOKUP($D56,$B$3:$B$7,I$3:I$7)*_xlfn.XLOOKUP($B56,$B$22:$B$25,I$22:I$25),0)</f>
        <v>20</v>
      </c>
      <c r="T56" s="3">
        <f>ROUND(英雄成长!Q37*_xlfn.XLOOKUP($E56,$B$10:$B$19,J$10:J$19)*_xlfn.XLOOKUP($D56,$B$3:$B$7,J$3:J$7)*_xlfn.XLOOKUP($B56,$B$22:$B$25,J$22:J$25),0)</f>
        <v>0</v>
      </c>
      <c r="U56" s="3">
        <f>ROUND(英雄成长!R37*_xlfn.XLOOKUP($E56,$B$10:$B$19,K$10:K$19)*_xlfn.XLOOKUP($D56,$B$3:$B$7,K$3:K$7)*_xlfn.XLOOKUP($B56,$B$22:$B$25,K$22:K$25),0)</f>
        <v>150</v>
      </c>
      <c r="V56" s="3">
        <f>ROUND(英雄成长!T37*_xlfn.XLOOKUP($E56,$B$10:$B$19,L$10:L$19)*_xlfn.XLOOKUP($D56,$B$3:$B$7,L$3:L$7)*_xlfn.XLOOKUP($B56,$B$22:$B$25,L$22:L$25),0)</f>
        <v>100</v>
      </c>
      <c r="W56" s="3">
        <f>ROUND(英雄成长!U37*_xlfn.XLOOKUP($E56,$B$10:$B$19,M$10:M$19)*_xlfn.XLOOKUP($D56,$B$3:$B$7,M$3:M$7)*_xlfn.XLOOKUP($B56,$B$22:$B$25,M$22:M$25),0)</f>
        <v>1</v>
      </c>
    </row>
    <row r="57" spans="2:23">
      <c r="B57" s="3" t="s">
        <v>468</v>
      </c>
      <c r="C57" s="3">
        <v>29</v>
      </c>
      <c r="D57" s="3" t="s">
        <v>483</v>
      </c>
      <c r="E57" s="3" t="s">
        <v>490</v>
      </c>
      <c r="F57" s="3">
        <f>ROUND(1/体验规划!$C$7*英雄成长!K38/(系统框架!$F$15/(系统框架!$F$15+系统框架!$F$14))*_xlfn.XLOOKUP($E57,$B$10:$B$19,C$10:C$19)*_xlfn.XLOOKUP($D57,$B$3:$B$7,C$3:C$7)*_xlfn.XLOOKUP(B57,$B$22:$B$25,C$22:C$25),0)</f>
        <v>190</v>
      </c>
      <c r="G57" s="3">
        <f>ROUND(1/体验规划!$C$7*英雄成长!K38/(系统框架!$F$15/(系统框架!$F$15+系统框架!$F$14))*_xlfn.XLOOKUP($E57,$B$10:$B$19,D$10:D$19)*_xlfn.XLOOKUP($D57,$B$3:$B$7,D$3:D$7)*_xlfn.XLOOKUP(B57,$B$22:$B$25,D$22:D$25),0)</f>
        <v>0</v>
      </c>
      <c r="H57" s="3">
        <f>ROUND(体验规划!$C$8*(英雄成长!I38/(系统框架!$F$15))*_xlfn.XLOOKUP($E57,$B$10:$B$19,E$10:E$19)*_xlfn.XLOOKUP($D57,$B$3:$B$7,E$3:E$7)*_xlfn.XLOOKUP($B57,$B$22:$B$25,E$22:E$25),0)</f>
        <v>3600</v>
      </c>
      <c r="I57" s="3">
        <f>ROUND(英雄成长!M38*_xlfn.XLOOKUP($E57,$B$10:$B$19,F$10:F$19)*_xlfn.XLOOKUP($D57,$B$3:$B$7,F$3:F$7)*_xlfn.XLOOKUP($B57,$B$22:$B$25,F$22:F$25),0)</f>
        <v>86</v>
      </c>
      <c r="J57" s="3">
        <f>ROUND(英雄成长!N38*_xlfn.XLOOKUP($E57,$B$10:$B$19,G$10:G$19)*_xlfn.XLOOKUP($D57,$B$3:$B$7,G$3:G$7)*_xlfn.XLOOKUP($B57,$B$22:$B$25,G$22:G$25),0)</f>
        <v>16</v>
      </c>
      <c r="K57" s="3">
        <f>ROUND(英雄成长!O38*_xlfn.XLOOKUP($E57,$B$10:$B$19,H$10:H$19)*_xlfn.XLOOKUP($D57,$B$3:$B$7,H$3:H$7)*_xlfn.XLOOKUP($B57,$B$22:$B$25,H$22:H$25),0)</f>
        <v>336</v>
      </c>
      <c r="L57" s="3">
        <f t="shared" si="1"/>
        <v>0</v>
      </c>
      <c r="M57" s="3">
        <f t="shared" si="2"/>
        <v>0</v>
      </c>
      <c r="N57" s="3">
        <f t="shared" si="3"/>
        <v>0</v>
      </c>
      <c r="O57" s="3">
        <f t="shared" si="4"/>
        <v>0</v>
      </c>
      <c r="P57" s="3">
        <f t="shared" si="5"/>
        <v>0</v>
      </c>
      <c r="Q57" s="3">
        <f t="shared" si="6"/>
        <v>0</v>
      </c>
      <c r="R57" s="3">
        <f t="shared" si="7"/>
        <v>0</v>
      </c>
      <c r="S57" s="3">
        <f>ROUND(英雄成长!P38*_xlfn.XLOOKUP($E57,$B$10:$B$19,I$10:I$19)*_xlfn.XLOOKUP($D57,$B$3:$B$7,I$3:I$7)*_xlfn.XLOOKUP($B57,$B$22:$B$25,I$22:I$25),0)</f>
        <v>20</v>
      </c>
      <c r="T57" s="3">
        <f>ROUND(英雄成长!Q38*_xlfn.XLOOKUP($E57,$B$10:$B$19,J$10:J$19)*_xlfn.XLOOKUP($D57,$B$3:$B$7,J$3:J$7)*_xlfn.XLOOKUP($B57,$B$22:$B$25,J$22:J$25),0)</f>
        <v>0</v>
      </c>
      <c r="U57" s="3">
        <f>ROUND(英雄成长!R38*_xlfn.XLOOKUP($E57,$B$10:$B$19,K$10:K$19)*_xlfn.XLOOKUP($D57,$B$3:$B$7,K$3:K$7)*_xlfn.XLOOKUP($B57,$B$22:$B$25,K$22:K$25),0)</f>
        <v>150</v>
      </c>
      <c r="V57" s="3">
        <f>ROUND(英雄成长!T38*_xlfn.XLOOKUP($E57,$B$10:$B$19,L$10:L$19)*_xlfn.XLOOKUP($D57,$B$3:$B$7,L$3:L$7)*_xlfn.XLOOKUP($B57,$B$22:$B$25,L$22:L$25),0)</f>
        <v>100</v>
      </c>
      <c r="W57" s="3">
        <f>ROUND(英雄成长!U38*_xlfn.XLOOKUP($E57,$B$10:$B$19,M$10:M$19)*_xlfn.XLOOKUP($D57,$B$3:$B$7,M$3:M$7)*_xlfn.XLOOKUP($B57,$B$22:$B$25,M$22:M$25),0)</f>
        <v>1</v>
      </c>
    </row>
    <row r="58" spans="2:23">
      <c r="B58" s="3" t="s">
        <v>468</v>
      </c>
      <c r="C58" s="3">
        <v>30</v>
      </c>
      <c r="D58" s="3" t="s">
        <v>483</v>
      </c>
      <c r="E58" s="3" t="s">
        <v>490</v>
      </c>
      <c r="F58" s="3">
        <f>ROUND(1/体验规划!$C$7*英雄成长!K39/(系统框架!$F$15/(系统框架!$F$15+系统框架!$F$14))*_xlfn.XLOOKUP($E58,$B$10:$B$19,C$10:C$19)*_xlfn.XLOOKUP($D58,$B$3:$B$7,C$3:C$7)*_xlfn.XLOOKUP(B58,$B$22:$B$25,C$22:C$25),0)</f>
        <v>196</v>
      </c>
      <c r="G58" s="3">
        <f>ROUND(1/体验规划!$C$7*英雄成长!K39/(系统框架!$F$15/(系统框架!$F$15+系统框架!$F$14))*_xlfn.XLOOKUP($E58,$B$10:$B$19,D$10:D$19)*_xlfn.XLOOKUP($D58,$B$3:$B$7,D$3:D$7)*_xlfn.XLOOKUP(B58,$B$22:$B$25,D$22:D$25),0)</f>
        <v>0</v>
      </c>
      <c r="H58" s="3">
        <f>ROUND(体验规划!$C$8*(英雄成长!I39/(系统框架!$F$15))*_xlfn.XLOOKUP($E58,$B$10:$B$19,E$10:E$19)*_xlfn.XLOOKUP($D58,$B$3:$B$7,E$3:E$7)*_xlfn.XLOOKUP($B58,$B$22:$B$25,E$22:E$25),0)</f>
        <v>3717</v>
      </c>
      <c r="I58" s="3">
        <f>ROUND(英雄成长!M39*_xlfn.XLOOKUP($E58,$B$10:$B$19,F$10:F$19)*_xlfn.XLOOKUP($D58,$B$3:$B$7,F$3:F$7)*_xlfn.XLOOKUP($B58,$B$22:$B$25,F$22:F$25),0)</f>
        <v>86</v>
      </c>
      <c r="J58" s="3">
        <f>ROUND(英雄成长!N39*_xlfn.XLOOKUP($E58,$B$10:$B$19,G$10:G$19)*_xlfn.XLOOKUP($D58,$B$3:$B$7,G$3:G$7)*_xlfn.XLOOKUP($B58,$B$22:$B$25,G$22:G$25),0)</f>
        <v>16</v>
      </c>
      <c r="K58" s="3">
        <f>ROUND(英雄成长!O39*_xlfn.XLOOKUP($E58,$B$10:$B$19,H$10:H$19)*_xlfn.XLOOKUP($D58,$B$3:$B$7,H$3:H$7)*_xlfn.XLOOKUP($B58,$B$22:$B$25,H$22:H$25),0)</f>
        <v>348</v>
      </c>
      <c r="L58" s="3">
        <f t="shared" si="1"/>
        <v>0</v>
      </c>
      <c r="M58" s="3">
        <f t="shared" si="2"/>
        <v>0</v>
      </c>
      <c r="N58" s="3">
        <f t="shared" si="3"/>
        <v>0</v>
      </c>
      <c r="O58" s="3">
        <f t="shared" si="4"/>
        <v>0</v>
      </c>
      <c r="P58" s="3">
        <f t="shared" si="5"/>
        <v>0</v>
      </c>
      <c r="Q58" s="3">
        <f t="shared" si="6"/>
        <v>0</v>
      </c>
      <c r="R58" s="3">
        <f t="shared" si="7"/>
        <v>0</v>
      </c>
      <c r="S58" s="3">
        <f>ROUND(英雄成长!P39*_xlfn.XLOOKUP($E58,$B$10:$B$19,I$10:I$19)*_xlfn.XLOOKUP($D58,$B$3:$B$7,I$3:I$7)*_xlfn.XLOOKUP($B58,$B$22:$B$25,I$22:I$25),0)</f>
        <v>20</v>
      </c>
      <c r="T58" s="3">
        <f>ROUND(英雄成长!Q39*_xlfn.XLOOKUP($E58,$B$10:$B$19,J$10:J$19)*_xlfn.XLOOKUP($D58,$B$3:$B$7,J$3:J$7)*_xlfn.XLOOKUP($B58,$B$22:$B$25,J$22:J$25),0)</f>
        <v>0</v>
      </c>
      <c r="U58" s="3">
        <f>ROUND(英雄成长!R39*_xlfn.XLOOKUP($E58,$B$10:$B$19,K$10:K$19)*_xlfn.XLOOKUP($D58,$B$3:$B$7,K$3:K$7)*_xlfn.XLOOKUP($B58,$B$22:$B$25,K$22:K$25),0)</f>
        <v>150</v>
      </c>
      <c r="V58" s="3">
        <f>ROUND(英雄成长!T39*_xlfn.XLOOKUP($E58,$B$10:$B$19,L$10:L$19)*_xlfn.XLOOKUP($D58,$B$3:$B$7,L$3:L$7)*_xlfn.XLOOKUP($B58,$B$22:$B$25,L$22:L$25),0)</f>
        <v>100</v>
      </c>
      <c r="W58" s="3">
        <f>ROUND(英雄成长!U39*_xlfn.XLOOKUP($E58,$B$10:$B$19,M$10:M$19)*_xlfn.XLOOKUP($D58,$B$3:$B$7,M$3:M$7)*_xlfn.XLOOKUP($B58,$B$22:$B$25,M$22:M$25),0)</f>
        <v>1</v>
      </c>
    </row>
  </sheetData>
  <phoneticPr fontId="1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FC3F6-5C37-4C32-97F8-BD58555D27C3}">
  <sheetPr codeName="Sheet15"/>
  <dimension ref="B2:AG50"/>
  <sheetViews>
    <sheetView workbookViewId="0">
      <selection activeCell="G17" sqref="G17"/>
    </sheetView>
  </sheetViews>
  <sheetFormatPr defaultColWidth="13.77734375" defaultRowHeight="15.6"/>
  <cols>
    <col min="1" max="16384" width="13.77734375" style="1"/>
  </cols>
  <sheetData>
    <row r="2" spans="2:12" ht="16.2">
      <c r="B2" s="2" t="s">
        <v>419</v>
      </c>
      <c r="G2" s="2" t="s">
        <v>368</v>
      </c>
      <c r="J2" s="2" t="s">
        <v>424</v>
      </c>
    </row>
    <row r="3" spans="2:12" ht="16.2">
      <c r="B3" s="35" t="s">
        <v>423</v>
      </c>
      <c r="C3" s="35" t="s">
        <v>393</v>
      </c>
      <c r="D3" s="35" t="s">
        <v>394</v>
      </c>
      <c r="E3" s="35" t="s">
        <v>415</v>
      </c>
      <c r="G3" s="35" t="s">
        <v>369</v>
      </c>
      <c r="H3" s="35" t="s">
        <v>391</v>
      </c>
      <c r="J3" s="35" t="s">
        <v>355</v>
      </c>
      <c r="K3" s="35" t="s">
        <v>356</v>
      </c>
      <c r="L3" s="35" t="s">
        <v>420</v>
      </c>
    </row>
    <row r="4" spans="2:12">
      <c r="B4" s="3" t="s">
        <v>392</v>
      </c>
      <c r="C4" s="3">
        <v>2</v>
      </c>
      <c r="D4" s="3">
        <v>6</v>
      </c>
      <c r="E4" s="3">
        <v>2</v>
      </c>
      <c r="G4" s="3" t="s">
        <v>371</v>
      </c>
      <c r="H4" s="3" t="s">
        <v>394</v>
      </c>
      <c r="J4" s="3" t="s">
        <v>350</v>
      </c>
      <c r="K4" s="3">
        <v>0.5</v>
      </c>
      <c r="L4" s="3">
        <v>0</v>
      </c>
    </row>
    <row r="5" spans="2:12">
      <c r="B5" s="3" t="s">
        <v>285</v>
      </c>
      <c r="C5" s="3">
        <v>1</v>
      </c>
      <c r="D5" s="3">
        <v>0</v>
      </c>
      <c r="E5" s="3">
        <v>0</v>
      </c>
      <c r="G5" s="3" t="s">
        <v>372</v>
      </c>
      <c r="H5" s="3" t="s">
        <v>394</v>
      </c>
      <c r="J5" s="3" t="s">
        <v>351</v>
      </c>
      <c r="K5" s="3">
        <v>0.75</v>
      </c>
      <c r="L5" s="3">
        <v>1</v>
      </c>
    </row>
    <row r="6" spans="2:12">
      <c r="B6" s="3" t="s">
        <v>378</v>
      </c>
      <c r="C6" s="3">
        <v>1</v>
      </c>
      <c r="D6" s="3">
        <v>0</v>
      </c>
      <c r="E6" s="3">
        <v>0</v>
      </c>
      <c r="G6" s="3" t="s">
        <v>374</v>
      </c>
      <c r="H6" s="3" t="s">
        <v>394</v>
      </c>
      <c r="J6" s="3" t="s">
        <v>354</v>
      </c>
      <c r="K6" s="3">
        <v>1</v>
      </c>
      <c r="L6" s="3">
        <v>2</v>
      </c>
    </row>
    <row r="7" spans="2:12">
      <c r="B7" s="3" t="s">
        <v>379</v>
      </c>
      <c r="C7" s="3">
        <v>0</v>
      </c>
      <c r="D7" s="3">
        <v>1</v>
      </c>
      <c r="E7" s="3">
        <v>0</v>
      </c>
      <c r="G7" s="3" t="s">
        <v>376</v>
      </c>
      <c r="H7" s="3" t="s">
        <v>394</v>
      </c>
      <c r="J7" s="3" t="s">
        <v>352</v>
      </c>
      <c r="K7" s="3">
        <v>1.25</v>
      </c>
      <c r="L7" s="3">
        <v>3</v>
      </c>
    </row>
    <row r="8" spans="2:12">
      <c r="B8" s="3" t="s">
        <v>380</v>
      </c>
      <c r="C8" s="3">
        <v>0</v>
      </c>
      <c r="D8" s="3">
        <v>1</v>
      </c>
      <c r="E8" s="3">
        <v>0</v>
      </c>
      <c r="G8" s="3" t="s">
        <v>375</v>
      </c>
      <c r="H8" s="3" t="s">
        <v>394</v>
      </c>
      <c r="J8" s="3" t="s">
        <v>353</v>
      </c>
      <c r="K8" s="3">
        <v>1.5</v>
      </c>
      <c r="L8" s="3">
        <v>4</v>
      </c>
    </row>
    <row r="9" spans="2:12">
      <c r="B9" s="3" t="s">
        <v>381</v>
      </c>
      <c r="C9" s="3">
        <v>0.66</v>
      </c>
      <c r="D9" s="3">
        <v>0</v>
      </c>
      <c r="E9" s="3">
        <v>0.33</v>
      </c>
      <c r="G9" s="3" t="s">
        <v>418</v>
      </c>
      <c r="H9" s="3" t="s">
        <v>394</v>
      </c>
      <c r="J9" s="3" t="s">
        <v>377</v>
      </c>
      <c r="K9" s="3">
        <v>2</v>
      </c>
      <c r="L9" s="3">
        <v>5</v>
      </c>
    </row>
    <row r="10" spans="2:12">
      <c r="B10" s="3" t="s">
        <v>382</v>
      </c>
      <c r="C10" s="3">
        <v>0</v>
      </c>
      <c r="D10" s="3">
        <v>0.66</v>
      </c>
      <c r="E10" s="3">
        <v>0.33</v>
      </c>
      <c r="G10" s="3" t="s">
        <v>373</v>
      </c>
      <c r="H10" s="3" t="s">
        <v>415</v>
      </c>
    </row>
    <row r="11" spans="2:12">
      <c r="B11" s="3" t="s">
        <v>383</v>
      </c>
      <c r="C11" s="3">
        <v>0</v>
      </c>
      <c r="D11" s="3">
        <v>1</v>
      </c>
      <c r="E11" s="3">
        <v>0</v>
      </c>
      <c r="G11" s="3" t="s">
        <v>390</v>
      </c>
      <c r="H11" s="3" t="s">
        <v>415</v>
      </c>
    </row>
    <row r="12" spans="2:12">
      <c r="B12" s="3" t="s">
        <v>384</v>
      </c>
      <c r="C12" s="3">
        <v>0</v>
      </c>
      <c r="D12" s="3">
        <v>1</v>
      </c>
      <c r="E12" s="3">
        <v>0</v>
      </c>
      <c r="G12" s="3" t="s">
        <v>416</v>
      </c>
      <c r="H12" s="3" t="s">
        <v>393</v>
      </c>
    </row>
    <row r="13" spans="2:12">
      <c r="B13" s="3" t="s">
        <v>385</v>
      </c>
      <c r="C13" s="3">
        <v>0</v>
      </c>
      <c r="D13" s="3">
        <v>1</v>
      </c>
      <c r="E13" s="3">
        <v>0</v>
      </c>
      <c r="G13" s="3" t="s">
        <v>417</v>
      </c>
      <c r="H13" s="3" t="s">
        <v>393</v>
      </c>
    </row>
    <row r="14" spans="2:12">
      <c r="B14" s="3" t="s">
        <v>386</v>
      </c>
      <c r="C14" s="3">
        <v>0.66</v>
      </c>
      <c r="D14" s="3">
        <v>0</v>
      </c>
      <c r="E14" s="3">
        <v>0.33</v>
      </c>
    </row>
    <row r="15" spans="2:12">
      <c r="B15" s="3" t="s">
        <v>387</v>
      </c>
      <c r="C15" s="3">
        <v>0.66</v>
      </c>
      <c r="D15" s="3">
        <v>0</v>
      </c>
      <c r="E15" s="3">
        <v>0.33</v>
      </c>
    </row>
    <row r="16" spans="2:12">
      <c r="B16" s="3" t="s">
        <v>388</v>
      </c>
      <c r="C16" s="3">
        <v>0.66</v>
      </c>
      <c r="D16" s="3">
        <v>0</v>
      </c>
      <c r="E16" s="3">
        <v>0.33</v>
      </c>
    </row>
    <row r="17" spans="2:33">
      <c r="B17" s="3" t="s">
        <v>389</v>
      </c>
      <c r="C17" s="3">
        <v>0</v>
      </c>
      <c r="D17" s="3">
        <v>0.66</v>
      </c>
      <c r="E17" s="3">
        <v>0.33</v>
      </c>
    </row>
    <row r="19" spans="2:33" ht="16.2">
      <c r="B19" s="2" t="s">
        <v>370</v>
      </c>
    </row>
    <row r="20" spans="2:33" ht="16.2">
      <c r="B20" s="35" t="s">
        <v>357</v>
      </c>
      <c r="C20" s="35" t="s">
        <v>358</v>
      </c>
      <c r="D20" s="35" t="s">
        <v>391</v>
      </c>
      <c r="E20" s="35" t="s">
        <v>429</v>
      </c>
      <c r="F20" s="35" t="s">
        <v>430</v>
      </c>
      <c r="G20" s="35" t="s">
        <v>360</v>
      </c>
      <c r="H20" s="35" t="s">
        <v>360</v>
      </c>
      <c r="I20" s="35" t="s">
        <v>361</v>
      </c>
      <c r="J20" s="35" t="s">
        <v>361</v>
      </c>
      <c r="K20" s="35" t="s">
        <v>359</v>
      </c>
      <c r="L20" s="35" t="s">
        <v>362</v>
      </c>
      <c r="M20" s="35" t="s">
        <v>363</v>
      </c>
      <c r="N20" s="35" t="s">
        <v>464</v>
      </c>
      <c r="O20" s="35" t="s">
        <v>286</v>
      </c>
      <c r="P20" s="35" t="s">
        <v>287</v>
      </c>
      <c r="Q20" s="35" t="s">
        <v>309</v>
      </c>
      <c r="R20" s="35" t="s">
        <v>310</v>
      </c>
      <c r="S20" s="35" t="s">
        <v>431</v>
      </c>
      <c r="T20" s="35" t="s">
        <v>282</v>
      </c>
      <c r="U20" s="35" t="s">
        <v>452</v>
      </c>
      <c r="V20" s="35" t="s">
        <v>454</v>
      </c>
      <c r="W20" s="35" t="s">
        <v>455</v>
      </c>
      <c r="X20" s="35" t="s">
        <v>457</v>
      </c>
      <c r="Y20" s="35" t="s">
        <v>459</v>
      </c>
      <c r="Z20" s="35" t="s">
        <v>461</v>
      </c>
      <c r="AA20" s="35" t="s">
        <v>463</v>
      </c>
      <c r="AB20" s="35" t="s">
        <v>365</v>
      </c>
      <c r="AC20" s="35" t="s">
        <v>366</v>
      </c>
      <c r="AD20" s="35" t="s">
        <v>367</v>
      </c>
      <c r="AE20" s="35" t="s">
        <v>421</v>
      </c>
      <c r="AF20" s="35" t="s">
        <v>422</v>
      </c>
      <c r="AG20" s="35" t="s">
        <v>364</v>
      </c>
    </row>
    <row r="21" spans="2:33">
      <c r="B21" s="3" t="s">
        <v>428</v>
      </c>
      <c r="C21" s="3">
        <v>1</v>
      </c>
      <c r="D21" s="3" t="s">
        <v>393</v>
      </c>
      <c r="E21" s="3" t="s">
        <v>350</v>
      </c>
      <c r="F21" s="3">
        <v>10</v>
      </c>
      <c r="G21" s="3" t="s">
        <v>216</v>
      </c>
      <c r="H21" s="3">
        <f>K21</f>
        <v>1</v>
      </c>
      <c r="I21" s="3" t="s">
        <v>213</v>
      </c>
      <c r="J21" s="3">
        <f>K21</f>
        <v>1</v>
      </c>
      <c r="K21" s="3">
        <f t="shared" ref="K21:K50" si="0">C21+ROUNDDOWN(C21/10,0)</f>
        <v>1</v>
      </c>
      <c r="L21" s="3" t="s">
        <v>425</v>
      </c>
      <c r="M21" s="3" t="s">
        <v>286</v>
      </c>
      <c r="N21" s="3" t="s">
        <v>44</v>
      </c>
      <c r="O21" s="3">
        <f>ROUND(英雄成长!I10*VLOOKUP(M21,$B$3:$C$17,2)*_xlfn.XLOOKUP(E21,$J$4:$J$9,$K$4:$K$9)*$C$4/SUM($C$4:$E$4)*系统框架!$F$14/系统框架!$F$15,0)</f>
        <v>2</v>
      </c>
      <c r="P21" s="3">
        <v>0</v>
      </c>
      <c r="Q21" s="3" t="s">
        <v>44</v>
      </c>
      <c r="R21" s="3" t="s">
        <v>44</v>
      </c>
      <c r="S21" s="3" t="s">
        <v>44</v>
      </c>
      <c r="T21" s="3" t="s">
        <v>44</v>
      </c>
      <c r="U21" s="3" t="s">
        <v>44</v>
      </c>
      <c r="V21" s="3" t="s">
        <v>44</v>
      </c>
      <c r="W21" s="3" t="s">
        <v>44</v>
      </c>
      <c r="X21" s="3" t="s">
        <v>44</v>
      </c>
      <c r="Y21" s="3" t="s">
        <v>44</v>
      </c>
      <c r="Z21" s="3" t="s">
        <v>44</v>
      </c>
      <c r="AA21" s="3" t="s">
        <v>44</v>
      </c>
      <c r="AB21" s="3" t="s">
        <v>44</v>
      </c>
      <c r="AC21" s="3" t="s">
        <v>44</v>
      </c>
      <c r="AD21" s="3" t="s">
        <v>44</v>
      </c>
      <c r="AE21" s="3" t="s">
        <v>44</v>
      </c>
      <c r="AF21" s="3" t="s">
        <v>44</v>
      </c>
      <c r="AG21" s="3" t="s">
        <v>44</v>
      </c>
    </row>
    <row r="22" spans="2:33">
      <c r="B22" s="3" t="s">
        <v>428</v>
      </c>
      <c r="C22" s="3">
        <v>2</v>
      </c>
      <c r="D22" s="3" t="s">
        <v>393</v>
      </c>
      <c r="E22" s="3" t="s">
        <v>350</v>
      </c>
      <c r="F22" s="3">
        <v>10</v>
      </c>
      <c r="G22" s="3" t="s">
        <v>216</v>
      </c>
      <c r="H22" s="3">
        <f t="shared" ref="H22:H50" si="1">K22</f>
        <v>2</v>
      </c>
      <c r="I22" s="3" t="s">
        <v>213</v>
      </c>
      <c r="J22" s="3">
        <f t="shared" ref="J22:J50" si="2">K22</f>
        <v>2</v>
      </c>
      <c r="K22" s="3">
        <f t="shared" si="0"/>
        <v>2</v>
      </c>
      <c r="L22" s="3" t="s">
        <v>425</v>
      </c>
      <c r="M22" s="3" t="s">
        <v>286</v>
      </c>
      <c r="N22" s="3" t="s">
        <v>44</v>
      </c>
      <c r="O22" s="3">
        <f>ROUND(英雄成长!I11*VLOOKUP(M22,$B$3:$C$17,2)*_xlfn.XLOOKUP(E22,$J$4:$J$9,$K$4:$K$9)*$C$4/SUM($C$4:$E$4)*系统框架!$F$14/系统框架!$F$15,0)</f>
        <v>2</v>
      </c>
      <c r="P22" s="3">
        <v>0</v>
      </c>
      <c r="Q22" s="3" t="s">
        <v>44</v>
      </c>
      <c r="R22" s="3" t="s">
        <v>44</v>
      </c>
      <c r="S22" s="3" t="s">
        <v>44</v>
      </c>
      <c r="T22" s="3" t="s">
        <v>44</v>
      </c>
      <c r="U22" s="3" t="s">
        <v>44</v>
      </c>
      <c r="V22" s="3" t="s">
        <v>44</v>
      </c>
      <c r="W22" s="3" t="s">
        <v>44</v>
      </c>
      <c r="X22" s="3" t="s">
        <v>44</v>
      </c>
      <c r="Y22" s="3" t="s">
        <v>44</v>
      </c>
      <c r="Z22" s="3" t="s">
        <v>44</v>
      </c>
      <c r="AA22" s="3" t="s">
        <v>44</v>
      </c>
      <c r="AB22" s="3" t="s">
        <v>44</v>
      </c>
      <c r="AC22" s="3" t="s">
        <v>44</v>
      </c>
      <c r="AD22" s="3" t="s">
        <v>44</v>
      </c>
      <c r="AE22" s="3" t="s">
        <v>44</v>
      </c>
      <c r="AF22" s="3" t="s">
        <v>44</v>
      </c>
      <c r="AG22" s="3" t="s">
        <v>44</v>
      </c>
    </row>
    <row r="23" spans="2:33">
      <c r="B23" s="3" t="s">
        <v>428</v>
      </c>
      <c r="C23" s="3">
        <v>3</v>
      </c>
      <c r="D23" s="3" t="s">
        <v>393</v>
      </c>
      <c r="E23" s="3" t="s">
        <v>350</v>
      </c>
      <c r="F23" s="3">
        <v>10</v>
      </c>
      <c r="G23" s="3" t="s">
        <v>216</v>
      </c>
      <c r="H23" s="3">
        <f t="shared" si="1"/>
        <v>3</v>
      </c>
      <c r="I23" s="3" t="s">
        <v>213</v>
      </c>
      <c r="J23" s="3">
        <f t="shared" si="2"/>
        <v>3</v>
      </c>
      <c r="K23" s="3">
        <f t="shared" si="0"/>
        <v>3</v>
      </c>
      <c r="L23" s="3" t="s">
        <v>425</v>
      </c>
      <c r="M23" s="3" t="s">
        <v>286</v>
      </c>
      <c r="N23" s="3" t="s">
        <v>44</v>
      </c>
      <c r="O23" s="3">
        <f>ROUND(英雄成长!I12*VLOOKUP(M23,$B$3:$C$17,2)*_xlfn.XLOOKUP(E23,$J$4:$J$9,$K$4:$K$9)*$C$4/SUM($C$4:$E$4)*系统框架!$F$14/系统框架!$F$15,0)</f>
        <v>3</v>
      </c>
      <c r="P23" s="3">
        <v>0</v>
      </c>
      <c r="Q23" s="3" t="s">
        <v>44</v>
      </c>
      <c r="R23" s="3" t="s">
        <v>44</v>
      </c>
      <c r="S23" s="3" t="s">
        <v>44</v>
      </c>
      <c r="T23" s="3" t="s">
        <v>44</v>
      </c>
      <c r="U23" s="3" t="s">
        <v>44</v>
      </c>
      <c r="V23" s="3" t="s">
        <v>44</v>
      </c>
      <c r="W23" s="3" t="s">
        <v>44</v>
      </c>
      <c r="X23" s="3" t="s">
        <v>44</v>
      </c>
      <c r="Y23" s="3" t="s">
        <v>44</v>
      </c>
      <c r="Z23" s="3" t="s">
        <v>44</v>
      </c>
      <c r="AA23" s="3" t="s">
        <v>44</v>
      </c>
      <c r="AB23" s="3" t="s">
        <v>44</v>
      </c>
      <c r="AC23" s="3" t="s">
        <v>44</v>
      </c>
      <c r="AD23" s="3" t="s">
        <v>44</v>
      </c>
      <c r="AE23" s="3" t="s">
        <v>44</v>
      </c>
      <c r="AF23" s="3" t="s">
        <v>44</v>
      </c>
      <c r="AG23" s="3" t="s">
        <v>44</v>
      </c>
    </row>
    <row r="24" spans="2:33">
      <c r="B24" s="3" t="s">
        <v>428</v>
      </c>
      <c r="C24" s="3">
        <v>4</v>
      </c>
      <c r="D24" s="3" t="s">
        <v>393</v>
      </c>
      <c r="E24" s="3" t="s">
        <v>350</v>
      </c>
      <c r="F24" s="3">
        <v>10</v>
      </c>
      <c r="G24" s="3" t="s">
        <v>216</v>
      </c>
      <c r="H24" s="3">
        <f t="shared" si="1"/>
        <v>4</v>
      </c>
      <c r="I24" s="3" t="s">
        <v>213</v>
      </c>
      <c r="J24" s="3">
        <f t="shared" si="2"/>
        <v>4</v>
      </c>
      <c r="K24" s="3">
        <f t="shared" si="0"/>
        <v>4</v>
      </c>
      <c r="L24" s="3" t="s">
        <v>425</v>
      </c>
      <c r="M24" s="3" t="s">
        <v>286</v>
      </c>
      <c r="N24" s="3" t="s">
        <v>44</v>
      </c>
      <c r="O24" s="3">
        <f>ROUND(英雄成长!I13*VLOOKUP(M24,$B$3:$C$17,2)*_xlfn.XLOOKUP(E24,$J$4:$J$9,$K$4:$K$9)*$C$4/SUM($C$4:$E$4)*系统框架!$F$14/系统框架!$F$15,0)</f>
        <v>3</v>
      </c>
      <c r="P24" s="3">
        <v>0</v>
      </c>
      <c r="Q24" s="3" t="s">
        <v>44</v>
      </c>
      <c r="R24" s="3" t="s">
        <v>44</v>
      </c>
      <c r="S24" s="3" t="s">
        <v>44</v>
      </c>
      <c r="T24" s="3" t="s">
        <v>44</v>
      </c>
      <c r="U24" s="3" t="s">
        <v>44</v>
      </c>
      <c r="V24" s="3" t="s">
        <v>44</v>
      </c>
      <c r="W24" s="3" t="s">
        <v>44</v>
      </c>
      <c r="X24" s="3" t="s">
        <v>44</v>
      </c>
      <c r="Y24" s="3" t="s">
        <v>44</v>
      </c>
      <c r="Z24" s="3" t="s">
        <v>44</v>
      </c>
      <c r="AA24" s="3" t="s">
        <v>44</v>
      </c>
      <c r="AB24" s="3" t="s">
        <v>44</v>
      </c>
      <c r="AC24" s="3" t="s">
        <v>44</v>
      </c>
      <c r="AD24" s="3" t="s">
        <v>44</v>
      </c>
      <c r="AE24" s="3" t="s">
        <v>44</v>
      </c>
      <c r="AF24" s="3" t="s">
        <v>44</v>
      </c>
      <c r="AG24" s="3" t="s">
        <v>44</v>
      </c>
    </row>
    <row r="25" spans="2:33">
      <c r="B25" s="3" t="s">
        <v>428</v>
      </c>
      <c r="C25" s="3">
        <v>5</v>
      </c>
      <c r="D25" s="3" t="s">
        <v>393</v>
      </c>
      <c r="E25" s="3" t="s">
        <v>350</v>
      </c>
      <c r="F25" s="3">
        <v>10</v>
      </c>
      <c r="G25" s="3" t="s">
        <v>216</v>
      </c>
      <c r="H25" s="3">
        <f t="shared" si="1"/>
        <v>5</v>
      </c>
      <c r="I25" s="3" t="s">
        <v>213</v>
      </c>
      <c r="J25" s="3">
        <f t="shared" si="2"/>
        <v>5</v>
      </c>
      <c r="K25" s="3">
        <f t="shared" si="0"/>
        <v>5</v>
      </c>
      <c r="L25" s="3" t="s">
        <v>425</v>
      </c>
      <c r="M25" s="3" t="s">
        <v>286</v>
      </c>
      <c r="N25" s="3" t="s">
        <v>44</v>
      </c>
      <c r="O25" s="3">
        <f>ROUND(英雄成长!I14*VLOOKUP(M25,$B$3:$C$17,2)*_xlfn.XLOOKUP(E25,$J$4:$J$9,$K$4:$K$9)*$C$4/SUM($C$4:$E$4)*系统框架!$F$14/系统框架!$F$15,0)</f>
        <v>4</v>
      </c>
      <c r="P25" s="3">
        <v>0</v>
      </c>
      <c r="Q25" s="3" t="s">
        <v>44</v>
      </c>
      <c r="R25" s="3" t="s">
        <v>44</v>
      </c>
      <c r="S25" s="3" t="s">
        <v>44</v>
      </c>
      <c r="T25" s="3" t="s">
        <v>44</v>
      </c>
      <c r="U25" s="3" t="s">
        <v>44</v>
      </c>
      <c r="V25" s="3" t="s">
        <v>44</v>
      </c>
      <c r="W25" s="3" t="s">
        <v>44</v>
      </c>
      <c r="X25" s="3" t="s">
        <v>44</v>
      </c>
      <c r="Y25" s="3" t="s">
        <v>44</v>
      </c>
      <c r="Z25" s="3" t="s">
        <v>44</v>
      </c>
      <c r="AA25" s="3" t="s">
        <v>44</v>
      </c>
      <c r="AB25" s="3" t="s">
        <v>44</v>
      </c>
      <c r="AC25" s="3" t="s">
        <v>44</v>
      </c>
      <c r="AD25" s="3" t="s">
        <v>44</v>
      </c>
      <c r="AE25" s="3" t="s">
        <v>44</v>
      </c>
      <c r="AF25" s="3" t="s">
        <v>44</v>
      </c>
      <c r="AG25" s="3" t="s">
        <v>44</v>
      </c>
    </row>
    <row r="26" spans="2:33">
      <c r="B26" s="3" t="s">
        <v>428</v>
      </c>
      <c r="C26" s="3">
        <v>6</v>
      </c>
      <c r="D26" s="3" t="s">
        <v>393</v>
      </c>
      <c r="E26" s="3" t="s">
        <v>350</v>
      </c>
      <c r="F26" s="3">
        <v>10</v>
      </c>
      <c r="G26" s="3" t="s">
        <v>216</v>
      </c>
      <c r="H26" s="3">
        <f t="shared" si="1"/>
        <v>6</v>
      </c>
      <c r="I26" s="3" t="s">
        <v>213</v>
      </c>
      <c r="J26" s="3">
        <f t="shared" si="2"/>
        <v>6</v>
      </c>
      <c r="K26" s="3">
        <f t="shared" si="0"/>
        <v>6</v>
      </c>
      <c r="L26" s="3" t="s">
        <v>425</v>
      </c>
      <c r="M26" s="3" t="s">
        <v>286</v>
      </c>
      <c r="N26" s="3" t="s">
        <v>44</v>
      </c>
      <c r="O26" s="3">
        <f>ROUND(英雄成长!I15*VLOOKUP(M26,$B$3:$C$17,2)*_xlfn.XLOOKUP(E26,$J$4:$J$9,$K$4:$K$9)*$C$4/SUM($C$4:$E$4)*系统框架!$F$14/系统框架!$F$15,0)</f>
        <v>4</v>
      </c>
      <c r="P26" s="3">
        <v>0</v>
      </c>
      <c r="Q26" s="3" t="s">
        <v>44</v>
      </c>
      <c r="R26" s="3" t="s">
        <v>44</v>
      </c>
      <c r="S26" s="3" t="s">
        <v>44</v>
      </c>
      <c r="T26" s="3" t="s">
        <v>44</v>
      </c>
      <c r="U26" s="3" t="s">
        <v>44</v>
      </c>
      <c r="V26" s="3" t="s">
        <v>44</v>
      </c>
      <c r="W26" s="3" t="s">
        <v>44</v>
      </c>
      <c r="X26" s="3" t="s">
        <v>44</v>
      </c>
      <c r="Y26" s="3" t="s">
        <v>44</v>
      </c>
      <c r="Z26" s="3" t="s">
        <v>44</v>
      </c>
      <c r="AA26" s="3" t="s">
        <v>44</v>
      </c>
      <c r="AB26" s="3" t="s">
        <v>44</v>
      </c>
      <c r="AC26" s="3" t="s">
        <v>44</v>
      </c>
      <c r="AD26" s="3" t="s">
        <v>44</v>
      </c>
      <c r="AE26" s="3" t="s">
        <v>44</v>
      </c>
      <c r="AF26" s="3" t="s">
        <v>44</v>
      </c>
      <c r="AG26" s="3" t="s">
        <v>44</v>
      </c>
    </row>
    <row r="27" spans="2:33">
      <c r="B27" s="3" t="s">
        <v>428</v>
      </c>
      <c r="C27" s="3">
        <v>7</v>
      </c>
      <c r="D27" s="3" t="s">
        <v>393</v>
      </c>
      <c r="E27" s="3" t="s">
        <v>350</v>
      </c>
      <c r="F27" s="3">
        <v>10</v>
      </c>
      <c r="G27" s="3" t="s">
        <v>216</v>
      </c>
      <c r="H27" s="3">
        <f t="shared" si="1"/>
        <v>7</v>
      </c>
      <c r="I27" s="3" t="s">
        <v>213</v>
      </c>
      <c r="J27" s="3">
        <f t="shared" si="2"/>
        <v>7</v>
      </c>
      <c r="K27" s="3">
        <f t="shared" si="0"/>
        <v>7</v>
      </c>
      <c r="L27" s="3" t="s">
        <v>425</v>
      </c>
      <c r="M27" s="3" t="s">
        <v>286</v>
      </c>
      <c r="N27" s="3" t="s">
        <v>44</v>
      </c>
      <c r="O27" s="3">
        <f>ROUND(英雄成长!I16*VLOOKUP(M27,$B$3:$C$17,2)*_xlfn.XLOOKUP(E27,$J$4:$J$9,$K$4:$K$9)*$C$4/SUM($C$4:$E$4)*系统框架!$F$14/系统框架!$F$15,0)</f>
        <v>4</v>
      </c>
      <c r="P27" s="3">
        <v>0</v>
      </c>
      <c r="Q27" s="3" t="s">
        <v>44</v>
      </c>
      <c r="R27" s="3" t="s">
        <v>44</v>
      </c>
      <c r="S27" s="3" t="s">
        <v>44</v>
      </c>
      <c r="T27" s="3" t="s">
        <v>44</v>
      </c>
      <c r="U27" s="3" t="s">
        <v>44</v>
      </c>
      <c r="V27" s="3" t="s">
        <v>44</v>
      </c>
      <c r="W27" s="3" t="s">
        <v>44</v>
      </c>
      <c r="X27" s="3" t="s">
        <v>44</v>
      </c>
      <c r="Y27" s="3" t="s">
        <v>44</v>
      </c>
      <c r="Z27" s="3" t="s">
        <v>44</v>
      </c>
      <c r="AA27" s="3" t="s">
        <v>44</v>
      </c>
      <c r="AB27" s="3" t="s">
        <v>44</v>
      </c>
      <c r="AC27" s="3" t="s">
        <v>44</v>
      </c>
      <c r="AD27" s="3" t="s">
        <v>44</v>
      </c>
      <c r="AE27" s="3" t="s">
        <v>44</v>
      </c>
      <c r="AF27" s="3" t="s">
        <v>44</v>
      </c>
      <c r="AG27" s="3" t="s">
        <v>44</v>
      </c>
    </row>
    <row r="28" spans="2:33">
      <c r="B28" s="3" t="s">
        <v>428</v>
      </c>
      <c r="C28" s="3">
        <v>8</v>
      </c>
      <c r="D28" s="3" t="s">
        <v>393</v>
      </c>
      <c r="E28" s="3" t="s">
        <v>350</v>
      </c>
      <c r="F28" s="3">
        <v>10</v>
      </c>
      <c r="G28" s="3" t="s">
        <v>216</v>
      </c>
      <c r="H28" s="3">
        <f t="shared" si="1"/>
        <v>8</v>
      </c>
      <c r="I28" s="3" t="s">
        <v>213</v>
      </c>
      <c r="J28" s="3">
        <f t="shared" si="2"/>
        <v>8</v>
      </c>
      <c r="K28" s="3">
        <f t="shared" si="0"/>
        <v>8</v>
      </c>
      <c r="L28" s="3" t="s">
        <v>425</v>
      </c>
      <c r="M28" s="3" t="s">
        <v>286</v>
      </c>
      <c r="N28" s="3" t="s">
        <v>44</v>
      </c>
      <c r="O28" s="3">
        <f>ROUND(英雄成长!I17*VLOOKUP(M28,$B$3:$C$17,2)*_xlfn.XLOOKUP(E28,$J$4:$J$9,$K$4:$K$9)*$C$4/SUM($C$4:$E$4)*系统框架!$F$14/系统框架!$F$15,0)</f>
        <v>5</v>
      </c>
      <c r="P28" s="3">
        <v>0</v>
      </c>
      <c r="Q28" s="3" t="s">
        <v>44</v>
      </c>
      <c r="R28" s="3" t="s">
        <v>44</v>
      </c>
      <c r="S28" s="3" t="s">
        <v>44</v>
      </c>
      <c r="T28" s="3" t="s">
        <v>44</v>
      </c>
      <c r="U28" s="3" t="s">
        <v>44</v>
      </c>
      <c r="V28" s="3" t="s">
        <v>44</v>
      </c>
      <c r="W28" s="3" t="s">
        <v>44</v>
      </c>
      <c r="X28" s="3" t="s">
        <v>44</v>
      </c>
      <c r="Y28" s="3" t="s">
        <v>44</v>
      </c>
      <c r="Z28" s="3" t="s">
        <v>44</v>
      </c>
      <c r="AA28" s="3" t="s">
        <v>44</v>
      </c>
      <c r="AB28" s="3" t="s">
        <v>44</v>
      </c>
      <c r="AC28" s="3" t="s">
        <v>44</v>
      </c>
      <c r="AD28" s="3" t="s">
        <v>44</v>
      </c>
      <c r="AE28" s="3" t="s">
        <v>44</v>
      </c>
      <c r="AF28" s="3" t="s">
        <v>44</v>
      </c>
      <c r="AG28" s="3" t="s">
        <v>44</v>
      </c>
    </row>
    <row r="29" spans="2:33">
      <c r="B29" s="3" t="s">
        <v>428</v>
      </c>
      <c r="C29" s="3">
        <v>9</v>
      </c>
      <c r="D29" s="3" t="s">
        <v>393</v>
      </c>
      <c r="E29" s="3" t="s">
        <v>350</v>
      </c>
      <c r="F29" s="3">
        <v>10</v>
      </c>
      <c r="G29" s="3" t="s">
        <v>216</v>
      </c>
      <c r="H29" s="3">
        <f t="shared" si="1"/>
        <v>9</v>
      </c>
      <c r="I29" s="3" t="s">
        <v>213</v>
      </c>
      <c r="J29" s="3">
        <f t="shared" si="2"/>
        <v>9</v>
      </c>
      <c r="K29" s="3">
        <f t="shared" si="0"/>
        <v>9</v>
      </c>
      <c r="L29" s="3" t="s">
        <v>425</v>
      </c>
      <c r="M29" s="3" t="s">
        <v>286</v>
      </c>
      <c r="N29" s="3" t="s">
        <v>44</v>
      </c>
      <c r="O29" s="3">
        <f>ROUND(英雄成长!I18*VLOOKUP(M29,$B$3:$C$17,2)*_xlfn.XLOOKUP(E29,$J$4:$J$9,$K$4:$K$9)*$C$4/SUM($C$4:$E$4)*系统框架!$F$14/系统框架!$F$15,0)</f>
        <v>5</v>
      </c>
      <c r="P29" s="3">
        <v>0</v>
      </c>
      <c r="Q29" s="3" t="s">
        <v>44</v>
      </c>
      <c r="R29" s="3" t="s">
        <v>44</v>
      </c>
      <c r="S29" s="3" t="s">
        <v>44</v>
      </c>
      <c r="T29" s="3" t="s">
        <v>44</v>
      </c>
      <c r="U29" s="3" t="s">
        <v>44</v>
      </c>
      <c r="V29" s="3" t="s">
        <v>44</v>
      </c>
      <c r="W29" s="3" t="s">
        <v>44</v>
      </c>
      <c r="X29" s="3" t="s">
        <v>44</v>
      </c>
      <c r="Y29" s="3" t="s">
        <v>44</v>
      </c>
      <c r="Z29" s="3" t="s">
        <v>44</v>
      </c>
      <c r="AA29" s="3" t="s">
        <v>44</v>
      </c>
      <c r="AB29" s="3" t="s">
        <v>44</v>
      </c>
      <c r="AC29" s="3" t="s">
        <v>44</v>
      </c>
      <c r="AD29" s="3" t="s">
        <v>44</v>
      </c>
      <c r="AE29" s="3" t="s">
        <v>44</v>
      </c>
      <c r="AF29" s="3" t="s">
        <v>44</v>
      </c>
      <c r="AG29" s="3" t="s">
        <v>44</v>
      </c>
    </row>
    <row r="30" spans="2:33">
      <c r="B30" s="3" t="s">
        <v>428</v>
      </c>
      <c r="C30" s="3">
        <v>10</v>
      </c>
      <c r="D30" s="3" t="s">
        <v>393</v>
      </c>
      <c r="E30" s="3" t="s">
        <v>350</v>
      </c>
      <c r="F30" s="3">
        <v>10</v>
      </c>
      <c r="G30" s="3" t="s">
        <v>216</v>
      </c>
      <c r="H30" s="3">
        <f t="shared" si="1"/>
        <v>11</v>
      </c>
      <c r="I30" s="3" t="s">
        <v>213</v>
      </c>
      <c r="J30" s="3">
        <f t="shared" si="2"/>
        <v>11</v>
      </c>
      <c r="K30" s="3">
        <f t="shared" si="0"/>
        <v>11</v>
      </c>
      <c r="L30" s="3" t="s">
        <v>425</v>
      </c>
      <c r="M30" s="3" t="s">
        <v>286</v>
      </c>
      <c r="N30" s="3" t="s">
        <v>44</v>
      </c>
      <c r="O30" s="3">
        <f>ROUND(英雄成长!I19*VLOOKUP(M30,$B$3:$C$17,2)*_xlfn.XLOOKUP(E30,$J$4:$J$9,$K$4:$K$9)*$C$4/SUM($C$4:$E$4)*系统框架!$F$14/系统框架!$F$15,0)</f>
        <v>6</v>
      </c>
      <c r="P30" s="3">
        <v>0</v>
      </c>
      <c r="Q30" s="3" t="s">
        <v>44</v>
      </c>
      <c r="R30" s="3" t="s">
        <v>44</v>
      </c>
      <c r="S30" s="3" t="s">
        <v>44</v>
      </c>
      <c r="T30" s="3" t="s">
        <v>44</v>
      </c>
      <c r="U30" s="3" t="s">
        <v>44</v>
      </c>
      <c r="V30" s="3" t="s">
        <v>44</v>
      </c>
      <c r="W30" s="3" t="s">
        <v>44</v>
      </c>
      <c r="X30" s="3" t="s">
        <v>44</v>
      </c>
      <c r="Y30" s="3" t="s">
        <v>44</v>
      </c>
      <c r="Z30" s="3" t="s">
        <v>44</v>
      </c>
      <c r="AA30" s="3" t="s">
        <v>44</v>
      </c>
      <c r="AB30" s="3" t="s">
        <v>44</v>
      </c>
      <c r="AC30" s="3" t="s">
        <v>44</v>
      </c>
      <c r="AD30" s="3" t="s">
        <v>44</v>
      </c>
      <c r="AE30" s="3" t="s">
        <v>44</v>
      </c>
      <c r="AF30" s="3" t="s">
        <v>44</v>
      </c>
      <c r="AG30" s="3" t="s">
        <v>44</v>
      </c>
    </row>
    <row r="31" spans="2:33">
      <c r="B31" s="3" t="s">
        <v>428</v>
      </c>
      <c r="C31" s="3">
        <v>11</v>
      </c>
      <c r="D31" s="3" t="s">
        <v>393</v>
      </c>
      <c r="E31" s="3" t="s">
        <v>350</v>
      </c>
      <c r="F31" s="3">
        <v>10</v>
      </c>
      <c r="G31" s="3" t="s">
        <v>216</v>
      </c>
      <c r="H31" s="3">
        <f t="shared" si="1"/>
        <v>12</v>
      </c>
      <c r="I31" s="3" t="s">
        <v>213</v>
      </c>
      <c r="J31" s="3">
        <f t="shared" si="2"/>
        <v>12</v>
      </c>
      <c r="K31" s="3">
        <f t="shared" si="0"/>
        <v>12</v>
      </c>
      <c r="L31" s="3" t="s">
        <v>425</v>
      </c>
      <c r="M31" s="3" t="s">
        <v>286</v>
      </c>
      <c r="N31" s="3" t="s">
        <v>44</v>
      </c>
      <c r="O31" s="3">
        <f>ROUND(英雄成长!I20*VLOOKUP(M31,$B$3:$C$17,2)*_xlfn.XLOOKUP(E31,$J$4:$J$9,$K$4:$K$9)*$C$4/SUM($C$4:$E$4)*系统框架!$F$14/系统框架!$F$15,0)</f>
        <v>7</v>
      </c>
      <c r="P31" s="3">
        <v>0</v>
      </c>
      <c r="Q31" s="3" t="s">
        <v>44</v>
      </c>
      <c r="R31" s="3" t="s">
        <v>44</v>
      </c>
      <c r="S31" s="3" t="s">
        <v>44</v>
      </c>
      <c r="T31" s="3" t="s">
        <v>44</v>
      </c>
      <c r="U31" s="3" t="s">
        <v>44</v>
      </c>
      <c r="V31" s="3" t="s">
        <v>44</v>
      </c>
      <c r="W31" s="3" t="s">
        <v>44</v>
      </c>
      <c r="X31" s="3" t="s">
        <v>44</v>
      </c>
      <c r="Y31" s="3" t="s">
        <v>44</v>
      </c>
      <c r="Z31" s="3" t="s">
        <v>44</v>
      </c>
      <c r="AA31" s="3" t="s">
        <v>44</v>
      </c>
      <c r="AB31" s="3" t="s">
        <v>44</v>
      </c>
      <c r="AC31" s="3" t="s">
        <v>44</v>
      </c>
      <c r="AD31" s="3" t="s">
        <v>44</v>
      </c>
      <c r="AE31" s="3" t="s">
        <v>44</v>
      </c>
      <c r="AF31" s="3" t="s">
        <v>44</v>
      </c>
      <c r="AG31" s="3" t="s">
        <v>44</v>
      </c>
    </row>
    <row r="32" spans="2:33">
      <c r="B32" s="3" t="s">
        <v>428</v>
      </c>
      <c r="C32" s="3">
        <v>12</v>
      </c>
      <c r="D32" s="3" t="s">
        <v>393</v>
      </c>
      <c r="E32" s="3" t="s">
        <v>350</v>
      </c>
      <c r="F32" s="3">
        <v>10</v>
      </c>
      <c r="G32" s="3" t="s">
        <v>216</v>
      </c>
      <c r="H32" s="3">
        <f t="shared" si="1"/>
        <v>13</v>
      </c>
      <c r="I32" s="3" t="s">
        <v>213</v>
      </c>
      <c r="J32" s="3">
        <f t="shared" si="2"/>
        <v>13</v>
      </c>
      <c r="K32" s="3">
        <f t="shared" si="0"/>
        <v>13</v>
      </c>
      <c r="L32" s="3" t="s">
        <v>425</v>
      </c>
      <c r="M32" s="3" t="s">
        <v>286</v>
      </c>
      <c r="N32" s="3" t="s">
        <v>44</v>
      </c>
      <c r="O32" s="3">
        <f>ROUND(英雄成长!I21*VLOOKUP(M32,$B$3:$C$17,2)*_xlfn.XLOOKUP(E32,$J$4:$J$9,$K$4:$K$9)*$C$4/SUM($C$4:$E$4)*系统框架!$F$14/系统框架!$F$15,0)</f>
        <v>8</v>
      </c>
      <c r="P32" s="3">
        <v>0</v>
      </c>
      <c r="Q32" s="3" t="s">
        <v>44</v>
      </c>
      <c r="R32" s="3" t="s">
        <v>44</v>
      </c>
      <c r="S32" s="3" t="s">
        <v>44</v>
      </c>
      <c r="T32" s="3" t="s">
        <v>44</v>
      </c>
      <c r="U32" s="3" t="s">
        <v>44</v>
      </c>
      <c r="V32" s="3" t="s">
        <v>44</v>
      </c>
      <c r="W32" s="3" t="s">
        <v>44</v>
      </c>
      <c r="X32" s="3" t="s">
        <v>44</v>
      </c>
      <c r="Y32" s="3" t="s">
        <v>44</v>
      </c>
      <c r="Z32" s="3" t="s">
        <v>44</v>
      </c>
      <c r="AA32" s="3" t="s">
        <v>44</v>
      </c>
      <c r="AB32" s="3" t="s">
        <v>44</v>
      </c>
      <c r="AC32" s="3" t="s">
        <v>44</v>
      </c>
      <c r="AD32" s="3" t="s">
        <v>44</v>
      </c>
      <c r="AE32" s="3" t="s">
        <v>44</v>
      </c>
      <c r="AF32" s="3" t="s">
        <v>44</v>
      </c>
      <c r="AG32" s="3" t="s">
        <v>44</v>
      </c>
    </row>
    <row r="33" spans="2:33">
      <c r="B33" s="3" t="s">
        <v>428</v>
      </c>
      <c r="C33" s="3">
        <v>13</v>
      </c>
      <c r="D33" s="3" t="s">
        <v>393</v>
      </c>
      <c r="E33" s="3" t="s">
        <v>350</v>
      </c>
      <c r="F33" s="3">
        <v>10</v>
      </c>
      <c r="G33" s="3" t="s">
        <v>216</v>
      </c>
      <c r="H33" s="3">
        <f t="shared" si="1"/>
        <v>14</v>
      </c>
      <c r="I33" s="3" t="s">
        <v>213</v>
      </c>
      <c r="J33" s="3">
        <f t="shared" si="2"/>
        <v>14</v>
      </c>
      <c r="K33" s="3">
        <f t="shared" si="0"/>
        <v>14</v>
      </c>
      <c r="L33" s="3" t="s">
        <v>425</v>
      </c>
      <c r="M33" s="3" t="s">
        <v>286</v>
      </c>
      <c r="N33" s="3" t="s">
        <v>44</v>
      </c>
      <c r="O33" s="3">
        <f>ROUND(英雄成长!I22*VLOOKUP(M33,$B$3:$C$17,2)*_xlfn.XLOOKUP(E33,$J$4:$J$9,$K$4:$K$9)*$C$4/SUM($C$4:$E$4)*系统框架!$F$14/系统框架!$F$15,0)</f>
        <v>8</v>
      </c>
      <c r="P33" s="3">
        <v>0</v>
      </c>
      <c r="Q33" s="3" t="s">
        <v>44</v>
      </c>
      <c r="R33" s="3" t="s">
        <v>44</v>
      </c>
      <c r="S33" s="3" t="s">
        <v>44</v>
      </c>
      <c r="T33" s="3" t="s">
        <v>44</v>
      </c>
      <c r="U33" s="3" t="s">
        <v>44</v>
      </c>
      <c r="V33" s="3" t="s">
        <v>44</v>
      </c>
      <c r="W33" s="3" t="s">
        <v>44</v>
      </c>
      <c r="X33" s="3" t="s">
        <v>44</v>
      </c>
      <c r="Y33" s="3" t="s">
        <v>44</v>
      </c>
      <c r="Z33" s="3" t="s">
        <v>44</v>
      </c>
      <c r="AA33" s="3" t="s">
        <v>44</v>
      </c>
      <c r="AB33" s="3" t="s">
        <v>44</v>
      </c>
      <c r="AC33" s="3" t="s">
        <v>44</v>
      </c>
      <c r="AD33" s="3" t="s">
        <v>44</v>
      </c>
      <c r="AE33" s="3" t="s">
        <v>44</v>
      </c>
      <c r="AF33" s="3" t="s">
        <v>44</v>
      </c>
      <c r="AG33" s="3" t="s">
        <v>44</v>
      </c>
    </row>
    <row r="34" spans="2:33">
      <c r="B34" s="3" t="s">
        <v>428</v>
      </c>
      <c r="C34" s="3">
        <v>14</v>
      </c>
      <c r="D34" s="3" t="s">
        <v>393</v>
      </c>
      <c r="E34" s="3" t="s">
        <v>350</v>
      </c>
      <c r="F34" s="3">
        <v>10</v>
      </c>
      <c r="G34" s="3" t="s">
        <v>216</v>
      </c>
      <c r="H34" s="3">
        <f t="shared" si="1"/>
        <v>15</v>
      </c>
      <c r="I34" s="3" t="s">
        <v>213</v>
      </c>
      <c r="J34" s="3">
        <f t="shared" si="2"/>
        <v>15</v>
      </c>
      <c r="K34" s="3">
        <f t="shared" si="0"/>
        <v>15</v>
      </c>
      <c r="L34" s="3" t="s">
        <v>425</v>
      </c>
      <c r="M34" s="3" t="s">
        <v>286</v>
      </c>
      <c r="N34" s="3" t="s">
        <v>44</v>
      </c>
      <c r="O34" s="3">
        <f>ROUND(英雄成长!I23*VLOOKUP(M34,$B$3:$C$17,2)*_xlfn.XLOOKUP(E34,$J$4:$J$9,$K$4:$K$9)*$C$4/SUM($C$4:$E$4)*系统框架!$F$14/系统框架!$F$15,0)</f>
        <v>9</v>
      </c>
      <c r="P34" s="3">
        <v>0</v>
      </c>
      <c r="Q34" s="3" t="s">
        <v>44</v>
      </c>
      <c r="R34" s="3" t="s">
        <v>44</v>
      </c>
      <c r="S34" s="3" t="s">
        <v>44</v>
      </c>
      <c r="T34" s="3" t="s">
        <v>44</v>
      </c>
      <c r="U34" s="3" t="s">
        <v>44</v>
      </c>
      <c r="V34" s="3" t="s">
        <v>44</v>
      </c>
      <c r="W34" s="3" t="s">
        <v>44</v>
      </c>
      <c r="X34" s="3" t="s">
        <v>44</v>
      </c>
      <c r="Y34" s="3" t="s">
        <v>44</v>
      </c>
      <c r="Z34" s="3" t="s">
        <v>44</v>
      </c>
      <c r="AA34" s="3" t="s">
        <v>44</v>
      </c>
      <c r="AB34" s="3" t="s">
        <v>44</v>
      </c>
      <c r="AC34" s="3" t="s">
        <v>44</v>
      </c>
      <c r="AD34" s="3" t="s">
        <v>44</v>
      </c>
      <c r="AE34" s="3" t="s">
        <v>44</v>
      </c>
      <c r="AF34" s="3" t="s">
        <v>44</v>
      </c>
      <c r="AG34" s="3" t="s">
        <v>44</v>
      </c>
    </row>
    <row r="35" spans="2:33">
      <c r="B35" s="3" t="s">
        <v>428</v>
      </c>
      <c r="C35" s="3">
        <v>15</v>
      </c>
      <c r="D35" s="3" t="s">
        <v>393</v>
      </c>
      <c r="E35" s="3" t="s">
        <v>350</v>
      </c>
      <c r="F35" s="3">
        <v>10</v>
      </c>
      <c r="G35" s="3" t="s">
        <v>216</v>
      </c>
      <c r="H35" s="3">
        <f t="shared" si="1"/>
        <v>16</v>
      </c>
      <c r="I35" s="3" t="s">
        <v>213</v>
      </c>
      <c r="J35" s="3">
        <f t="shared" si="2"/>
        <v>16</v>
      </c>
      <c r="K35" s="3">
        <f t="shared" si="0"/>
        <v>16</v>
      </c>
      <c r="L35" s="3" t="s">
        <v>425</v>
      </c>
      <c r="M35" s="3" t="s">
        <v>286</v>
      </c>
      <c r="N35" s="3" t="s">
        <v>44</v>
      </c>
      <c r="O35" s="3">
        <f>ROUND(英雄成长!I24*VLOOKUP(M35,$B$3:$C$17,2)*_xlfn.XLOOKUP(E35,$J$4:$J$9,$K$4:$K$9)*$C$4/SUM($C$4:$E$4)*系统框架!$F$14/系统框架!$F$15,0)</f>
        <v>9</v>
      </c>
      <c r="P35" s="3">
        <v>0</v>
      </c>
      <c r="Q35" s="3" t="s">
        <v>44</v>
      </c>
      <c r="R35" s="3" t="s">
        <v>44</v>
      </c>
      <c r="S35" s="3" t="s">
        <v>44</v>
      </c>
      <c r="T35" s="3" t="s">
        <v>44</v>
      </c>
      <c r="U35" s="3" t="s">
        <v>44</v>
      </c>
      <c r="V35" s="3" t="s">
        <v>44</v>
      </c>
      <c r="W35" s="3" t="s">
        <v>44</v>
      </c>
      <c r="X35" s="3" t="s">
        <v>44</v>
      </c>
      <c r="Y35" s="3" t="s">
        <v>44</v>
      </c>
      <c r="Z35" s="3" t="s">
        <v>44</v>
      </c>
      <c r="AA35" s="3" t="s">
        <v>44</v>
      </c>
      <c r="AB35" s="3" t="s">
        <v>44</v>
      </c>
      <c r="AC35" s="3" t="s">
        <v>44</v>
      </c>
      <c r="AD35" s="3" t="s">
        <v>44</v>
      </c>
      <c r="AE35" s="3" t="s">
        <v>44</v>
      </c>
      <c r="AF35" s="3" t="s">
        <v>44</v>
      </c>
      <c r="AG35" s="3" t="s">
        <v>44</v>
      </c>
    </row>
    <row r="36" spans="2:33">
      <c r="B36" s="3" t="s">
        <v>428</v>
      </c>
      <c r="C36" s="3">
        <v>16</v>
      </c>
      <c r="D36" s="3" t="s">
        <v>393</v>
      </c>
      <c r="E36" s="3" t="s">
        <v>350</v>
      </c>
      <c r="F36" s="3">
        <v>10</v>
      </c>
      <c r="G36" s="3" t="s">
        <v>216</v>
      </c>
      <c r="H36" s="3">
        <f t="shared" si="1"/>
        <v>17</v>
      </c>
      <c r="I36" s="3" t="s">
        <v>213</v>
      </c>
      <c r="J36" s="3">
        <f t="shared" si="2"/>
        <v>17</v>
      </c>
      <c r="K36" s="3">
        <f t="shared" si="0"/>
        <v>17</v>
      </c>
      <c r="L36" s="3" t="s">
        <v>425</v>
      </c>
      <c r="M36" s="3" t="s">
        <v>286</v>
      </c>
      <c r="N36" s="3" t="s">
        <v>44</v>
      </c>
      <c r="O36" s="3">
        <f>ROUND(英雄成长!I25*VLOOKUP(M36,$B$3:$C$17,2)*_xlfn.XLOOKUP(E36,$J$4:$J$9,$K$4:$K$9)*$C$4/SUM($C$4:$E$4)*系统框架!$F$14/系统框架!$F$15,0)</f>
        <v>10</v>
      </c>
      <c r="P36" s="3">
        <v>0</v>
      </c>
      <c r="Q36" s="3" t="s">
        <v>44</v>
      </c>
      <c r="R36" s="3" t="s">
        <v>44</v>
      </c>
      <c r="S36" s="3" t="s">
        <v>44</v>
      </c>
      <c r="T36" s="3" t="s">
        <v>44</v>
      </c>
      <c r="U36" s="3" t="s">
        <v>44</v>
      </c>
      <c r="V36" s="3" t="s">
        <v>44</v>
      </c>
      <c r="W36" s="3" t="s">
        <v>44</v>
      </c>
      <c r="X36" s="3" t="s">
        <v>44</v>
      </c>
      <c r="Y36" s="3" t="s">
        <v>44</v>
      </c>
      <c r="Z36" s="3" t="s">
        <v>44</v>
      </c>
      <c r="AA36" s="3" t="s">
        <v>44</v>
      </c>
      <c r="AB36" s="3" t="s">
        <v>44</v>
      </c>
      <c r="AC36" s="3" t="s">
        <v>44</v>
      </c>
      <c r="AD36" s="3" t="s">
        <v>44</v>
      </c>
      <c r="AE36" s="3" t="s">
        <v>44</v>
      </c>
      <c r="AF36" s="3" t="s">
        <v>44</v>
      </c>
      <c r="AG36" s="3" t="s">
        <v>44</v>
      </c>
    </row>
    <row r="37" spans="2:33">
      <c r="B37" s="3" t="s">
        <v>428</v>
      </c>
      <c r="C37" s="3">
        <v>17</v>
      </c>
      <c r="D37" s="3" t="s">
        <v>393</v>
      </c>
      <c r="E37" s="3" t="s">
        <v>350</v>
      </c>
      <c r="F37" s="3">
        <v>10</v>
      </c>
      <c r="G37" s="3" t="s">
        <v>216</v>
      </c>
      <c r="H37" s="3">
        <f t="shared" si="1"/>
        <v>18</v>
      </c>
      <c r="I37" s="3" t="s">
        <v>213</v>
      </c>
      <c r="J37" s="3">
        <f t="shared" si="2"/>
        <v>18</v>
      </c>
      <c r="K37" s="3">
        <f t="shared" si="0"/>
        <v>18</v>
      </c>
      <c r="L37" s="3" t="s">
        <v>425</v>
      </c>
      <c r="M37" s="3" t="s">
        <v>286</v>
      </c>
      <c r="N37" s="3" t="s">
        <v>44</v>
      </c>
      <c r="O37" s="3">
        <f>ROUND(英雄成长!I26*VLOOKUP(M37,$B$3:$C$17,2)*_xlfn.XLOOKUP(E37,$J$4:$J$9,$K$4:$K$9)*$C$4/SUM($C$4:$E$4)*系统框架!$F$14/系统框架!$F$15,0)</f>
        <v>10</v>
      </c>
      <c r="P37" s="3">
        <v>0</v>
      </c>
      <c r="Q37" s="3" t="s">
        <v>44</v>
      </c>
      <c r="R37" s="3" t="s">
        <v>44</v>
      </c>
      <c r="S37" s="3" t="s">
        <v>44</v>
      </c>
      <c r="T37" s="3" t="s">
        <v>44</v>
      </c>
      <c r="U37" s="3" t="s">
        <v>44</v>
      </c>
      <c r="V37" s="3" t="s">
        <v>44</v>
      </c>
      <c r="W37" s="3" t="s">
        <v>44</v>
      </c>
      <c r="X37" s="3" t="s">
        <v>44</v>
      </c>
      <c r="Y37" s="3" t="s">
        <v>44</v>
      </c>
      <c r="Z37" s="3" t="s">
        <v>44</v>
      </c>
      <c r="AA37" s="3" t="s">
        <v>44</v>
      </c>
      <c r="AB37" s="3" t="s">
        <v>44</v>
      </c>
      <c r="AC37" s="3" t="s">
        <v>44</v>
      </c>
      <c r="AD37" s="3" t="s">
        <v>44</v>
      </c>
      <c r="AE37" s="3" t="s">
        <v>44</v>
      </c>
      <c r="AF37" s="3" t="s">
        <v>44</v>
      </c>
      <c r="AG37" s="3" t="s">
        <v>44</v>
      </c>
    </row>
    <row r="38" spans="2:33">
      <c r="B38" s="3" t="s">
        <v>428</v>
      </c>
      <c r="C38" s="3">
        <v>18</v>
      </c>
      <c r="D38" s="3" t="s">
        <v>393</v>
      </c>
      <c r="E38" s="3" t="s">
        <v>350</v>
      </c>
      <c r="F38" s="3">
        <v>10</v>
      </c>
      <c r="G38" s="3" t="s">
        <v>216</v>
      </c>
      <c r="H38" s="3">
        <f t="shared" si="1"/>
        <v>19</v>
      </c>
      <c r="I38" s="3" t="s">
        <v>213</v>
      </c>
      <c r="J38" s="3">
        <f t="shared" si="2"/>
        <v>19</v>
      </c>
      <c r="K38" s="3">
        <f t="shared" si="0"/>
        <v>19</v>
      </c>
      <c r="L38" s="3" t="s">
        <v>425</v>
      </c>
      <c r="M38" s="3" t="s">
        <v>286</v>
      </c>
      <c r="N38" s="3" t="s">
        <v>44</v>
      </c>
      <c r="O38" s="3">
        <f>ROUND(英雄成长!I27*VLOOKUP(M38,$B$3:$C$17,2)*_xlfn.XLOOKUP(E38,$J$4:$J$9,$K$4:$K$9)*$C$4/SUM($C$4:$E$4)*系统框架!$F$14/系统框架!$F$15,0)</f>
        <v>11</v>
      </c>
      <c r="P38" s="3">
        <v>0</v>
      </c>
      <c r="Q38" s="3" t="s">
        <v>44</v>
      </c>
      <c r="R38" s="3" t="s">
        <v>44</v>
      </c>
      <c r="S38" s="3" t="s">
        <v>44</v>
      </c>
      <c r="T38" s="3" t="s">
        <v>44</v>
      </c>
      <c r="U38" s="3" t="s">
        <v>44</v>
      </c>
      <c r="V38" s="3" t="s">
        <v>44</v>
      </c>
      <c r="W38" s="3" t="s">
        <v>44</v>
      </c>
      <c r="X38" s="3" t="s">
        <v>44</v>
      </c>
      <c r="Y38" s="3" t="s">
        <v>44</v>
      </c>
      <c r="Z38" s="3" t="s">
        <v>44</v>
      </c>
      <c r="AA38" s="3" t="s">
        <v>44</v>
      </c>
      <c r="AB38" s="3" t="s">
        <v>44</v>
      </c>
      <c r="AC38" s="3" t="s">
        <v>44</v>
      </c>
      <c r="AD38" s="3" t="s">
        <v>44</v>
      </c>
      <c r="AE38" s="3" t="s">
        <v>44</v>
      </c>
      <c r="AF38" s="3" t="s">
        <v>44</v>
      </c>
      <c r="AG38" s="3" t="s">
        <v>44</v>
      </c>
    </row>
    <row r="39" spans="2:33">
      <c r="B39" s="3" t="s">
        <v>428</v>
      </c>
      <c r="C39" s="3">
        <v>19</v>
      </c>
      <c r="D39" s="3" t="s">
        <v>393</v>
      </c>
      <c r="E39" s="3" t="s">
        <v>350</v>
      </c>
      <c r="F39" s="3">
        <v>10</v>
      </c>
      <c r="G39" s="3" t="s">
        <v>216</v>
      </c>
      <c r="H39" s="3">
        <f t="shared" si="1"/>
        <v>20</v>
      </c>
      <c r="I39" s="3" t="s">
        <v>213</v>
      </c>
      <c r="J39" s="3">
        <f t="shared" si="2"/>
        <v>20</v>
      </c>
      <c r="K39" s="3">
        <f t="shared" si="0"/>
        <v>20</v>
      </c>
      <c r="L39" s="3" t="s">
        <v>425</v>
      </c>
      <c r="M39" s="3" t="s">
        <v>286</v>
      </c>
      <c r="N39" s="3" t="s">
        <v>44</v>
      </c>
      <c r="O39" s="3">
        <f>ROUND(英雄成长!I28*VLOOKUP(M39,$B$3:$C$17,2)*_xlfn.XLOOKUP(E39,$J$4:$J$9,$K$4:$K$9)*$C$4/SUM($C$4:$E$4)*系统框架!$F$14/系统框架!$F$15,0)</f>
        <v>11</v>
      </c>
      <c r="P39" s="3">
        <v>0</v>
      </c>
      <c r="Q39" s="3" t="s">
        <v>44</v>
      </c>
      <c r="R39" s="3" t="s">
        <v>44</v>
      </c>
      <c r="S39" s="3" t="s">
        <v>44</v>
      </c>
      <c r="T39" s="3" t="s">
        <v>44</v>
      </c>
      <c r="U39" s="3" t="s">
        <v>44</v>
      </c>
      <c r="V39" s="3" t="s">
        <v>44</v>
      </c>
      <c r="W39" s="3" t="s">
        <v>44</v>
      </c>
      <c r="X39" s="3" t="s">
        <v>44</v>
      </c>
      <c r="Y39" s="3" t="s">
        <v>44</v>
      </c>
      <c r="Z39" s="3" t="s">
        <v>44</v>
      </c>
      <c r="AA39" s="3" t="s">
        <v>44</v>
      </c>
      <c r="AB39" s="3" t="s">
        <v>44</v>
      </c>
      <c r="AC39" s="3" t="s">
        <v>44</v>
      </c>
      <c r="AD39" s="3" t="s">
        <v>44</v>
      </c>
      <c r="AE39" s="3" t="s">
        <v>44</v>
      </c>
      <c r="AF39" s="3" t="s">
        <v>44</v>
      </c>
      <c r="AG39" s="3" t="s">
        <v>44</v>
      </c>
    </row>
    <row r="40" spans="2:33">
      <c r="B40" s="3" t="s">
        <v>428</v>
      </c>
      <c r="C40" s="3">
        <v>20</v>
      </c>
      <c r="D40" s="3" t="s">
        <v>393</v>
      </c>
      <c r="E40" s="3" t="s">
        <v>350</v>
      </c>
      <c r="F40" s="3">
        <v>10</v>
      </c>
      <c r="G40" s="3" t="s">
        <v>216</v>
      </c>
      <c r="H40" s="3">
        <f t="shared" si="1"/>
        <v>22</v>
      </c>
      <c r="I40" s="3" t="s">
        <v>213</v>
      </c>
      <c r="J40" s="3">
        <f t="shared" si="2"/>
        <v>22</v>
      </c>
      <c r="K40" s="3">
        <f t="shared" si="0"/>
        <v>22</v>
      </c>
      <c r="L40" s="3" t="s">
        <v>425</v>
      </c>
      <c r="M40" s="3" t="s">
        <v>286</v>
      </c>
      <c r="N40" s="3" t="s">
        <v>44</v>
      </c>
      <c r="O40" s="3">
        <f>ROUND(英雄成长!I29*VLOOKUP(M40,$B$3:$C$17,2)*_xlfn.XLOOKUP(E40,$J$4:$J$9,$K$4:$K$9)*$C$4/SUM($C$4:$E$4)*系统框架!$F$14/系统框架!$F$15,0)</f>
        <v>12</v>
      </c>
      <c r="P40" s="3">
        <v>0</v>
      </c>
      <c r="Q40" s="3" t="s">
        <v>44</v>
      </c>
      <c r="R40" s="3" t="s">
        <v>44</v>
      </c>
      <c r="S40" s="3" t="s">
        <v>44</v>
      </c>
      <c r="T40" s="3" t="s">
        <v>44</v>
      </c>
      <c r="U40" s="3" t="s">
        <v>44</v>
      </c>
      <c r="V40" s="3" t="s">
        <v>44</v>
      </c>
      <c r="W40" s="3" t="s">
        <v>44</v>
      </c>
      <c r="X40" s="3" t="s">
        <v>44</v>
      </c>
      <c r="Y40" s="3" t="s">
        <v>44</v>
      </c>
      <c r="Z40" s="3" t="s">
        <v>44</v>
      </c>
      <c r="AA40" s="3" t="s">
        <v>44</v>
      </c>
      <c r="AB40" s="3" t="s">
        <v>44</v>
      </c>
      <c r="AC40" s="3" t="s">
        <v>44</v>
      </c>
      <c r="AD40" s="3" t="s">
        <v>44</v>
      </c>
      <c r="AE40" s="3" t="s">
        <v>44</v>
      </c>
      <c r="AF40" s="3" t="s">
        <v>44</v>
      </c>
      <c r="AG40" s="3" t="s">
        <v>44</v>
      </c>
    </row>
    <row r="41" spans="2:33">
      <c r="B41" s="3" t="s">
        <v>428</v>
      </c>
      <c r="C41" s="3">
        <v>21</v>
      </c>
      <c r="D41" s="3" t="s">
        <v>393</v>
      </c>
      <c r="E41" s="3" t="s">
        <v>350</v>
      </c>
      <c r="F41" s="3">
        <v>10</v>
      </c>
      <c r="G41" s="3" t="s">
        <v>216</v>
      </c>
      <c r="H41" s="3">
        <f t="shared" si="1"/>
        <v>23</v>
      </c>
      <c r="I41" s="3" t="s">
        <v>213</v>
      </c>
      <c r="J41" s="3">
        <f t="shared" si="2"/>
        <v>23</v>
      </c>
      <c r="K41" s="3">
        <f t="shared" si="0"/>
        <v>23</v>
      </c>
      <c r="L41" s="3" t="s">
        <v>425</v>
      </c>
      <c r="M41" s="3" t="s">
        <v>286</v>
      </c>
      <c r="N41" s="3" t="s">
        <v>44</v>
      </c>
      <c r="O41" s="3">
        <f>ROUND(英雄成长!I30*VLOOKUP(M41,$B$3:$C$17,2)*_xlfn.XLOOKUP(E41,$J$4:$J$9,$K$4:$K$9)*$C$4/SUM($C$4:$E$4)*系统框架!$F$14/系统框架!$F$15,0)</f>
        <v>14</v>
      </c>
      <c r="P41" s="3">
        <v>0</v>
      </c>
      <c r="Q41" s="3" t="s">
        <v>44</v>
      </c>
      <c r="R41" s="3" t="s">
        <v>44</v>
      </c>
      <c r="S41" s="3" t="s">
        <v>44</v>
      </c>
      <c r="T41" s="3" t="s">
        <v>44</v>
      </c>
      <c r="U41" s="3" t="s">
        <v>44</v>
      </c>
      <c r="V41" s="3" t="s">
        <v>44</v>
      </c>
      <c r="W41" s="3" t="s">
        <v>44</v>
      </c>
      <c r="X41" s="3" t="s">
        <v>44</v>
      </c>
      <c r="Y41" s="3" t="s">
        <v>44</v>
      </c>
      <c r="Z41" s="3" t="s">
        <v>44</v>
      </c>
      <c r="AA41" s="3" t="s">
        <v>44</v>
      </c>
      <c r="AB41" s="3" t="s">
        <v>44</v>
      </c>
      <c r="AC41" s="3" t="s">
        <v>44</v>
      </c>
      <c r="AD41" s="3" t="s">
        <v>44</v>
      </c>
      <c r="AE41" s="3" t="s">
        <v>44</v>
      </c>
      <c r="AF41" s="3" t="s">
        <v>44</v>
      </c>
      <c r="AG41" s="3" t="s">
        <v>44</v>
      </c>
    </row>
    <row r="42" spans="2:33">
      <c r="B42" s="3" t="s">
        <v>428</v>
      </c>
      <c r="C42" s="3">
        <v>22</v>
      </c>
      <c r="D42" s="3" t="s">
        <v>393</v>
      </c>
      <c r="E42" s="3" t="s">
        <v>350</v>
      </c>
      <c r="F42" s="3">
        <v>10</v>
      </c>
      <c r="G42" s="3" t="s">
        <v>216</v>
      </c>
      <c r="H42" s="3">
        <f t="shared" si="1"/>
        <v>24</v>
      </c>
      <c r="I42" s="3" t="s">
        <v>213</v>
      </c>
      <c r="J42" s="3">
        <f t="shared" si="2"/>
        <v>24</v>
      </c>
      <c r="K42" s="3">
        <f t="shared" si="0"/>
        <v>24</v>
      </c>
      <c r="L42" s="3" t="s">
        <v>425</v>
      </c>
      <c r="M42" s="3" t="s">
        <v>286</v>
      </c>
      <c r="N42" s="3" t="s">
        <v>44</v>
      </c>
      <c r="O42" s="3">
        <f>ROUND(英雄成长!I31*VLOOKUP(M42,$B$3:$C$17,2)*_xlfn.XLOOKUP(E42,$J$4:$J$9,$K$4:$K$9)*$C$4/SUM($C$4:$E$4)*系统框架!$F$14/系统框架!$F$15,0)</f>
        <v>15</v>
      </c>
      <c r="P42" s="3">
        <v>0</v>
      </c>
      <c r="Q42" s="3" t="s">
        <v>44</v>
      </c>
      <c r="R42" s="3" t="s">
        <v>44</v>
      </c>
      <c r="S42" s="3" t="s">
        <v>44</v>
      </c>
      <c r="T42" s="3" t="s">
        <v>44</v>
      </c>
      <c r="U42" s="3" t="s">
        <v>44</v>
      </c>
      <c r="V42" s="3" t="s">
        <v>44</v>
      </c>
      <c r="W42" s="3" t="s">
        <v>44</v>
      </c>
      <c r="X42" s="3" t="s">
        <v>44</v>
      </c>
      <c r="Y42" s="3" t="s">
        <v>44</v>
      </c>
      <c r="Z42" s="3" t="s">
        <v>44</v>
      </c>
      <c r="AA42" s="3" t="s">
        <v>44</v>
      </c>
      <c r="AB42" s="3" t="s">
        <v>44</v>
      </c>
      <c r="AC42" s="3" t="s">
        <v>44</v>
      </c>
      <c r="AD42" s="3" t="s">
        <v>44</v>
      </c>
      <c r="AE42" s="3" t="s">
        <v>44</v>
      </c>
      <c r="AF42" s="3" t="s">
        <v>44</v>
      </c>
      <c r="AG42" s="3" t="s">
        <v>44</v>
      </c>
    </row>
    <row r="43" spans="2:33">
      <c r="B43" s="3" t="s">
        <v>428</v>
      </c>
      <c r="C43" s="3">
        <v>23</v>
      </c>
      <c r="D43" s="3" t="s">
        <v>393</v>
      </c>
      <c r="E43" s="3" t="s">
        <v>350</v>
      </c>
      <c r="F43" s="3">
        <v>10</v>
      </c>
      <c r="G43" s="3" t="s">
        <v>216</v>
      </c>
      <c r="H43" s="3">
        <f t="shared" si="1"/>
        <v>25</v>
      </c>
      <c r="I43" s="3" t="s">
        <v>213</v>
      </c>
      <c r="J43" s="3">
        <f t="shared" si="2"/>
        <v>25</v>
      </c>
      <c r="K43" s="3">
        <f t="shared" si="0"/>
        <v>25</v>
      </c>
      <c r="L43" s="3" t="s">
        <v>425</v>
      </c>
      <c r="M43" s="3" t="s">
        <v>286</v>
      </c>
      <c r="N43" s="3" t="s">
        <v>44</v>
      </c>
      <c r="O43" s="3">
        <f>ROUND(英雄成长!I32*VLOOKUP(M43,$B$3:$C$17,2)*_xlfn.XLOOKUP(E43,$J$4:$J$9,$K$4:$K$9)*$C$4/SUM($C$4:$E$4)*系统框架!$F$14/系统框架!$F$15,0)</f>
        <v>15</v>
      </c>
      <c r="P43" s="3">
        <v>0</v>
      </c>
      <c r="Q43" s="3" t="s">
        <v>44</v>
      </c>
      <c r="R43" s="3" t="s">
        <v>44</v>
      </c>
      <c r="S43" s="3" t="s">
        <v>44</v>
      </c>
      <c r="T43" s="3" t="s">
        <v>44</v>
      </c>
      <c r="U43" s="3" t="s">
        <v>44</v>
      </c>
      <c r="V43" s="3" t="s">
        <v>44</v>
      </c>
      <c r="W43" s="3" t="s">
        <v>44</v>
      </c>
      <c r="X43" s="3" t="s">
        <v>44</v>
      </c>
      <c r="Y43" s="3" t="s">
        <v>44</v>
      </c>
      <c r="Z43" s="3" t="s">
        <v>44</v>
      </c>
      <c r="AA43" s="3" t="s">
        <v>44</v>
      </c>
      <c r="AB43" s="3" t="s">
        <v>44</v>
      </c>
      <c r="AC43" s="3" t="s">
        <v>44</v>
      </c>
      <c r="AD43" s="3" t="s">
        <v>44</v>
      </c>
      <c r="AE43" s="3" t="s">
        <v>44</v>
      </c>
      <c r="AF43" s="3" t="s">
        <v>44</v>
      </c>
      <c r="AG43" s="3" t="s">
        <v>44</v>
      </c>
    </row>
    <row r="44" spans="2:33">
      <c r="B44" s="3" t="s">
        <v>428</v>
      </c>
      <c r="C44" s="3">
        <v>24</v>
      </c>
      <c r="D44" s="3" t="s">
        <v>393</v>
      </c>
      <c r="E44" s="3" t="s">
        <v>350</v>
      </c>
      <c r="F44" s="3">
        <v>10</v>
      </c>
      <c r="G44" s="3" t="s">
        <v>216</v>
      </c>
      <c r="H44" s="3">
        <f t="shared" si="1"/>
        <v>26</v>
      </c>
      <c r="I44" s="3" t="s">
        <v>213</v>
      </c>
      <c r="J44" s="3">
        <f t="shared" si="2"/>
        <v>26</v>
      </c>
      <c r="K44" s="3">
        <f t="shared" si="0"/>
        <v>26</v>
      </c>
      <c r="L44" s="3" t="s">
        <v>425</v>
      </c>
      <c r="M44" s="3" t="s">
        <v>286</v>
      </c>
      <c r="N44" s="3" t="s">
        <v>44</v>
      </c>
      <c r="O44" s="3">
        <f>ROUND(英雄成长!I33*VLOOKUP(M44,$B$3:$C$17,2)*_xlfn.XLOOKUP(E44,$J$4:$J$9,$K$4:$K$9)*$C$4/SUM($C$4:$E$4)*系统框架!$F$14/系统框架!$F$15,0)</f>
        <v>16</v>
      </c>
      <c r="P44" s="3">
        <v>0</v>
      </c>
      <c r="Q44" s="3" t="s">
        <v>44</v>
      </c>
      <c r="R44" s="3" t="s">
        <v>44</v>
      </c>
      <c r="S44" s="3" t="s">
        <v>44</v>
      </c>
      <c r="T44" s="3" t="s">
        <v>44</v>
      </c>
      <c r="U44" s="3" t="s">
        <v>44</v>
      </c>
      <c r="V44" s="3" t="s">
        <v>44</v>
      </c>
      <c r="W44" s="3" t="s">
        <v>44</v>
      </c>
      <c r="X44" s="3" t="s">
        <v>44</v>
      </c>
      <c r="Y44" s="3" t="s">
        <v>44</v>
      </c>
      <c r="Z44" s="3" t="s">
        <v>44</v>
      </c>
      <c r="AA44" s="3" t="s">
        <v>44</v>
      </c>
      <c r="AB44" s="3" t="s">
        <v>44</v>
      </c>
      <c r="AC44" s="3" t="s">
        <v>44</v>
      </c>
      <c r="AD44" s="3" t="s">
        <v>44</v>
      </c>
      <c r="AE44" s="3" t="s">
        <v>44</v>
      </c>
      <c r="AF44" s="3" t="s">
        <v>44</v>
      </c>
      <c r="AG44" s="3" t="s">
        <v>44</v>
      </c>
    </row>
    <row r="45" spans="2:33">
      <c r="B45" s="3" t="s">
        <v>428</v>
      </c>
      <c r="C45" s="3">
        <v>25</v>
      </c>
      <c r="D45" s="3" t="s">
        <v>393</v>
      </c>
      <c r="E45" s="3" t="s">
        <v>350</v>
      </c>
      <c r="F45" s="3">
        <v>10</v>
      </c>
      <c r="G45" s="3" t="s">
        <v>216</v>
      </c>
      <c r="H45" s="3">
        <f t="shared" si="1"/>
        <v>27</v>
      </c>
      <c r="I45" s="3" t="s">
        <v>213</v>
      </c>
      <c r="J45" s="3">
        <f t="shared" si="2"/>
        <v>27</v>
      </c>
      <c r="K45" s="3">
        <f t="shared" si="0"/>
        <v>27</v>
      </c>
      <c r="L45" s="3" t="s">
        <v>425</v>
      </c>
      <c r="M45" s="3" t="s">
        <v>286</v>
      </c>
      <c r="N45" s="3" t="s">
        <v>44</v>
      </c>
      <c r="O45" s="3">
        <f>ROUND(英雄成长!I34*VLOOKUP(M45,$B$3:$C$17,2)*_xlfn.XLOOKUP(E45,$J$4:$J$9,$K$4:$K$9)*$C$4/SUM($C$4:$E$4)*系统框架!$F$14/系统框架!$F$15,0)</f>
        <v>17</v>
      </c>
      <c r="P45" s="3">
        <v>0</v>
      </c>
      <c r="Q45" s="3" t="s">
        <v>44</v>
      </c>
      <c r="R45" s="3" t="s">
        <v>44</v>
      </c>
      <c r="S45" s="3" t="s">
        <v>44</v>
      </c>
      <c r="T45" s="3" t="s">
        <v>44</v>
      </c>
      <c r="U45" s="3" t="s">
        <v>44</v>
      </c>
      <c r="V45" s="3" t="s">
        <v>44</v>
      </c>
      <c r="W45" s="3" t="s">
        <v>44</v>
      </c>
      <c r="X45" s="3" t="s">
        <v>44</v>
      </c>
      <c r="Y45" s="3" t="s">
        <v>44</v>
      </c>
      <c r="Z45" s="3" t="s">
        <v>44</v>
      </c>
      <c r="AA45" s="3" t="s">
        <v>44</v>
      </c>
      <c r="AB45" s="3" t="s">
        <v>44</v>
      </c>
      <c r="AC45" s="3" t="s">
        <v>44</v>
      </c>
      <c r="AD45" s="3" t="s">
        <v>44</v>
      </c>
      <c r="AE45" s="3" t="s">
        <v>44</v>
      </c>
      <c r="AF45" s="3" t="s">
        <v>44</v>
      </c>
      <c r="AG45" s="3" t="s">
        <v>44</v>
      </c>
    </row>
    <row r="46" spans="2:33">
      <c r="B46" s="3" t="s">
        <v>428</v>
      </c>
      <c r="C46" s="3">
        <v>26</v>
      </c>
      <c r="D46" s="3" t="s">
        <v>393</v>
      </c>
      <c r="E46" s="3" t="s">
        <v>350</v>
      </c>
      <c r="F46" s="3">
        <v>10</v>
      </c>
      <c r="G46" s="3" t="s">
        <v>216</v>
      </c>
      <c r="H46" s="3">
        <f t="shared" si="1"/>
        <v>28</v>
      </c>
      <c r="I46" s="3" t="s">
        <v>213</v>
      </c>
      <c r="J46" s="3">
        <f t="shared" si="2"/>
        <v>28</v>
      </c>
      <c r="K46" s="3">
        <f t="shared" si="0"/>
        <v>28</v>
      </c>
      <c r="L46" s="3" t="s">
        <v>425</v>
      </c>
      <c r="M46" s="3" t="s">
        <v>286</v>
      </c>
      <c r="N46" s="3" t="s">
        <v>44</v>
      </c>
      <c r="O46" s="3">
        <f>ROUND(英雄成长!I35*VLOOKUP(M46,$B$3:$C$17,2)*_xlfn.XLOOKUP(E46,$J$4:$J$9,$K$4:$K$9)*$C$4/SUM($C$4:$E$4)*系统框架!$F$14/系统框架!$F$15,0)</f>
        <v>17</v>
      </c>
      <c r="P46" s="3">
        <v>0</v>
      </c>
      <c r="Q46" s="3" t="s">
        <v>44</v>
      </c>
      <c r="R46" s="3" t="s">
        <v>44</v>
      </c>
      <c r="S46" s="3" t="s">
        <v>44</v>
      </c>
      <c r="T46" s="3" t="s">
        <v>44</v>
      </c>
      <c r="U46" s="3" t="s">
        <v>44</v>
      </c>
      <c r="V46" s="3" t="s">
        <v>44</v>
      </c>
      <c r="W46" s="3" t="s">
        <v>44</v>
      </c>
      <c r="X46" s="3" t="s">
        <v>44</v>
      </c>
      <c r="Y46" s="3" t="s">
        <v>44</v>
      </c>
      <c r="Z46" s="3" t="s">
        <v>44</v>
      </c>
      <c r="AA46" s="3" t="s">
        <v>44</v>
      </c>
      <c r="AB46" s="3" t="s">
        <v>44</v>
      </c>
      <c r="AC46" s="3" t="s">
        <v>44</v>
      </c>
      <c r="AD46" s="3" t="s">
        <v>44</v>
      </c>
      <c r="AE46" s="3" t="s">
        <v>44</v>
      </c>
      <c r="AF46" s="3" t="s">
        <v>44</v>
      </c>
      <c r="AG46" s="3" t="s">
        <v>44</v>
      </c>
    </row>
    <row r="47" spans="2:33">
      <c r="B47" s="3" t="s">
        <v>428</v>
      </c>
      <c r="C47" s="3">
        <v>27</v>
      </c>
      <c r="D47" s="3" t="s">
        <v>393</v>
      </c>
      <c r="E47" s="3" t="s">
        <v>350</v>
      </c>
      <c r="F47" s="3">
        <v>10</v>
      </c>
      <c r="G47" s="3" t="s">
        <v>216</v>
      </c>
      <c r="H47" s="3">
        <f t="shared" si="1"/>
        <v>29</v>
      </c>
      <c r="I47" s="3" t="s">
        <v>213</v>
      </c>
      <c r="J47" s="3">
        <f t="shared" si="2"/>
        <v>29</v>
      </c>
      <c r="K47" s="3">
        <f t="shared" si="0"/>
        <v>29</v>
      </c>
      <c r="L47" s="3" t="s">
        <v>425</v>
      </c>
      <c r="M47" s="3" t="s">
        <v>286</v>
      </c>
      <c r="N47" s="3" t="s">
        <v>44</v>
      </c>
      <c r="O47" s="3">
        <f>ROUND(英雄成长!I36*VLOOKUP(M47,$B$3:$C$17,2)*_xlfn.XLOOKUP(E47,$J$4:$J$9,$K$4:$K$9)*$C$4/SUM($C$4:$E$4)*系统框架!$F$14/系统框架!$F$15,0)</f>
        <v>18</v>
      </c>
      <c r="P47" s="3">
        <v>0</v>
      </c>
      <c r="Q47" s="3" t="s">
        <v>44</v>
      </c>
      <c r="R47" s="3" t="s">
        <v>44</v>
      </c>
      <c r="S47" s="3" t="s">
        <v>44</v>
      </c>
      <c r="T47" s="3" t="s">
        <v>44</v>
      </c>
      <c r="U47" s="3" t="s">
        <v>44</v>
      </c>
      <c r="V47" s="3" t="s">
        <v>44</v>
      </c>
      <c r="W47" s="3" t="s">
        <v>44</v>
      </c>
      <c r="X47" s="3" t="s">
        <v>44</v>
      </c>
      <c r="Y47" s="3" t="s">
        <v>44</v>
      </c>
      <c r="Z47" s="3" t="s">
        <v>44</v>
      </c>
      <c r="AA47" s="3" t="s">
        <v>44</v>
      </c>
      <c r="AB47" s="3" t="s">
        <v>44</v>
      </c>
      <c r="AC47" s="3" t="s">
        <v>44</v>
      </c>
      <c r="AD47" s="3" t="s">
        <v>44</v>
      </c>
      <c r="AE47" s="3" t="s">
        <v>44</v>
      </c>
      <c r="AF47" s="3" t="s">
        <v>44</v>
      </c>
      <c r="AG47" s="3" t="s">
        <v>44</v>
      </c>
    </row>
    <row r="48" spans="2:33">
      <c r="B48" s="3" t="s">
        <v>428</v>
      </c>
      <c r="C48" s="3">
        <v>28</v>
      </c>
      <c r="D48" s="3" t="s">
        <v>393</v>
      </c>
      <c r="E48" s="3" t="s">
        <v>350</v>
      </c>
      <c r="F48" s="3">
        <v>10</v>
      </c>
      <c r="G48" s="3" t="s">
        <v>216</v>
      </c>
      <c r="H48" s="3">
        <f t="shared" si="1"/>
        <v>30</v>
      </c>
      <c r="I48" s="3" t="s">
        <v>213</v>
      </c>
      <c r="J48" s="3">
        <f t="shared" si="2"/>
        <v>30</v>
      </c>
      <c r="K48" s="3">
        <f t="shared" si="0"/>
        <v>30</v>
      </c>
      <c r="L48" s="3" t="s">
        <v>425</v>
      </c>
      <c r="M48" s="3" t="s">
        <v>286</v>
      </c>
      <c r="N48" s="3" t="s">
        <v>44</v>
      </c>
      <c r="O48" s="3">
        <f>ROUND(英雄成长!I37*VLOOKUP(M48,$B$3:$C$17,2)*_xlfn.XLOOKUP(E48,$J$4:$J$9,$K$4:$K$9)*$C$4/SUM($C$4:$E$4)*系统框架!$F$14/系统框架!$F$15,0)</f>
        <v>18</v>
      </c>
      <c r="P48" s="3">
        <v>0</v>
      </c>
      <c r="Q48" s="3" t="s">
        <v>44</v>
      </c>
      <c r="R48" s="3" t="s">
        <v>44</v>
      </c>
      <c r="S48" s="3" t="s">
        <v>44</v>
      </c>
      <c r="T48" s="3" t="s">
        <v>44</v>
      </c>
      <c r="U48" s="3" t="s">
        <v>44</v>
      </c>
      <c r="V48" s="3" t="s">
        <v>44</v>
      </c>
      <c r="W48" s="3" t="s">
        <v>44</v>
      </c>
      <c r="X48" s="3" t="s">
        <v>44</v>
      </c>
      <c r="Y48" s="3" t="s">
        <v>44</v>
      </c>
      <c r="Z48" s="3" t="s">
        <v>44</v>
      </c>
      <c r="AA48" s="3" t="s">
        <v>44</v>
      </c>
      <c r="AB48" s="3" t="s">
        <v>44</v>
      </c>
      <c r="AC48" s="3" t="s">
        <v>44</v>
      </c>
      <c r="AD48" s="3" t="s">
        <v>44</v>
      </c>
      <c r="AE48" s="3" t="s">
        <v>44</v>
      </c>
      <c r="AF48" s="3" t="s">
        <v>44</v>
      </c>
      <c r="AG48" s="3" t="s">
        <v>44</v>
      </c>
    </row>
    <row r="49" spans="2:33">
      <c r="B49" s="3" t="s">
        <v>428</v>
      </c>
      <c r="C49" s="3">
        <v>29</v>
      </c>
      <c r="D49" s="3" t="s">
        <v>393</v>
      </c>
      <c r="E49" s="3" t="s">
        <v>350</v>
      </c>
      <c r="F49" s="3">
        <v>10</v>
      </c>
      <c r="G49" s="3" t="s">
        <v>216</v>
      </c>
      <c r="H49" s="3">
        <f t="shared" si="1"/>
        <v>31</v>
      </c>
      <c r="I49" s="3" t="s">
        <v>213</v>
      </c>
      <c r="J49" s="3">
        <f t="shared" si="2"/>
        <v>31</v>
      </c>
      <c r="K49" s="3">
        <f t="shared" si="0"/>
        <v>31</v>
      </c>
      <c r="L49" s="3" t="s">
        <v>425</v>
      </c>
      <c r="M49" s="3" t="s">
        <v>286</v>
      </c>
      <c r="N49" s="3" t="s">
        <v>44</v>
      </c>
      <c r="O49" s="3">
        <f>ROUND(英雄成长!I38*VLOOKUP(M49,$B$3:$C$17,2)*_xlfn.XLOOKUP(E49,$J$4:$J$9,$K$4:$K$9)*$C$4/SUM($C$4:$E$4)*系统框架!$F$14/系统框架!$F$15,0)</f>
        <v>19</v>
      </c>
      <c r="P49" s="3">
        <v>0</v>
      </c>
      <c r="Q49" s="3" t="s">
        <v>44</v>
      </c>
      <c r="R49" s="3" t="s">
        <v>44</v>
      </c>
      <c r="S49" s="3" t="s">
        <v>44</v>
      </c>
      <c r="T49" s="3" t="s">
        <v>44</v>
      </c>
      <c r="U49" s="3" t="s">
        <v>44</v>
      </c>
      <c r="V49" s="3" t="s">
        <v>44</v>
      </c>
      <c r="W49" s="3" t="s">
        <v>44</v>
      </c>
      <c r="X49" s="3" t="s">
        <v>44</v>
      </c>
      <c r="Y49" s="3" t="s">
        <v>44</v>
      </c>
      <c r="Z49" s="3" t="s">
        <v>44</v>
      </c>
      <c r="AA49" s="3" t="s">
        <v>44</v>
      </c>
      <c r="AB49" s="3" t="s">
        <v>44</v>
      </c>
      <c r="AC49" s="3" t="s">
        <v>44</v>
      </c>
      <c r="AD49" s="3" t="s">
        <v>44</v>
      </c>
      <c r="AE49" s="3" t="s">
        <v>44</v>
      </c>
      <c r="AF49" s="3" t="s">
        <v>44</v>
      </c>
      <c r="AG49" s="3" t="s">
        <v>44</v>
      </c>
    </row>
    <row r="50" spans="2:33">
      <c r="B50" s="3" t="s">
        <v>428</v>
      </c>
      <c r="C50" s="3">
        <v>30</v>
      </c>
      <c r="D50" s="3" t="s">
        <v>393</v>
      </c>
      <c r="E50" s="3" t="s">
        <v>350</v>
      </c>
      <c r="F50" s="3">
        <v>10</v>
      </c>
      <c r="G50" s="3" t="s">
        <v>216</v>
      </c>
      <c r="H50" s="3">
        <f t="shared" si="1"/>
        <v>33</v>
      </c>
      <c r="I50" s="3" t="s">
        <v>213</v>
      </c>
      <c r="J50" s="3">
        <f t="shared" si="2"/>
        <v>33</v>
      </c>
      <c r="K50" s="3">
        <f t="shared" si="0"/>
        <v>33</v>
      </c>
      <c r="L50" s="3" t="s">
        <v>425</v>
      </c>
      <c r="M50" s="3" t="s">
        <v>286</v>
      </c>
      <c r="N50" s="3" t="s">
        <v>44</v>
      </c>
      <c r="O50" s="3">
        <f>ROUND(英雄成长!I39*VLOOKUP(M50,$B$3:$C$17,2)*_xlfn.XLOOKUP(E50,$J$4:$J$9,$K$4:$K$9)*$C$4/SUM($C$4:$E$4)*系统框架!$F$14/系统框架!$F$15,0)</f>
        <v>20</v>
      </c>
      <c r="P50" s="3">
        <v>0</v>
      </c>
      <c r="Q50" s="3" t="s">
        <v>44</v>
      </c>
      <c r="R50" s="3" t="s">
        <v>44</v>
      </c>
      <c r="S50" s="3" t="s">
        <v>44</v>
      </c>
      <c r="T50" s="3" t="s">
        <v>44</v>
      </c>
      <c r="U50" s="3" t="s">
        <v>44</v>
      </c>
      <c r="V50" s="3" t="s">
        <v>44</v>
      </c>
      <c r="W50" s="3" t="s">
        <v>44</v>
      </c>
      <c r="X50" s="3" t="s">
        <v>44</v>
      </c>
      <c r="Y50" s="3" t="s">
        <v>44</v>
      </c>
      <c r="Z50" s="3" t="s">
        <v>44</v>
      </c>
      <c r="AA50" s="3" t="s">
        <v>44</v>
      </c>
      <c r="AB50" s="3" t="s">
        <v>44</v>
      </c>
      <c r="AC50" s="3" t="s">
        <v>44</v>
      </c>
      <c r="AD50" s="3" t="s">
        <v>44</v>
      </c>
      <c r="AE50" s="3" t="s">
        <v>44</v>
      </c>
      <c r="AF50" s="3" t="s">
        <v>44</v>
      </c>
      <c r="AG50" s="3" t="s">
        <v>44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3EF08-7F36-47E0-ACF7-162ED5383A6A}">
  <sheetPr codeName="Sheet20"/>
  <dimension ref="B2:D35"/>
  <sheetViews>
    <sheetView workbookViewId="0">
      <selection activeCell="E8" sqref="E8"/>
    </sheetView>
  </sheetViews>
  <sheetFormatPr defaultColWidth="13.77734375" defaultRowHeight="15.6"/>
  <cols>
    <col min="1" max="2" width="13.77734375" style="1"/>
    <col min="3" max="3" width="20.77734375" style="23" customWidth="1"/>
    <col min="4" max="10" width="20.77734375" style="1" customWidth="1"/>
    <col min="11" max="16384" width="13.77734375" style="1"/>
  </cols>
  <sheetData>
    <row r="2" spans="2:4" ht="16.2">
      <c r="B2" s="2" t="s">
        <v>521</v>
      </c>
    </row>
    <row r="3" spans="2:4" ht="16.2">
      <c r="B3" s="35" t="s">
        <v>6</v>
      </c>
      <c r="C3" s="52" t="s">
        <v>444</v>
      </c>
    </row>
    <row r="4" spans="2:4">
      <c r="B4" s="3">
        <v>1</v>
      </c>
      <c r="C4" s="4" t="s">
        <v>445</v>
      </c>
    </row>
    <row r="5" spans="2:4">
      <c r="B5" s="3">
        <v>2</v>
      </c>
      <c r="C5" s="4" t="s">
        <v>446</v>
      </c>
    </row>
    <row r="6" spans="2:4">
      <c r="B6" s="3">
        <v>3</v>
      </c>
      <c r="C6" s="4" t="s">
        <v>447</v>
      </c>
    </row>
    <row r="7" spans="2:4">
      <c r="B7" s="3">
        <v>4</v>
      </c>
      <c r="C7" s="4" t="s">
        <v>448</v>
      </c>
    </row>
    <row r="8" spans="2:4">
      <c r="B8" s="3">
        <v>5</v>
      </c>
      <c r="C8" s="4" t="s">
        <v>450</v>
      </c>
    </row>
    <row r="9" spans="2:4">
      <c r="B9" s="3">
        <v>6</v>
      </c>
      <c r="C9" s="4" t="s">
        <v>449</v>
      </c>
    </row>
    <row r="10" spans="2:4">
      <c r="C10" s="1"/>
    </row>
    <row r="11" spans="2:4" ht="16.2">
      <c r="B11" s="2" t="s">
        <v>503</v>
      </c>
    </row>
    <row r="12" spans="2:4" ht="16.2">
      <c r="B12" s="35" t="s">
        <v>6</v>
      </c>
      <c r="C12" s="35" t="s">
        <v>465</v>
      </c>
      <c r="D12" s="35" t="s">
        <v>466</v>
      </c>
    </row>
    <row r="13" spans="2:4">
      <c r="B13" s="3">
        <v>1</v>
      </c>
      <c r="C13" s="3" t="s">
        <v>285</v>
      </c>
      <c r="D13" s="3" t="s">
        <v>426</v>
      </c>
    </row>
    <row r="14" spans="2:4">
      <c r="B14" s="3">
        <v>2</v>
      </c>
      <c r="C14" s="3" t="s">
        <v>378</v>
      </c>
      <c r="D14" s="3" t="s">
        <v>432</v>
      </c>
    </row>
    <row r="15" spans="2:4">
      <c r="B15" s="3">
        <v>3</v>
      </c>
      <c r="C15" s="3" t="s">
        <v>379</v>
      </c>
      <c r="D15" s="3" t="s">
        <v>433</v>
      </c>
    </row>
    <row r="16" spans="2:4">
      <c r="B16" s="3">
        <v>4</v>
      </c>
      <c r="C16" s="3" t="s">
        <v>380</v>
      </c>
      <c r="D16" s="3" t="s">
        <v>427</v>
      </c>
    </row>
    <row r="17" spans="2:4">
      <c r="B17" s="3">
        <v>5</v>
      </c>
      <c r="C17" s="3" t="s">
        <v>384</v>
      </c>
      <c r="D17" s="42" t="s">
        <v>381</v>
      </c>
    </row>
    <row r="18" spans="2:4">
      <c r="B18" s="3">
        <v>6</v>
      </c>
      <c r="C18" s="3" t="s">
        <v>385</v>
      </c>
      <c r="D18" s="42" t="s">
        <v>382</v>
      </c>
    </row>
    <row r="19" spans="2:4">
      <c r="B19" s="3">
        <v>7</v>
      </c>
      <c r="C19" s="3" t="s">
        <v>434</v>
      </c>
      <c r="D19" s="42" t="s">
        <v>383</v>
      </c>
    </row>
    <row r="20" spans="2:4">
      <c r="B20" s="3">
        <v>8</v>
      </c>
      <c r="C20" s="3" t="s">
        <v>435</v>
      </c>
      <c r="D20" s="42" t="s">
        <v>389</v>
      </c>
    </row>
    <row r="21" spans="2:4">
      <c r="B21" s="3">
        <v>9</v>
      </c>
      <c r="C21" s="3" t="s">
        <v>436</v>
      </c>
      <c r="D21" s="3" t="s">
        <v>386</v>
      </c>
    </row>
    <row r="22" spans="2:4">
      <c r="B22" s="3">
        <v>10</v>
      </c>
      <c r="C22" s="3" t="s">
        <v>437</v>
      </c>
      <c r="D22" s="3" t="s">
        <v>387</v>
      </c>
    </row>
    <row r="23" spans="2:4">
      <c r="B23" s="3">
        <v>11</v>
      </c>
      <c r="C23" s="3" t="s">
        <v>438</v>
      </c>
      <c r="D23" s="3" t="s">
        <v>388</v>
      </c>
    </row>
    <row r="24" spans="2:4">
      <c r="B24" s="3">
        <v>12</v>
      </c>
      <c r="C24" s="3" t="s">
        <v>439</v>
      </c>
      <c r="D24" s="3" t="s">
        <v>504</v>
      </c>
    </row>
    <row r="25" spans="2:4">
      <c r="B25" s="3">
        <v>13</v>
      </c>
      <c r="C25" s="3" t="s">
        <v>440</v>
      </c>
      <c r="D25" s="3" t="s">
        <v>505</v>
      </c>
    </row>
    <row r="26" spans="2:4">
      <c r="B26" s="3">
        <v>14</v>
      </c>
      <c r="C26" s="3" t="s">
        <v>441</v>
      </c>
      <c r="D26" s="3" t="s">
        <v>506</v>
      </c>
    </row>
    <row r="27" spans="2:4">
      <c r="B27" s="3">
        <v>15</v>
      </c>
      <c r="C27" s="3" t="s">
        <v>442</v>
      </c>
      <c r="D27" s="3"/>
    </row>
    <row r="28" spans="2:4">
      <c r="B28" s="3">
        <v>16</v>
      </c>
      <c r="C28" s="3" t="s">
        <v>443</v>
      </c>
      <c r="D28" s="3"/>
    </row>
    <row r="29" spans="2:4">
      <c r="B29" s="3">
        <v>17</v>
      </c>
      <c r="C29" s="3" t="s">
        <v>451</v>
      </c>
      <c r="D29" s="3"/>
    </row>
    <row r="30" spans="2:4">
      <c r="B30" s="3">
        <v>18</v>
      </c>
      <c r="C30" s="3" t="s">
        <v>453</v>
      </c>
      <c r="D30" s="3"/>
    </row>
    <row r="31" spans="2:4">
      <c r="B31" s="3">
        <v>19</v>
      </c>
      <c r="C31" s="3" t="s">
        <v>502</v>
      </c>
      <c r="D31" s="3"/>
    </row>
    <row r="32" spans="2:4">
      <c r="B32" s="3">
        <v>20</v>
      </c>
      <c r="C32" s="3" t="s">
        <v>456</v>
      </c>
      <c r="D32" s="3"/>
    </row>
    <row r="33" spans="2:4">
      <c r="B33" s="3">
        <v>21</v>
      </c>
      <c r="C33" s="3" t="s">
        <v>458</v>
      </c>
      <c r="D33" s="3"/>
    </row>
    <row r="34" spans="2:4">
      <c r="B34" s="3">
        <v>22</v>
      </c>
      <c r="C34" s="3" t="s">
        <v>460</v>
      </c>
      <c r="D34" s="3"/>
    </row>
    <row r="35" spans="2:4">
      <c r="B35" s="3">
        <v>23</v>
      </c>
      <c r="C35" s="3" t="s">
        <v>462</v>
      </c>
      <c r="D35" s="3"/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1A68D-F6CD-4871-A060-568CCA183B5B}">
  <sheetPr codeName="Sheet12"/>
  <dimension ref="B2:D20"/>
  <sheetViews>
    <sheetView workbookViewId="0">
      <selection activeCell="D24" sqref="D24"/>
    </sheetView>
  </sheetViews>
  <sheetFormatPr defaultColWidth="13.77734375" defaultRowHeight="15.6"/>
  <cols>
    <col min="1" max="3" width="13.77734375" style="1"/>
    <col min="4" max="4" width="82.21875" style="1" customWidth="1"/>
    <col min="5" max="16384" width="13.77734375" style="1"/>
  </cols>
  <sheetData>
    <row r="2" spans="2:4" ht="16.2">
      <c r="B2" s="2" t="s">
        <v>511</v>
      </c>
    </row>
    <row r="3" spans="2:4" ht="16.2">
      <c r="B3" s="35" t="s">
        <v>512</v>
      </c>
      <c r="C3" s="56" t="s">
        <v>280</v>
      </c>
      <c r="D3" s="58"/>
    </row>
    <row r="4" spans="2:4">
      <c r="B4" s="3" t="s">
        <v>515</v>
      </c>
      <c r="C4" s="59" t="s">
        <v>520</v>
      </c>
      <c r="D4" s="60"/>
    </row>
    <row r="5" spans="2:4">
      <c r="B5" s="3" t="s">
        <v>513</v>
      </c>
      <c r="C5" s="59" t="s">
        <v>518</v>
      </c>
      <c r="D5" s="60"/>
    </row>
    <row r="6" spans="2:4">
      <c r="B6" s="3" t="s">
        <v>514</v>
      </c>
      <c r="C6" s="59" t="s">
        <v>519</v>
      </c>
      <c r="D6" s="60"/>
    </row>
    <row r="8" spans="2:4" ht="16.2">
      <c r="B8" s="2" t="s">
        <v>273</v>
      </c>
      <c r="C8" s="2"/>
    </row>
    <row r="9" spans="2:4" ht="16.2">
      <c r="B9" s="35" t="s">
        <v>278</v>
      </c>
      <c r="C9" s="35" t="s">
        <v>279</v>
      </c>
      <c r="D9" s="35" t="s">
        <v>280</v>
      </c>
    </row>
    <row r="10" spans="2:4">
      <c r="B10" s="3" t="s">
        <v>274</v>
      </c>
      <c r="C10" s="3" t="s">
        <v>288</v>
      </c>
      <c r="D10" s="50" t="s">
        <v>516</v>
      </c>
    </row>
    <row r="11" spans="2:4">
      <c r="B11" s="3" t="s">
        <v>274</v>
      </c>
      <c r="C11" s="3" t="s">
        <v>289</v>
      </c>
      <c r="D11" s="50" t="s">
        <v>517</v>
      </c>
    </row>
    <row r="12" spans="2:4">
      <c r="B12" s="3" t="s">
        <v>275</v>
      </c>
      <c r="C12" s="3" t="s">
        <v>286</v>
      </c>
      <c r="D12" s="50" t="s">
        <v>298</v>
      </c>
    </row>
    <row r="13" spans="2:4">
      <c r="B13" s="3" t="s">
        <v>275</v>
      </c>
      <c r="C13" s="3" t="s">
        <v>287</v>
      </c>
      <c r="D13" s="50" t="s">
        <v>299</v>
      </c>
    </row>
    <row r="15" spans="2:4" ht="16.2">
      <c r="B15" s="2" t="s">
        <v>281</v>
      </c>
      <c r="C15" s="2"/>
    </row>
    <row r="16" spans="2:4" ht="16.2">
      <c r="B16" s="35" t="s">
        <v>276</v>
      </c>
      <c r="C16" s="35" t="s">
        <v>277</v>
      </c>
      <c r="D16" s="35" t="s">
        <v>290</v>
      </c>
    </row>
    <row r="17" spans="2:4">
      <c r="B17" s="3">
        <v>1</v>
      </c>
      <c r="C17" s="3" t="s">
        <v>291</v>
      </c>
      <c r="D17" s="3" t="s">
        <v>295</v>
      </c>
    </row>
    <row r="18" spans="2:4">
      <c r="B18" s="3">
        <v>2</v>
      </c>
      <c r="C18" s="3" t="s">
        <v>292</v>
      </c>
      <c r="D18" s="3" t="s">
        <v>296</v>
      </c>
    </row>
    <row r="19" spans="2:4">
      <c r="B19" s="3">
        <v>3</v>
      </c>
      <c r="C19" s="3" t="s">
        <v>293</v>
      </c>
      <c r="D19" s="3" t="s">
        <v>300</v>
      </c>
    </row>
    <row r="20" spans="2:4">
      <c r="B20" s="3">
        <v>4</v>
      </c>
      <c r="C20" s="3" t="s">
        <v>294</v>
      </c>
      <c r="D20" s="3" t="s">
        <v>297</v>
      </c>
    </row>
  </sheetData>
  <mergeCells count="4">
    <mergeCell ref="C3:D3"/>
    <mergeCell ref="C5:D5"/>
    <mergeCell ref="C6:D6"/>
    <mergeCell ref="C4:D4"/>
  </mergeCells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10433-8EF2-48EF-A87D-DFBDADCF6A18}">
  <sheetPr codeName="Sheet16"/>
  <dimension ref="B2:C10"/>
  <sheetViews>
    <sheetView workbookViewId="0">
      <selection activeCell="C12" sqref="C12"/>
    </sheetView>
  </sheetViews>
  <sheetFormatPr defaultColWidth="13.77734375" defaultRowHeight="15.6"/>
  <cols>
    <col min="1" max="2" width="13.77734375" style="1"/>
    <col min="3" max="3" width="41.5546875" style="23" customWidth="1"/>
    <col min="4" max="12" width="20.77734375" style="1" customWidth="1"/>
    <col min="13" max="16384" width="13.77734375" style="1"/>
  </cols>
  <sheetData>
    <row r="2" spans="2:3" ht="16.2">
      <c r="B2" s="2" t="s">
        <v>521</v>
      </c>
    </row>
    <row r="3" spans="2:3" ht="16.2">
      <c r="B3" s="35" t="s">
        <v>6</v>
      </c>
      <c r="C3" s="52" t="s">
        <v>444</v>
      </c>
    </row>
    <row r="4" spans="2:3">
      <c r="B4" s="3">
        <v>1</v>
      </c>
      <c r="C4" s="4" t="s">
        <v>522</v>
      </c>
    </row>
    <row r="5" spans="2:3">
      <c r="B5" s="3">
        <v>2</v>
      </c>
      <c r="C5" s="4" t="s">
        <v>523</v>
      </c>
    </row>
    <row r="6" spans="2:3">
      <c r="B6" s="3">
        <v>3</v>
      </c>
      <c r="C6" s="4" t="s">
        <v>525</v>
      </c>
    </row>
    <row r="7" spans="2:3">
      <c r="B7" s="3">
        <v>4</v>
      </c>
      <c r="C7" s="4" t="s">
        <v>524</v>
      </c>
    </row>
    <row r="8" spans="2:3">
      <c r="B8" s="3">
        <v>5</v>
      </c>
      <c r="C8" s="4" t="s">
        <v>526</v>
      </c>
    </row>
    <row r="9" spans="2:3">
      <c r="B9" s="3">
        <v>6</v>
      </c>
      <c r="C9" s="4" t="s">
        <v>528</v>
      </c>
    </row>
    <row r="10" spans="2:3">
      <c r="B10" s="3">
        <v>7</v>
      </c>
      <c r="C10" s="4" t="s">
        <v>527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EA71B-826A-454E-95CA-EF4A47C9761C}">
  <sheetPr codeName="Sheet25"/>
  <dimension ref="B2:F67"/>
  <sheetViews>
    <sheetView workbookViewId="0">
      <selection activeCell="F11" sqref="F11"/>
    </sheetView>
  </sheetViews>
  <sheetFormatPr defaultColWidth="13.77734375" defaultRowHeight="15.6"/>
  <cols>
    <col min="1" max="16384" width="13.77734375" style="1"/>
  </cols>
  <sheetData>
    <row r="2" spans="2:6" ht="16.2">
      <c r="B2" s="2" t="s">
        <v>535</v>
      </c>
    </row>
    <row r="3" spans="2:6" ht="16.2">
      <c r="B3" s="2" t="s">
        <v>554</v>
      </c>
    </row>
    <row r="4" spans="2:6" ht="16.2">
      <c r="B4" s="2">
        <f>12*60*60/体验规划!$C$9</f>
        <v>1728</v>
      </c>
    </row>
    <row r="5" spans="2:6" ht="16.2">
      <c r="B5" s="2"/>
    </row>
    <row r="6" spans="2:6" ht="16.2">
      <c r="B6" s="2" t="s">
        <v>537</v>
      </c>
    </row>
    <row r="7" spans="2:6" ht="16.2">
      <c r="B7" s="35" t="s">
        <v>538</v>
      </c>
      <c r="C7" s="35" t="s">
        <v>539</v>
      </c>
      <c r="D7" s="35" t="s">
        <v>540</v>
      </c>
      <c r="E7" s="35" t="s">
        <v>556</v>
      </c>
      <c r="F7" s="35" t="s">
        <v>557</v>
      </c>
    </row>
    <row r="8" spans="2:6">
      <c r="B8" s="3">
        <v>1</v>
      </c>
      <c r="C8" s="3">
        <f>5*B8+ROUNDUP(B8/10,0)*8</f>
        <v>13</v>
      </c>
      <c r="D8" s="3">
        <f>ROUND(ROUNDDOWN(B8/10,0)*10+ROUNDUP(B8/10,0)*20+ROUNDUP(B8/10,0)*B8,0)</f>
        <v>21</v>
      </c>
      <c r="E8" s="3">
        <f>C8*$B$4</f>
        <v>22464</v>
      </c>
      <c r="F8" s="3">
        <f>D8*$B$4</f>
        <v>36288</v>
      </c>
    </row>
    <row r="9" spans="2:6">
      <c r="B9" s="3">
        <v>2</v>
      </c>
      <c r="C9" s="3">
        <f t="shared" ref="C9:C67" si="0">5*B9+ROUNDUP(B9/10,0)*8</f>
        <v>18</v>
      </c>
      <c r="D9" s="3">
        <f t="shared" ref="D9:D67" si="1">ROUND(ROUNDDOWN(B9/10,0)*10+ROUNDUP(B9/10,0)*20+ROUNDUP(B9/10,0)*B9,0)</f>
        <v>22</v>
      </c>
      <c r="E9" s="3">
        <f t="shared" ref="E9:E67" si="2">C9*$B$4</f>
        <v>31104</v>
      </c>
      <c r="F9" s="3">
        <f t="shared" ref="F9:F67" si="3">D9*$B$4</f>
        <v>38016</v>
      </c>
    </row>
    <row r="10" spans="2:6">
      <c r="B10" s="3">
        <v>3</v>
      </c>
      <c r="C10" s="3">
        <f t="shared" si="0"/>
        <v>23</v>
      </c>
      <c r="D10" s="3">
        <f t="shared" si="1"/>
        <v>23</v>
      </c>
      <c r="E10" s="3">
        <f t="shared" si="2"/>
        <v>39744</v>
      </c>
      <c r="F10" s="3">
        <f t="shared" si="3"/>
        <v>39744</v>
      </c>
    </row>
    <row r="11" spans="2:6">
      <c r="B11" s="3">
        <v>4</v>
      </c>
      <c r="C11" s="3">
        <f t="shared" si="0"/>
        <v>28</v>
      </c>
      <c r="D11" s="3">
        <f t="shared" si="1"/>
        <v>24</v>
      </c>
      <c r="E11" s="3">
        <f t="shared" si="2"/>
        <v>48384</v>
      </c>
      <c r="F11" s="3">
        <f t="shared" si="3"/>
        <v>41472</v>
      </c>
    </row>
    <row r="12" spans="2:6">
      <c r="B12" s="3">
        <v>5</v>
      </c>
      <c r="C12" s="3">
        <f t="shared" si="0"/>
        <v>33</v>
      </c>
      <c r="D12" s="3">
        <f t="shared" si="1"/>
        <v>25</v>
      </c>
      <c r="E12" s="3">
        <f t="shared" si="2"/>
        <v>57024</v>
      </c>
      <c r="F12" s="3">
        <f t="shared" si="3"/>
        <v>43200</v>
      </c>
    </row>
    <row r="13" spans="2:6">
      <c r="B13" s="3">
        <v>6</v>
      </c>
      <c r="C13" s="3">
        <f t="shared" si="0"/>
        <v>38</v>
      </c>
      <c r="D13" s="3">
        <f t="shared" si="1"/>
        <v>26</v>
      </c>
      <c r="E13" s="3">
        <f t="shared" si="2"/>
        <v>65664</v>
      </c>
      <c r="F13" s="3">
        <f t="shared" si="3"/>
        <v>44928</v>
      </c>
    </row>
    <row r="14" spans="2:6">
      <c r="B14" s="3">
        <v>7</v>
      </c>
      <c r="C14" s="3">
        <f t="shared" si="0"/>
        <v>43</v>
      </c>
      <c r="D14" s="3">
        <f t="shared" si="1"/>
        <v>27</v>
      </c>
      <c r="E14" s="3">
        <f t="shared" si="2"/>
        <v>74304</v>
      </c>
      <c r="F14" s="3">
        <f t="shared" si="3"/>
        <v>46656</v>
      </c>
    </row>
    <row r="15" spans="2:6">
      <c r="B15" s="3">
        <v>8</v>
      </c>
      <c r="C15" s="3">
        <f t="shared" si="0"/>
        <v>48</v>
      </c>
      <c r="D15" s="3">
        <f t="shared" si="1"/>
        <v>28</v>
      </c>
      <c r="E15" s="3">
        <f t="shared" si="2"/>
        <v>82944</v>
      </c>
      <c r="F15" s="3">
        <f t="shared" si="3"/>
        <v>48384</v>
      </c>
    </row>
    <row r="16" spans="2:6">
      <c r="B16" s="3">
        <v>9</v>
      </c>
      <c r="C16" s="3">
        <f t="shared" si="0"/>
        <v>53</v>
      </c>
      <c r="D16" s="3">
        <f t="shared" si="1"/>
        <v>29</v>
      </c>
      <c r="E16" s="3">
        <f t="shared" si="2"/>
        <v>91584</v>
      </c>
      <c r="F16" s="3">
        <f t="shared" si="3"/>
        <v>50112</v>
      </c>
    </row>
    <row r="17" spans="2:6">
      <c r="B17" s="3">
        <v>10</v>
      </c>
      <c r="C17" s="3">
        <f t="shared" si="0"/>
        <v>58</v>
      </c>
      <c r="D17" s="3">
        <f t="shared" si="1"/>
        <v>40</v>
      </c>
      <c r="E17" s="3">
        <f t="shared" si="2"/>
        <v>100224</v>
      </c>
      <c r="F17" s="3">
        <f t="shared" si="3"/>
        <v>69120</v>
      </c>
    </row>
    <row r="18" spans="2:6">
      <c r="B18" s="3">
        <v>11</v>
      </c>
      <c r="C18" s="3">
        <f t="shared" si="0"/>
        <v>71</v>
      </c>
      <c r="D18" s="3">
        <f t="shared" si="1"/>
        <v>72</v>
      </c>
      <c r="E18" s="3">
        <f t="shared" si="2"/>
        <v>122688</v>
      </c>
      <c r="F18" s="3">
        <f t="shared" si="3"/>
        <v>124416</v>
      </c>
    </row>
    <row r="19" spans="2:6">
      <c r="B19" s="3">
        <v>12</v>
      </c>
      <c r="C19" s="3">
        <f t="shared" si="0"/>
        <v>76</v>
      </c>
      <c r="D19" s="3">
        <f t="shared" si="1"/>
        <v>74</v>
      </c>
      <c r="E19" s="3">
        <f t="shared" si="2"/>
        <v>131328</v>
      </c>
      <c r="F19" s="3">
        <f t="shared" si="3"/>
        <v>127872</v>
      </c>
    </row>
    <row r="20" spans="2:6">
      <c r="B20" s="3">
        <v>13</v>
      </c>
      <c r="C20" s="3">
        <f t="shared" si="0"/>
        <v>81</v>
      </c>
      <c r="D20" s="3">
        <f t="shared" si="1"/>
        <v>76</v>
      </c>
      <c r="E20" s="3">
        <f t="shared" si="2"/>
        <v>139968</v>
      </c>
      <c r="F20" s="3">
        <f t="shared" si="3"/>
        <v>131328</v>
      </c>
    </row>
    <row r="21" spans="2:6">
      <c r="B21" s="3">
        <v>14</v>
      </c>
      <c r="C21" s="3">
        <f t="shared" si="0"/>
        <v>86</v>
      </c>
      <c r="D21" s="3">
        <f t="shared" si="1"/>
        <v>78</v>
      </c>
      <c r="E21" s="3">
        <f t="shared" si="2"/>
        <v>148608</v>
      </c>
      <c r="F21" s="3">
        <f t="shared" si="3"/>
        <v>134784</v>
      </c>
    </row>
    <row r="22" spans="2:6">
      <c r="B22" s="3">
        <v>15</v>
      </c>
      <c r="C22" s="3">
        <f t="shared" si="0"/>
        <v>91</v>
      </c>
      <c r="D22" s="3">
        <f t="shared" si="1"/>
        <v>80</v>
      </c>
      <c r="E22" s="3">
        <f t="shared" si="2"/>
        <v>157248</v>
      </c>
      <c r="F22" s="3">
        <f t="shared" si="3"/>
        <v>138240</v>
      </c>
    </row>
    <row r="23" spans="2:6">
      <c r="B23" s="3">
        <v>16</v>
      </c>
      <c r="C23" s="3">
        <f t="shared" si="0"/>
        <v>96</v>
      </c>
      <c r="D23" s="3">
        <f t="shared" si="1"/>
        <v>82</v>
      </c>
      <c r="E23" s="3">
        <f t="shared" si="2"/>
        <v>165888</v>
      </c>
      <c r="F23" s="3">
        <f t="shared" si="3"/>
        <v>141696</v>
      </c>
    </row>
    <row r="24" spans="2:6">
      <c r="B24" s="3">
        <v>17</v>
      </c>
      <c r="C24" s="3">
        <f t="shared" si="0"/>
        <v>101</v>
      </c>
      <c r="D24" s="3">
        <f t="shared" si="1"/>
        <v>84</v>
      </c>
      <c r="E24" s="3">
        <f t="shared" si="2"/>
        <v>174528</v>
      </c>
      <c r="F24" s="3">
        <f t="shared" si="3"/>
        <v>145152</v>
      </c>
    </row>
    <row r="25" spans="2:6">
      <c r="B25" s="3">
        <v>18</v>
      </c>
      <c r="C25" s="3">
        <f t="shared" si="0"/>
        <v>106</v>
      </c>
      <c r="D25" s="3">
        <f t="shared" si="1"/>
        <v>86</v>
      </c>
      <c r="E25" s="3">
        <f t="shared" si="2"/>
        <v>183168</v>
      </c>
      <c r="F25" s="3">
        <f t="shared" si="3"/>
        <v>148608</v>
      </c>
    </row>
    <row r="26" spans="2:6">
      <c r="B26" s="3">
        <v>19</v>
      </c>
      <c r="C26" s="3">
        <f t="shared" si="0"/>
        <v>111</v>
      </c>
      <c r="D26" s="3">
        <f t="shared" si="1"/>
        <v>88</v>
      </c>
      <c r="E26" s="3">
        <f t="shared" si="2"/>
        <v>191808</v>
      </c>
      <c r="F26" s="3">
        <f t="shared" si="3"/>
        <v>152064</v>
      </c>
    </row>
    <row r="27" spans="2:6">
      <c r="B27" s="3">
        <v>20</v>
      </c>
      <c r="C27" s="3">
        <f t="shared" si="0"/>
        <v>116</v>
      </c>
      <c r="D27" s="3">
        <f t="shared" si="1"/>
        <v>100</v>
      </c>
      <c r="E27" s="3">
        <f t="shared" si="2"/>
        <v>200448</v>
      </c>
      <c r="F27" s="3">
        <f t="shared" si="3"/>
        <v>172800</v>
      </c>
    </row>
    <row r="28" spans="2:6">
      <c r="B28" s="3">
        <v>21</v>
      </c>
      <c r="C28" s="3">
        <f t="shared" si="0"/>
        <v>129</v>
      </c>
      <c r="D28" s="3">
        <f t="shared" si="1"/>
        <v>143</v>
      </c>
      <c r="E28" s="3">
        <f t="shared" si="2"/>
        <v>222912</v>
      </c>
      <c r="F28" s="3">
        <f t="shared" si="3"/>
        <v>247104</v>
      </c>
    </row>
    <row r="29" spans="2:6">
      <c r="B29" s="3">
        <v>22</v>
      </c>
      <c r="C29" s="3">
        <f t="shared" si="0"/>
        <v>134</v>
      </c>
      <c r="D29" s="3">
        <f t="shared" si="1"/>
        <v>146</v>
      </c>
      <c r="E29" s="3">
        <f t="shared" si="2"/>
        <v>231552</v>
      </c>
      <c r="F29" s="3">
        <f t="shared" si="3"/>
        <v>252288</v>
      </c>
    </row>
    <row r="30" spans="2:6">
      <c r="B30" s="3">
        <v>23</v>
      </c>
      <c r="C30" s="3">
        <f t="shared" si="0"/>
        <v>139</v>
      </c>
      <c r="D30" s="3">
        <f t="shared" si="1"/>
        <v>149</v>
      </c>
      <c r="E30" s="3">
        <f t="shared" si="2"/>
        <v>240192</v>
      </c>
      <c r="F30" s="3">
        <f t="shared" si="3"/>
        <v>257472</v>
      </c>
    </row>
    <row r="31" spans="2:6">
      <c r="B31" s="3">
        <v>24</v>
      </c>
      <c r="C31" s="3">
        <f t="shared" si="0"/>
        <v>144</v>
      </c>
      <c r="D31" s="3">
        <f t="shared" si="1"/>
        <v>152</v>
      </c>
      <c r="E31" s="3">
        <f t="shared" si="2"/>
        <v>248832</v>
      </c>
      <c r="F31" s="3">
        <f t="shared" si="3"/>
        <v>262656</v>
      </c>
    </row>
    <row r="32" spans="2:6">
      <c r="B32" s="3">
        <v>25</v>
      </c>
      <c r="C32" s="3">
        <f t="shared" si="0"/>
        <v>149</v>
      </c>
      <c r="D32" s="3">
        <f t="shared" si="1"/>
        <v>155</v>
      </c>
      <c r="E32" s="3">
        <f t="shared" si="2"/>
        <v>257472</v>
      </c>
      <c r="F32" s="3">
        <f t="shared" si="3"/>
        <v>267840</v>
      </c>
    </row>
    <row r="33" spans="2:6">
      <c r="B33" s="3">
        <v>26</v>
      </c>
      <c r="C33" s="3">
        <f t="shared" si="0"/>
        <v>154</v>
      </c>
      <c r="D33" s="3">
        <f t="shared" si="1"/>
        <v>158</v>
      </c>
      <c r="E33" s="3">
        <f t="shared" si="2"/>
        <v>266112</v>
      </c>
      <c r="F33" s="3">
        <f t="shared" si="3"/>
        <v>273024</v>
      </c>
    </row>
    <row r="34" spans="2:6">
      <c r="B34" s="3">
        <v>27</v>
      </c>
      <c r="C34" s="3">
        <f t="shared" si="0"/>
        <v>159</v>
      </c>
      <c r="D34" s="3">
        <f t="shared" si="1"/>
        <v>161</v>
      </c>
      <c r="E34" s="3">
        <f t="shared" si="2"/>
        <v>274752</v>
      </c>
      <c r="F34" s="3">
        <f t="shared" si="3"/>
        <v>278208</v>
      </c>
    </row>
    <row r="35" spans="2:6">
      <c r="B35" s="3">
        <v>28</v>
      </c>
      <c r="C35" s="3">
        <f t="shared" si="0"/>
        <v>164</v>
      </c>
      <c r="D35" s="3">
        <f t="shared" si="1"/>
        <v>164</v>
      </c>
      <c r="E35" s="3">
        <f t="shared" si="2"/>
        <v>283392</v>
      </c>
      <c r="F35" s="3">
        <f t="shared" si="3"/>
        <v>283392</v>
      </c>
    </row>
    <row r="36" spans="2:6">
      <c r="B36" s="3">
        <v>29</v>
      </c>
      <c r="C36" s="3">
        <f t="shared" si="0"/>
        <v>169</v>
      </c>
      <c r="D36" s="3">
        <f t="shared" si="1"/>
        <v>167</v>
      </c>
      <c r="E36" s="3">
        <f t="shared" si="2"/>
        <v>292032</v>
      </c>
      <c r="F36" s="3">
        <f t="shared" si="3"/>
        <v>288576</v>
      </c>
    </row>
    <row r="37" spans="2:6">
      <c r="B37" s="3">
        <v>30</v>
      </c>
      <c r="C37" s="3">
        <f t="shared" si="0"/>
        <v>174</v>
      </c>
      <c r="D37" s="3">
        <f t="shared" si="1"/>
        <v>180</v>
      </c>
      <c r="E37" s="3">
        <f t="shared" si="2"/>
        <v>300672</v>
      </c>
      <c r="F37" s="3">
        <f t="shared" si="3"/>
        <v>311040</v>
      </c>
    </row>
    <row r="38" spans="2:6">
      <c r="B38" s="3">
        <v>31</v>
      </c>
      <c r="C38" s="3">
        <f t="shared" si="0"/>
        <v>187</v>
      </c>
      <c r="D38" s="3">
        <f t="shared" si="1"/>
        <v>234</v>
      </c>
      <c r="E38" s="3">
        <f t="shared" si="2"/>
        <v>323136</v>
      </c>
      <c r="F38" s="3">
        <f t="shared" si="3"/>
        <v>404352</v>
      </c>
    </row>
    <row r="39" spans="2:6">
      <c r="B39" s="3">
        <v>32</v>
      </c>
      <c r="C39" s="3">
        <f t="shared" si="0"/>
        <v>192</v>
      </c>
      <c r="D39" s="3">
        <f t="shared" si="1"/>
        <v>238</v>
      </c>
      <c r="E39" s="3">
        <f t="shared" si="2"/>
        <v>331776</v>
      </c>
      <c r="F39" s="3">
        <f t="shared" si="3"/>
        <v>411264</v>
      </c>
    </row>
    <row r="40" spans="2:6">
      <c r="B40" s="3">
        <v>33</v>
      </c>
      <c r="C40" s="3">
        <f t="shared" si="0"/>
        <v>197</v>
      </c>
      <c r="D40" s="3">
        <f t="shared" si="1"/>
        <v>242</v>
      </c>
      <c r="E40" s="3">
        <f t="shared" si="2"/>
        <v>340416</v>
      </c>
      <c r="F40" s="3">
        <f t="shared" si="3"/>
        <v>418176</v>
      </c>
    </row>
    <row r="41" spans="2:6">
      <c r="B41" s="3">
        <v>34</v>
      </c>
      <c r="C41" s="3">
        <f t="shared" si="0"/>
        <v>202</v>
      </c>
      <c r="D41" s="3">
        <f t="shared" si="1"/>
        <v>246</v>
      </c>
      <c r="E41" s="3">
        <f t="shared" si="2"/>
        <v>349056</v>
      </c>
      <c r="F41" s="3">
        <f t="shared" si="3"/>
        <v>425088</v>
      </c>
    </row>
    <row r="42" spans="2:6">
      <c r="B42" s="3">
        <v>35</v>
      </c>
      <c r="C42" s="3">
        <f t="shared" si="0"/>
        <v>207</v>
      </c>
      <c r="D42" s="3">
        <f t="shared" si="1"/>
        <v>250</v>
      </c>
      <c r="E42" s="3">
        <f t="shared" si="2"/>
        <v>357696</v>
      </c>
      <c r="F42" s="3">
        <f t="shared" si="3"/>
        <v>432000</v>
      </c>
    </row>
    <row r="43" spans="2:6">
      <c r="B43" s="3">
        <v>36</v>
      </c>
      <c r="C43" s="3">
        <f t="shared" si="0"/>
        <v>212</v>
      </c>
      <c r="D43" s="3">
        <f t="shared" si="1"/>
        <v>254</v>
      </c>
      <c r="E43" s="3">
        <f t="shared" si="2"/>
        <v>366336</v>
      </c>
      <c r="F43" s="3">
        <f t="shared" si="3"/>
        <v>438912</v>
      </c>
    </row>
    <row r="44" spans="2:6">
      <c r="B44" s="3">
        <v>37</v>
      </c>
      <c r="C44" s="3">
        <f t="shared" si="0"/>
        <v>217</v>
      </c>
      <c r="D44" s="3">
        <f t="shared" si="1"/>
        <v>258</v>
      </c>
      <c r="E44" s="3">
        <f t="shared" si="2"/>
        <v>374976</v>
      </c>
      <c r="F44" s="3">
        <f t="shared" si="3"/>
        <v>445824</v>
      </c>
    </row>
    <row r="45" spans="2:6">
      <c r="B45" s="3">
        <v>38</v>
      </c>
      <c r="C45" s="3">
        <f t="shared" si="0"/>
        <v>222</v>
      </c>
      <c r="D45" s="3">
        <f t="shared" si="1"/>
        <v>262</v>
      </c>
      <c r="E45" s="3">
        <f t="shared" si="2"/>
        <v>383616</v>
      </c>
      <c r="F45" s="3">
        <f t="shared" si="3"/>
        <v>452736</v>
      </c>
    </row>
    <row r="46" spans="2:6">
      <c r="B46" s="3">
        <v>39</v>
      </c>
      <c r="C46" s="3">
        <f t="shared" si="0"/>
        <v>227</v>
      </c>
      <c r="D46" s="3">
        <f t="shared" si="1"/>
        <v>266</v>
      </c>
      <c r="E46" s="3">
        <f t="shared" si="2"/>
        <v>392256</v>
      </c>
      <c r="F46" s="3">
        <f t="shared" si="3"/>
        <v>459648</v>
      </c>
    </row>
    <row r="47" spans="2:6">
      <c r="B47" s="3">
        <v>40</v>
      </c>
      <c r="C47" s="3">
        <f t="shared" si="0"/>
        <v>232</v>
      </c>
      <c r="D47" s="3">
        <f t="shared" si="1"/>
        <v>280</v>
      </c>
      <c r="E47" s="3">
        <f t="shared" si="2"/>
        <v>400896</v>
      </c>
      <c r="F47" s="3">
        <f t="shared" si="3"/>
        <v>483840</v>
      </c>
    </row>
    <row r="48" spans="2:6">
      <c r="B48" s="3">
        <v>41</v>
      </c>
      <c r="C48" s="3">
        <f t="shared" si="0"/>
        <v>245</v>
      </c>
      <c r="D48" s="3">
        <f t="shared" si="1"/>
        <v>345</v>
      </c>
      <c r="E48" s="3">
        <f t="shared" si="2"/>
        <v>423360</v>
      </c>
      <c r="F48" s="3">
        <f t="shared" si="3"/>
        <v>596160</v>
      </c>
    </row>
    <row r="49" spans="2:6">
      <c r="B49" s="3">
        <v>42</v>
      </c>
      <c r="C49" s="3">
        <f t="shared" si="0"/>
        <v>250</v>
      </c>
      <c r="D49" s="3">
        <f t="shared" si="1"/>
        <v>350</v>
      </c>
      <c r="E49" s="3">
        <f t="shared" si="2"/>
        <v>432000</v>
      </c>
      <c r="F49" s="3">
        <f t="shared" si="3"/>
        <v>604800</v>
      </c>
    </row>
    <row r="50" spans="2:6">
      <c r="B50" s="3">
        <v>43</v>
      </c>
      <c r="C50" s="3">
        <f t="shared" si="0"/>
        <v>255</v>
      </c>
      <c r="D50" s="3">
        <f t="shared" si="1"/>
        <v>355</v>
      </c>
      <c r="E50" s="3">
        <f t="shared" si="2"/>
        <v>440640</v>
      </c>
      <c r="F50" s="3">
        <f t="shared" si="3"/>
        <v>613440</v>
      </c>
    </row>
    <row r="51" spans="2:6">
      <c r="B51" s="3">
        <v>44</v>
      </c>
      <c r="C51" s="3">
        <f t="shared" si="0"/>
        <v>260</v>
      </c>
      <c r="D51" s="3">
        <f t="shared" si="1"/>
        <v>360</v>
      </c>
      <c r="E51" s="3">
        <f t="shared" si="2"/>
        <v>449280</v>
      </c>
      <c r="F51" s="3">
        <f t="shared" si="3"/>
        <v>622080</v>
      </c>
    </row>
    <row r="52" spans="2:6">
      <c r="B52" s="3">
        <v>45</v>
      </c>
      <c r="C52" s="3">
        <f t="shared" si="0"/>
        <v>265</v>
      </c>
      <c r="D52" s="3">
        <f t="shared" si="1"/>
        <v>365</v>
      </c>
      <c r="E52" s="3">
        <f t="shared" si="2"/>
        <v>457920</v>
      </c>
      <c r="F52" s="3">
        <f t="shared" si="3"/>
        <v>630720</v>
      </c>
    </row>
    <row r="53" spans="2:6">
      <c r="B53" s="3">
        <v>46</v>
      </c>
      <c r="C53" s="3">
        <f t="shared" si="0"/>
        <v>270</v>
      </c>
      <c r="D53" s="3">
        <f t="shared" si="1"/>
        <v>370</v>
      </c>
      <c r="E53" s="3">
        <f t="shared" si="2"/>
        <v>466560</v>
      </c>
      <c r="F53" s="3">
        <f t="shared" si="3"/>
        <v>639360</v>
      </c>
    </row>
    <row r="54" spans="2:6">
      <c r="B54" s="3">
        <v>47</v>
      </c>
      <c r="C54" s="3">
        <f t="shared" si="0"/>
        <v>275</v>
      </c>
      <c r="D54" s="3">
        <f t="shared" si="1"/>
        <v>375</v>
      </c>
      <c r="E54" s="3">
        <f t="shared" si="2"/>
        <v>475200</v>
      </c>
      <c r="F54" s="3">
        <f t="shared" si="3"/>
        <v>648000</v>
      </c>
    </row>
    <row r="55" spans="2:6">
      <c r="B55" s="3">
        <v>48</v>
      </c>
      <c r="C55" s="3">
        <f t="shared" si="0"/>
        <v>280</v>
      </c>
      <c r="D55" s="3">
        <f t="shared" si="1"/>
        <v>380</v>
      </c>
      <c r="E55" s="3">
        <f t="shared" si="2"/>
        <v>483840</v>
      </c>
      <c r="F55" s="3">
        <f t="shared" si="3"/>
        <v>656640</v>
      </c>
    </row>
    <row r="56" spans="2:6">
      <c r="B56" s="3">
        <v>49</v>
      </c>
      <c r="C56" s="3">
        <f t="shared" si="0"/>
        <v>285</v>
      </c>
      <c r="D56" s="3">
        <f t="shared" si="1"/>
        <v>385</v>
      </c>
      <c r="E56" s="3">
        <f t="shared" si="2"/>
        <v>492480</v>
      </c>
      <c r="F56" s="3">
        <f t="shared" si="3"/>
        <v>665280</v>
      </c>
    </row>
    <row r="57" spans="2:6">
      <c r="B57" s="3">
        <v>50</v>
      </c>
      <c r="C57" s="3">
        <f t="shared" si="0"/>
        <v>290</v>
      </c>
      <c r="D57" s="3">
        <f t="shared" si="1"/>
        <v>400</v>
      </c>
      <c r="E57" s="3">
        <f t="shared" si="2"/>
        <v>501120</v>
      </c>
      <c r="F57" s="3">
        <f t="shared" si="3"/>
        <v>691200</v>
      </c>
    </row>
    <row r="58" spans="2:6">
      <c r="B58" s="3">
        <v>51</v>
      </c>
      <c r="C58" s="3">
        <f t="shared" si="0"/>
        <v>303</v>
      </c>
      <c r="D58" s="3">
        <f t="shared" si="1"/>
        <v>476</v>
      </c>
      <c r="E58" s="3">
        <f t="shared" si="2"/>
        <v>523584</v>
      </c>
      <c r="F58" s="3">
        <f t="shared" si="3"/>
        <v>822528</v>
      </c>
    </row>
    <row r="59" spans="2:6">
      <c r="B59" s="3">
        <v>52</v>
      </c>
      <c r="C59" s="3">
        <f t="shared" si="0"/>
        <v>308</v>
      </c>
      <c r="D59" s="3">
        <f t="shared" si="1"/>
        <v>482</v>
      </c>
      <c r="E59" s="3">
        <f t="shared" si="2"/>
        <v>532224</v>
      </c>
      <c r="F59" s="3">
        <f t="shared" si="3"/>
        <v>832896</v>
      </c>
    </row>
    <row r="60" spans="2:6">
      <c r="B60" s="3">
        <v>53</v>
      </c>
      <c r="C60" s="3">
        <f t="shared" si="0"/>
        <v>313</v>
      </c>
      <c r="D60" s="3">
        <f t="shared" si="1"/>
        <v>488</v>
      </c>
      <c r="E60" s="3">
        <f t="shared" si="2"/>
        <v>540864</v>
      </c>
      <c r="F60" s="3">
        <f t="shared" si="3"/>
        <v>843264</v>
      </c>
    </row>
    <row r="61" spans="2:6">
      <c r="B61" s="3">
        <v>54</v>
      </c>
      <c r="C61" s="3">
        <f t="shared" si="0"/>
        <v>318</v>
      </c>
      <c r="D61" s="3">
        <f t="shared" si="1"/>
        <v>494</v>
      </c>
      <c r="E61" s="3">
        <f t="shared" si="2"/>
        <v>549504</v>
      </c>
      <c r="F61" s="3">
        <f t="shared" si="3"/>
        <v>853632</v>
      </c>
    </row>
    <row r="62" spans="2:6">
      <c r="B62" s="3">
        <v>55</v>
      </c>
      <c r="C62" s="3">
        <f t="shared" si="0"/>
        <v>323</v>
      </c>
      <c r="D62" s="3">
        <f t="shared" si="1"/>
        <v>500</v>
      </c>
      <c r="E62" s="3">
        <f t="shared" si="2"/>
        <v>558144</v>
      </c>
      <c r="F62" s="3">
        <f t="shared" si="3"/>
        <v>864000</v>
      </c>
    </row>
    <row r="63" spans="2:6">
      <c r="B63" s="3">
        <v>56</v>
      </c>
      <c r="C63" s="3">
        <f t="shared" si="0"/>
        <v>328</v>
      </c>
      <c r="D63" s="3">
        <f t="shared" si="1"/>
        <v>506</v>
      </c>
      <c r="E63" s="3">
        <f t="shared" si="2"/>
        <v>566784</v>
      </c>
      <c r="F63" s="3">
        <f t="shared" si="3"/>
        <v>874368</v>
      </c>
    </row>
    <row r="64" spans="2:6">
      <c r="B64" s="3">
        <v>57</v>
      </c>
      <c r="C64" s="3">
        <f t="shared" si="0"/>
        <v>333</v>
      </c>
      <c r="D64" s="3">
        <f t="shared" si="1"/>
        <v>512</v>
      </c>
      <c r="E64" s="3">
        <f t="shared" si="2"/>
        <v>575424</v>
      </c>
      <c r="F64" s="3">
        <f t="shared" si="3"/>
        <v>884736</v>
      </c>
    </row>
    <row r="65" spans="2:6">
      <c r="B65" s="3">
        <v>58</v>
      </c>
      <c r="C65" s="3">
        <f t="shared" si="0"/>
        <v>338</v>
      </c>
      <c r="D65" s="3">
        <f t="shared" si="1"/>
        <v>518</v>
      </c>
      <c r="E65" s="3">
        <f t="shared" si="2"/>
        <v>584064</v>
      </c>
      <c r="F65" s="3">
        <f t="shared" si="3"/>
        <v>895104</v>
      </c>
    </row>
    <row r="66" spans="2:6">
      <c r="B66" s="3">
        <v>59</v>
      </c>
      <c r="C66" s="3">
        <f t="shared" si="0"/>
        <v>343</v>
      </c>
      <c r="D66" s="3">
        <f t="shared" si="1"/>
        <v>524</v>
      </c>
      <c r="E66" s="3">
        <f t="shared" si="2"/>
        <v>592704</v>
      </c>
      <c r="F66" s="3">
        <f t="shared" si="3"/>
        <v>905472</v>
      </c>
    </row>
    <row r="67" spans="2:6">
      <c r="B67" s="3">
        <v>60</v>
      </c>
      <c r="C67" s="3">
        <f t="shared" si="0"/>
        <v>348</v>
      </c>
      <c r="D67" s="3">
        <f t="shared" si="1"/>
        <v>540</v>
      </c>
      <c r="E67" s="3">
        <f t="shared" si="2"/>
        <v>601344</v>
      </c>
      <c r="F67" s="3">
        <f t="shared" si="3"/>
        <v>933120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92A00-BD77-41C7-8038-4899BD25300F}">
  <sheetPr codeName="Sheet26"/>
  <dimension ref="B2:B3"/>
  <sheetViews>
    <sheetView workbookViewId="0"/>
  </sheetViews>
  <sheetFormatPr defaultColWidth="13.77734375" defaultRowHeight="15.6"/>
  <cols>
    <col min="1" max="16384" width="13.77734375" style="1"/>
  </cols>
  <sheetData>
    <row r="2" spans="2:2" ht="16.2">
      <c r="B2" s="2" t="s">
        <v>534</v>
      </c>
    </row>
    <row r="3" spans="2:2" ht="16.2">
      <c r="B3" s="2" t="s">
        <v>536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CE12C-4A07-4155-AE32-B202665CB295}">
  <sheetPr codeName="Sheet17"/>
  <dimension ref="B2:B3"/>
  <sheetViews>
    <sheetView workbookViewId="0"/>
  </sheetViews>
  <sheetFormatPr defaultColWidth="13.77734375" defaultRowHeight="15.6"/>
  <cols>
    <col min="1" max="16384" width="13.77734375" style="1"/>
  </cols>
  <sheetData>
    <row r="2" spans="2:2" ht="16.2">
      <c r="B2" s="2" t="s">
        <v>533</v>
      </c>
    </row>
    <row r="3" spans="2:2" ht="16.2">
      <c r="B3" s="2" t="s">
        <v>536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21A66-09B3-4AD2-B3B4-7DD3443116EC}">
  <sheetPr codeName="Sheet18"/>
  <dimension ref="B2:B3"/>
  <sheetViews>
    <sheetView workbookViewId="0"/>
  </sheetViews>
  <sheetFormatPr defaultColWidth="13.77734375" defaultRowHeight="15.6"/>
  <cols>
    <col min="1" max="16384" width="13.77734375" style="1"/>
  </cols>
  <sheetData>
    <row r="2" spans="2:2" ht="16.2">
      <c r="B2" s="2" t="s">
        <v>532</v>
      </c>
    </row>
    <row r="3" spans="2:2" ht="16.2">
      <c r="B3" s="2" t="s">
        <v>536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497C3-93C7-492F-A150-18A759B55025}">
  <sheetPr codeName="Sheet21"/>
  <dimension ref="B2:B3"/>
  <sheetViews>
    <sheetView workbookViewId="0"/>
  </sheetViews>
  <sheetFormatPr defaultColWidth="13.77734375" defaultRowHeight="15.6"/>
  <cols>
    <col min="1" max="16384" width="13.77734375" style="1"/>
  </cols>
  <sheetData>
    <row r="2" spans="2:2" ht="16.2">
      <c r="B2" s="2" t="s">
        <v>531</v>
      </c>
    </row>
    <row r="3" spans="2:2" ht="16.2">
      <c r="B3" s="2" t="s">
        <v>536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DCD74-EB95-4A95-A548-473A1021AED9}">
  <sheetPr codeName="Sheet22"/>
  <dimension ref="B2:B3"/>
  <sheetViews>
    <sheetView workbookViewId="0"/>
  </sheetViews>
  <sheetFormatPr defaultColWidth="13.77734375" defaultRowHeight="15.6"/>
  <cols>
    <col min="1" max="16384" width="13.77734375" style="1"/>
  </cols>
  <sheetData>
    <row r="2" spans="2:2" ht="16.2">
      <c r="B2" s="2" t="s">
        <v>530</v>
      </c>
    </row>
    <row r="3" spans="2:2" ht="16.2">
      <c r="B3" s="2" t="s">
        <v>536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CD3E4-FE54-41F8-A5E0-252C409D7C43}">
  <sheetPr codeName="Sheet23"/>
  <dimension ref="B2:B3"/>
  <sheetViews>
    <sheetView workbookViewId="0"/>
  </sheetViews>
  <sheetFormatPr defaultColWidth="13.77734375" defaultRowHeight="15.6"/>
  <cols>
    <col min="1" max="16384" width="13.77734375" style="1"/>
  </cols>
  <sheetData>
    <row r="2" spans="2:2" ht="16.2">
      <c r="B2" s="2" t="s">
        <v>529</v>
      </c>
    </row>
    <row r="3" spans="2:2" ht="16.2">
      <c r="B3" s="2" t="s">
        <v>536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22</vt:i4>
      </vt:variant>
    </vt:vector>
  </HeadingPairs>
  <TitlesOfParts>
    <vt:vector size="22" baseType="lpstr">
      <vt:lpstr>介绍表</vt:lpstr>
      <vt:lpstr>目录</vt:lpstr>
      <vt:lpstr>系统框架</vt:lpstr>
      <vt:lpstr>玩法框架</vt:lpstr>
      <vt:lpstr>体验规划</vt:lpstr>
      <vt:lpstr>升级规划</vt:lpstr>
      <vt:lpstr>属性总览</vt:lpstr>
      <vt:lpstr>英雄成长</vt:lpstr>
      <vt:lpstr>伙伴成长</vt:lpstr>
      <vt:lpstr>宠物成长</vt:lpstr>
      <vt:lpstr>怪物成长</vt:lpstr>
      <vt:lpstr>装备成长</vt:lpstr>
      <vt:lpstr>装备词条</vt:lpstr>
      <vt:lpstr>战斗公式</vt:lpstr>
      <vt:lpstr>技能设计</vt:lpstr>
      <vt:lpstr>金币投放</vt:lpstr>
      <vt:lpstr>宝石投放</vt:lpstr>
      <vt:lpstr>家园建设</vt:lpstr>
      <vt:lpstr>公会建设</vt:lpstr>
      <vt:lpstr>物品总表</vt:lpstr>
      <vt:lpstr>商店总表</vt:lpstr>
      <vt:lpstr>掉落总表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朱阿</dc:creator>
  <cp:lastModifiedBy>阿 朱</cp:lastModifiedBy>
  <dcterms:created xsi:type="dcterms:W3CDTF">2015-06-05T18:19:34Z</dcterms:created>
  <dcterms:modified xsi:type="dcterms:W3CDTF">2025-01-02T06:08:24Z</dcterms:modified>
</cp:coreProperties>
</file>