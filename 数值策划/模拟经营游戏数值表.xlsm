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8763\Desktop\"/>
    </mc:Choice>
  </mc:AlternateContent>
  <xr:revisionPtr revIDLastSave="0" documentId="13_ncr:1_{C95D1EC3-A6B5-438E-BC1A-9A69F5859CED}" xr6:coauthVersionLast="47" xr6:coauthVersionMax="47" xr10:uidLastSave="{00000000-0000-0000-0000-000000000000}"/>
  <bookViews>
    <workbookView xWindow="-108" yWindow="-108" windowWidth="23256" windowHeight="12576" tabRatio="734" xr2:uid="{00000000-000D-0000-FFFF-FFFF00000000}"/>
  </bookViews>
  <sheets>
    <sheet name="总览表" sheetId="1" r:id="rId1"/>
    <sheet name="06设定表" sheetId="2" r:id="rId2"/>
    <sheet name="06时间表" sheetId="8" r:id="rId3"/>
    <sheet name="06资源表" sheetId="11" r:id="rId4"/>
    <sheet name="06建筑表" sheetId="6" r:id="rId5"/>
    <sheet name="06法典表" sheetId="7" r:id="rId6"/>
    <sheet name="06科技表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5" i="2" l="1"/>
  <c r="E36" i="2"/>
  <c r="E37" i="2"/>
  <c r="E34" i="2"/>
  <c r="D35" i="2"/>
  <c r="D36" i="2"/>
  <c r="D37" i="2"/>
  <c r="D34" i="2"/>
  <c r="C35" i="2"/>
  <c r="C36" i="2"/>
  <c r="C37" i="2"/>
  <c r="C34" i="2"/>
  <c r="C26" i="2"/>
  <c r="C25" i="2"/>
  <c r="C24" i="2"/>
  <c r="C23" i="2"/>
</calcChain>
</file>

<file path=xl/sharedStrings.xml><?xml version="1.0" encoding="utf-8"?>
<sst xmlns="http://schemas.openxmlformats.org/spreadsheetml/2006/main" count="562" uniqueCount="329">
  <si>
    <t>游戏目的</t>
    <phoneticPr fontId="1" type="noConversion"/>
  </si>
  <si>
    <t>玩法系统1</t>
    <phoneticPr fontId="1" type="noConversion"/>
  </si>
  <si>
    <t>玩法系统2</t>
  </si>
  <si>
    <t>玩法系统3</t>
  </si>
  <si>
    <t>世界观</t>
    <phoneticPr fontId="1" type="noConversion"/>
  </si>
  <si>
    <t>游戏名称</t>
    <phoneticPr fontId="1" type="noConversion"/>
  </si>
  <si>
    <t>冒险村物语2</t>
    <phoneticPr fontId="1" type="noConversion"/>
  </si>
  <si>
    <t>桃园深处有人家</t>
    <phoneticPr fontId="1" type="noConversion"/>
  </si>
  <si>
    <t>星露谷物语</t>
    <phoneticPr fontId="1" type="noConversion"/>
  </si>
  <si>
    <t>守墓人</t>
    <phoneticPr fontId="1" type="noConversion"/>
  </si>
  <si>
    <t>泰拉瑞亚</t>
    <phoneticPr fontId="1" type="noConversion"/>
  </si>
  <si>
    <t>僵尸毁灭计划</t>
    <phoneticPr fontId="1" type="noConversion"/>
  </si>
  <si>
    <t>苏醒之路</t>
    <phoneticPr fontId="1" type="noConversion"/>
  </si>
  <si>
    <t>戴森球计划</t>
    <phoneticPr fontId="1" type="noConversion"/>
  </si>
  <si>
    <t>都市:天际线</t>
    <phoneticPr fontId="1" type="noConversion"/>
  </si>
  <si>
    <t>双点医院</t>
    <phoneticPr fontId="1" type="noConversion"/>
  </si>
  <si>
    <t>潜水员戴夫</t>
    <phoneticPr fontId="1" type="noConversion"/>
  </si>
  <si>
    <t>东方夜雀食堂</t>
    <phoneticPr fontId="1" type="noConversion"/>
  </si>
  <si>
    <t>冰汽时代</t>
    <phoneticPr fontId="1" type="noConversion"/>
  </si>
  <si>
    <t>饥荒</t>
    <phoneticPr fontId="1" type="noConversion"/>
  </si>
  <si>
    <t>缺氧</t>
    <phoneticPr fontId="1" type="noConversion"/>
  </si>
  <si>
    <t>环世界</t>
    <phoneticPr fontId="1" type="noConversion"/>
  </si>
  <si>
    <t>火山的女儿</t>
    <phoneticPr fontId="1" type="noConversion"/>
  </si>
  <si>
    <t>农场</t>
    <phoneticPr fontId="1" type="noConversion"/>
  </si>
  <si>
    <t>墓地</t>
    <phoneticPr fontId="1" type="noConversion"/>
  </si>
  <si>
    <t>僵尸</t>
    <phoneticPr fontId="1" type="noConversion"/>
  </si>
  <si>
    <t>科技</t>
    <phoneticPr fontId="1" type="noConversion"/>
  </si>
  <si>
    <t>城市</t>
    <phoneticPr fontId="1" type="noConversion"/>
  </si>
  <si>
    <t>医院</t>
    <phoneticPr fontId="1" type="noConversion"/>
  </si>
  <si>
    <t>古代</t>
    <phoneticPr fontId="1" type="noConversion"/>
  </si>
  <si>
    <t>海洋</t>
    <phoneticPr fontId="1" type="noConversion"/>
  </si>
  <si>
    <t>食堂</t>
    <phoneticPr fontId="1" type="noConversion"/>
  </si>
  <si>
    <t>穿越</t>
    <phoneticPr fontId="1" type="noConversion"/>
  </si>
  <si>
    <t>环境</t>
    <phoneticPr fontId="1" type="noConversion"/>
  </si>
  <si>
    <t>殖民</t>
    <phoneticPr fontId="1" type="noConversion"/>
  </si>
  <si>
    <t>家庭</t>
    <phoneticPr fontId="1" type="noConversion"/>
  </si>
  <si>
    <t>奇幻</t>
    <phoneticPr fontId="1" type="noConversion"/>
  </si>
  <si>
    <t>经营</t>
    <phoneticPr fontId="1" type="noConversion"/>
  </si>
  <si>
    <t>探索</t>
    <phoneticPr fontId="1" type="noConversion"/>
  </si>
  <si>
    <t>生存</t>
    <phoneticPr fontId="1" type="noConversion"/>
  </si>
  <si>
    <t>主要资源1</t>
    <phoneticPr fontId="1" type="noConversion"/>
  </si>
  <si>
    <t>主要资源2</t>
  </si>
  <si>
    <t>主要资源3</t>
  </si>
  <si>
    <t>食物</t>
    <phoneticPr fontId="1" type="noConversion"/>
  </si>
  <si>
    <t>材料</t>
    <phoneticPr fontId="1" type="noConversion"/>
  </si>
  <si>
    <t>建造</t>
    <phoneticPr fontId="1" type="noConversion"/>
  </si>
  <si>
    <t>打怪</t>
    <phoneticPr fontId="1" type="noConversion"/>
  </si>
  <si>
    <t>养成</t>
    <phoneticPr fontId="1" type="noConversion"/>
  </si>
  <si>
    <t>咩咩启示录</t>
    <phoneticPr fontId="1" type="noConversion"/>
  </si>
  <si>
    <t>邪教</t>
    <phoneticPr fontId="1" type="noConversion"/>
  </si>
  <si>
    <t>战斗</t>
    <phoneticPr fontId="1" type="noConversion"/>
  </si>
  <si>
    <t>做菜</t>
    <phoneticPr fontId="1" type="noConversion"/>
  </si>
  <si>
    <t>人口</t>
    <phoneticPr fontId="1" type="noConversion"/>
  </si>
  <si>
    <t>金钱</t>
    <phoneticPr fontId="1" type="noConversion"/>
  </si>
  <si>
    <t>部落冲突</t>
    <phoneticPr fontId="1" type="noConversion"/>
  </si>
  <si>
    <t>部落</t>
    <phoneticPr fontId="1" type="noConversion"/>
  </si>
  <si>
    <t>圣水/重油</t>
    <phoneticPr fontId="1" type="noConversion"/>
  </si>
  <si>
    <t>脑叶公司</t>
    <phoneticPr fontId="1" type="noConversion"/>
  </si>
  <si>
    <t>怪物</t>
    <phoneticPr fontId="1" type="noConversion"/>
  </si>
  <si>
    <t>暂无</t>
    <phoneticPr fontId="1" type="noConversion"/>
  </si>
  <si>
    <t>-</t>
    <phoneticPr fontId="1" type="noConversion"/>
  </si>
  <si>
    <t>数值分析</t>
    <phoneticPr fontId="1" type="noConversion"/>
  </si>
  <si>
    <t>游戏总览表</t>
    <phoneticPr fontId="1" type="noConversion"/>
  </si>
  <si>
    <t>人们的需要</t>
    <phoneticPr fontId="1" type="noConversion"/>
  </si>
  <si>
    <t>简单</t>
    <phoneticPr fontId="1" type="noConversion"/>
  </si>
  <si>
    <t>中等</t>
    <phoneticPr fontId="1" type="noConversion"/>
  </si>
  <si>
    <t>困难</t>
    <phoneticPr fontId="1" type="noConversion"/>
  </si>
  <si>
    <t>极难</t>
    <phoneticPr fontId="1" type="noConversion"/>
  </si>
  <si>
    <t>经济</t>
    <phoneticPr fontId="1" type="noConversion"/>
  </si>
  <si>
    <t>天气</t>
    <phoneticPr fontId="1" type="noConversion"/>
  </si>
  <si>
    <t>社会态度</t>
    <phoneticPr fontId="1" type="noConversion"/>
  </si>
  <si>
    <t>工人</t>
    <phoneticPr fontId="1" type="noConversion"/>
  </si>
  <si>
    <t>工程师</t>
    <phoneticPr fontId="1" type="noConversion"/>
  </si>
  <si>
    <t>儿童</t>
    <phoneticPr fontId="1" type="noConversion"/>
  </si>
  <si>
    <t>煤炭</t>
    <phoneticPr fontId="1" type="noConversion"/>
  </si>
  <si>
    <t>木材</t>
    <phoneticPr fontId="1" type="noConversion"/>
  </si>
  <si>
    <t>钢材</t>
    <phoneticPr fontId="1" type="noConversion"/>
  </si>
  <si>
    <t>生食材</t>
    <phoneticPr fontId="1" type="noConversion"/>
  </si>
  <si>
    <t>食物配给</t>
    <phoneticPr fontId="1" type="noConversion"/>
  </si>
  <si>
    <t>世界时间线</t>
    <phoneticPr fontId="1" type="noConversion"/>
  </si>
  <si>
    <t>天数</t>
    <phoneticPr fontId="1" type="noConversion"/>
  </si>
  <si>
    <t>温度</t>
    <phoneticPr fontId="1" type="noConversion"/>
  </si>
  <si>
    <t>温度变化</t>
    <phoneticPr fontId="1" type="noConversion"/>
  </si>
  <si>
    <t>触发事件</t>
    <phoneticPr fontId="1" type="noConversion"/>
  </si>
  <si>
    <t>建筑表</t>
    <phoneticPr fontId="1" type="noConversion"/>
  </si>
  <si>
    <t>建筑名称</t>
    <phoneticPr fontId="1" type="noConversion"/>
  </si>
  <si>
    <t>建筑类型</t>
    <phoneticPr fontId="1" type="noConversion"/>
  </si>
  <si>
    <t>基本热阶</t>
    <phoneticPr fontId="1" type="noConversion"/>
  </si>
  <si>
    <t>建筑作用</t>
    <phoneticPr fontId="1" type="noConversion"/>
  </si>
  <si>
    <t>人民</t>
    <phoneticPr fontId="1" type="noConversion"/>
  </si>
  <si>
    <t>健康</t>
    <phoneticPr fontId="1" type="noConversion"/>
  </si>
  <si>
    <t>资源</t>
    <phoneticPr fontId="1" type="noConversion"/>
  </si>
  <si>
    <t>技术</t>
    <phoneticPr fontId="1" type="noConversion"/>
  </si>
  <si>
    <t>信仰</t>
    <phoneticPr fontId="1" type="noConversion"/>
  </si>
  <si>
    <t>帐篷</t>
    <phoneticPr fontId="1" type="noConversion"/>
  </si>
  <si>
    <t>工棚</t>
    <phoneticPr fontId="1" type="noConversion"/>
  </si>
  <si>
    <t>儿童庇护所</t>
    <phoneticPr fontId="1" type="noConversion"/>
  </si>
  <si>
    <t>救护站</t>
    <phoneticPr fontId="1" type="noConversion"/>
  </si>
  <si>
    <t>伙房</t>
    <phoneticPr fontId="1" type="noConversion"/>
  </si>
  <si>
    <t>猎人小屋</t>
    <phoneticPr fontId="1" type="noConversion"/>
  </si>
  <si>
    <t>温室</t>
    <phoneticPr fontId="1" type="noConversion"/>
  </si>
  <si>
    <t>资源储备站</t>
    <phoneticPr fontId="1" type="noConversion"/>
  </si>
  <si>
    <t>收集站</t>
    <phoneticPr fontId="1" type="noConversion"/>
  </si>
  <si>
    <t>锯木厂</t>
    <phoneticPr fontId="1" type="noConversion"/>
  </si>
  <si>
    <t>冰墙钻机</t>
    <phoneticPr fontId="1" type="noConversion"/>
  </si>
  <si>
    <t>采煤机</t>
    <phoneticPr fontId="1" type="noConversion"/>
  </si>
  <si>
    <t>煤矿</t>
    <phoneticPr fontId="1" type="noConversion"/>
  </si>
  <si>
    <t>钢厂</t>
    <phoneticPr fontId="1" type="noConversion"/>
  </si>
  <si>
    <t>工作站</t>
    <phoneticPr fontId="1" type="noConversion"/>
  </si>
  <si>
    <t>蒸汽枢纽</t>
    <phoneticPr fontId="1" type="noConversion"/>
  </si>
  <si>
    <t>灯塔</t>
    <phoneticPr fontId="1" type="noConversion"/>
  </si>
  <si>
    <t>消耗木材</t>
    <phoneticPr fontId="1" type="noConversion"/>
  </si>
  <si>
    <t>消耗钢材</t>
    <phoneticPr fontId="1" type="noConversion"/>
  </si>
  <si>
    <t>消耗蒸汽核心</t>
    <phoneticPr fontId="1" type="noConversion"/>
  </si>
  <si>
    <t>医疗</t>
    <phoneticPr fontId="1" type="noConversion"/>
  </si>
  <si>
    <t>休息</t>
    <phoneticPr fontId="1" type="noConversion"/>
  </si>
  <si>
    <t>运作要求</t>
    <phoneticPr fontId="1" type="noConversion"/>
  </si>
  <si>
    <t>运作上限</t>
    <phoneticPr fontId="1" type="noConversion"/>
  </si>
  <si>
    <t>作用对象</t>
    <phoneticPr fontId="1" type="noConversion"/>
  </si>
  <si>
    <t>作用上限</t>
    <phoneticPr fontId="1" type="noConversion"/>
  </si>
  <si>
    <t>伤患</t>
    <phoneticPr fontId="1" type="noConversion"/>
  </si>
  <si>
    <t>工人/工程师</t>
    <phoneticPr fontId="1" type="noConversion"/>
  </si>
  <si>
    <t>烹饪</t>
    <phoneticPr fontId="1" type="noConversion"/>
  </si>
  <si>
    <t>方向1</t>
    <phoneticPr fontId="1" type="noConversion"/>
  </si>
  <si>
    <t>方向2</t>
  </si>
  <si>
    <t>方向3</t>
  </si>
  <si>
    <t>方向4</t>
  </si>
  <si>
    <t>方向5</t>
  </si>
  <si>
    <t>方向6</t>
  </si>
  <si>
    <t>教育</t>
    <phoneticPr fontId="1" type="noConversion"/>
  </si>
  <si>
    <t>娱乐</t>
    <phoneticPr fontId="1" type="noConversion"/>
  </si>
  <si>
    <t>生产</t>
    <phoneticPr fontId="1" type="noConversion"/>
  </si>
  <si>
    <t>死亡</t>
    <phoneticPr fontId="1" type="noConversion"/>
  </si>
  <si>
    <t>法典表</t>
    <phoneticPr fontId="1" type="noConversion"/>
  </si>
  <si>
    <t>方向7</t>
  </si>
  <si>
    <t>设计方向</t>
    <phoneticPr fontId="1" type="noConversion"/>
  </si>
  <si>
    <t>设计内容</t>
    <phoneticPr fontId="1" type="noConversion"/>
  </si>
  <si>
    <t>设计理念</t>
    <phoneticPr fontId="1" type="noConversion"/>
  </si>
  <si>
    <t>增加生产效率</t>
    <phoneticPr fontId="1" type="noConversion"/>
  </si>
  <si>
    <t>增加减压手段</t>
    <phoneticPr fontId="1" type="noConversion"/>
  </si>
  <si>
    <t>增加儿童效益</t>
    <phoneticPr fontId="1" type="noConversion"/>
  </si>
  <si>
    <t>增加食物利用</t>
    <phoneticPr fontId="1" type="noConversion"/>
  </si>
  <si>
    <t>增加病患治疗</t>
    <phoneticPr fontId="1" type="noConversion"/>
  </si>
  <si>
    <t>增加死亡处理</t>
    <phoneticPr fontId="1" type="noConversion"/>
  </si>
  <si>
    <t>增加剧情拓展</t>
    <phoneticPr fontId="1" type="noConversion"/>
  </si>
  <si>
    <t>拆除建筑返回</t>
    <phoneticPr fontId="1" type="noConversion"/>
  </si>
  <si>
    <t>建造建筑时间</t>
    <phoneticPr fontId="1" type="noConversion"/>
  </si>
  <si>
    <t>研究</t>
    <phoneticPr fontId="1" type="noConversion"/>
  </si>
  <si>
    <t>存储</t>
    <phoneticPr fontId="1" type="noConversion"/>
  </si>
  <si>
    <t>成人/儿童</t>
    <phoneticPr fontId="1" type="noConversion"/>
  </si>
  <si>
    <t>科技研究表</t>
    <phoneticPr fontId="1" type="noConversion"/>
  </si>
  <si>
    <t>科技树等级</t>
    <phoneticPr fontId="1" type="noConversion"/>
  </si>
  <si>
    <t>木材消耗</t>
  </si>
  <si>
    <t>木材消耗</t>
    <phoneticPr fontId="1" type="noConversion"/>
  </si>
  <si>
    <t>钢材消耗</t>
  </si>
  <si>
    <t>钢材消耗</t>
    <phoneticPr fontId="1" type="noConversion"/>
  </si>
  <si>
    <t>时间消耗</t>
    <phoneticPr fontId="1" type="noConversion"/>
  </si>
  <si>
    <t>供暖树表</t>
    <phoneticPr fontId="1" type="noConversion"/>
  </si>
  <si>
    <t>探索树表</t>
    <phoneticPr fontId="1" type="noConversion"/>
  </si>
  <si>
    <t>资源树表</t>
    <phoneticPr fontId="1" type="noConversion"/>
  </si>
  <si>
    <t>食物树表</t>
    <phoneticPr fontId="1" type="noConversion"/>
  </si>
  <si>
    <t>技能1</t>
    <phoneticPr fontId="1" type="noConversion"/>
  </si>
  <si>
    <t>技能2</t>
  </si>
  <si>
    <t>技能3</t>
  </si>
  <si>
    <t>技能4</t>
  </si>
  <si>
    <t>技能5</t>
  </si>
  <si>
    <t>技能6</t>
  </si>
  <si>
    <t>技能7</t>
  </si>
  <si>
    <t>科技详解表</t>
    <phoneticPr fontId="1" type="noConversion"/>
  </si>
  <si>
    <t>序号</t>
    <phoneticPr fontId="1" type="noConversion"/>
  </si>
  <si>
    <t>所属科技树</t>
    <phoneticPr fontId="1" type="noConversion"/>
  </si>
  <si>
    <t>加热器</t>
    <phoneticPr fontId="1" type="noConversion"/>
  </si>
  <si>
    <t>能量塔能量升级</t>
    <phoneticPr fontId="1" type="noConversion"/>
  </si>
  <si>
    <t>能量塔范围升级</t>
    <phoneticPr fontId="1" type="noConversion"/>
  </si>
  <si>
    <t>蒸汽枢纽范围升级</t>
    <phoneticPr fontId="1" type="noConversion"/>
  </si>
  <si>
    <t>能量塔效能升级</t>
    <phoneticPr fontId="1" type="noConversion"/>
  </si>
  <si>
    <t>过载运作联轴器</t>
    <phoneticPr fontId="1" type="noConversion"/>
  </si>
  <si>
    <t>改良版加热器</t>
    <phoneticPr fontId="1" type="noConversion"/>
  </si>
  <si>
    <t>能量塔能量升级Ⅱ</t>
    <phoneticPr fontId="1" type="noConversion"/>
  </si>
  <si>
    <t>能量塔范围升级Ⅱ</t>
    <phoneticPr fontId="1" type="noConversion"/>
  </si>
  <si>
    <t>加热器效能升级</t>
    <phoneticPr fontId="1" type="noConversion"/>
  </si>
  <si>
    <t>蒸汽枢纽效能升级</t>
    <phoneticPr fontId="1" type="noConversion"/>
  </si>
  <si>
    <t>能量塔效能升级Ⅱ</t>
    <phoneticPr fontId="1" type="noConversion"/>
  </si>
  <si>
    <t>高级加热器</t>
    <phoneticPr fontId="1" type="noConversion"/>
  </si>
  <si>
    <t>能量塔能量升级Ⅲ</t>
    <phoneticPr fontId="1" type="noConversion"/>
  </si>
  <si>
    <t>能量塔安全泄压装置</t>
    <phoneticPr fontId="1" type="noConversion"/>
  </si>
  <si>
    <t>能量塔范围升级Ⅲ</t>
    <phoneticPr fontId="1" type="noConversion"/>
  </si>
  <si>
    <t>效率提升</t>
    <phoneticPr fontId="1" type="noConversion"/>
  </si>
  <si>
    <t>等级名称</t>
    <phoneticPr fontId="1" type="noConversion"/>
  </si>
  <si>
    <t>绘图板</t>
    <phoneticPr fontId="1" type="noConversion"/>
  </si>
  <si>
    <t>制图仪</t>
    <phoneticPr fontId="1" type="noConversion"/>
  </si>
  <si>
    <t>机械计算器</t>
    <phoneticPr fontId="1" type="noConversion"/>
  </si>
  <si>
    <t>差分机</t>
    <phoneticPr fontId="1" type="noConversion"/>
  </si>
  <si>
    <t>自动成型</t>
    <phoneticPr fontId="1" type="noConversion"/>
  </si>
  <si>
    <t>更多观察员</t>
    <phoneticPr fontId="1" type="noConversion"/>
  </si>
  <si>
    <t>前哨队调度站</t>
    <phoneticPr fontId="1" type="noConversion"/>
  </si>
  <si>
    <t>轻量侦察雪橇</t>
    <phoneticPr fontId="1" type="noConversion"/>
  </si>
  <si>
    <t>工厂</t>
    <phoneticPr fontId="1" type="noConversion"/>
  </si>
  <si>
    <t>新型义肢</t>
    <phoneticPr fontId="1" type="noConversion"/>
  </si>
  <si>
    <t>新型机器人</t>
    <phoneticPr fontId="1" type="noConversion"/>
  </si>
  <si>
    <t>机器人一体化</t>
    <phoneticPr fontId="1" type="noConversion"/>
  </si>
  <si>
    <t>前哨队速度加快</t>
    <phoneticPr fontId="1" type="noConversion"/>
  </si>
  <si>
    <t>额外观察员</t>
    <phoneticPr fontId="1" type="noConversion"/>
  </si>
  <si>
    <t>优化义肢</t>
    <phoneticPr fontId="1" type="noConversion"/>
  </si>
  <si>
    <t>机器人一体化Ⅱ</t>
    <phoneticPr fontId="1" type="noConversion"/>
  </si>
  <si>
    <t>医疗机器人</t>
    <phoneticPr fontId="1" type="noConversion"/>
  </si>
  <si>
    <t>工程机器人</t>
    <phoneticPr fontId="1" type="noConversion"/>
  </si>
  <si>
    <t>加速版侦察雪橇</t>
    <phoneticPr fontId="1" type="noConversion"/>
  </si>
  <si>
    <t>机器人重新设计</t>
    <phoneticPr fontId="1" type="noConversion"/>
  </si>
  <si>
    <t>机器人一体化Ⅲ</t>
    <phoneticPr fontId="1" type="noConversion"/>
  </si>
  <si>
    <t>医疗机器人一体化</t>
    <phoneticPr fontId="1" type="noConversion"/>
  </si>
  <si>
    <t>设计思路：</t>
    <phoneticPr fontId="1" type="noConversion"/>
  </si>
  <si>
    <t>工作站等级</t>
  </si>
  <si>
    <t>加速收集</t>
    <phoneticPr fontId="1" type="noConversion"/>
  </si>
  <si>
    <t>资源储备站升级</t>
    <phoneticPr fontId="1" type="noConversion"/>
  </si>
  <si>
    <t>煤炭开采</t>
    <phoneticPr fontId="1" type="noConversion"/>
  </si>
  <si>
    <t>炭窑</t>
    <phoneticPr fontId="1" type="noConversion"/>
  </si>
  <si>
    <t>锯木厂升级</t>
    <phoneticPr fontId="1" type="noConversion"/>
  </si>
  <si>
    <t>收集站保温</t>
    <phoneticPr fontId="1" type="noConversion"/>
  </si>
  <si>
    <t>大型资源储备站</t>
    <phoneticPr fontId="1" type="noConversion"/>
  </si>
  <si>
    <t>技能定位</t>
    <phoneticPr fontId="1" type="noConversion"/>
  </si>
  <si>
    <t>蒸汽采煤机</t>
    <phoneticPr fontId="1" type="noConversion"/>
  </si>
  <si>
    <t>煤矿优化</t>
    <phoneticPr fontId="1" type="noConversion"/>
  </si>
  <si>
    <t>炭窑恒温机</t>
    <phoneticPr fontId="1" type="noConversion"/>
  </si>
  <si>
    <t>蒸汽锯木厂</t>
    <phoneticPr fontId="1" type="noConversion"/>
  </si>
  <si>
    <t>蒸汽钢厂</t>
    <phoneticPr fontId="1" type="noConversion"/>
  </si>
  <si>
    <t>高效收集</t>
    <phoneticPr fontId="1" type="noConversion"/>
  </si>
  <si>
    <t>蒸汽煤矿</t>
    <phoneticPr fontId="1" type="noConversion"/>
  </si>
  <si>
    <t>炭窑风箱</t>
    <phoneticPr fontId="1" type="noConversion"/>
  </si>
  <si>
    <t xml:space="preserve">蒸汽冰墙钻机 </t>
    <phoneticPr fontId="1" type="noConversion"/>
  </si>
  <si>
    <t>收集站保温Ⅱ</t>
    <phoneticPr fontId="1" type="noConversion"/>
  </si>
  <si>
    <t>煤矿合理化</t>
    <phoneticPr fontId="1" type="noConversion"/>
  </si>
  <si>
    <t>锯木厂范围扩展</t>
    <phoneticPr fontId="1" type="noConversion"/>
  </si>
  <si>
    <t>高级制钢厂</t>
    <phoneticPr fontId="1" type="noConversion"/>
  </si>
  <si>
    <t>采煤机喷射器</t>
    <phoneticPr fontId="1" type="noConversion"/>
  </si>
  <si>
    <t>高级煤炭</t>
    <phoneticPr fontId="1" type="noConversion"/>
  </si>
  <si>
    <t>高级冰墙钻机</t>
    <phoneticPr fontId="1" type="noConversion"/>
  </si>
  <si>
    <t>猎人装备</t>
    <phoneticPr fontId="1" type="noConversion"/>
  </si>
  <si>
    <t>救护站升级</t>
    <phoneticPr fontId="1" type="noConversion"/>
  </si>
  <si>
    <t>温室保温</t>
    <phoneticPr fontId="1" type="noConversion"/>
  </si>
  <si>
    <t>打猎策略</t>
    <phoneticPr fontId="1" type="noConversion"/>
  </si>
  <si>
    <t>空中猎人</t>
    <phoneticPr fontId="1" type="noConversion"/>
  </si>
  <si>
    <t>医疗机构保温</t>
    <phoneticPr fontId="1" type="noConversion"/>
  </si>
  <si>
    <t>医务所</t>
    <phoneticPr fontId="1" type="noConversion"/>
  </si>
  <si>
    <t>伙房保温</t>
    <phoneticPr fontId="1" type="noConversion"/>
  </si>
  <si>
    <t>工业温室</t>
    <phoneticPr fontId="1" type="noConversion"/>
  </si>
  <si>
    <t>医务所机械化</t>
    <phoneticPr fontId="1" type="noConversion"/>
  </si>
  <si>
    <t>房舍</t>
    <phoneticPr fontId="1" type="noConversion"/>
  </si>
  <si>
    <t>温室保温Ⅱ</t>
    <phoneticPr fontId="1" type="noConversion"/>
  </si>
  <si>
    <t>空中猎人装备</t>
    <phoneticPr fontId="1" type="noConversion"/>
  </si>
  <si>
    <t>医务所清单</t>
    <phoneticPr fontId="1" type="noConversion"/>
  </si>
  <si>
    <t>房舍重新设计</t>
    <phoneticPr fontId="1" type="noConversion"/>
  </si>
  <si>
    <t>温室选择</t>
    <phoneticPr fontId="1" type="noConversion"/>
  </si>
  <si>
    <t>医疗保健设施保温Ⅱ</t>
    <phoneticPr fontId="1" type="noConversion"/>
  </si>
  <si>
    <t>房舍保温</t>
    <phoneticPr fontId="1" type="noConversion"/>
  </si>
  <si>
    <t>木材产出</t>
    <phoneticPr fontId="1" type="noConversion"/>
  </si>
  <si>
    <t>煤炭产出</t>
    <phoneticPr fontId="1" type="noConversion"/>
  </si>
  <si>
    <t>煤炭消耗</t>
  </si>
  <si>
    <t>钢材产出</t>
    <phoneticPr fontId="1" type="noConversion"/>
  </si>
  <si>
    <t>人口数</t>
    <phoneticPr fontId="1" type="noConversion"/>
  </si>
  <si>
    <t>资源循环图</t>
    <phoneticPr fontId="1" type="noConversion"/>
  </si>
  <si>
    <t>产出内容</t>
    <phoneticPr fontId="1" type="noConversion"/>
  </si>
  <si>
    <t>产出速率</t>
    <phoneticPr fontId="1" type="noConversion"/>
  </si>
  <si>
    <t>消耗速率</t>
    <phoneticPr fontId="1" type="noConversion"/>
  </si>
  <si>
    <t>消耗内容</t>
    <phoneticPr fontId="1" type="noConversion"/>
  </si>
  <si>
    <t>每日工作时长</t>
    <phoneticPr fontId="1" type="noConversion"/>
  </si>
  <si>
    <t>蒸汽等级</t>
    <phoneticPr fontId="1" type="noConversion"/>
  </si>
  <si>
    <t>开启消耗</t>
    <phoneticPr fontId="1" type="noConversion"/>
  </si>
  <si>
    <t>维持消耗</t>
    <phoneticPr fontId="1" type="noConversion"/>
  </si>
  <si>
    <t>供热场温度</t>
    <phoneticPr fontId="1" type="noConversion"/>
  </si>
  <si>
    <t>设定表</t>
    <phoneticPr fontId="1" type="noConversion"/>
  </si>
  <si>
    <t>难度要素</t>
    <phoneticPr fontId="1" type="noConversion"/>
  </si>
  <si>
    <t>初始人口</t>
    <phoneticPr fontId="1" type="noConversion"/>
  </si>
  <si>
    <t>人口类型</t>
    <phoneticPr fontId="1" type="noConversion"/>
  </si>
  <si>
    <t>人口数量</t>
    <phoneticPr fontId="1" type="noConversion"/>
  </si>
  <si>
    <t>难度设定</t>
    <phoneticPr fontId="1" type="noConversion"/>
  </si>
  <si>
    <t>初始工作时长</t>
    <phoneticPr fontId="1" type="noConversion"/>
  </si>
  <si>
    <t>初始产出速率</t>
    <phoneticPr fontId="1" type="noConversion"/>
  </si>
  <si>
    <t>初始消耗速率</t>
    <phoneticPr fontId="1" type="noConversion"/>
  </si>
  <si>
    <t>初始保暖消耗</t>
    <phoneticPr fontId="1" type="noConversion"/>
  </si>
  <si>
    <t>主要是对完善的生态系统做补充用途</t>
    <phoneticPr fontId="1" type="noConversion"/>
  </si>
  <si>
    <t>主要围绕资源生产分为基础建筑和拓展建筑</t>
    <phoneticPr fontId="1" type="noConversion"/>
  </si>
  <si>
    <t>主要围绕游戏背景，以社会发展和环境压迫为主题进行资源生产和消耗的设计</t>
    <phoneticPr fontId="1" type="noConversion"/>
  </si>
  <si>
    <t>主要通过适当引入外来环境和事件的变动来控制游戏节奏，消耗多余的资源</t>
    <phoneticPr fontId="1" type="noConversion"/>
  </si>
  <si>
    <t>主要通过工作站等级划分以区分对效率的提升，通过消耗材料以控制研究策略的选择，通过消耗时间以使发展速度与世界时间（危机）耦合</t>
    <phoneticPr fontId="1" type="noConversion"/>
  </si>
  <si>
    <t>主要对难度设定、基础的资源设定和产出消耗速率设定</t>
    <phoneticPr fontId="1" type="noConversion"/>
  </si>
  <si>
    <t>食材产出</t>
    <phoneticPr fontId="1" type="noConversion"/>
  </si>
  <si>
    <t>生病设定</t>
    <phoneticPr fontId="1" type="noConversion"/>
  </si>
  <si>
    <t>希望设定</t>
    <phoneticPr fontId="1" type="noConversion"/>
  </si>
  <si>
    <t>事件表</t>
    <phoneticPr fontId="1" type="noConversion"/>
  </si>
  <si>
    <t>事件名称</t>
    <phoneticPr fontId="1" type="noConversion"/>
  </si>
  <si>
    <t>人口变化</t>
    <phoneticPr fontId="1" type="noConversion"/>
  </si>
  <si>
    <t>木材变化</t>
    <phoneticPr fontId="1" type="noConversion"/>
  </si>
  <si>
    <t>煤炭变化</t>
    <phoneticPr fontId="1" type="noConversion"/>
  </si>
  <si>
    <t>钢材变化</t>
    <phoneticPr fontId="1" type="noConversion"/>
  </si>
  <si>
    <t>食物变化</t>
    <phoneticPr fontId="1" type="noConversion"/>
  </si>
  <si>
    <t>环境温度</t>
    <phoneticPr fontId="1" type="noConversion"/>
  </si>
  <si>
    <t>建筑数量</t>
    <phoneticPr fontId="1" type="noConversion"/>
  </si>
  <si>
    <t>食材消耗</t>
  </si>
  <si>
    <t>木材剩余</t>
  </si>
  <si>
    <t>煤炭剩余</t>
  </si>
  <si>
    <t>钢材剩余</t>
  </si>
  <si>
    <t>食材剩余</t>
  </si>
  <si>
    <t>木材生产分配</t>
    <phoneticPr fontId="1" type="noConversion"/>
  </si>
  <si>
    <t>煤炭生产分配</t>
    <phoneticPr fontId="1" type="noConversion"/>
  </si>
  <si>
    <t>钢材生产分配</t>
    <phoneticPr fontId="1" type="noConversion"/>
  </si>
  <si>
    <t>食材生产分配</t>
    <phoneticPr fontId="1" type="noConversion"/>
  </si>
  <si>
    <t>科技1数量</t>
    <phoneticPr fontId="1" type="noConversion"/>
  </si>
  <si>
    <t>科技2数量</t>
  </si>
  <si>
    <t>科技3数量</t>
  </si>
  <si>
    <t>科技4数量</t>
  </si>
  <si>
    <t>科技5数量</t>
  </si>
  <si>
    <t>建造建筑木材</t>
    <phoneticPr fontId="1" type="noConversion"/>
  </si>
  <si>
    <t>建造建筑钢材</t>
    <phoneticPr fontId="1" type="noConversion"/>
  </si>
  <si>
    <t>拆除、建造设定</t>
    <phoneticPr fontId="1" type="noConversion"/>
  </si>
  <si>
    <t>温度设定</t>
    <phoneticPr fontId="1" type="noConversion"/>
  </si>
  <si>
    <t>单位热阶温度</t>
    <phoneticPr fontId="1" type="noConversion"/>
  </si>
  <si>
    <t>热阶阶数上限</t>
    <phoneticPr fontId="1" type="noConversion"/>
  </si>
  <si>
    <t>生病概率</t>
    <phoneticPr fontId="1" type="noConversion"/>
  </si>
  <si>
    <t>生病比例</t>
    <phoneticPr fontId="1" type="noConversion"/>
  </si>
  <si>
    <t>结算时间</t>
    <phoneticPr fontId="1" type="noConversion"/>
  </si>
  <si>
    <t>概率叠加</t>
    <phoneticPr fontId="1" type="noConversion"/>
  </si>
  <si>
    <t>工作效率提升</t>
    <phoneticPr fontId="1" type="noConversion"/>
  </si>
  <si>
    <t>罢工概率</t>
    <phoneticPr fontId="1" type="noConversion"/>
  </si>
  <si>
    <t>增加人口</t>
    <phoneticPr fontId="1" type="noConversion"/>
  </si>
  <si>
    <t>暴乱概率</t>
    <phoneticPr fontId="1" type="noConversion"/>
  </si>
  <si>
    <t>希望值</t>
    <phoneticPr fontId="1" type="noConversion"/>
  </si>
  <si>
    <t>不满值</t>
    <phoneticPr fontId="1" type="noConversion"/>
  </si>
  <si>
    <t>计算公式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</si>
</sst>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C0000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2" fillId="0" borderId="0" xfId="0" applyFont="1"/>
    <xf numFmtId="0" fontId="6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0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9" fontId="2" fillId="0" borderId="1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8</xdr:row>
          <xdr:rowOff>7620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跳转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4</xdr:row>
      <xdr:rowOff>21943</xdr:rowOff>
    </xdr:from>
    <xdr:to>
      <xdr:col>8</xdr:col>
      <xdr:colOff>937260</xdr:colOff>
      <xdr:row>22</xdr:row>
      <xdr:rowOff>41909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2C704A9-58DE-0EBF-3D11-02556AC2812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18" t="22511" b="18206"/>
        <a:stretch/>
      </xdr:blipFill>
      <xdr:spPr bwMode="auto">
        <a:xfrm>
          <a:off x="967740" y="623923"/>
          <a:ext cx="7528560" cy="35861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23"/>
  <sheetViews>
    <sheetView tabSelected="1" workbookViewId="0">
      <selection activeCell="C8" sqref="C8"/>
    </sheetView>
  </sheetViews>
  <sheetFormatPr defaultColWidth="15.77734375" defaultRowHeight="15.6" x14ac:dyDescent="0.35"/>
  <cols>
    <col min="1" max="11" width="15.77734375" style="1"/>
    <col min="12" max="12" width="31.44140625" style="1" customWidth="1"/>
    <col min="13" max="16384" width="15.77734375" style="1"/>
  </cols>
  <sheetData>
    <row r="2" spans="2:12" ht="16.2" x14ac:dyDescent="0.4">
      <c r="B2" s="4" t="s">
        <v>62</v>
      </c>
    </row>
    <row r="3" spans="2:12" ht="16.2" x14ac:dyDescent="0.4">
      <c r="B3" s="3" t="s">
        <v>5</v>
      </c>
      <c r="C3" s="3" t="s">
        <v>5</v>
      </c>
      <c r="D3" s="3" t="s">
        <v>4</v>
      </c>
      <c r="E3" s="3" t="s">
        <v>0</v>
      </c>
      <c r="F3" s="3" t="s">
        <v>40</v>
      </c>
      <c r="G3" s="3" t="s">
        <v>41</v>
      </c>
      <c r="H3" s="3" t="s">
        <v>42</v>
      </c>
      <c r="I3" s="3" t="s">
        <v>1</v>
      </c>
      <c r="J3" s="3" t="s">
        <v>2</v>
      </c>
      <c r="K3" s="3" t="s">
        <v>3</v>
      </c>
      <c r="L3" s="3" t="s">
        <v>61</v>
      </c>
    </row>
    <row r="4" spans="2:12" x14ac:dyDescent="0.35">
      <c r="B4" s="2">
        <v>1</v>
      </c>
      <c r="C4" s="2" t="s">
        <v>19</v>
      </c>
      <c r="D4" s="2" t="s">
        <v>32</v>
      </c>
      <c r="E4" s="2" t="s">
        <v>38</v>
      </c>
      <c r="F4" s="2" t="s">
        <v>43</v>
      </c>
      <c r="G4" s="2" t="s">
        <v>44</v>
      </c>
      <c r="H4" s="2" t="s">
        <v>60</v>
      </c>
      <c r="I4" s="2" t="s">
        <v>39</v>
      </c>
      <c r="J4" s="2" t="s">
        <v>45</v>
      </c>
      <c r="K4" s="2" t="s">
        <v>46</v>
      </c>
      <c r="L4" s="2" t="s">
        <v>59</v>
      </c>
    </row>
    <row r="5" spans="2:12" x14ac:dyDescent="0.35">
      <c r="B5" s="2">
        <v>2</v>
      </c>
      <c r="C5" s="2" t="s">
        <v>21</v>
      </c>
      <c r="D5" s="2" t="s">
        <v>34</v>
      </c>
      <c r="E5" s="2" t="s">
        <v>38</v>
      </c>
      <c r="F5" s="2" t="s">
        <v>52</v>
      </c>
      <c r="G5" s="2" t="s">
        <v>43</v>
      </c>
      <c r="H5" s="2" t="s">
        <v>44</v>
      </c>
      <c r="I5" s="2" t="s">
        <v>39</v>
      </c>
      <c r="J5" s="2" t="s">
        <v>45</v>
      </c>
      <c r="K5" s="2" t="s">
        <v>47</v>
      </c>
      <c r="L5" s="2" t="s">
        <v>59</v>
      </c>
    </row>
    <row r="6" spans="2:12" x14ac:dyDescent="0.35">
      <c r="B6" s="2">
        <v>3</v>
      </c>
      <c r="C6" s="2" t="s">
        <v>10</v>
      </c>
      <c r="D6" s="2" t="s">
        <v>36</v>
      </c>
      <c r="E6" s="2" t="s">
        <v>38</v>
      </c>
      <c r="F6" s="2" t="s">
        <v>53</v>
      </c>
      <c r="G6" s="2" t="s">
        <v>44</v>
      </c>
      <c r="H6" s="2" t="s">
        <v>60</v>
      </c>
      <c r="I6" s="2" t="s">
        <v>45</v>
      </c>
      <c r="J6" s="2" t="s">
        <v>46</v>
      </c>
      <c r="K6" s="2" t="s">
        <v>60</v>
      </c>
      <c r="L6" s="2" t="s">
        <v>59</v>
      </c>
    </row>
    <row r="7" spans="2:12" x14ac:dyDescent="0.35">
      <c r="B7" s="2">
        <v>4</v>
      </c>
      <c r="C7" s="2" t="s">
        <v>20</v>
      </c>
      <c r="D7" s="2" t="s">
        <v>34</v>
      </c>
      <c r="E7" s="2" t="s">
        <v>39</v>
      </c>
      <c r="F7" s="2" t="s">
        <v>52</v>
      </c>
      <c r="G7" s="2" t="s">
        <v>43</v>
      </c>
      <c r="H7" s="2" t="s">
        <v>44</v>
      </c>
      <c r="I7" s="2" t="s">
        <v>39</v>
      </c>
      <c r="J7" s="2" t="s">
        <v>45</v>
      </c>
      <c r="K7" s="2" t="s">
        <v>60</v>
      </c>
      <c r="L7" s="2" t="s">
        <v>59</v>
      </c>
    </row>
    <row r="8" spans="2:12" x14ac:dyDescent="0.35">
      <c r="B8" s="2">
        <v>5</v>
      </c>
      <c r="C8" s="2" t="s">
        <v>12</v>
      </c>
      <c r="D8" s="2" t="s">
        <v>25</v>
      </c>
      <c r="E8" s="2" t="s">
        <v>39</v>
      </c>
      <c r="F8" s="2" t="s">
        <v>43</v>
      </c>
      <c r="G8" s="2" t="s">
        <v>44</v>
      </c>
      <c r="H8" s="2" t="s">
        <v>60</v>
      </c>
      <c r="I8" s="2" t="s">
        <v>39</v>
      </c>
      <c r="J8" s="2" t="s">
        <v>45</v>
      </c>
      <c r="K8" s="2" t="s">
        <v>46</v>
      </c>
      <c r="L8" s="2" t="s">
        <v>59</v>
      </c>
    </row>
    <row r="9" spans="2:12" x14ac:dyDescent="0.35">
      <c r="B9" s="2">
        <v>6</v>
      </c>
      <c r="C9" s="2" t="s">
        <v>18</v>
      </c>
      <c r="D9" s="2" t="s">
        <v>33</v>
      </c>
      <c r="E9" s="2" t="s">
        <v>39</v>
      </c>
      <c r="F9" s="2" t="s">
        <v>52</v>
      </c>
      <c r="G9" s="2" t="s">
        <v>43</v>
      </c>
      <c r="H9" s="2" t="s">
        <v>44</v>
      </c>
      <c r="I9" s="2" t="s">
        <v>39</v>
      </c>
      <c r="J9" s="2" t="s">
        <v>45</v>
      </c>
      <c r="K9" s="2" t="s">
        <v>60</v>
      </c>
      <c r="L9" s="2"/>
    </row>
    <row r="10" spans="2:12" x14ac:dyDescent="0.35">
      <c r="B10" s="2">
        <v>7</v>
      </c>
      <c r="C10" s="2" t="s">
        <v>11</v>
      </c>
      <c r="D10" s="2" t="s">
        <v>25</v>
      </c>
      <c r="E10" s="2" t="s">
        <v>39</v>
      </c>
      <c r="F10" s="2" t="s">
        <v>43</v>
      </c>
      <c r="G10" s="2" t="s">
        <v>44</v>
      </c>
      <c r="H10" s="2" t="s">
        <v>60</v>
      </c>
      <c r="I10" s="2" t="s">
        <v>39</v>
      </c>
      <c r="J10" s="2" t="s">
        <v>46</v>
      </c>
      <c r="K10" s="2" t="s">
        <v>60</v>
      </c>
      <c r="L10" s="2" t="s">
        <v>59</v>
      </c>
    </row>
    <row r="11" spans="2:12" x14ac:dyDescent="0.35">
      <c r="B11" s="2">
        <v>8</v>
      </c>
      <c r="C11" s="2" t="s">
        <v>9</v>
      </c>
      <c r="D11" s="2" t="s">
        <v>24</v>
      </c>
      <c r="E11" s="2" t="s">
        <v>37</v>
      </c>
      <c r="F11" s="2" t="s">
        <v>53</v>
      </c>
      <c r="G11" s="2" t="s">
        <v>44</v>
      </c>
      <c r="H11" s="2" t="s">
        <v>60</v>
      </c>
      <c r="I11" s="2" t="s">
        <v>45</v>
      </c>
      <c r="J11" s="2" t="s">
        <v>46</v>
      </c>
      <c r="K11" s="2" t="s">
        <v>60</v>
      </c>
      <c r="L11" s="2" t="s">
        <v>59</v>
      </c>
    </row>
    <row r="12" spans="2:12" x14ac:dyDescent="0.35">
      <c r="B12" s="2">
        <v>9</v>
      </c>
      <c r="C12" s="2" t="s">
        <v>13</v>
      </c>
      <c r="D12" s="2" t="s">
        <v>26</v>
      </c>
      <c r="E12" s="2" t="s">
        <v>37</v>
      </c>
      <c r="F12" s="2" t="s">
        <v>52</v>
      </c>
      <c r="G12" s="2" t="s">
        <v>44</v>
      </c>
      <c r="H12" s="2" t="s">
        <v>60</v>
      </c>
      <c r="I12" s="2" t="s">
        <v>45</v>
      </c>
      <c r="J12" s="2" t="s">
        <v>60</v>
      </c>
      <c r="K12" s="2" t="s">
        <v>60</v>
      </c>
      <c r="L12" s="2" t="s">
        <v>59</v>
      </c>
    </row>
    <row r="13" spans="2:12" x14ac:dyDescent="0.35">
      <c r="B13" s="2">
        <v>10</v>
      </c>
      <c r="C13" s="2" t="s">
        <v>14</v>
      </c>
      <c r="D13" s="2" t="s">
        <v>27</v>
      </c>
      <c r="E13" s="2" t="s">
        <v>37</v>
      </c>
      <c r="F13" s="2" t="s">
        <v>53</v>
      </c>
      <c r="G13" s="2" t="s">
        <v>44</v>
      </c>
      <c r="H13" s="2" t="s">
        <v>60</v>
      </c>
      <c r="I13" s="2" t="s">
        <v>45</v>
      </c>
      <c r="J13" s="2" t="s">
        <v>60</v>
      </c>
      <c r="K13" s="2" t="s">
        <v>60</v>
      </c>
      <c r="L13" s="2" t="s">
        <v>59</v>
      </c>
    </row>
    <row r="14" spans="2:12" x14ac:dyDescent="0.35">
      <c r="B14" s="2">
        <v>11</v>
      </c>
      <c r="C14" s="2" t="s">
        <v>54</v>
      </c>
      <c r="D14" s="2" t="s">
        <v>55</v>
      </c>
      <c r="E14" s="2" t="s">
        <v>37</v>
      </c>
      <c r="F14" s="2" t="s">
        <v>52</v>
      </c>
      <c r="G14" s="2" t="s">
        <v>53</v>
      </c>
      <c r="H14" s="2" t="s">
        <v>56</v>
      </c>
      <c r="I14" s="2" t="s">
        <v>45</v>
      </c>
      <c r="J14" s="2" t="s">
        <v>60</v>
      </c>
      <c r="K14" s="2" t="s">
        <v>60</v>
      </c>
      <c r="L14" s="2" t="s">
        <v>59</v>
      </c>
    </row>
    <row r="15" spans="2:12" x14ac:dyDescent="0.35">
      <c r="B15" s="2">
        <v>12</v>
      </c>
      <c r="C15" s="2" t="s">
        <v>15</v>
      </c>
      <c r="D15" s="2" t="s">
        <v>28</v>
      </c>
      <c r="E15" s="2" t="s">
        <v>37</v>
      </c>
      <c r="F15" s="2" t="s">
        <v>52</v>
      </c>
      <c r="G15" s="2" t="s">
        <v>53</v>
      </c>
      <c r="H15" s="2" t="s">
        <v>60</v>
      </c>
      <c r="I15" s="2" t="s">
        <v>45</v>
      </c>
      <c r="J15" s="2" t="s">
        <v>60</v>
      </c>
      <c r="K15" s="2" t="s">
        <v>60</v>
      </c>
      <c r="L15" s="2" t="s">
        <v>59</v>
      </c>
    </row>
    <row r="16" spans="2:12" x14ac:dyDescent="0.35">
      <c r="B16" s="2">
        <v>13</v>
      </c>
      <c r="C16" s="2" t="s">
        <v>7</v>
      </c>
      <c r="D16" s="2" t="s">
        <v>29</v>
      </c>
      <c r="E16" s="2" t="s">
        <v>37</v>
      </c>
      <c r="F16" s="2" t="s">
        <v>43</v>
      </c>
      <c r="G16" s="2" t="s">
        <v>44</v>
      </c>
      <c r="H16" s="2" t="s">
        <v>60</v>
      </c>
      <c r="I16" s="2" t="s">
        <v>45</v>
      </c>
      <c r="J16" s="2" t="s">
        <v>60</v>
      </c>
      <c r="K16" s="2" t="s">
        <v>60</v>
      </c>
      <c r="L16" s="2" t="s">
        <v>59</v>
      </c>
    </row>
    <row r="17" spans="2:12" x14ac:dyDescent="0.35">
      <c r="B17" s="2">
        <v>14</v>
      </c>
      <c r="C17" s="2" t="s">
        <v>16</v>
      </c>
      <c r="D17" s="2" t="s">
        <v>30</v>
      </c>
      <c r="E17" s="2" t="s">
        <v>37</v>
      </c>
      <c r="F17" s="2" t="s">
        <v>43</v>
      </c>
      <c r="G17" s="2" t="s">
        <v>53</v>
      </c>
      <c r="H17" s="2" t="s">
        <v>44</v>
      </c>
      <c r="I17" s="2" t="s">
        <v>51</v>
      </c>
      <c r="J17" s="2" t="s">
        <v>46</v>
      </c>
      <c r="K17" s="2" t="s">
        <v>60</v>
      </c>
      <c r="L17" s="2" t="s">
        <v>59</v>
      </c>
    </row>
    <row r="18" spans="2:12" x14ac:dyDescent="0.35">
      <c r="B18" s="2">
        <v>15</v>
      </c>
      <c r="C18" s="2" t="s">
        <v>17</v>
      </c>
      <c r="D18" s="2" t="s">
        <v>31</v>
      </c>
      <c r="E18" s="2" t="s">
        <v>37</v>
      </c>
      <c r="F18" s="2" t="s">
        <v>43</v>
      </c>
      <c r="G18" s="2" t="s">
        <v>53</v>
      </c>
      <c r="H18" s="2" t="s">
        <v>44</v>
      </c>
      <c r="I18" s="2" t="s">
        <v>51</v>
      </c>
      <c r="J18" s="2" t="s">
        <v>60</v>
      </c>
      <c r="K18" s="2" t="s">
        <v>60</v>
      </c>
      <c r="L18" s="2" t="s">
        <v>59</v>
      </c>
    </row>
    <row r="19" spans="2:12" x14ac:dyDescent="0.35">
      <c r="B19" s="2">
        <v>16</v>
      </c>
      <c r="C19" s="2" t="s">
        <v>22</v>
      </c>
      <c r="D19" s="2" t="s">
        <v>35</v>
      </c>
      <c r="E19" s="2" t="s">
        <v>37</v>
      </c>
      <c r="F19" s="2" t="s">
        <v>53</v>
      </c>
      <c r="G19" s="2" t="s">
        <v>44</v>
      </c>
      <c r="H19" s="2" t="s">
        <v>60</v>
      </c>
      <c r="I19" s="2" t="s">
        <v>47</v>
      </c>
      <c r="J19" s="2" t="s">
        <v>60</v>
      </c>
      <c r="K19" s="2" t="s">
        <v>60</v>
      </c>
      <c r="L19" s="2" t="s">
        <v>59</v>
      </c>
    </row>
    <row r="20" spans="2:12" x14ac:dyDescent="0.35">
      <c r="B20" s="2">
        <v>17</v>
      </c>
      <c r="C20" s="2" t="s">
        <v>6</v>
      </c>
      <c r="D20" s="2" t="s">
        <v>36</v>
      </c>
      <c r="E20" s="2" t="s">
        <v>37</v>
      </c>
      <c r="F20" s="2" t="s">
        <v>52</v>
      </c>
      <c r="G20" s="2" t="s">
        <v>43</v>
      </c>
      <c r="H20" s="2" t="s">
        <v>44</v>
      </c>
      <c r="I20" s="2" t="s">
        <v>47</v>
      </c>
      <c r="J20" s="2" t="s">
        <v>45</v>
      </c>
      <c r="K20" s="2" t="s">
        <v>46</v>
      </c>
      <c r="L20" s="2" t="s">
        <v>59</v>
      </c>
    </row>
    <row r="21" spans="2:12" x14ac:dyDescent="0.35">
      <c r="B21" s="2">
        <v>18</v>
      </c>
      <c r="C21" s="2" t="s">
        <v>8</v>
      </c>
      <c r="D21" s="2" t="s">
        <v>23</v>
      </c>
      <c r="E21" s="2" t="s">
        <v>37</v>
      </c>
      <c r="F21" s="2" t="s">
        <v>43</v>
      </c>
      <c r="G21" s="2" t="s">
        <v>44</v>
      </c>
      <c r="H21" s="2" t="s">
        <v>60</v>
      </c>
      <c r="I21" s="2" t="s">
        <v>45</v>
      </c>
      <c r="J21" s="2" t="s">
        <v>51</v>
      </c>
      <c r="K21" s="2" t="s">
        <v>46</v>
      </c>
      <c r="L21" s="2" t="s">
        <v>59</v>
      </c>
    </row>
    <row r="22" spans="2:12" x14ac:dyDescent="0.35">
      <c r="B22" s="2">
        <v>19</v>
      </c>
      <c r="C22" s="2" t="s">
        <v>48</v>
      </c>
      <c r="D22" s="2" t="s">
        <v>49</v>
      </c>
      <c r="E22" s="2" t="s">
        <v>50</v>
      </c>
      <c r="F22" s="2" t="s">
        <v>52</v>
      </c>
      <c r="G22" s="2" t="s">
        <v>43</v>
      </c>
      <c r="H22" s="2" t="s">
        <v>44</v>
      </c>
      <c r="I22" s="2" t="s">
        <v>47</v>
      </c>
      <c r="J22" s="2" t="s">
        <v>45</v>
      </c>
      <c r="K22" s="2" t="s">
        <v>46</v>
      </c>
      <c r="L22" s="2" t="s">
        <v>59</v>
      </c>
    </row>
    <row r="23" spans="2:12" x14ac:dyDescent="0.35">
      <c r="B23" s="2">
        <v>20</v>
      </c>
      <c r="C23" s="2" t="s">
        <v>57</v>
      </c>
      <c r="D23" s="2" t="s">
        <v>58</v>
      </c>
      <c r="E23" s="2" t="s">
        <v>50</v>
      </c>
      <c r="F23" s="2" t="s">
        <v>52</v>
      </c>
      <c r="G23" s="2" t="s">
        <v>44</v>
      </c>
      <c r="H23" s="2" t="s">
        <v>60</v>
      </c>
      <c r="I23" s="2" t="s">
        <v>47</v>
      </c>
      <c r="J23" s="2" t="s">
        <v>46</v>
      </c>
      <c r="K23" s="2" t="s">
        <v>60</v>
      </c>
      <c r="L23" s="2" t="s">
        <v>59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跳转冰汽时代">
                <anchor moveWithCells="1" sizeWithCells="1">
                  <from>
                    <xdr:col>11</xdr:col>
                    <xdr:colOff>7620</xdr:colOff>
                    <xdr:row>8</xdr:row>
                    <xdr:rowOff>7620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C68B0-BD72-4339-A40C-F919CA8739C5}">
  <sheetPr codeName="Sheet2"/>
  <dimension ref="B2:F85"/>
  <sheetViews>
    <sheetView workbookViewId="0">
      <selection activeCell="C16" sqref="C16"/>
    </sheetView>
  </sheetViews>
  <sheetFormatPr defaultColWidth="13.77734375" defaultRowHeight="15.6" x14ac:dyDescent="0.35"/>
  <cols>
    <col min="1" max="1" width="13.77734375" style="1"/>
    <col min="2" max="2" width="16.109375" style="1" bestFit="1" customWidth="1"/>
    <col min="3" max="3" width="13.77734375" style="1" customWidth="1"/>
    <col min="4" max="16384" width="13.77734375" style="1"/>
  </cols>
  <sheetData>
    <row r="2" spans="2:6" ht="16.2" x14ac:dyDescent="0.4">
      <c r="B2" s="4" t="s">
        <v>211</v>
      </c>
      <c r="C2" s="8" t="s">
        <v>285</v>
      </c>
    </row>
    <row r="4" spans="2:6" ht="16.2" x14ac:dyDescent="0.4">
      <c r="B4" s="4" t="s">
        <v>270</v>
      </c>
    </row>
    <row r="5" spans="2:6" ht="16.2" x14ac:dyDescent="0.4">
      <c r="B5" s="4" t="s">
        <v>275</v>
      </c>
    </row>
    <row r="6" spans="2:6" x14ac:dyDescent="0.35">
      <c r="B6" s="2" t="s">
        <v>271</v>
      </c>
      <c r="C6" s="2" t="s">
        <v>64</v>
      </c>
      <c r="D6" s="2" t="s">
        <v>65</v>
      </c>
      <c r="E6" s="2" t="s">
        <v>66</v>
      </c>
      <c r="F6" s="2" t="s">
        <v>67</v>
      </c>
    </row>
    <row r="7" spans="2:6" x14ac:dyDescent="0.35">
      <c r="B7" s="2" t="s">
        <v>63</v>
      </c>
      <c r="C7" s="2">
        <v>1.25</v>
      </c>
      <c r="D7" s="2">
        <v>1</v>
      </c>
      <c r="E7" s="2">
        <v>0.75</v>
      </c>
      <c r="F7" s="2">
        <v>0.5</v>
      </c>
    </row>
    <row r="8" spans="2:6" x14ac:dyDescent="0.35">
      <c r="B8" s="2" t="s">
        <v>68</v>
      </c>
      <c r="C8" s="2">
        <v>1.25</v>
      </c>
      <c r="D8" s="2">
        <v>1</v>
      </c>
      <c r="E8" s="2">
        <v>0.75</v>
      </c>
      <c r="F8" s="2">
        <v>0.5</v>
      </c>
    </row>
    <row r="9" spans="2:6" x14ac:dyDescent="0.35">
      <c r="B9" s="2" t="s">
        <v>69</v>
      </c>
      <c r="C9" s="2">
        <v>1.25</v>
      </c>
      <c r="D9" s="2">
        <v>1</v>
      </c>
      <c r="E9" s="2">
        <v>0.75</v>
      </c>
      <c r="F9" s="2">
        <v>0.5</v>
      </c>
    </row>
    <row r="10" spans="2:6" x14ac:dyDescent="0.35">
      <c r="B10" s="2" t="s">
        <v>70</v>
      </c>
      <c r="C10" s="2">
        <v>1.25</v>
      </c>
      <c r="D10" s="2">
        <v>1</v>
      </c>
      <c r="E10" s="2">
        <v>0.75</v>
      </c>
      <c r="F10" s="2">
        <v>0.5</v>
      </c>
    </row>
    <row r="11" spans="2:6" x14ac:dyDescent="0.35">
      <c r="B11" s="7"/>
      <c r="C11" s="7"/>
      <c r="D11" s="7"/>
      <c r="E11" s="7"/>
      <c r="F11" s="7"/>
    </row>
    <row r="12" spans="2:6" ht="16.2" x14ac:dyDescent="0.4">
      <c r="B12" s="19" t="s">
        <v>272</v>
      </c>
      <c r="C12" s="7"/>
      <c r="D12" s="7"/>
      <c r="E12" s="7"/>
      <c r="F12" s="7"/>
    </row>
    <row r="13" spans="2:6" x14ac:dyDescent="0.35">
      <c r="B13" s="2" t="s">
        <v>273</v>
      </c>
      <c r="C13" s="2" t="s">
        <v>274</v>
      </c>
      <c r="D13" s="7"/>
      <c r="E13" s="7"/>
      <c r="F13" s="7"/>
    </row>
    <row r="14" spans="2:6" x14ac:dyDescent="0.35">
      <c r="B14" s="2" t="s">
        <v>71</v>
      </c>
      <c r="C14" s="2">
        <v>50</v>
      </c>
      <c r="D14" s="7"/>
      <c r="E14" s="7"/>
      <c r="F14" s="7"/>
    </row>
    <row r="15" spans="2:6" x14ac:dyDescent="0.35">
      <c r="B15" s="2" t="s">
        <v>72</v>
      </c>
      <c r="C15" s="2">
        <v>15</v>
      </c>
      <c r="D15" s="7"/>
      <c r="E15" s="7"/>
      <c r="F15" s="7"/>
    </row>
    <row r="16" spans="2:6" x14ac:dyDescent="0.35">
      <c r="B16" s="2" t="s">
        <v>73</v>
      </c>
      <c r="C16" s="2">
        <v>15</v>
      </c>
      <c r="D16" s="7"/>
      <c r="E16" s="7"/>
      <c r="F16" s="7"/>
    </row>
    <row r="18" spans="2:3" ht="16.2" x14ac:dyDescent="0.4">
      <c r="B18" s="19" t="s">
        <v>276</v>
      </c>
    </row>
    <row r="19" spans="2:3" x14ac:dyDescent="0.35">
      <c r="B19" s="2" t="s">
        <v>265</v>
      </c>
      <c r="C19" s="2">
        <v>12</v>
      </c>
    </row>
    <row r="21" spans="2:3" ht="16.2" x14ac:dyDescent="0.4">
      <c r="B21" s="19" t="s">
        <v>277</v>
      </c>
    </row>
    <row r="22" spans="2:3" x14ac:dyDescent="0.35">
      <c r="B22" s="2" t="s">
        <v>261</v>
      </c>
      <c r="C22" s="2" t="s">
        <v>262</v>
      </c>
    </row>
    <row r="23" spans="2:3" x14ac:dyDescent="0.35">
      <c r="B23" s="2" t="s">
        <v>77</v>
      </c>
      <c r="C23" s="2">
        <f>1.35*$C$19</f>
        <v>16.200000000000003</v>
      </c>
    </row>
    <row r="24" spans="2:3" x14ac:dyDescent="0.35">
      <c r="B24" s="2" t="s">
        <v>75</v>
      </c>
      <c r="C24" s="2">
        <f>0.8*$C$19</f>
        <v>9.6000000000000014</v>
      </c>
    </row>
    <row r="25" spans="2:3" x14ac:dyDescent="0.35">
      <c r="B25" s="2" t="s">
        <v>74</v>
      </c>
      <c r="C25" s="2">
        <f>2.4*$C$19</f>
        <v>28.799999999999997</v>
      </c>
    </row>
    <row r="26" spans="2:3" x14ac:dyDescent="0.35">
      <c r="B26" s="2" t="s">
        <v>76</v>
      </c>
      <c r="C26" s="2">
        <f>0.4*$C$19</f>
        <v>4.8000000000000007</v>
      </c>
    </row>
    <row r="28" spans="2:3" ht="16.2" x14ac:dyDescent="0.4">
      <c r="B28" s="19" t="s">
        <v>278</v>
      </c>
    </row>
    <row r="29" spans="2:3" x14ac:dyDescent="0.35">
      <c r="B29" s="2" t="s">
        <v>264</v>
      </c>
      <c r="C29" s="2" t="s">
        <v>263</v>
      </c>
    </row>
    <row r="30" spans="2:3" x14ac:dyDescent="0.35">
      <c r="B30" s="2" t="s">
        <v>77</v>
      </c>
      <c r="C30" s="2">
        <v>0.5</v>
      </c>
    </row>
    <row r="32" spans="2:3" ht="16.2" x14ac:dyDescent="0.4">
      <c r="B32" s="4" t="s">
        <v>279</v>
      </c>
    </row>
    <row r="33" spans="2:5" x14ac:dyDescent="0.35">
      <c r="B33" s="2" t="s">
        <v>266</v>
      </c>
      <c r="C33" s="2" t="s">
        <v>267</v>
      </c>
      <c r="D33" s="2" t="s">
        <v>268</v>
      </c>
      <c r="E33" s="2" t="s">
        <v>269</v>
      </c>
    </row>
    <row r="34" spans="2:5" x14ac:dyDescent="0.35">
      <c r="B34" s="2">
        <v>1</v>
      </c>
      <c r="C34" s="2">
        <f>B34*6</f>
        <v>6</v>
      </c>
      <c r="D34" s="2">
        <f>6*B34</f>
        <v>6</v>
      </c>
      <c r="E34" s="2">
        <f>B34*1</f>
        <v>1</v>
      </c>
    </row>
    <row r="35" spans="2:5" x14ac:dyDescent="0.35">
      <c r="B35" s="2">
        <v>2</v>
      </c>
      <c r="C35" s="2">
        <f t="shared" ref="C35:C37" si="0">B35*6</f>
        <v>12</v>
      </c>
      <c r="D35" s="2">
        <f t="shared" ref="D35:D37" si="1">6*B35</f>
        <v>12</v>
      </c>
      <c r="E35" s="2">
        <f t="shared" ref="E35:E37" si="2">B35*1</f>
        <v>2</v>
      </c>
    </row>
    <row r="36" spans="2:5" x14ac:dyDescent="0.35">
      <c r="B36" s="2">
        <v>3</v>
      </c>
      <c r="C36" s="2">
        <f t="shared" si="0"/>
        <v>18</v>
      </c>
      <c r="D36" s="2">
        <f t="shared" si="1"/>
        <v>18</v>
      </c>
      <c r="E36" s="2">
        <f t="shared" si="2"/>
        <v>3</v>
      </c>
    </row>
    <row r="37" spans="2:5" x14ac:dyDescent="0.35">
      <c r="B37" s="2">
        <v>4</v>
      </c>
      <c r="C37" s="2">
        <f t="shared" si="0"/>
        <v>24</v>
      </c>
      <c r="D37" s="2">
        <f t="shared" si="1"/>
        <v>24</v>
      </c>
      <c r="E37" s="2">
        <f t="shared" si="2"/>
        <v>4</v>
      </c>
    </row>
    <row r="39" spans="2:5" ht="16.2" x14ac:dyDescent="0.4">
      <c r="B39" s="4" t="s">
        <v>314</v>
      </c>
    </row>
    <row r="40" spans="2:5" x14ac:dyDescent="0.35">
      <c r="B40" s="2" t="s">
        <v>145</v>
      </c>
      <c r="C40" s="18">
        <v>0.8</v>
      </c>
    </row>
    <row r="41" spans="2:5" x14ac:dyDescent="0.35">
      <c r="B41" s="2" t="s">
        <v>146</v>
      </c>
      <c r="C41" s="2">
        <v>3</v>
      </c>
    </row>
    <row r="42" spans="2:5" x14ac:dyDescent="0.35">
      <c r="B42" s="2" t="s">
        <v>312</v>
      </c>
      <c r="C42" s="2">
        <v>20</v>
      </c>
    </row>
    <row r="43" spans="2:5" x14ac:dyDescent="0.35">
      <c r="B43" s="2" t="s">
        <v>313</v>
      </c>
      <c r="C43" s="2">
        <v>10</v>
      </c>
    </row>
    <row r="45" spans="2:5" ht="16.2" x14ac:dyDescent="0.4">
      <c r="B45" s="4" t="s">
        <v>315</v>
      </c>
    </row>
    <row r="46" spans="2:5" x14ac:dyDescent="0.35">
      <c r="B46" s="2" t="s">
        <v>316</v>
      </c>
      <c r="C46" s="2">
        <v>10</v>
      </c>
    </row>
    <row r="47" spans="2:5" x14ac:dyDescent="0.35">
      <c r="B47" s="2" t="s">
        <v>317</v>
      </c>
      <c r="C47" s="2">
        <v>12</v>
      </c>
    </row>
    <row r="49" spans="2:6" ht="16.2" x14ac:dyDescent="0.4">
      <c r="B49" s="4" t="s">
        <v>287</v>
      </c>
    </row>
    <row r="50" spans="2:6" x14ac:dyDescent="0.35">
      <c r="B50" s="2" t="s">
        <v>81</v>
      </c>
      <c r="C50" s="2" t="s">
        <v>318</v>
      </c>
      <c r="D50" s="2" t="s">
        <v>321</v>
      </c>
    </row>
    <row r="51" spans="2:6" x14ac:dyDescent="0.35">
      <c r="B51" s="2">
        <v>0</v>
      </c>
      <c r="C51" s="2">
        <v>0</v>
      </c>
      <c r="D51" s="2">
        <v>0</v>
      </c>
    </row>
    <row r="52" spans="2:6" x14ac:dyDescent="0.35">
      <c r="B52" s="2">
        <v>-10</v>
      </c>
      <c r="C52" s="18">
        <v>0.1</v>
      </c>
      <c r="D52" s="18">
        <v>0.01</v>
      </c>
    </row>
    <row r="53" spans="2:6" x14ac:dyDescent="0.35">
      <c r="B53" s="2">
        <v>-20</v>
      </c>
      <c r="C53" s="18">
        <v>0.15</v>
      </c>
      <c r="D53" s="18">
        <v>0.02</v>
      </c>
    </row>
    <row r="54" spans="2:6" x14ac:dyDescent="0.35">
      <c r="B54" s="2">
        <v>-30</v>
      </c>
      <c r="C54" s="18">
        <v>0.2</v>
      </c>
      <c r="D54" s="18">
        <v>0.03</v>
      </c>
    </row>
    <row r="55" spans="2:6" x14ac:dyDescent="0.35">
      <c r="B55" s="2">
        <v>-40</v>
      </c>
      <c r="C55" s="18">
        <v>0.25</v>
      </c>
      <c r="D55" s="18">
        <v>0.04</v>
      </c>
    </row>
    <row r="57" spans="2:6" x14ac:dyDescent="0.35">
      <c r="B57" s="2" t="s">
        <v>319</v>
      </c>
      <c r="C57" s="18">
        <v>0.2</v>
      </c>
    </row>
    <row r="58" spans="2:6" x14ac:dyDescent="0.35">
      <c r="B58" s="2" t="s">
        <v>320</v>
      </c>
      <c r="C58" s="2">
        <v>1</v>
      </c>
    </row>
    <row r="60" spans="2:6" ht="16.2" x14ac:dyDescent="0.4">
      <c r="B60" s="4" t="s">
        <v>288</v>
      </c>
    </row>
    <row r="61" spans="2:6" x14ac:dyDescent="0.35">
      <c r="B61" s="2" t="s">
        <v>326</v>
      </c>
      <c r="C61" s="2" t="s">
        <v>322</v>
      </c>
      <c r="D61" s="2" t="s">
        <v>324</v>
      </c>
      <c r="F61" s="2" t="s">
        <v>328</v>
      </c>
    </row>
    <row r="62" spans="2:6" x14ac:dyDescent="0.35">
      <c r="B62" s="2">
        <v>0</v>
      </c>
      <c r="C62" s="2">
        <v>0</v>
      </c>
      <c r="D62" s="2"/>
      <c r="F62" s="2"/>
    </row>
    <row r="63" spans="2:6" x14ac:dyDescent="0.35">
      <c r="B63" s="2">
        <v>10</v>
      </c>
      <c r="C63" s="2">
        <v>0</v>
      </c>
      <c r="D63" s="2"/>
    </row>
    <row r="64" spans="2:6" x14ac:dyDescent="0.35">
      <c r="B64" s="2">
        <v>20</v>
      </c>
      <c r="C64" s="2">
        <v>0</v>
      </c>
      <c r="D64" s="2"/>
    </row>
    <row r="65" spans="2:6" x14ac:dyDescent="0.35">
      <c r="B65" s="2">
        <v>30</v>
      </c>
      <c r="C65" s="2">
        <v>0</v>
      </c>
      <c r="D65" s="2"/>
    </row>
    <row r="66" spans="2:6" x14ac:dyDescent="0.35">
      <c r="B66" s="2">
        <v>40</v>
      </c>
      <c r="C66" s="2">
        <v>0</v>
      </c>
      <c r="D66" s="2"/>
    </row>
    <row r="67" spans="2:6" x14ac:dyDescent="0.35">
      <c r="B67" s="2">
        <v>50</v>
      </c>
      <c r="C67" s="2">
        <v>0</v>
      </c>
      <c r="D67" s="2"/>
    </row>
    <row r="68" spans="2:6" x14ac:dyDescent="0.35">
      <c r="B68" s="2">
        <v>60</v>
      </c>
      <c r="C68" s="18">
        <v>0.1</v>
      </c>
      <c r="D68" s="2"/>
    </row>
    <row r="69" spans="2:6" x14ac:dyDescent="0.35">
      <c r="B69" s="2">
        <v>70</v>
      </c>
      <c r="C69" s="18">
        <v>0.12</v>
      </c>
      <c r="D69" s="2"/>
    </row>
    <row r="70" spans="2:6" x14ac:dyDescent="0.35">
      <c r="B70" s="2">
        <v>80</v>
      </c>
      <c r="C70" s="18">
        <v>0.14000000000000001</v>
      </c>
      <c r="D70" s="2"/>
    </row>
    <row r="71" spans="2:6" x14ac:dyDescent="0.35">
      <c r="B71" s="2">
        <v>90</v>
      </c>
      <c r="C71" s="18">
        <v>0.16</v>
      </c>
      <c r="D71" s="2"/>
    </row>
    <row r="72" spans="2:6" x14ac:dyDescent="0.35">
      <c r="B72" s="2">
        <v>100</v>
      </c>
      <c r="C72" s="18">
        <v>0.2</v>
      </c>
      <c r="D72" s="2"/>
    </row>
    <row r="74" spans="2:6" x14ac:dyDescent="0.35">
      <c r="B74" s="2" t="s">
        <v>327</v>
      </c>
      <c r="C74" s="2" t="s">
        <v>323</v>
      </c>
      <c r="D74" s="2" t="s">
        <v>325</v>
      </c>
      <c r="F74" s="2" t="s">
        <v>328</v>
      </c>
    </row>
    <row r="75" spans="2:6" x14ac:dyDescent="0.35">
      <c r="B75" s="2">
        <v>0</v>
      </c>
      <c r="C75" s="2">
        <v>0</v>
      </c>
      <c r="D75" s="2"/>
      <c r="F75" s="2"/>
    </row>
    <row r="76" spans="2:6" x14ac:dyDescent="0.35">
      <c r="B76" s="2">
        <v>10</v>
      </c>
      <c r="C76" s="2">
        <v>0</v>
      </c>
      <c r="D76" s="2"/>
    </row>
    <row r="77" spans="2:6" x14ac:dyDescent="0.35">
      <c r="B77" s="2">
        <v>20</v>
      </c>
      <c r="C77" s="2">
        <v>0</v>
      </c>
      <c r="D77" s="2"/>
    </row>
    <row r="78" spans="2:6" x14ac:dyDescent="0.35">
      <c r="B78" s="2">
        <v>30</v>
      </c>
      <c r="C78" s="2">
        <v>0</v>
      </c>
      <c r="D78" s="2"/>
    </row>
    <row r="79" spans="2:6" x14ac:dyDescent="0.35">
      <c r="B79" s="2">
        <v>40</v>
      </c>
      <c r="C79" s="2">
        <v>0</v>
      </c>
      <c r="D79" s="2"/>
    </row>
    <row r="80" spans="2:6" x14ac:dyDescent="0.35">
      <c r="B80" s="2">
        <v>50</v>
      </c>
      <c r="C80" s="2">
        <v>0</v>
      </c>
      <c r="D80" s="2"/>
    </row>
    <row r="81" spans="2:4" x14ac:dyDescent="0.35">
      <c r="B81" s="2">
        <v>60</v>
      </c>
      <c r="C81" s="18">
        <v>0.1</v>
      </c>
      <c r="D81" s="2"/>
    </row>
    <row r="82" spans="2:4" x14ac:dyDescent="0.35">
      <c r="B82" s="2">
        <v>70</v>
      </c>
      <c r="C82" s="18">
        <v>0.12</v>
      </c>
      <c r="D82" s="2"/>
    </row>
    <row r="83" spans="2:4" x14ac:dyDescent="0.35">
      <c r="B83" s="2">
        <v>80</v>
      </c>
      <c r="C83" s="18">
        <v>0.14000000000000001</v>
      </c>
      <c r="D83" s="2"/>
    </row>
    <row r="84" spans="2:4" x14ac:dyDescent="0.35">
      <c r="B84" s="2">
        <v>90</v>
      </c>
      <c r="C84" s="18">
        <v>0.16</v>
      </c>
      <c r="D84" s="2"/>
    </row>
    <row r="85" spans="2:4" x14ac:dyDescent="0.35">
      <c r="B85" s="2">
        <v>100</v>
      </c>
      <c r="C85" s="18">
        <v>0.2</v>
      </c>
      <c r="D85" s="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145E8-223F-4E30-9877-3606DE25613B}">
  <sheetPr codeName="Sheet3"/>
  <dimension ref="B2:AK25"/>
  <sheetViews>
    <sheetView workbookViewId="0">
      <selection activeCell="I16" sqref="I16"/>
    </sheetView>
  </sheetViews>
  <sheetFormatPr defaultColWidth="13.77734375" defaultRowHeight="15.6" x14ac:dyDescent="0.35"/>
  <cols>
    <col min="1" max="16384" width="13.77734375" style="1"/>
  </cols>
  <sheetData>
    <row r="2" spans="2:37" ht="16.2" x14ac:dyDescent="0.4">
      <c r="B2" s="4" t="s">
        <v>211</v>
      </c>
      <c r="C2" s="8" t="s">
        <v>283</v>
      </c>
    </row>
    <row r="4" spans="2:37" ht="16.2" x14ac:dyDescent="0.4">
      <c r="B4" s="4" t="s">
        <v>79</v>
      </c>
      <c r="AD4" s="4" t="s">
        <v>289</v>
      </c>
    </row>
    <row r="5" spans="2:37" x14ac:dyDescent="0.35">
      <c r="B5" s="2" t="s">
        <v>80</v>
      </c>
      <c r="C5" s="2" t="s">
        <v>296</v>
      </c>
      <c r="D5" s="2" t="s">
        <v>83</v>
      </c>
      <c r="E5" s="2" t="s">
        <v>259</v>
      </c>
      <c r="F5" s="2" t="s">
        <v>299</v>
      </c>
      <c r="G5" s="2" t="s">
        <v>300</v>
      </c>
      <c r="H5" s="2" t="s">
        <v>301</v>
      </c>
      <c r="I5" s="2" t="s">
        <v>302</v>
      </c>
      <c r="J5" s="2" t="s">
        <v>255</v>
      </c>
      <c r="K5" s="2" t="s">
        <v>256</v>
      </c>
      <c r="L5" s="2" t="s">
        <v>258</v>
      </c>
      <c r="M5" s="2" t="s">
        <v>286</v>
      </c>
      <c r="N5" s="2" t="s">
        <v>152</v>
      </c>
      <c r="O5" s="2" t="s">
        <v>257</v>
      </c>
      <c r="P5" s="2" t="s">
        <v>154</v>
      </c>
      <c r="Q5" s="2" t="s">
        <v>298</v>
      </c>
      <c r="R5" s="2" t="s">
        <v>303</v>
      </c>
      <c r="S5" s="2" t="s">
        <v>304</v>
      </c>
      <c r="T5" s="2" t="s">
        <v>305</v>
      </c>
      <c r="U5" s="2" t="s">
        <v>306</v>
      </c>
      <c r="V5" s="2" t="s">
        <v>151</v>
      </c>
      <c r="W5" s="2" t="s">
        <v>307</v>
      </c>
      <c r="X5" s="2" t="s">
        <v>308</v>
      </c>
      <c r="Y5" s="2" t="s">
        <v>309</v>
      </c>
      <c r="Z5" s="2" t="s">
        <v>310</v>
      </c>
      <c r="AA5" s="2" t="s">
        <v>311</v>
      </c>
      <c r="AB5" s="2" t="s">
        <v>297</v>
      </c>
      <c r="AC5" s="7"/>
      <c r="AD5" s="2" t="s">
        <v>169</v>
      </c>
      <c r="AE5" s="2" t="s">
        <v>290</v>
      </c>
      <c r="AF5" s="2" t="s">
        <v>82</v>
      </c>
      <c r="AG5" s="2" t="s">
        <v>291</v>
      </c>
      <c r="AH5" s="2" t="s">
        <v>292</v>
      </c>
      <c r="AI5" s="2" t="s">
        <v>293</v>
      </c>
      <c r="AJ5" s="2" t="s">
        <v>294</v>
      </c>
      <c r="AK5" s="2" t="s">
        <v>295</v>
      </c>
    </row>
    <row r="6" spans="2:37" x14ac:dyDescent="0.35">
      <c r="B6" s="2">
        <v>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7"/>
      <c r="AD6" s="2">
        <v>1</v>
      </c>
      <c r="AE6" s="2"/>
      <c r="AF6" s="2"/>
      <c r="AG6" s="2"/>
      <c r="AH6" s="2"/>
      <c r="AI6" s="2"/>
      <c r="AJ6" s="2"/>
      <c r="AK6" s="2"/>
    </row>
    <row r="7" spans="2:37" x14ac:dyDescent="0.35">
      <c r="B7" s="2">
        <v>2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7"/>
      <c r="AD7" s="2">
        <v>2</v>
      </c>
      <c r="AE7" s="2"/>
      <c r="AF7" s="2"/>
      <c r="AG7" s="2"/>
      <c r="AH7" s="2"/>
      <c r="AI7" s="2"/>
      <c r="AJ7" s="2"/>
      <c r="AK7" s="2"/>
    </row>
    <row r="8" spans="2:37" x14ac:dyDescent="0.35">
      <c r="B8" s="2">
        <v>3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7"/>
      <c r="AD8" s="2">
        <v>3</v>
      </c>
      <c r="AE8" s="2"/>
      <c r="AF8" s="2"/>
      <c r="AG8" s="2"/>
      <c r="AH8" s="2"/>
      <c r="AI8" s="2"/>
      <c r="AJ8" s="2"/>
      <c r="AK8" s="2"/>
    </row>
    <row r="9" spans="2:37" x14ac:dyDescent="0.35">
      <c r="B9" s="2">
        <v>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7"/>
      <c r="AD9" s="2">
        <v>4</v>
      </c>
      <c r="AE9" s="2"/>
      <c r="AF9" s="2"/>
      <c r="AG9" s="2"/>
      <c r="AH9" s="2"/>
      <c r="AI9" s="2"/>
      <c r="AJ9" s="2"/>
      <c r="AK9" s="2"/>
    </row>
    <row r="10" spans="2:37" x14ac:dyDescent="0.35">
      <c r="B10" s="2">
        <v>5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7"/>
      <c r="AD10" s="2">
        <v>5</v>
      </c>
      <c r="AE10" s="2"/>
      <c r="AF10" s="2"/>
      <c r="AG10" s="2"/>
      <c r="AH10" s="2"/>
      <c r="AI10" s="2"/>
      <c r="AJ10" s="2"/>
      <c r="AK10" s="2"/>
    </row>
    <row r="11" spans="2:37" x14ac:dyDescent="0.35">
      <c r="B11" s="2">
        <v>6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7"/>
      <c r="AD11" s="2">
        <v>6</v>
      </c>
      <c r="AE11" s="2"/>
      <c r="AF11" s="2"/>
      <c r="AG11" s="2"/>
      <c r="AH11" s="2"/>
      <c r="AI11" s="2"/>
      <c r="AJ11" s="2"/>
      <c r="AK11" s="2"/>
    </row>
    <row r="12" spans="2:37" x14ac:dyDescent="0.35">
      <c r="B12" s="2">
        <v>7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7"/>
      <c r="AD12" s="2">
        <v>7</v>
      </c>
      <c r="AE12" s="2"/>
      <c r="AF12" s="2"/>
      <c r="AG12" s="2"/>
      <c r="AH12" s="2"/>
      <c r="AI12" s="2"/>
      <c r="AJ12" s="2"/>
      <c r="AK12" s="2"/>
    </row>
    <row r="13" spans="2:37" x14ac:dyDescent="0.35">
      <c r="B13" s="2">
        <v>8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7"/>
      <c r="AD13" s="2">
        <v>8</v>
      </c>
      <c r="AE13" s="2"/>
      <c r="AF13" s="2"/>
      <c r="AG13" s="2"/>
      <c r="AH13" s="2"/>
      <c r="AI13" s="2"/>
      <c r="AJ13" s="2"/>
      <c r="AK13" s="2"/>
    </row>
    <row r="14" spans="2:37" x14ac:dyDescent="0.35">
      <c r="B14" s="2">
        <v>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7"/>
      <c r="AD14" s="2">
        <v>9</v>
      </c>
      <c r="AE14" s="2"/>
      <c r="AF14" s="2"/>
      <c r="AG14" s="2"/>
      <c r="AH14" s="2"/>
      <c r="AI14" s="2"/>
      <c r="AJ14" s="2"/>
      <c r="AK14" s="2"/>
    </row>
    <row r="15" spans="2:37" x14ac:dyDescent="0.35">
      <c r="B15" s="2">
        <v>10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7"/>
      <c r="AD15" s="2">
        <v>10</v>
      </c>
      <c r="AE15" s="2"/>
      <c r="AF15" s="2"/>
      <c r="AG15" s="2"/>
      <c r="AH15" s="2"/>
      <c r="AI15" s="2"/>
      <c r="AJ15" s="2"/>
      <c r="AK15" s="2"/>
    </row>
    <row r="16" spans="2:37" x14ac:dyDescent="0.35">
      <c r="B16" s="2">
        <v>11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7"/>
      <c r="AD16" s="2">
        <v>11</v>
      </c>
      <c r="AE16" s="2"/>
      <c r="AF16" s="2"/>
      <c r="AG16" s="2"/>
      <c r="AH16" s="2"/>
      <c r="AI16" s="2"/>
      <c r="AJ16" s="2"/>
      <c r="AK16" s="2"/>
    </row>
    <row r="17" spans="2:37" x14ac:dyDescent="0.35">
      <c r="B17" s="2">
        <v>12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7"/>
      <c r="AD17" s="2">
        <v>12</v>
      </c>
      <c r="AE17" s="2"/>
      <c r="AF17" s="2"/>
      <c r="AG17" s="2"/>
      <c r="AH17" s="2"/>
      <c r="AI17" s="2"/>
      <c r="AJ17" s="2"/>
      <c r="AK17" s="2"/>
    </row>
    <row r="18" spans="2:37" x14ac:dyDescent="0.35">
      <c r="B18" s="2">
        <v>13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7"/>
      <c r="AD18" s="2">
        <v>13</v>
      </c>
      <c r="AE18" s="2"/>
      <c r="AF18" s="2"/>
      <c r="AG18" s="2"/>
      <c r="AH18" s="2"/>
      <c r="AI18" s="2"/>
      <c r="AJ18" s="2"/>
      <c r="AK18" s="2"/>
    </row>
    <row r="19" spans="2:37" x14ac:dyDescent="0.35">
      <c r="B19" s="2">
        <v>14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7"/>
      <c r="AD19" s="2">
        <v>14</v>
      </c>
      <c r="AE19" s="2"/>
      <c r="AF19" s="2"/>
      <c r="AG19" s="2"/>
      <c r="AH19" s="2"/>
      <c r="AI19" s="2"/>
      <c r="AJ19" s="2"/>
      <c r="AK19" s="2"/>
    </row>
    <row r="20" spans="2:37" x14ac:dyDescent="0.35">
      <c r="B20" s="2">
        <v>15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7"/>
      <c r="AD20" s="2">
        <v>15</v>
      </c>
      <c r="AE20" s="2"/>
      <c r="AF20" s="2"/>
      <c r="AG20" s="2"/>
      <c r="AH20" s="2"/>
      <c r="AI20" s="2"/>
      <c r="AJ20" s="2"/>
      <c r="AK20" s="2"/>
    </row>
    <row r="21" spans="2:37" x14ac:dyDescent="0.35">
      <c r="B21" s="2">
        <v>16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7"/>
      <c r="AD21" s="2">
        <v>16</v>
      </c>
      <c r="AE21" s="2"/>
      <c r="AF21" s="2"/>
      <c r="AG21" s="2"/>
      <c r="AH21" s="2"/>
      <c r="AI21" s="2"/>
      <c r="AJ21" s="2"/>
      <c r="AK21" s="2"/>
    </row>
    <row r="22" spans="2:37" x14ac:dyDescent="0.35">
      <c r="B22" s="2">
        <v>17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7"/>
      <c r="AD22" s="2">
        <v>17</v>
      </c>
      <c r="AE22" s="2"/>
      <c r="AF22" s="2"/>
      <c r="AG22" s="2"/>
      <c r="AH22" s="2"/>
      <c r="AI22" s="2"/>
      <c r="AJ22" s="2"/>
      <c r="AK22" s="2"/>
    </row>
    <row r="23" spans="2:37" x14ac:dyDescent="0.35">
      <c r="B23" s="2">
        <v>18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7"/>
      <c r="AD23" s="2">
        <v>18</v>
      </c>
      <c r="AE23" s="2"/>
      <c r="AF23" s="2"/>
      <c r="AG23" s="2"/>
      <c r="AH23" s="2"/>
      <c r="AI23" s="2"/>
      <c r="AJ23" s="2"/>
      <c r="AK23" s="2"/>
    </row>
    <row r="24" spans="2:37" x14ac:dyDescent="0.35">
      <c r="B24" s="2">
        <v>19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7"/>
      <c r="AD24" s="2">
        <v>19</v>
      </c>
      <c r="AE24" s="2"/>
      <c r="AF24" s="2"/>
      <c r="AG24" s="2"/>
      <c r="AH24" s="2"/>
      <c r="AI24" s="2"/>
      <c r="AJ24" s="2"/>
      <c r="AK24" s="2"/>
    </row>
    <row r="25" spans="2:37" x14ac:dyDescent="0.35">
      <c r="B25" s="2">
        <v>20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7"/>
      <c r="AD25" s="2">
        <v>20</v>
      </c>
      <c r="AE25" s="2"/>
      <c r="AF25" s="2"/>
      <c r="AG25" s="2"/>
      <c r="AH25" s="2"/>
      <c r="AI25" s="2"/>
      <c r="AJ25" s="2"/>
      <c r="AK25" s="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D3AAF-DF02-47F8-96AF-085D696FBE64}">
  <sheetPr codeName="Sheet4"/>
  <dimension ref="B2:I23"/>
  <sheetViews>
    <sheetView zoomScaleNormal="100" workbookViewId="0">
      <selection activeCell="B25" sqref="B25"/>
    </sheetView>
  </sheetViews>
  <sheetFormatPr defaultColWidth="13.77734375" defaultRowHeight="15.6" x14ac:dyDescent="0.35"/>
  <cols>
    <col min="1" max="16384" width="13.77734375" style="5"/>
  </cols>
  <sheetData>
    <row r="2" spans="2:9" ht="16.2" x14ac:dyDescent="0.4">
      <c r="B2" s="4" t="s">
        <v>211</v>
      </c>
      <c r="C2" s="8" t="s">
        <v>282</v>
      </c>
    </row>
    <row r="4" spans="2:9" ht="16.2" x14ac:dyDescent="0.4">
      <c r="B4" s="4" t="s">
        <v>260</v>
      </c>
    </row>
    <row r="5" spans="2:9" x14ac:dyDescent="0.35">
      <c r="B5" s="9"/>
      <c r="C5" s="10"/>
      <c r="D5" s="10"/>
      <c r="E5" s="10"/>
      <c r="F5" s="10"/>
      <c r="G5" s="10"/>
      <c r="H5" s="10"/>
      <c r="I5" s="11"/>
    </row>
    <row r="6" spans="2:9" x14ac:dyDescent="0.35">
      <c r="B6" s="12"/>
      <c r="C6" s="13"/>
      <c r="D6" s="13"/>
      <c r="E6" s="13"/>
      <c r="F6" s="13"/>
      <c r="G6" s="13"/>
      <c r="H6" s="13"/>
      <c r="I6" s="14"/>
    </row>
    <row r="7" spans="2:9" x14ac:dyDescent="0.35">
      <c r="B7" s="12"/>
      <c r="C7" s="13"/>
      <c r="D7" s="13"/>
      <c r="E7" s="13"/>
      <c r="F7" s="13"/>
      <c r="G7" s="13"/>
      <c r="H7" s="13"/>
      <c r="I7" s="14"/>
    </row>
    <row r="8" spans="2:9" x14ac:dyDescent="0.35">
      <c r="B8" s="12"/>
      <c r="C8" s="13"/>
      <c r="D8" s="13"/>
      <c r="E8" s="13"/>
      <c r="F8" s="13"/>
      <c r="G8" s="13"/>
      <c r="H8" s="13"/>
      <c r="I8" s="14"/>
    </row>
    <row r="9" spans="2:9" x14ac:dyDescent="0.35">
      <c r="B9" s="12"/>
      <c r="C9" s="13"/>
      <c r="D9" s="13"/>
      <c r="E9" s="13"/>
      <c r="F9" s="13"/>
      <c r="G9" s="13"/>
      <c r="H9" s="13"/>
      <c r="I9" s="14"/>
    </row>
    <row r="10" spans="2:9" x14ac:dyDescent="0.35">
      <c r="B10" s="12"/>
      <c r="C10" s="13"/>
      <c r="D10" s="13"/>
      <c r="E10" s="13"/>
      <c r="F10" s="13"/>
      <c r="G10" s="13"/>
      <c r="H10" s="13"/>
      <c r="I10" s="14"/>
    </row>
    <row r="11" spans="2:9" x14ac:dyDescent="0.35">
      <c r="B11" s="12"/>
      <c r="C11" s="13"/>
      <c r="D11" s="13"/>
      <c r="E11" s="13"/>
      <c r="F11" s="13"/>
      <c r="G11" s="13"/>
      <c r="H11" s="13"/>
      <c r="I11" s="14"/>
    </row>
    <row r="12" spans="2:9" x14ac:dyDescent="0.35">
      <c r="B12" s="12"/>
      <c r="C12" s="13"/>
      <c r="D12" s="13"/>
      <c r="E12" s="13"/>
      <c r="F12" s="13"/>
      <c r="G12" s="13"/>
      <c r="H12" s="13"/>
      <c r="I12" s="14"/>
    </row>
    <row r="13" spans="2:9" x14ac:dyDescent="0.35">
      <c r="B13" s="12"/>
      <c r="C13" s="13"/>
      <c r="D13" s="13"/>
      <c r="E13" s="13"/>
      <c r="F13" s="13"/>
      <c r="G13" s="13"/>
      <c r="H13" s="13"/>
      <c r="I13" s="14"/>
    </row>
    <row r="14" spans="2:9" x14ac:dyDescent="0.35">
      <c r="B14" s="12"/>
      <c r="C14" s="13"/>
      <c r="D14" s="13"/>
      <c r="E14" s="13"/>
      <c r="F14" s="13"/>
      <c r="G14" s="13"/>
      <c r="H14" s="13"/>
      <c r="I14" s="14"/>
    </row>
    <row r="15" spans="2:9" x14ac:dyDescent="0.35">
      <c r="B15" s="12"/>
      <c r="C15" s="13"/>
      <c r="D15" s="13"/>
      <c r="E15" s="13"/>
      <c r="F15" s="13"/>
      <c r="G15" s="13"/>
      <c r="H15" s="13"/>
      <c r="I15" s="14"/>
    </row>
    <row r="16" spans="2:9" x14ac:dyDescent="0.35">
      <c r="B16" s="12"/>
      <c r="C16" s="13"/>
      <c r="D16" s="13"/>
      <c r="E16" s="13"/>
      <c r="F16" s="13"/>
      <c r="G16" s="13"/>
      <c r="H16" s="13"/>
      <c r="I16" s="14"/>
    </row>
    <row r="17" spans="2:9" x14ac:dyDescent="0.35">
      <c r="B17" s="12"/>
      <c r="C17" s="13"/>
      <c r="D17" s="13"/>
      <c r="E17" s="13"/>
      <c r="F17" s="13"/>
      <c r="G17" s="13"/>
      <c r="H17" s="13"/>
      <c r="I17" s="14"/>
    </row>
    <row r="18" spans="2:9" x14ac:dyDescent="0.35">
      <c r="B18" s="12"/>
      <c r="C18" s="13"/>
      <c r="D18" s="13"/>
      <c r="E18" s="13"/>
      <c r="F18" s="13"/>
      <c r="G18" s="13"/>
      <c r="H18" s="13"/>
      <c r="I18" s="14"/>
    </row>
    <row r="19" spans="2:9" x14ac:dyDescent="0.35">
      <c r="B19" s="12"/>
      <c r="C19" s="13"/>
      <c r="D19" s="13"/>
      <c r="E19" s="13"/>
      <c r="F19" s="13"/>
      <c r="G19" s="13"/>
      <c r="H19" s="13"/>
      <c r="I19" s="14"/>
    </row>
    <row r="20" spans="2:9" x14ac:dyDescent="0.35">
      <c r="B20" s="12"/>
      <c r="C20" s="13"/>
      <c r="D20" s="13"/>
      <c r="E20" s="13"/>
      <c r="F20" s="13"/>
      <c r="G20" s="13"/>
      <c r="H20" s="13"/>
      <c r="I20" s="14"/>
    </row>
    <row r="21" spans="2:9" x14ac:dyDescent="0.35">
      <c r="B21" s="12"/>
      <c r="C21" s="13"/>
      <c r="D21" s="13"/>
      <c r="E21" s="13"/>
      <c r="F21" s="13"/>
      <c r="G21" s="13"/>
      <c r="H21" s="13"/>
      <c r="I21" s="14"/>
    </row>
    <row r="22" spans="2:9" x14ac:dyDescent="0.35">
      <c r="B22" s="12"/>
      <c r="C22" s="13"/>
      <c r="D22" s="13"/>
      <c r="E22" s="13"/>
      <c r="F22" s="13"/>
      <c r="G22" s="13"/>
      <c r="H22" s="13"/>
      <c r="I22" s="14"/>
    </row>
    <row r="23" spans="2:9" x14ac:dyDescent="0.35">
      <c r="B23" s="15"/>
      <c r="C23" s="16"/>
      <c r="D23" s="16"/>
      <c r="E23" s="16"/>
      <c r="F23" s="16"/>
      <c r="G23" s="16"/>
      <c r="H23" s="16"/>
      <c r="I23" s="17"/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4B1C1-4D8F-43C8-BFA5-D1DE708C53C7}">
  <sheetPr codeName="Sheet5"/>
  <dimension ref="B2:L19"/>
  <sheetViews>
    <sheetView workbookViewId="0">
      <selection activeCell="H5" sqref="H5"/>
    </sheetView>
  </sheetViews>
  <sheetFormatPr defaultColWidth="13.77734375" defaultRowHeight="15.6" x14ac:dyDescent="0.35"/>
  <cols>
    <col min="1" max="10" width="13.77734375" style="1"/>
    <col min="11" max="11" width="13.77734375" style="1" customWidth="1"/>
    <col min="12" max="16384" width="13.77734375" style="1"/>
  </cols>
  <sheetData>
    <row r="2" spans="2:12" ht="16.2" x14ac:dyDescent="0.4">
      <c r="B2" s="4" t="s">
        <v>211</v>
      </c>
      <c r="C2" s="8" t="s">
        <v>281</v>
      </c>
    </row>
    <row r="4" spans="2:12" ht="16.2" x14ac:dyDescent="0.4">
      <c r="B4" s="4" t="s">
        <v>84</v>
      </c>
    </row>
    <row r="5" spans="2:12" x14ac:dyDescent="0.35">
      <c r="B5" s="2" t="s">
        <v>85</v>
      </c>
      <c r="C5" s="2" t="s">
        <v>86</v>
      </c>
      <c r="D5" s="2" t="s">
        <v>87</v>
      </c>
      <c r="E5" s="2" t="s">
        <v>111</v>
      </c>
      <c r="F5" s="2" t="s">
        <v>112</v>
      </c>
      <c r="G5" s="2" t="s">
        <v>113</v>
      </c>
      <c r="H5" s="2" t="s">
        <v>116</v>
      </c>
      <c r="I5" s="2" t="s">
        <v>117</v>
      </c>
      <c r="J5" s="2" t="s">
        <v>88</v>
      </c>
      <c r="K5" s="2" t="s">
        <v>118</v>
      </c>
      <c r="L5" s="2" t="s">
        <v>119</v>
      </c>
    </row>
    <row r="6" spans="2:12" x14ac:dyDescent="0.35">
      <c r="B6" s="2" t="s">
        <v>94</v>
      </c>
      <c r="C6" s="2" t="s">
        <v>89</v>
      </c>
      <c r="D6" s="2">
        <v>1</v>
      </c>
      <c r="E6" s="2">
        <v>10</v>
      </c>
      <c r="F6" s="2">
        <v>0</v>
      </c>
      <c r="G6" s="2">
        <v>0</v>
      </c>
      <c r="H6" s="2" t="s">
        <v>60</v>
      </c>
      <c r="I6" s="2" t="s">
        <v>60</v>
      </c>
      <c r="J6" s="2" t="s">
        <v>115</v>
      </c>
      <c r="K6" s="2" t="s">
        <v>149</v>
      </c>
      <c r="L6" s="2">
        <v>10</v>
      </c>
    </row>
    <row r="7" spans="2:12" x14ac:dyDescent="0.35">
      <c r="B7" s="2" t="s">
        <v>95</v>
      </c>
      <c r="C7" s="2" t="s">
        <v>89</v>
      </c>
      <c r="D7" s="2">
        <v>2</v>
      </c>
      <c r="E7" s="2">
        <v>20</v>
      </c>
      <c r="F7" s="2">
        <v>10</v>
      </c>
      <c r="G7" s="2">
        <v>0</v>
      </c>
      <c r="H7" s="2" t="s">
        <v>60</v>
      </c>
      <c r="I7" s="2" t="s">
        <v>60</v>
      </c>
      <c r="J7" s="2" t="s">
        <v>115</v>
      </c>
      <c r="K7" s="2" t="s">
        <v>149</v>
      </c>
      <c r="L7" s="2">
        <v>10</v>
      </c>
    </row>
    <row r="8" spans="2:12" x14ac:dyDescent="0.35">
      <c r="B8" s="2" t="s">
        <v>96</v>
      </c>
      <c r="C8" s="2" t="s">
        <v>89</v>
      </c>
      <c r="D8" s="2">
        <v>2</v>
      </c>
      <c r="E8" s="2">
        <v>20</v>
      </c>
      <c r="F8" s="2">
        <v>5</v>
      </c>
      <c r="G8" s="2">
        <v>0</v>
      </c>
      <c r="H8" s="2" t="s">
        <v>60</v>
      </c>
      <c r="I8" s="2" t="s">
        <v>60</v>
      </c>
      <c r="J8" s="2" t="s">
        <v>115</v>
      </c>
      <c r="K8" s="2" t="s">
        <v>73</v>
      </c>
      <c r="L8" s="2">
        <v>15</v>
      </c>
    </row>
    <row r="9" spans="2:12" x14ac:dyDescent="0.35">
      <c r="B9" s="2" t="s">
        <v>97</v>
      </c>
      <c r="C9" s="2" t="s">
        <v>90</v>
      </c>
      <c r="D9" s="2">
        <v>1</v>
      </c>
      <c r="E9" s="2">
        <v>25</v>
      </c>
      <c r="F9" s="2">
        <v>0</v>
      </c>
      <c r="G9" s="2">
        <v>0</v>
      </c>
      <c r="H9" s="2" t="s">
        <v>72</v>
      </c>
      <c r="I9" s="2">
        <v>5</v>
      </c>
      <c r="J9" s="2" t="s">
        <v>114</v>
      </c>
      <c r="K9" s="2" t="s">
        <v>120</v>
      </c>
      <c r="L9" s="2">
        <v>1</v>
      </c>
    </row>
    <row r="10" spans="2:12" x14ac:dyDescent="0.35">
      <c r="B10" s="2" t="s">
        <v>98</v>
      </c>
      <c r="C10" s="2" t="s">
        <v>43</v>
      </c>
      <c r="D10" s="2">
        <v>1</v>
      </c>
      <c r="E10" s="2">
        <v>20</v>
      </c>
      <c r="F10" s="2">
        <v>0</v>
      </c>
      <c r="G10" s="2">
        <v>0</v>
      </c>
      <c r="H10" s="2" t="s">
        <v>121</v>
      </c>
      <c r="I10" s="2">
        <v>5</v>
      </c>
      <c r="J10" s="2" t="s">
        <v>122</v>
      </c>
      <c r="K10" s="2" t="s">
        <v>78</v>
      </c>
      <c r="L10" s="2">
        <v>4</v>
      </c>
    </row>
    <row r="11" spans="2:12" x14ac:dyDescent="0.35">
      <c r="B11" s="2" t="s">
        <v>99</v>
      </c>
      <c r="C11" s="2" t="s">
        <v>43</v>
      </c>
      <c r="D11" s="2">
        <v>2</v>
      </c>
      <c r="E11" s="2">
        <v>20</v>
      </c>
      <c r="F11" s="2">
        <v>0</v>
      </c>
      <c r="G11" s="2">
        <v>0</v>
      </c>
      <c r="H11" s="2" t="s">
        <v>71</v>
      </c>
      <c r="I11" s="2">
        <v>15</v>
      </c>
      <c r="J11" s="2" t="s">
        <v>131</v>
      </c>
      <c r="K11" s="2" t="s">
        <v>77</v>
      </c>
      <c r="L11" s="2">
        <v>15</v>
      </c>
    </row>
    <row r="12" spans="2:12" x14ac:dyDescent="0.35">
      <c r="B12" s="2" t="s">
        <v>103</v>
      </c>
      <c r="C12" s="2" t="s">
        <v>91</v>
      </c>
      <c r="D12" s="2">
        <v>1</v>
      </c>
      <c r="E12" s="2">
        <v>10</v>
      </c>
      <c r="F12" s="2">
        <v>0</v>
      </c>
      <c r="G12" s="2">
        <v>0</v>
      </c>
      <c r="H12" s="2" t="s">
        <v>121</v>
      </c>
      <c r="I12" s="2">
        <v>10</v>
      </c>
      <c r="J12" s="2" t="s">
        <v>131</v>
      </c>
      <c r="K12" s="2" t="s">
        <v>75</v>
      </c>
      <c r="L12" s="2">
        <v>80</v>
      </c>
    </row>
    <row r="13" spans="2:12" x14ac:dyDescent="0.35">
      <c r="B13" s="2" t="s">
        <v>106</v>
      </c>
      <c r="C13" s="2" t="s">
        <v>91</v>
      </c>
      <c r="D13" s="2">
        <v>1</v>
      </c>
      <c r="E13" s="2">
        <v>25</v>
      </c>
      <c r="F13" s="2">
        <v>10</v>
      </c>
      <c r="G13" s="2">
        <v>1</v>
      </c>
      <c r="H13" s="2" t="s">
        <v>121</v>
      </c>
      <c r="I13" s="2">
        <v>10</v>
      </c>
      <c r="J13" s="2" t="s">
        <v>131</v>
      </c>
      <c r="K13" s="2" t="s">
        <v>74</v>
      </c>
      <c r="L13" s="2">
        <v>240</v>
      </c>
    </row>
    <row r="14" spans="2:12" x14ac:dyDescent="0.35">
      <c r="B14" s="2" t="s">
        <v>107</v>
      </c>
      <c r="C14" s="2" t="s">
        <v>91</v>
      </c>
      <c r="D14" s="2">
        <v>1</v>
      </c>
      <c r="E14" s="2">
        <v>25</v>
      </c>
      <c r="F14" s="2">
        <v>0</v>
      </c>
      <c r="G14" s="2">
        <v>0</v>
      </c>
      <c r="H14" s="2" t="s">
        <v>121</v>
      </c>
      <c r="I14" s="2">
        <v>10</v>
      </c>
      <c r="J14" s="2" t="s">
        <v>131</v>
      </c>
      <c r="K14" s="2" t="s">
        <v>76</v>
      </c>
      <c r="L14" s="2">
        <v>40</v>
      </c>
    </row>
    <row r="15" spans="2:12" x14ac:dyDescent="0.35">
      <c r="B15" s="2" t="s">
        <v>104</v>
      </c>
      <c r="C15" s="2" t="s">
        <v>91</v>
      </c>
      <c r="D15" s="2">
        <v>1</v>
      </c>
      <c r="E15" s="2">
        <v>20</v>
      </c>
      <c r="F15" s="2">
        <v>0</v>
      </c>
      <c r="G15" s="2">
        <v>1</v>
      </c>
      <c r="H15" s="2"/>
      <c r="I15" s="2"/>
      <c r="J15" s="2" t="s">
        <v>131</v>
      </c>
      <c r="K15" s="2" t="s">
        <v>75</v>
      </c>
      <c r="L15" s="2">
        <v>160</v>
      </c>
    </row>
    <row r="16" spans="2:12" x14ac:dyDescent="0.35">
      <c r="B16" s="2" t="s">
        <v>105</v>
      </c>
      <c r="C16" s="2" t="s">
        <v>91</v>
      </c>
      <c r="D16" s="2">
        <v>1</v>
      </c>
      <c r="E16" s="2">
        <v>15</v>
      </c>
      <c r="F16" s="2">
        <v>0</v>
      </c>
      <c r="G16" s="2">
        <v>0</v>
      </c>
      <c r="H16" s="2"/>
      <c r="I16" s="2"/>
      <c r="J16" s="2" t="s">
        <v>131</v>
      </c>
      <c r="K16" s="2" t="s">
        <v>74</v>
      </c>
      <c r="L16" s="2">
        <v>560</v>
      </c>
    </row>
    <row r="17" spans="2:12" x14ac:dyDescent="0.35">
      <c r="B17" s="2" t="s">
        <v>101</v>
      </c>
      <c r="C17" s="2" t="s">
        <v>91</v>
      </c>
      <c r="D17" s="2">
        <v>0</v>
      </c>
      <c r="E17" s="2">
        <v>40</v>
      </c>
      <c r="F17" s="2">
        <v>20</v>
      </c>
      <c r="G17" s="2">
        <v>0</v>
      </c>
      <c r="H17" s="2"/>
      <c r="I17" s="2"/>
      <c r="J17" s="2" t="s">
        <v>148</v>
      </c>
      <c r="K17" s="2"/>
      <c r="L17" s="2"/>
    </row>
    <row r="18" spans="2:12" x14ac:dyDescent="0.35">
      <c r="B18" s="2" t="s">
        <v>102</v>
      </c>
      <c r="C18" s="2" t="s">
        <v>91</v>
      </c>
      <c r="D18" s="2">
        <v>1</v>
      </c>
      <c r="E18" s="2">
        <v>15</v>
      </c>
      <c r="F18" s="2">
        <v>5</v>
      </c>
      <c r="G18" s="2">
        <v>0</v>
      </c>
      <c r="H18" s="2"/>
      <c r="I18" s="2"/>
      <c r="J18" s="2" t="s">
        <v>148</v>
      </c>
      <c r="K18" s="2"/>
      <c r="L18" s="2"/>
    </row>
    <row r="19" spans="2:12" x14ac:dyDescent="0.35">
      <c r="B19" s="2" t="s">
        <v>108</v>
      </c>
      <c r="C19" s="2" t="s">
        <v>92</v>
      </c>
      <c r="D19" s="2">
        <v>2</v>
      </c>
      <c r="E19" s="2">
        <v>15</v>
      </c>
      <c r="F19" s="2">
        <v>5</v>
      </c>
      <c r="G19" s="2">
        <v>0</v>
      </c>
      <c r="H19" s="2"/>
      <c r="I19" s="2"/>
      <c r="J19" s="2" t="s">
        <v>147</v>
      </c>
      <c r="K19" s="2"/>
      <c r="L19" s="2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F5AC1-965E-43E4-9118-52ECE14A7995}">
  <sheetPr codeName="Sheet6"/>
  <dimension ref="B2:D12"/>
  <sheetViews>
    <sheetView workbookViewId="0">
      <selection activeCell="C3" sqref="C3"/>
    </sheetView>
  </sheetViews>
  <sheetFormatPr defaultColWidth="13.77734375" defaultRowHeight="15.6" x14ac:dyDescent="0.35"/>
  <cols>
    <col min="1" max="3" width="13.77734375" style="1"/>
    <col min="4" max="4" width="41.33203125" style="1" customWidth="1"/>
    <col min="5" max="16384" width="13.77734375" style="1"/>
  </cols>
  <sheetData>
    <row r="2" spans="2:4" ht="16.2" x14ac:dyDescent="0.4">
      <c r="B2" s="4" t="s">
        <v>211</v>
      </c>
      <c r="C2" s="8" t="s">
        <v>280</v>
      </c>
    </row>
    <row r="4" spans="2:4" ht="16.2" x14ac:dyDescent="0.4">
      <c r="B4" s="4" t="s">
        <v>133</v>
      </c>
    </row>
    <row r="5" spans="2:4" x14ac:dyDescent="0.35">
      <c r="B5" s="2" t="s">
        <v>135</v>
      </c>
      <c r="C5" s="2" t="s">
        <v>136</v>
      </c>
      <c r="D5" s="2" t="s">
        <v>137</v>
      </c>
    </row>
    <row r="6" spans="2:4" x14ac:dyDescent="0.35">
      <c r="B6" s="2" t="s">
        <v>123</v>
      </c>
      <c r="C6" s="2" t="s">
        <v>131</v>
      </c>
      <c r="D6" s="2" t="s">
        <v>138</v>
      </c>
    </row>
    <row r="7" spans="2:4" x14ac:dyDescent="0.35">
      <c r="B7" s="2" t="s">
        <v>124</v>
      </c>
      <c r="C7" s="2" t="s">
        <v>130</v>
      </c>
      <c r="D7" s="2" t="s">
        <v>139</v>
      </c>
    </row>
    <row r="8" spans="2:4" x14ac:dyDescent="0.35">
      <c r="B8" s="2" t="s">
        <v>125</v>
      </c>
      <c r="C8" s="2" t="s">
        <v>129</v>
      </c>
      <c r="D8" s="2" t="s">
        <v>140</v>
      </c>
    </row>
    <row r="9" spans="2:4" x14ac:dyDescent="0.35">
      <c r="B9" s="2" t="s">
        <v>126</v>
      </c>
      <c r="C9" s="2" t="s">
        <v>43</v>
      </c>
      <c r="D9" s="2" t="s">
        <v>141</v>
      </c>
    </row>
    <row r="10" spans="2:4" x14ac:dyDescent="0.35">
      <c r="B10" s="2" t="s">
        <v>127</v>
      </c>
      <c r="C10" s="2" t="s">
        <v>114</v>
      </c>
      <c r="D10" s="2" t="s">
        <v>142</v>
      </c>
    </row>
    <row r="11" spans="2:4" x14ac:dyDescent="0.35">
      <c r="B11" s="2" t="s">
        <v>128</v>
      </c>
      <c r="C11" s="2" t="s">
        <v>132</v>
      </c>
      <c r="D11" s="2" t="s">
        <v>143</v>
      </c>
    </row>
    <row r="12" spans="2:4" x14ac:dyDescent="0.35">
      <c r="B12" s="2" t="s">
        <v>134</v>
      </c>
      <c r="C12" s="2" t="s">
        <v>93</v>
      </c>
      <c r="D12" s="2" t="s">
        <v>144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18749-330F-4288-9D24-CCBFA70ECF16}">
  <sheetPr codeName="Sheet7"/>
  <dimension ref="B1:R46"/>
  <sheetViews>
    <sheetView workbookViewId="0">
      <selection activeCell="C3" sqref="C3"/>
    </sheetView>
  </sheetViews>
  <sheetFormatPr defaultColWidth="13.77734375" defaultRowHeight="15.6" x14ac:dyDescent="0.35"/>
  <cols>
    <col min="1" max="16384" width="13.77734375" style="1"/>
  </cols>
  <sheetData>
    <row r="1" spans="2:18" x14ac:dyDescent="0.35">
      <c r="B1" s="6"/>
    </row>
    <row r="2" spans="2:18" ht="16.2" x14ac:dyDescent="0.4">
      <c r="B2" s="4" t="s">
        <v>211</v>
      </c>
      <c r="C2" s="8" t="s">
        <v>284</v>
      </c>
    </row>
    <row r="3" spans="2:18" x14ac:dyDescent="0.35">
      <c r="B3" s="6"/>
    </row>
    <row r="4" spans="2:18" ht="16.2" x14ac:dyDescent="0.4">
      <c r="B4" s="4" t="s">
        <v>150</v>
      </c>
      <c r="L4" s="4" t="s">
        <v>168</v>
      </c>
    </row>
    <row r="5" spans="2:18" x14ac:dyDescent="0.35">
      <c r="B5" s="2" t="s">
        <v>212</v>
      </c>
      <c r="C5" s="2" t="s">
        <v>188</v>
      </c>
      <c r="D5" s="2" t="s">
        <v>153</v>
      </c>
      <c r="E5" s="2" t="s">
        <v>155</v>
      </c>
      <c r="F5" s="2" t="s">
        <v>156</v>
      </c>
      <c r="L5" s="2" t="s">
        <v>169</v>
      </c>
      <c r="M5" s="2" t="s">
        <v>170</v>
      </c>
      <c r="N5" s="2" t="s">
        <v>220</v>
      </c>
      <c r="O5" s="2" t="s">
        <v>153</v>
      </c>
      <c r="P5" s="2" t="s">
        <v>155</v>
      </c>
      <c r="Q5" s="2" t="s">
        <v>156</v>
      </c>
      <c r="R5" s="2" t="s">
        <v>187</v>
      </c>
    </row>
    <row r="6" spans="2:18" x14ac:dyDescent="0.35">
      <c r="B6" s="2">
        <v>1</v>
      </c>
      <c r="C6" s="2" t="s">
        <v>189</v>
      </c>
      <c r="D6" s="2">
        <v>50</v>
      </c>
      <c r="E6" s="2">
        <v>0</v>
      </c>
      <c r="F6" s="2">
        <v>8</v>
      </c>
      <c r="L6" s="2">
        <v>1</v>
      </c>
      <c r="M6" s="2"/>
      <c r="N6" s="2"/>
      <c r="O6" s="2"/>
      <c r="P6" s="2"/>
      <c r="Q6" s="2"/>
      <c r="R6" s="2"/>
    </row>
    <row r="7" spans="2:18" x14ac:dyDescent="0.35">
      <c r="B7" s="2">
        <v>2</v>
      </c>
      <c r="C7" s="2" t="s">
        <v>190</v>
      </c>
      <c r="D7" s="2">
        <v>75</v>
      </c>
      <c r="E7" s="2">
        <v>25</v>
      </c>
      <c r="F7" s="2">
        <v>9</v>
      </c>
      <c r="L7" s="2">
        <v>2</v>
      </c>
      <c r="M7" s="2"/>
      <c r="N7" s="2"/>
      <c r="O7" s="2"/>
      <c r="P7" s="2"/>
      <c r="Q7" s="2"/>
      <c r="R7" s="2"/>
    </row>
    <row r="8" spans="2:18" x14ac:dyDescent="0.35">
      <c r="B8" s="2">
        <v>3</v>
      </c>
      <c r="C8" s="2" t="s">
        <v>191</v>
      </c>
      <c r="D8" s="2"/>
      <c r="E8" s="2"/>
      <c r="F8" s="2"/>
      <c r="L8" s="2">
        <v>3</v>
      </c>
      <c r="M8" s="2"/>
      <c r="N8" s="2"/>
      <c r="O8" s="2"/>
      <c r="P8" s="2"/>
      <c r="Q8" s="2"/>
      <c r="R8" s="2"/>
    </row>
    <row r="9" spans="2:18" x14ac:dyDescent="0.35">
      <c r="B9" s="2">
        <v>4</v>
      </c>
      <c r="C9" s="2" t="s">
        <v>192</v>
      </c>
      <c r="D9" s="2"/>
      <c r="E9" s="2"/>
      <c r="F9" s="2"/>
      <c r="L9" s="2">
        <v>4</v>
      </c>
      <c r="M9" s="2"/>
      <c r="N9" s="2"/>
      <c r="O9" s="2"/>
      <c r="P9" s="2"/>
      <c r="Q9" s="2"/>
      <c r="R9" s="2"/>
    </row>
    <row r="10" spans="2:18" x14ac:dyDescent="0.35">
      <c r="B10" s="2">
        <v>5</v>
      </c>
      <c r="C10" s="2" t="s">
        <v>193</v>
      </c>
      <c r="D10" s="2"/>
      <c r="E10" s="2"/>
      <c r="F10" s="2"/>
      <c r="L10" s="2">
        <v>5</v>
      </c>
      <c r="M10" s="2"/>
      <c r="N10" s="2"/>
      <c r="O10" s="2"/>
      <c r="P10" s="2"/>
      <c r="Q10" s="2"/>
      <c r="R10" s="2"/>
    </row>
    <row r="11" spans="2:18" x14ac:dyDescent="0.35">
      <c r="L11" s="2">
        <v>6</v>
      </c>
      <c r="M11" s="2"/>
      <c r="N11" s="2"/>
      <c r="O11" s="2"/>
      <c r="P11" s="2"/>
      <c r="Q11" s="2"/>
      <c r="R11" s="2"/>
    </row>
    <row r="12" spans="2:18" ht="16.2" x14ac:dyDescent="0.4">
      <c r="B12" s="4" t="s">
        <v>157</v>
      </c>
      <c r="L12" s="2">
        <v>7</v>
      </c>
      <c r="M12" s="2"/>
      <c r="N12" s="2"/>
      <c r="O12" s="2"/>
      <c r="P12" s="2"/>
      <c r="Q12" s="2"/>
      <c r="R12" s="2"/>
    </row>
    <row r="13" spans="2:18" x14ac:dyDescent="0.35">
      <c r="B13" s="2" t="s">
        <v>212</v>
      </c>
      <c r="C13" s="2" t="s">
        <v>161</v>
      </c>
      <c r="D13" s="2" t="s">
        <v>162</v>
      </c>
      <c r="E13" s="2" t="s">
        <v>163</v>
      </c>
      <c r="F13" s="2" t="s">
        <v>164</v>
      </c>
      <c r="G13" s="2" t="s">
        <v>165</v>
      </c>
      <c r="H13" s="2" t="s">
        <v>166</v>
      </c>
      <c r="I13" s="2" t="s">
        <v>167</v>
      </c>
      <c r="J13" s="2" t="s">
        <v>187</v>
      </c>
      <c r="L13" s="2">
        <v>8</v>
      </c>
      <c r="M13" s="2"/>
      <c r="N13" s="2"/>
      <c r="O13" s="2"/>
      <c r="P13" s="2"/>
      <c r="Q13" s="2"/>
      <c r="R13" s="2"/>
    </row>
    <row r="14" spans="2:18" x14ac:dyDescent="0.35">
      <c r="B14" s="2">
        <v>0</v>
      </c>
      <c r="C14" s="2" t="s">
        <v>109</v>
      </c>
      <c r="D14" s="2" t="s">
        <v>171</v>
      </c>
      <c r="E14" s="2"/>
      <c r="F14" s="2"/>
      <c r="G14" s="2"/>
      <c r="H14" s="2"/>
      <c r="I14" s="2"/>
      <c r="J14" s="2"/>
      <c r="L14" s="2">
        <v>9</v>
      </c>
      <c r="M14" s="2"/>
      <c r="N14" s="2"/>
      <c r="O14" s="2"/>
      <c r="P14" s="2"/>
      <c r="Q14" s="2"/>
      <c r="R14" s="2"/>
    </row>
    <row r="15" spans="2:18" x14ac:dyDescent="0.35">
      <c r="B15" s="2">
        <v>1</v>
      </c>
      <c r="C15" s="2" t="s">
        <v>172</v>
      </c>
      <c r="D15" s="2" t="s">
        <v>173</v>
      </c>
      <c r="E15" s="2"/>
      <c r="F15" s="2"/>
      <c r="G15" s="2"/>
      <c r="H15" s="2"/>
      <c r="I15" s="2"/>
      <c r="J15" s="2"/>
      <c r="L15" s="2">
        <v>10</v>
      </c>
      <c r="M15" s="2"/>
      <c r="N15" s="2"/>
      <c r="O15" s="2"/>
      <c r="P15" s="2"/>
      <c r="Q15" s="2"/>
      <c r="R15" s="2"/>
    </row>
    <row r="16" spans="2:18" x14ac:dyDescent="0.35">
      <c r="B16" s="2">
        <v>2</v>
      </c>
      <c r="C16" s="2" t="s">
        <v>174</v>
      </c>
      <c r="D16" s="2" t="s">
        <v>175</v>
      </c>
      <c r="E16" s="2" t="s">
        <v>176</v>
      </c>
      <c r="F16" s="2" t="s">
        <v>177</v>
      </c>
      <c r="G16" s="2"/>
      <c r="H16" s="2"/>
      <c r="I16" s="2"/>
      <c r="J16" s="2"/>
      <c r="L16" s="2">
        <v>11</v>
      </c>
      <c r="M16" s="2"/>
      <c r="N16" s="2"/>
      <c r="O16" s="2"/>
      <c r="P16" s="2"/>
      <c r="Q16" s="2"/>
      <c r="R16" s="2"/>
    </row>
    <row r="17" spans="2:18" x14ac:dyDescent="0.35">
      <c r="B17" s="2">
        <v>3</v>
      </c>
      <c r="C17" s="2" t="s">
        <v>178</v>
      </c>
      <c r="D17" s="2" t="s">
        <v>179</v>
      </c>
      <c r="E17" s="2" t="s">
        <v>180</v>
      </c>
      <c r="F17" s="2"/>
      <c r="G17" s="2"/>
      <c r="H17" s="2"/>
      <c r="I17" s="2"/>
      <c r="J17" s="2"/>
      <c r="L17" s="2">
        <v>12</v>
      </c>
      <c r="M17" s="2"/>
      <c r="N17" s="2"/>
      <c r="O17" s="2"/>
      <c r="P17" s="2"/>
      <c r="Q17" s="2"/>
      <c r="R17" s="2"/>
    </row>
    <row r="18" spans="2:18" x14ac:dyDescent="0.35">
      <c r="B18" s="2">
        <v>4</v>
      </c>
      <c r="C18" s="2" t="s">
        <v>181</v>
      </c>
      <c r="D18" s="2" t="s">
        <v>182</v>
      </c>
      <c r="E18" s="2" t="s">
        <v>183</v>
      </c>
      <c r="F18" s="2"/>
      <c r="G18" s="2"/>
      <c r="H18" s="2"/>
      <c r="I18" s="2"/>
      <c r="J18" s="2"/>
      <c r="L18" s="2">
        <v>13</v>
      </c>
      <c r="M18" s="2"/>
      <c r="N18" s="2"/>
      <c r="O18" s="2"/>
      <c r="P18" s="2"/>
      <c r="Q18" s="2"/>
      <c r="R18" s="2"/>
    </row>
    <row r="19" spans="2:18" x14ac:dyDescent="0.35">
      <c r="B19" s="2">
        <v>5</v>
      </c>
      <c r="C19" s="2" t="s">
        <v>184</v>
      </c>
      <c r="D19" s="2" t="s">
        <v>185</v>
      </c>
      <c r="E19" s="2" t="s">
        <v>186</v>
      </c>
      <c r="F19" s="2"/>
      <c r="G19" s="2"/>
      <c r="H19" s="2"/>
      <c r="I19" s="2"/>
      <c r="J19" s="2"/>
      <c r="L19" s="2">
        <v>14</v>
      </c>
      <c r="M19" s="2"/>
      <c r="N19" s="2"/>
      <c r="O19" s="2"/>
      <c r="P19" s="2"/>
      <c r="Q19" s="2"/>
      <c r="R19" s="2"/>
    </row>
    <row r="20" spans="2:18" x14ac:dyDescent="0.35">
      <c r="L20" s="2">
        <v>15</v>
      </c>
      <c r="M20" s="2"/>
      <c r="N20" s="2"/>
      <c r="O20" s="2"/>
      <c r="P20" s="2"/>
      <c r="Q20" s="2"/>
      <c r="R20" s="2"/>
    </row>
    <row r="21" spans="2:18" ht="16.2" x14ac:dyDescent="0.4">
      <c r="B21" s="4" t="s">
        <v>158</v>
      </c>
      <c r="L21" s="2">
        <v>16</v>
      </c>
      <c r="M21" s="2"/>
      <c r="N21" s="2"/>
      <c r="O21" s="2"/>
      <c r="P21" s="2"/>
      <c r="Q21" s="2"/>
      <c r="R21" s="2"/>
    </row>
    <row r="22" spans="2:18" x14ac:dyDescent="0.35">
      <c r="B22" s="2" t="s">
        <v>212</v>
      </c>
      <c r="C22" s="2" t="s">
        <v>161</v>
      </c>
      <c r="D22" s="2" t="s">
        <v>162</v>
      </c>
      <c r="E22" s="2" t="s">
        <v>163</v>
      </c>
      <c r="F22" s="2" t="s">
        <v>164</v>
      </c>
      <c r="G22" s="2" t="s">
        <v>165</v>
      </c>
      <c r="H22" s="2" t="s">
        <v>166</v>
      </c>
      <c r="I22" s="2" t="s">
        <v>167</v>
      </c>
      <c r="J22" s="2" t="s">
        <v>187</v>
      </c>
      <c r="L22" s="2">
        <v>17</v>
      </c>
      <c r="M22" s="2"/>
      <c r="N22" s="2"/>
      <c r="O22" s="2"/>
      <c r="P22" s="2"/>
      <c r="Q22" s="2"/>
      <c r="R22" s="2"/>
    </row>
    <row r="23" spans="2:18" x14ac:dyDescent="0.35">
      <c r="B23" s="2">
        <v>0</v>
      </c>
      <c r="C23" s="2" t="s">
        <v>110</v>
      </c>
      <c r="D23" s="2"/>
      <c r="E23" s="2"/>
      <c r="F23" s="2"/>
      <c r="G23" s="2"/>
      <c r="H23" s="2"/>
      <c r="I23" s="2"/>
      <c r="J23" s="2"/>
      <c r="L23" s="2">
        <v>18</v>
      </c>
      <c r="M23" s="2"/>
      <c r="N23" s="2"/>
      <c r="O23" s="2"/>
      <c r="P23" s="2"/>
      <c r="Q23" s="2"/>
      <c r="R23" s="2"/>
    </row>
    <row r="24" spans="2:18" x14ac:dyDescent="0.35">
      <c r="B24" s="2">
        <v>1</v>
      </c>
      <c r="C24" s="2" t="s">
        <v>194</v>
      </c>
      <c r="D24" s="2"/>
      <c r="E24" s="2"/>
      <c r="F24" s="2"/>
      <c r="G24" s="2"/>
      <c r="H24" s="2"/>
      <c r="I24" s="2"/>
      <c r="J24" s="2"/>
      <c r="L24" s="2">
        <v>19</v>
      </c>
      <c r="M24" s="2"/>
      <c r="N24" s="2"/>
      <c r="O24" s="2"/>
      <c r="P24" s="2"/>
      <c r="Q24" s="2"/>
      <c r="R24" s="2"/>
    </row>
    <row r="25" spans="2:18" x14ac:dyDescent="0.35">
      <c r="B25" s="2">
        <v>2</v>
      </c>
      <c r="C25" s="2" t="s">
        <v>195</v>
      </c>
      <c r="D25" s="2" t="s">
        <v>196</v>
      </c>
      <c r="E25" s="2" t="s">
        <v>197</v>
      </c>
      <c r="F25" s="2"/>
      <c r="G25" s="2"/>
      <c r="H25" s="2"/>
      <c r="I25" s="2"/>
      <c r="J25" s="2"/>
      <c r="L25" s="2">
        <v>20</v>
      </c>
      <c r="M25" s="2"/>
      <c r="N25" s="2"/>
      <c r="O25" s="2"/>
      <c r="P25" s="2"/>
      <c r="Q25" s="2"/>
      <c r="R25" s="2"/>
    </row>
    <row r="26" spans="2:18" x14ac:dyDescent="0.35">
      <c r="B26" s="2">
        <v>3</v>
      </c>
      <c r="C26" s="2" t="s">
        <v>198</v>
      </c>
      <c r="D26" s="2" t="s">
        <v>199</v>
      </c>
      <c r="E26" s="2" t="s">
        <v>200</v>
      </c>
      <c r="F26" s="2"/>
      <c r="G26" s="2"/>
      <c r="H26" s="2"/>
      <c r="I26" s="2"/>
      <c r="J26" s="2"/>
      <c r="L26" s="2">
        <v>21</v>
      </c>
      <c r="M26" s="2"/>
      <c r="N26" s="2"/>
      <c r="O26" s="2"/>
      <c r="P26" s="2"/>
      <c r="Q26" s="2"/>
      <c r="R26" s="2"/>
    </row>
    <row r="27" spans="2:18" x14ac:dyDescent="0.35">
      <c r="B27" s="2">
        <v>4</v>
      </c>
      <c r="C27" s="2" t="s">
        <v>201</v>
      </c>
      <c r="D27" s="2" t="s">
        <v>202</v>
      </c>
      <c r="E27" s="2" t="s">
        <v>203</v>
      </c>
      <c r="F27" s="2" t="s">
        <v>204</v>
      </c>
      <c r="G27" s="2" t="s">
        <v>205</v>
      </c>
      <c r="H27" s="2" t="s">
        <v>206</v>
      </c>
      <c r="I27" s="2"/>
      <c r="J27" s="2"/>
      <c r="L27" s="2">
        <v>22</v>
      </c>
      <c r="M27" s="2"/>
      <c r="N27" s="2"/>
      <c r="O27" s="2"/>
      <c r="P27" s="2"/>
      <c r="Q27" s="2"/>
      <c r="R27" s="2"/>
    </row>
    <row r="28" spans="2:18" x14ac:dyDescent="0.35">
      <c r="B28" s="2">
        <v>5</v>
      </c>
      <c r="C28" s="2" t="s">
        <v>207</v>
      </c>
      <c r="D28" s="2" t="s">
        <v>208</v>
      </c>
      <c r="E28" s="2" t="s">
        <v>209</v>
      </c>
      <c r="F28" s="2" t="s">
        <v>210</v>
      </c>
      <c r="G28" s="2"/>
      <c r="H28" s="2"/>
      <c r="I28" s="2"/>
      <c r="J28" s="2"/>
      <c r="L28" s="2">
        <v>23</v>
      </c>
      <c r="M28" s="2"/>
      <c r="N28" s="2"/>
      <c r="O28" s="2"/>
      <c r="P28" s="2"/>
      <c r="Q28" s="2"/>
      <c r="R28" s="2"/>
    </row>
    <row r="29" spans="2:18" x14ac:dyDescent="0.35">
      <c r="L29" s="2">
        <v>24</v>
      </c>
      <c r="M29" s="2"/>
      <c r="N29" s="2"/>
      <c r="O29" s="2"/>
      <c r="P29" s="2"/>
      <c r="Q29" s="2"/>
      <c r="R29" s="2"/>
    </row>
    <row r="30" spans="2:18" ht="16.2" x14ac:dyDescent="0.4">
      <c r="B30" s="4" t="s">
        <v>159</v>
      </c>
      <c r="L30" s="2">
        <v>25</v>
      </c>
      <c r="M30" s="2"/>
      <c r="N30" s="2"/>
      <c r="O30" s="2"/>
      <c r="P30" s="2"/>
      <c r="Q30" s="2"/>
      <c r="R30" s="2"/>
    </row>
    <row r="31" spans="2:18" x14ac:dyDescent="0.35">
      <c r="B31" s="2" t="s">
        <v>212</v>
      </c>
      <c r="C31" s="2" t="s">
        <v>161</v>
      </c>
      <c r="D31" s="2" t="s">
        <v>162</v>
      </c>
      <c r="E31" s="2" t="s">
        <v>163</v>
      </c>
      <c r="F31" s="2" t="s">
        <v>164</v>
      </c>
      <c r="G31" s="2" t="s">
        <v>165</v>
      </c>
      <c r="H31" s="2" t="s">
        <v>166</v>
      </c>
      <c r="I31" s="2" t="s">
        <v>167</v>
      </c>
      <c r="J31" s="2" t="s">
        <v>187</v>
      </c>
      <c r="L31" s="2">
        <v>26</v>
      </c>
      <c r="M31" s="2"/>
      <c r="N31" s="2"/>
      <c r="O31" s="2"/>
      <c r="P31" s="2"/>
      <c r="Q31" s="2"/>
      <c r="R31" s="2"/>
    </row>
    <row r="32" spans="2:18" x14ac:dyDescent="0.35">
      <c r="B32" s="2">
        <v>0</v>
      </c>
      <c r="C32" s="2" t="s">
        <v>213</v>
      </c>
      <c r="D32" s="2" t="s">
        <v>105</v>
      </c>
      <c r="E32" s="2" t="s">
        <v>103</v>
      </c>
      <c r="F32" s="2" t="s">
        <v>107</v>
      </c>
      <c r="G32" s="2"/>
      <c r="H32" s="2"/>
      <c r="I32" s="2"/>
      <c r="J32" s="2"/>
      <c r="L32" s="2">
        <v>27</v>
      </c>
      <c r="M32" s="2"/>
      <c r="N32" s="2"/>
      <c r="O32" s="2"/>
      <c r="P32" s="2"/>
      <c r="Q32" s="2"/>
      <c r="R32" s="2"/>
    </row>
    <row r="33" spans="2:18" x14ac:dyDescent="0.35">
      <c r="B33" s="2">
        <v>1</v>
      </c>
      <c r="C33" s="2" t="s">
        <v>214</v>
      </c>
      <c r="D33" s="2" t="s">
        <v>215</v>
      </c>
      <c r="E33" s="2" t="s">
        <v>216</v>
      </c>
      <c r="F33" s="2" t="s">
        <v>217</v>
      </c>
      <c r="G33" s="2" t="s">
        <v>104</v>
      </c>
      <c r="H33" s="2"/>
      <c r="I33" s="2"/>
      <c r="J33" s="2"/>
      <c r="L33" s="2">
        <v>28</v>
      </c>
      <c r="M33" s="2"/>
      <c r="N33" s="2"/>
      <c r="O33" s="2"/>
      <c r="P33" s="2"/>
      <c r="Q33" s="2"/>
      <c r="R33" s="2"/>
    </row>
    <row r="34" spans="2:18" x14ac:dyDescent="0.35">
      <c r="B34" s="2">
        <v>2</v>
      </c>
      <c r="C34" s="2" t="s">
        <v>218</v>
      </c>
      <c r="D34" s="2" t="s">
        <v>219</v>
      </c>
      <c r="E34" s="2" t="s">
        <v>221</v>
      </c>
      <c r="F34" s="2" t="s">
        <v>222</v>
      </c>
      <c r="G34" s="2" t="s">
        <v>223</v>
      </c>
      <c r="H34" s="2" t="s">
        <v>224</v>
      </c>
      <c r="I34" s="2" t="s">
        <v>225</v>
      </c>
      <c r="J34" s="2"/>
      <c r="L34" s="2">
        <v>29</v>
      </c>
      <c r="M34" s="2"/>
      <c r="N34" s="2"/>
      <c r="O34" s="2"/>
      <c r="P34" s="2"/>
      <c r="Q34" s="2"/>
      <c r="R34" s="2"/>
    </row>
    <row r="35" spans="2:18" x14ac:dyDescent="0.35">
      <c r="B35" s="2">
        <v>3</v>
      </c>
      <c r="C35" s="2" t="s">
        <v>226</v>
      </c>
      <c r="D35" s="2" t="s">
        <v>227</v>
      </c>
      <c r="E35" s="2" t="s">
        <v>228</v>
      </c>
      <c r="F35" s="2" t="s">
        <v>229</v>
      </c>
      <c r="G35" s="2"/>
      <c r="H35" s="2"/>
      <c r="I35" s="2"/>
      <c r="J35" s="2"/>
      <c r="L35" s="2">
        <v>30</v>
      </c>
      <c r="M35" s="2"/>
      <c r="N35" s="2"/>
      <c r="O35" s="2"/>
      <c r="P35" s="2"/>
      <c r="Q35" s="2"/>
      <c r="R35" s="2"/>
    </row>
    <row r="36" spans="2:18" x14ac:dyDescent="0.35">
      <c r="B36" s="2">
        <v>4</v>
      </c>
      <c r="C36" s="2" t="s">
        <v>230</v>
      </c>
      <c r="D36" s="2" t="s">
        <v>231</v>
      </c>
      <c r="E36" s="2" t="s">
        <v>232</v>
      </c>
      <c r="F36" s="2" t="s">
        <v>233</v>
      </c>
      <c r="G36" s="2"/>
      <c r="H36" s="2"/>
      <c r="I36" s="2"/>
      <c r="J36" s="2"/>
      <c r="L36" s="2">
        <v>31</v>
      </c>
      <c r="M36" s="2"/>
      <c r="N36" s="2"/>
      <c r="O36" s="2"/>
      <c r="P36" s="2"/>
      <c r="Q36" s="2"/>
      <c r="R36" s="2"/>
    </row>
    <row r="37" spans="2:18" x14ac:dyDescent="0.35">
      <c r="B37" s="2">
        <v>5</v>
      </c>
      <c r="C37" s="2" t="s">
        <v>234</v>
      </c>
      <c r="D37" s="2" t="s">
        <v>235</v>
      </c>
      <c r="E37" s="2" t="s">
        <v>236</v>
      </c>
      <c r="F37" s="2"/>
      <c r="G37" s="2"/>
      <c r="H37" s="2"/>
      <c r="I37" s="2"/>
      <c r="J37" s="2"/>
      <c r="L37" s="2">
        <v>32</v>
      </c>
      <c r="M37" s="2"/>
      <c r="N37" s="2"/>
      <c r="O37" s="2"/>
      <c r="P37" s="2"/>
      <c r="Q37" s="2"/>
      <c r="R37" s="2"/>
    </row>
    <row r="38" spans="2:18" x14ac:dyDescent="0.35">
      <c r="L38" s="2">
        <v>33</v>
      </c>
      <c r="M38" s="2"/>
      <c r="N38" s="2"/>
      <c r="O38" s="2"/>
      <c r="P38" s="2"/>
      <c r="Q38" s="2"/>
      <c r="R38" s="2"/>
    </row>
    <row r="39" spans="2:18" ht="16.2" x14ac:dyDescent="0.4">
      <c r="B39" s="4" t="s">
        <v>160</v>
      </c>
      <c r="L39" s="2">
        <v>34</v>
      </c>
      <c r="M39" s="2"/>
      <c r="N39" s="2"/>
      <c r="O39" s="2"/>
      <c r="P39" s="2"/>
      <c r="Q39" s="2"/>
      <c r="R39" s="2"/>
    </row>
    <row r="40" spans="2:18" x14ac:dyDescent="0.35">
      <c r="B40" s="2" t="s">
        <v>212</v>
      </c>
      <c r="C40" s="2" t="s">
        <v>161</v>
      </c>
      <c r="D40" s="2" t="s">
        <v>162</v>
      </c>
      <c r="E40" s="2" t="s">
        <v>163</v>
      </c>
      <c r="F40" s="2" t="s">
        <v>164</v>
      </c>
      <c r="G40" s="2" t="s">
        <v>165</v>
      </c>
      <c r="H40" s="2" t="s">
        <v>166</v>
      </c>
      <c r="I40" s="2" t="s">
        <v>167</v>
      </c>
      <c r="J40" s="2" t="s">
        <v>187</v>
      </c>
      <c r="L40" s="2">
        <v>35</v>
      </c>
      <c r="M40" s="2"/>
      <c r="N40" s="2"/>
      <c r="O40" s="2"/>
      <c r="P40" s="2"/>
      <c r="Q40" s="2"/>
      <c r="R40" s="2"/>
    </row>
    <row r="41" spans="2:18" x14ac:dyDescent="0.35">
      <c r="B41" s="2">
        <v>0</v>
      </c>
      <c r="C41" s="2" t="s">
        <v>237</v>
      </c>
      <c r="D41" s="2"/>
      <c r="E41" s="2"/>
      <c r="F41" s="2"/>
      <c r="G41" s="2"/>
      <c r="H41" s="2"/>
      <c r="I41" s="2"/>
      <c r="J41" s="2"/>
      <c r="L41" s="2">
        <v>36</v>
      </c>
      <c r="M41" s="2"/>
      <c r="N41" s="2"/>
      <c r="O41" s="2"/>
      <c r="P41" s="2"/>
      <c r="Q41" s="2"/>
      <c r="R41" s="2"/>
    </row>
    <row r="42" spans="2:18" x14ac:dyDescent="0.35">
      <c r="B42" s="2">
        <v>1</v>
      </c>
      <c r="C42" s="2" t="s">
        <v>100</v>
      </c>
      <c r="D42" s="2" t="s">
        <v>238</v>
      </c>
      <c r="E42" s="2" t="s">
        <v>95</v>
      </c>
      <c r="F42" s="2"/>
      <c r="G42" s="2"/>
      <c r="H42" s="2"/>
      <c r="I42" s="2"/>
      <c r="J42" s="2"/>
      <c r="L42" s="2">
        <v>37</v>
      </c>
      <c r="M42" s="2"/>
      <c r="N42" s="2"/>
      <c r="O42" s="2"/>
      <c r="P42" s="2"/>
      <c r="Q42" s="2"/>
      <c r="R42" s="2"/>
    </row>
    <row r="43" spans="2:18" x14ac:dyDescent="0.35">
      <c r="B43" s="2">
        <v>2</v>
      </c>
      <c r="C43" s="2" t="s">
        <v>239</v>
      </c>
      <c r="D43" s="2" t="s">
        <v>240</v>
      </c>
      <c r="E43" s="2" t="s">
        <v>241</v>
      </c>
      <c r="F43" s="2" t="s">
        <v>242</v>
      </c>
      <c r="G43" s="2" t="s">
        <v>243</v>
      </c>
      <c r="H43" s="2" t="s">
        <v>244</v>
      </c>
      <c r="I43" s="2"/>
      <c r="J43" s="2"/>
      <c r="L43" s="2">
        <v>38</v>
      </c>
      <c r="M43" s="2"/>
      <c r="N43" s="2"/>
      <c r="O43" s="2"/>
      <c r="P43" s="2"/>
      <c r="Q43" s="2"/>
      <c r="R43" s="2"/>
    </row>
    <row r="44" spans="2:18" x14ac:dyDescent="0.35">
      <c r="B44" s="2">
        <v>3</v>
      </c>
      <c r="C44" s="2" t="s">
        <v>245</v>
      </c>
      <c r="D44" s="2" t="s">
        <v>246</v>
      </c>
      <c r="E44" s="2" t="s">
        <v>247</v>
      </c>
      <c r="F44" s="2"/>
      <c r="G44" s="2"/>
      <c r="H44" s="2"/>
      <c r="I44" s="2"/>
      <c r="J44" s="2"/>
      <c r="L44" s="2">
        <v>39</v>
      </c>
      <c r="M44" s="2"/>
      <c r="N44" s="2"/>
      <c r="O44" s="2"/>
      <c r="P44" s="2"/>
      <c r="Q44" s="2"/>
      <c r="R44" s="2"/>
    </row>
    <row r="45" spans="2:18" x14ac:dyDescent="0.35">
      <c r="B45" s="2">
        <v>4</v>
      </c>
      <c r="C45" s="2" t="s">
        <v>248</v>
      </c>
      <c r="D45" s="2" t="s">
        <v>249</v>
      </c>
      <c r="E45" s="2" t="s">
        <v>250</v>
      </c>
      <c r="F45" s="2" t="s">
        <v>251</v>
      </c>
      <c r="G45" s="2"/>
      <c r="H45" s="2"/>
      <c r="I45" s="2"/>
      <c r="J45" s="2"/>
      <c r="L45" s="2">
        <v>40</v>
      </c>
      <c r="M45" s="2"/>
      <c r="N45" s="2"/>
      <c r="O45" s="2"/>
      <c r="P45" s="2"/>
      <c r="Q45" s="2"/>
      <c r="R45" s="2"/>
    </row>
    <row r="46" spans="2:18" x14ac:dyDescent="0.35">
      <c r="B46" s="2">
        <v>5</v>
      </c>
      <c r="C46" s="2" t="s">
        <v>252</v>
      </c>
      <c r="D46" s="2" t="s">
        <v>253</v>
      </c>
      <c r="E46" s="2" t="s">
        <v>254</v>
      </c>
      <c r="F46" s="2"/>
      <c r="G46" s="2"/>
      <c r="H46" s="2"/>
      <c r="I46" s="2"/>
      <c r="J46" s="2"/>
      <c r="L46" s="2">
        <v>41</v>
      </c>
      <c r="M46" s="2"/>
      <c r="N46" s="2"/>
      <c r="O46" s="2"/>
      <c r="P46" s="2"/>
      <c r="Q46" s="2"/>
      <c r="R46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总览表</vt:lpstr>
      <vt:lpstr>06设定表</vt:lpstr>
      <vt:lpstr>06时间表</vt:lpstr>
      <vt:lpstr>06资源表</vt:lpstr>
      <vt:lpstr>06建筑表</vt:lpstr>
      <vt:lpstr>06法典表</vt:lpstr>
      <vt:lpstr>06科技表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朱阿</dc:creator>
  <cp:lastModifiedBy>阿 朱</cp:lastModifiedBy>
  <dcterms:created xsi:type="dcterms:W3CDTF">2015-06-05T18:19:34Z</dcterms:created>
  <dcterms:modified xsi:type="dcterms:W3CDTF">2024-12-28T12:28:01Z</dcterms:modified>
</cp:coreProperties>
</file>