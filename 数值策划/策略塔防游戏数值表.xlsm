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763\Desktop\"/>
    </mc:Choice>
  </mc:AlternateContent>
  <xr:revisionPtr revIDLastSave="0" documentId="13_ncr:1_{2A407823-5C0B-43F4-9AF0-5DE80765809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总览表" sheetId="7" r:id="rId1"/>
    <sheet name="01设定表" sheetId="1" r:id="rId2"/>
    <sheet name="01角色表" sheetId="4" r:id="rId3"/>
    <sheet name="01防御塔表" sheetId="2" r:id="rId4"/>
    <sheet name="01怪物表" sheetId="5" r:id="rId5"/>
    <sheet name="01技能表" sheetId="3" r:id="rId6"/>
    <sheet name="01关卡表" sheetId="6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6" l="1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2" i="6"/>
  <c r="T3" i="6"/>
  <c r="T4" i="6"/>
  <c r="T5" i="6"/>
  <c r="T6" i="6"/>
  <c r="T10" i="6"/>
  <c r="T18" i="6"/>
  <c r="T30" i="6"/>
  <c r="T2" i="6"/>
  <c r="H8" i="6"/>
  <c r="H13" i="6" s="1"/>
  <c r="H18" i="6" s="1"/>
  <c r="H23" i="6" s="1"/>
  <c r="H28" i="6" s="1"/>
  <c r="T28" i="6" s="1"/>
  <c r="H9" i="6"/>
  <c r="T9" i="6" s="1"/>
  <c r="H10" i="6"/>
  <c r="H15" i="6" s="1"/>
  <c r="H20" i="6" s="1"/>
  <c r="H25" i="6" s="1"/>
  <c r="H30" i="6" s="1"/>
  <c r="H11" i="6"/>
  <c r="H16" i="6" s="1"/>
  <c r="H21" i="6" s="1"/>
  <c r="H26" i="6" s="1"/>
  <c r="H31" i="6" s="1"/>
  <c r="H7" i="6"/>
  <c r="H12" i="6" s="1"/>
  <c r="H17" i="6" s="1"/>
  <c r="H22" i="6" s="1"/>
  <c r="H27" i="6" s="1"/>
  <c r="F8" i="6"/>
  <c r="F13" i="6" s="1"/>
  <c r="F18" i="6" s="1"/>
  <c r="F23" i="6" s="1"/>
  <c r="F28" i="6" s="1"/>
  <c r="F9" i="6"/>
  <c r="F14" i="6" s="1"/>
  <c r="F10" i="6"/>
  <c r="F15" i="6" s="1"/>
  <c r="F20" i="6" s="1"/>
  <c r="F25" i="6" s="1"/>
  <c r="F30" i="6" s="1"/>
  <c r="F11" i="6"/>
  <c r="F16" i="6" s="1"/>
  <c r="F21" i="6" s="1"/>
  <c r="F26" i="6" s="1"/>
  <c r="F31" i="6" s="1"/>
  <c r="T31" i="6" s="1"/>
  <c r="F7" i="6"/>
  <c r="F12" i="6" s="1"/>
  <c r="F17" i="6" s="1"/>
  <c r="F22" i="6" s="1"/>
  <c r="F27" i="6" s="1"/>
  <c r="T27" i="6" s="1"/>
  <c r="R2" i="6"/>
  <c r="N5" i="1"/>
  <c r="N6" i="1"/>
  <c r="N7" i="1"/>
  <c r="N4" i="1"/>
  <c r="N2" i="6"/>
  <c r="M2" i="6" s="1"/>
  <c r="C8" i="6"/>
  <c r="C13" i="6" s="1"/>
  <c r="C9" i="6"/>
  <c r="C14" i="6" s="1"/>
  <c r="C19" i="6" s="1"/>
  <c r="C24" i="6" s="1"/>
  <c r="C29" i="6" s="1"/>
  <c r="C10" i="6"/>
  <c r="C11" i="6"/>
  <c r="C16" i="6" s="1"/>
  <c r="C21" i="6" s="1"/>
  <c r="C26" i="6" s="1"/>
  <c r="C31" i="6" s="1"/>
  <c r="C7" i="6"/>
  <c r="C12" i="6" s="1"/>
  <c r="Q5" i="2"/>
  <c r="R5" i="2" s="1"/>
  <c r="S3" i="5"/>
  <c r="T3" i="5"/>
  <c r="T2" i="5"/>
  <c r="S2" i="5"/>
  <c r="Q2" i="2"/>
  <c r="R2" i="2" s="1"/>
  <c r="Q6" i="2"/>
  <c r="R6" i="2" s="1"/>
  <c r="Q7" i="2"/>
  <c r="R7" i="2" s="1"/>
  <c r="Q8" i="2"/>
  <c r="R8" i="2" s="1"/>
  <c r="Q9" i="2"/>
  <c r="R9" i="2" s="1"/>
  <c r="Q3" i="2"/>
  <c r="R3" i="2" s="1"/>
  <c r="Q4" i="2"/>
  <c r="R4" i="2" s="1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34" i="3"/>
  <c r="L14" i="4"/>
  <c r="L15" i="4" s="1"/>
  <c r="L16" i="4" s="1"/>
  <c r="L17" i="4" s="1"/>
  <c r="L18" i="4" s="1"/>
  <c r="L19" i="4" s="1"/>
  <c r="L20" i="4" s="1"/>
  <c r="L21" i="4" s="1"/>
  <c r="L13" i="4"/>
  <c r="L4" i="4"/>
  <c r="L5" i="4" s="1"/>
  <c r="L6" i="4" s="1"/>
  <c r="L7" i="4" s="1"/>
  <c r="L8" i="4" s="1"/>
  <c r="L9" i="4" s="1"/>
  <c r="L10" i="4" s="1"/>
  <c r="L11" i="4" s="1"/>
  <c r="N3" i="2"/>
  <c r="N4" i="2" s="1"/>
  <c r="N5" i="2" s="1"/>
  <c r="I133" i="4"/>
  <c r="I134" i="4" s="1"/>
  <c r="I135" i="4" s="1"/>
  <c r="I136" i="4" s="1"/>
  <c r="I137" i="4" s="1"/>
  <c r="I138" i="4" s="1"/>
  <c r="I139" i="4" s="1"/>
  <c r="I140" i="4" s="1"/>
  <c r="I141" i="4" s="1"/>
  <c r="J133" i="4"/>
  <c r="J134" i="4" s="1"/>
  <c r="J135" i="4" s="1"/>
  <c r="J136" i="4" s="1"/>
  <c r="J137" i="4" s="1"/>
  <c r="J138" i="4" s="1"/>
  <c r="J139" i="4" s="1"/>
  <c r="J140" i="4" s="1"/>
  <c r="J141" i="4" s="1"/>
  <c r="K133" i="4"/>
  <c r="K134" i="4" s="1"/>
  <c r="K135" i="4" s="1"/>
  <c r="K136" i="4" s="1"/>
  <c r="K137" i="4" s="1"/>
  <c r="K138" i="4" s="1"/>
  <c r="K139" i="4" s="1"/>
  <c r="K140" i="4" s="1"/>
  <c r="K141" i="4" s="1"/>
  <c r="I123" i="4"/>
  <c r="I124" i="4" s="1"/>
  <c r="I125" i="4" s="1"/>
  <c r="I126" i="4" s="1"/>
  <c r="I127" i="4" s="1"/>
  <c r="I128" i="4" s="1"/>
  <c r="I129" i="4" s="1"/>
  <c r="I130" i="4" s="1"/>
  <c r="I131" i="4" s="1"/>
  <c r="J123" i="4"/>
  <c r="J124" i="4" s="1"/>
  <c r="J125" i="4" s="1"/>
  <c r="J126" i="4" s="1"/>
  <c r="J127" i="4" s="1"/>
  <c r="J128" i="4" s="1"/>
  <c r="J129" i="4" s="1"/>
  <c r="J130" i="4" s="1"/>
  <c r="J131" i="4" s="1"/>
  <c r="K123" i="4"/>
  <c r="K124" i="4" s="1"/>
  <c r="K125" i="4" s="1"/>
  <c r="K126" i="4" s="1"/>
  <c r="K127" i="4" s="1"/>
  <c r="K128" i="4" s="1"/>
  <c r="K129" i="4" s="1"/>
  <c r="K130" i="4" s="1"/>
  <c r="K131" i="4" s="1"/>
  <c r="K113" i="4"/>
  <c r="K114" i="4" s="1"/>
  <c r="K115" i="4" s="1"/>
  <c r="K116" i="4" s="1"/>
  <c r="K117" i="4" s="1"/>
  <c r="K118" i="4" s="1"/>
  <c r="K119" i="4" s="1"/>
  <c r="K120" i="4" s="1"/>
  <c r="K121" i="4" s="1"/>
  <c r="I113" i="4"/>
  <c r="I114" i="4" s="1"/>
  <c r="I115" i="4" s="1"/>
  <c r="I116" i="4" s="1"/>
  <c r="I117" i="4" s="1"/>
  <c r="I118" i="4" s="1"/>
  <c r="I119" i="4" s="1"/>
  <c r="I120" i="4" s="1"/>
  <c r="I121" i="4" s="1"/>
  <c r="J113" i="4"/>
  <c r="J114" i="4" s="1"/>
  <c r="J115" i="4" s="1"/>
  <c r="J116" i="4" s="1"/>
  <c r="J117" i="4" s="1"/>
  <c r="J118" i="4" s="1"/>
  <c r="J119" i="4" s="1"/>
  <c r="J120" i="4" s="1"/>
  <c r="J121" i="4" s="1"/>
  <c r="K103" i="4"/>
  <c r="K104" i="4" s="1"/>
  <c r="K105" i="4" s="1"/>
  <c r="K106" i="4" s="1"/>
  <c r="K107" i="4" s="1"/>
  <c r="K108" i="4" s="1"/>
  <c r="K109" i="4" s="1"/>
  <c r="K110" i="4" s="1"/>
  <c r="K111" i="4" s="1"/>
  <c r="L103" i="4"/>
  <c r="L104" i="4" s="1"/>
  <c r="L105" i="4" s="1"/>
  <c r="L106" i="4" s="1"/>
  <c r="L107" i="4" s="1"/>
  <c r="L108" i="4" s="1"/>
  <c r="L109" i="4" s="1"/>
  <c r="L110" i="4" s="1"/>
  <c r="L111" i="4" s="1"/>
  <c r="I103" i="4"/>
  <c r="I104" i="4" s="1"/>
  <c r="I105" i="4" s="1"/>
  <c r="I106" i="4" s="1"/>
  <c r="I107" i="4" s="1"/>
  <c r="I108" i="4" s="1"/>
  <c r="I109" i="4" s="1"/>
  <c r="I110" i="4" s="1"/>
  <c r="I111" i="4" s="1"/>
  <c r="J103" i="4"/>
  <c r="J104" i="4" s="1"/>
  <c r="J105" i="4" s="1"/>
  <c r="J106" i="4" s="1"/>
  <c r="J107" i="4" s="1"/>
  <c r="J108" i="4" s="1"/>
  <c r="J109" i="4" s="1"/>
  <c r="J110" i="4" s="1"/>
  <c r="J111" i="4" s="1"/>
  <c r="J93" i="4"/>
  <c r="J94" i="4"/>
  <c r="J95" i="4"/>
  <c r="J96" i="4"/>
  <c r="J97" i="4"/>
  <c r="J98" i="4"/>
  <c r="J99" i="4"/>
  <c r="J100" i="4"/>
  <c r="J101" i="4"/>
  <c r="J92" i="4"/>
  <c r="I93" i="4"/>
  <c r="I94" i="4" s="1"/>
  <c r="I95" i="4" s="1"/>
  <c r="I96" i="4" s="1"/>
  <c r="I97" i="4" s="1"/>
  <c r="I98" i="4" s="1"/>
  <c r="I99" i="4" s="1"/>
  <c r="I100" i="4" s="1"/>
  <c r="I101" i="4" s="1"/>
  <c r="I83" i="4"/>
  <c r="I84" i="4" s="1"/>
  <c r="I85" i="4" s="1"/>
  <c r="I86" i="4" s="1"/>
  <c r="I87" i="4" s="1"/>
  <c r="I88" i="4" s="1"/>
  <c r="I89" i="4" s="1"/>
  <c r="I90" i="4" s="1"/>
  <c r="I91" i="4" s="1"/>
  <c r="J83" i="4"/>
  <c r="J84" i="4" s="1"/>
  <c r="J85" i="4" s="1"/>
  <c r="J86" i="4" s="1"/>
  <c r="J87" i="4" s="1"/>
  <c r="J88" i="4" s="1"/>
  <c r="J89" i="4" s="1"/>
  <c r="J90" i="4" s="1"/>
  <c r="J91" i="4" s="1"/>
  <c r="K83" i="4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73" i="4"/>
  <c r="K74" i="4" s="1"/>
  <c r="K75" i="4" s="1"/>
  <c r="K76" i="4" s="1"/>
  <c r="K77" i="4" s="1"/>
  <c r="K78" i="4" s="1"/>
  <c r="K79" i="4" s="1"/>
  <c r="K80" i="4" s="1"/>
  <c r="K81" i="4" s="1"/>
  <c r="I73" i="4"/>
  <c r="I74" i="4" s="1"/>
  <c r="I75" i="4" s="1"/>
  <c r="I76" i="4" s="1"/>
  <c r="I77" i="4" s="1"/>
  <c r="I78" i="4" s="1"/>
  <c r="I79" i="4" s="1"/>
  <c r="I80" i="4" s="1"/>
  <c r="I81" i="4" s="1"/>
  <c r="J73" i="4"/>
  <c r="J74" i="4" s="1"/>
  <c r="J75" i="4" s="1"/>
  <c r="J76" i="4" s="1"/>
  <c r="J77" i="4" s="1"/>
  <c r="J78" i="4" s="1"/>
  <c r="J79" i="4" s="1"/>
  <c r="J80" i="4" s="1"/>
  <c r="J81" i="4" s="1"/>
  <c r="I63" i="4"/>
  <c r="I64" i="4" s="1"/>
  <c r="I65" i="4" s="1"/>
  <c r="I66" i="4" s="1"/>
  <c r="I67" i="4" s="1"/>
  <c r="I68" i="4" s="1"/>
  <c r="I69" i="4" s="1"/>
  <c r="I70" i="4" s="1"/>
  <c r="I71" i="4" s="1"/>
  <c r="J63" i="4"/>
  <c r="J64" i="4" s="1"/>
  <c r="J65" i="4" s="1"/>
  <c r="J66" i="4" s="1"/>
  <c r="J67" i="4" s="1"/>
  <c r="J68" i="4" s="1"/>
  <c r="J69" i="4" s="1"/>
  <c r="J70" i="4" s="1"/>
  <c r="J71" i="4" s="1"/>
  <c r="K63" i="4"/>
  <c r="K64" i="4" s="1"/>
  <c r="K65" i="4" s="1"/>
  <c r="K66" i="4" s="1"/>
  <c r="K67" i="4" s="1"/>
  <c r="K68" i="4" s="1"/>
  <c r="K69" i="4" s="1"/>
  <c r="K70" i="4" s="1"/>
  <c r="K71" i="4" s="1"/>
  <c r="I53" i="4"/>
  <c r="I54" i="4" s="1"/>
  <c r="I55" i="4" s="1"/>
  <c r="I56" i="4" s="1"/>
  <c r="I57" i="4" s="1"/>
  <c r="I58" i="4" s="1"/>
  <c r="I59" i="4" s="1"/>
  <c r="I60" i="4" s="1"/>
  <c r="I61" i="4" s="1"/>
  <c r="J53" i="4"/>
  <c r="J54" i="4" s="1"/>
  <c r="J55" i="4" s="1"/>
  <c r="J56" i="4" s="1"/>
  <c r="J57" i="4" s="1"/>
  <c r="J58" i="4" s="1"/>
  <c r="J59" i="4" s="1"/>
  <c r="J60" i="4" s="1"/>
  <c r="J61" i="4" s="1"/>
  <c r="K53" i="4"/>
  <c r="K54" i="4" s="1"/>
  <c r="K55" i="4" s="1"/>
  <c r="K56" i="4" s="1"/>
  <c r="K57" i="4" s="1"/>
  <c r="K58" i="4" s="1"/>
  <c r="K59" i="4" s="1"/>
  <c r="K60" i="4" s="1"/>
  <c r="K61" i="4" s="1"/>
  <c r="K43" i="4"/>
  <c r="K44" i="4" s="1"/>
  <c r="K45" i="4" s="1"/>
  <c r="K46" i="4" s="1"/>
  <c r="K47" i="4" s="1"/>
  <c r="K48" i="4" s="1"/>
  <c r="K49" i="4" s="1"/>
  <c r="K50" i="4" s="1"/>
  <c r="K51" i="4" s="1"/>
  <c r="J43" i="4"/>
  <c r="J44" i="4" s="1"/>
  <c r="J45" i="4" s="1"/>
  <c r="J46" i="4" s="1"/>
  <c r="J47" i="4" s="1"/>
  <c r="J48" i="4" s="1"/>
  <c r="J49" i="4" s="1"/>
  <c r="J50" i="4" s="1"/>
  <c r="J51" i="4" s="1"/>
  <c r="I43" i="4"/>
  <c r="I44" i="4" s="1"/>
  <c r="I45" i="4" s="1"/>
  <c r="I46" i="4" s="1"/>
  <c r="I47" i="4" s="1"/>
  <c r="I48" i="4" s="1"/>
  <c r="I49" i="4" s="1"/>
  <c r="I50" i="4" s="1"/>
  <c r="I51" i="4" s="1"/>
  <c r="K33" i="4"/>
  <c r="K34" i="4" s="1"/>
  <c r="K35" i="4" s="1"/>
  <c r="K36" i="4" s="1"/>
  <c r="K37" i="4" s="1"/>
  <c r="K38" i="4" s="1"/>
  <c r="K39" i="4" s="1"/>
  <c r="K40" i="4" s="1"/>
  <c r="K41" i="4" s="1"/>
  <c r="J33" i="4"/>
  <c r="J34" i="4" s="1"/>
  <c r="J35" i="4" s="1"/>
  <c r="J36" i="4" s="1"/>
  <c r="J37" i="4" s="1"/>
  <c r="J38" i="4" s="1"/>
  <c r="J39" i="4" s="1"/>
  <c r="J40" i="4" s="1"/>
  <c r="J41" i="4" s="1"/>
  <c r="I33" i="4"/>
  <c r="I34" i="4" s="1"/>
  <c r="I35" i="4" s="1"/>
  <c r="I36" i="4" s="1"/>
  <c r="I37" i="4" s="1"/>
  <c r="I38" i="4" s="1"/>
  <c r="I39" i="4" s="1"/>
  <c r="I40" i="4" s="1"/>
  <c r="I41" i="4" s="1"/>
  <c r="J23" i="4"/>
  <c r="J24" i="4"/>
  <c r="J25" i="4"/>
  <c r="J26" i="4"/>
  <c r="J27" i="4"/>
  <c r="J28" i="4"/>
  <c r="J29" i="4"/>
  <c r="J30" i="4"/>
  <c r="J31" i="4"/>
  <c r="J22" i="4"/>
  <c r="I23" i="4"/>
  <c r="I24" i="4"/>
  <c r="I25" i="4"/>
  <c r="I26" i="4"/>
  <c r="I27" i="4"/>
  <c r="I28" i="4"/>
  <c r="I29" i="4"/>
  <c r="I30" i="4"/>
  <c r="I31" i="4"/>
  <c r="I22" i="4"/>
  <c r="K23" i="4"/>
  <c r="K24" i="4"/>
  <c r="K25" i="4"/>
  <c r="K26" i="4"/>
  <c r="K27" i="4"/>
  <c r="K28" i="4"/>
  <c r="K29" i="4"/>
  <c r="K30" i="4"/>
  <c r="K31" i="4"/>
  <c r="K22" i="4"/>
  <c r="F19" i="6" l="1"/>
  <c r="T14" i="6"/>
  <c r="T26" i="6"/>
  <c r="T22" i="6"/>
  <c r="H14" i="6"/>
  <c r="H19" i="6" s="1"/>
  <c r="H24" i="6" s="1"/>
  <c r="H29" i="6" s="1"/>
  <c r="T25" i="6"/>
  <c r="T21" i="6"/>
  <c r="T13" i="6"/>
  <c r="T17" i="6"/>
  <c r="T20" i="6"/>
  <c r="T16" i="6"/>
  <c r="T12" i="6"/>
  <c r="T8" i="6"/>
  <c r="T23" i="6"/>
  <c r="T15" i="6"/>
  <c r="T11" i="6"/>
  <c r="T7" i="6"/>
  <c r="Q2" i="6"/>
  <c r="L2" i="6"/>
  <c r="P2" i="6" s="1"/>
  <c r="N4" i="6"/>
  <c r="N3" i="6"/>
  <c r="C15" i="6"/>
  <c r="C20" i="6" s="1"/>
  <c r="C25" i="6" s="1"/>
  <c r="C30" i="6" s="1"/>
  <c r="C18" i="6"/>
  <c r="C17" i="6"/>
  <c r="U2" i="5"/>
  <c r="U3" i="5"/>
  <c r="J3" i="4"/>
  <c r="J4" i="4"/>
  <c r="J5" i="4"/>
  <c r="J6" i="4"/>
  <c r="J7" i="4"/>
  <c r="J8" i="4"/>
  <c r="J9" i="4"/>
  <c r="J10" i="4"/>
  <c r="J11" i="4"/>
  <c r="J2" i="4"/>
  <c r="J13" i="4"/>
  <c r="J14" i="4"/>
  <c r="J15" i="4"/>
  <c r="J16" i="4"/>
  <c r="J17" i="4"/>
  <c r="J18" i="4"/>
  <c r="J19" i="4"/>
  <c r="J20" i="4"/>
  <c r="J21" i="4"/>
  <c r="J12" i="4"/>
  <c r="I13" i="4"/>
  <c r="I14" i="4"/>
  <c r="I15" i="4"/>
  <c r="I16" i="4"/>
  <c r="I17" i="4"/>
  <c r="I18" i="4"/>
  <c r="I19" i="4"/>
  <c r="I20" i="4"/>
  <c r="I21" i="4"/>
  <c r="I12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2" i="4"/>
  <c r="F21" i="4"/>
  <c r="F20" i="4"/>
  <c r="F19" i="4"/>
  <c r="F18" i="4"/>
  <c r="F17" i="4"/>
  <c r="F16" i="4"/>
  <c r="F15" i="4"/>
  <c r="F14" i="4"/>
  <c r="F13" i="4"/>
  <c r="F12" i="4"/>
  <c r="F3" i="4"/>
  <c r="F4" i="4"/>
  <c r="F5" i="4"/>
  <c r="F6" i="4"/>
  <c r="F7" i="4"/>
  <c r="F8" i="4"/>
  <c r="F9" i="4"/>
  <c r="F10" i="4"/>
  <c r="F11" i="4"/>
  <c r="F2" i="4"/>
  <c r="K13" i="4"/>
  <c r="K14" i="4"/>
  <c r="K15" i="4"/>
  <c r="K16" i="4"/>
  <c r="K17" i="4"/>
  <c r="K18" i="4"/>
  <c r="K19" i="4"/>
  <c r="K20" i="4"/>
  <c r="K21" i="4"/>
  <c r="K12" i="4"/>
  <c r="I2" i="4"/>
  <c r="K3" i="4"/>
  <c r="AC3" i="4" s="1"/>
  <c r="AD3" i="4" s="1"/>
  <c r="K4" i="4"/>
  <c r="AC4" i="4" s="1"/>
  <c r="AD4" i="4" s="1"/>
  <c r="K5" i="4"/>
  <c r="AC5" i="4" s="1"/>
  <c r="AD5" i="4" s="1"/>
  <c r="K6" i="4"/>
  <c r="AC6" i="4" s="1"/>
  <c r="AD6" i="4" s="1"/>
  <c r="K7" i="4"/>
  <c r="AC7" i="4" s="1"/>
  <c r="AD7" i="4" s="1"/>
  <c r="K8" i="4"/>
  <c r="AC8" i="4" s="1"/>
  <c r="AD8" i="4" s="1"/>
  <c r="K9" i="4"/>
  <c r="AC9" i="4" s="1"/>
  <c r="AD9" i="4" s="1"/>
  <c r="K10" i="4"/>
  <c r="AC10" i="4" s="1"/>
  <c r="AD10" i="4" s="1"/>
  <c r="K11" i="4"/>
  <c r="AC11" i="4" s="1"/>
  <c r="AD11" i="4" s="1"/>
  <c r="K2" i="4"/>
  <c r="AC2" i="4" s="1"/>
  <c r="AD2" i="4" s="1"/>
  <c r="I3" i="4"/>
  <c r="I4" i="4"/>
  <c r="I5" i="4"/>
  <c r="I6" i="4"/>
  <c r="I7" i="4"/>
  <c r="I8" i="4"/>
  <c r="I9" i="4"/>
  <c r="I10" i="4"/>
  <c r="I11" i="4"/>
  <c r="X2" i="6" l="1"/>
  <c r="F24" i="6"/>
  <c r="T19" i="6"/>
  <c r="O2" i="6"/>
  <c r="M3" i="6" s="1"/>
  <c r="L3" i="6"/>
  <c r="N5" i="6"/>
  <c r="L4" i="6"/>
  <c r="P4" i="6" s="1"/>
  <c r="N6" i="6"/>
  <c r="C23" i="6"/>
  <c r="C22" i="6"/>
  <c r="F29" i="6" l="1"/>
  <c r="T29" i="6" s="1"/>
  <c r="T24" i="6"/>
  <c r="P3" i="6"/>
  <c r="R3" i="6"/>
  <c r="L5" i="6"/>
  <c r="P5" i="6" s="1"/>
  <c r="L6" i="6"/>
  <c r="P6" i="6" s="1"/>
  <c r="N7" i="6"/>
  <c r="C28" i="6"/>
  <c r="C27" i="6"/>
  <c r="R4" i="6" l="1"/>
  <c r="Q3" i="6"/>
  <c r="L7" i="6"/>
  <c r="P7" i="6" s="1"/>
  <c r="N8" i="6"/>
  <c r="O3" i="6" l="1"/>
  <c r="M4" i="6" s="1"/>
  <c r="R5" i="6"/>
  <c r="Q4" i="6"/>
  <c r="L8" i="6"/>
  <c r="P8" i="6" s="1"/>
  <c r="N9" i="6"/>
  <c r="O4" i="6" l="1"/>
  <c r="M5" i="6" s="1"/>
  <c r="R6" i="6"/>
  <c r="Q5" i="6"/>
  <c r="L9" i="6"/>
  <c r="P9" i="6" s="1"/>
  <c r="N10" i="6"/>
  <c r="O5" i="6" l="1"/>
  <c r="M6" i="6" s="1"/>
  <c r="R7" i="6"/>
  <c r="Q6" i="6"/>
  <c r="L10" i="6"/>
  <c r="P10" i="6" s="1"/>
  <c r="N11" i="6"/>
  <c r="O6" i="6" l="1"/>
  <c r="M7" i="6" s="1"/>
  <c r="R8" i="6"/>
  <c r="Q7" i="6"/>
  <c r="L11" i="6"/>
  <c r="P11" i="6" s="1"/>
  <c r="N12" i="6"/>
  <c r="O7" i="6" l="1"/>
  <c r="M8" i="6" s="1"/>
  <c r="R9" i="6"/>
  <c r="Q8" i="6"/>
  <c r="L12" i="6"/>
  <c r="P12" i="6" s="1"/>
  <c r="N13" i="6"/>
  <c r="O8" i="6" l="1"/>
  <c r="M9" i="6" s="1"/>
  <c r="R10" i="6"/>
  <c r="Q9" i="6"/>
  <c r="L13" i="6"/>
  <c r="P13" i="6" s="1"/>
  <c r="N14" i="6"/>
  <c r="O9" i="6" l="1"/>
  <c r="M10" i="6" s="1"/>
  <c r="R11" i="6"/>
  <c r="Q10" i="6"/>
  <c r="L14" i="6"/>
  <c r="P14" i="6" s="1"/>
  <c r="N15" i="6"/>
  <c r="O10" i="6" l="1"/>
  <c r="M11" i="6" s="1"/>
  <c r="R12" i="6"/>
  <c r="Q11" i="6"/>
  <c r="L15" i="6"/>
  <c r="P15" i="6" s="1"/>
  <c r="N16" i="6"/>
  <c r="O11" i="6" l="1"/>
  <c r="M12" i="6" s="1"/>
  <c r="R13" i="6"/>
  <c r="Q12" i="6"/>
  <c r="L16" i="6"/>
  <c r="P16" i="6" s="1"/>
  <c r="N17" i="6"/>
  <c r="O12" i="6" l="1"/>
  <c r="M13" i="6" s="1"/>
  <c r="R14" i="6"/>
  <c r="Q13" i="6"/>
  <c r="L17" i="6"/>
  <c r="P17" i="6" s="1"/>
  <c r="N18" i="6"/>
  <c r="O13" i="6" l="1"/>
  <c r="M14" i="6" s="1"/>
  <c r="R15" i="6"/>
  <c r="Q14" i="6"/>
  <c r="L18" i="6"/>
  <c r="P18" i="6" s="1"/>
  <c r="N19" i="6"/>
  <c r="O14" i="6" l="1"/>
  <c r="M15" i="6" s="1"/>
  <c r="R16" i="6"/>
  <c r="Q15" i="6"/>
  <c r="L19" i="6"/>
  <c r="P19" i="6" s="1"/>
  <c r="N20" i="6"/>
  <c r="O15" i="6" l="1"/>
  <c r="M16" i="6" s="1"/>
  <c r="R17" i="6"/>
  <c r="Q16" i="6"/>
  <c r="L20" i="6"/>
  <c r="P20" i="6" s="1"/>
  <c r="N21" i="6"/>
  <c r="O16" i="6" l="1"/>
  <c r="M17" i="6" s="1"/>
  <c r="R18" i="6"/>
  <c r="Q17" i="6"/>
  <c r="L21" i="6"/>
  <c r="P21" i="6" s="1"/>
  <c r="N22" i="6"/>
  <c r="O17" i="6" l="1"/>
  <c r="M18" i="6" s="1"/>
  <c r="R19" i="6"/>
  <c r="Q18" i="6"/>
  <c r="L22" i="6"/>
  <c r="P22" i="6" s="1"/>
  <c r="N23" i="6"/>
  <c r="O18" i="6" l="1"/>
  <c r="M19" i="6" s="1"/>
  <c r="R20" i="6"/>
  <c r="Q19" i="6"/>
  <c r="L23" i="6"/>
  <c r="P23" i="6" s="1"/>
  <c r="N24" i="6"/>
  <c r="O19" i="6" l="1"/>
  <c r="M20" i="6" s="1"/>
  <c r="R21" i="6"/>
  <c r="Q20" i="6"/>
  <c r="L24" i="6"/>
  <c r="P24" i="6" s="1"/>
  <c r="N25" i="6"/>
  <c r="O20" i="6" l="1"/>
  <c r="M21" i="6" s="1"/>
  <c r="R22" i="6"/>
  <c r="Q21" i="6"/>
  <c r="L25" i="6"/>
  <c r="P25" i="6" s="1"/>
  <c r="N26" i="6"/>
  <c r="O21" i="6" l="1"/>
  <c r="M22" i="6" s="1"/>
  <c r="R23" i="6"/>
  <c r="Q22" i="6"/>
  <c r="L26" i="6"/>
  <c r="P26" i="6" s="1"/>
  <c r="N27" i="6"/>
  <c r="O22" i="6" l="1"/>
  <c r="M23" i="6" s="1"/>
  <c r="R24" i="6"/>
  <c r="Q23" i="6"/>
  <c r="L27" i="6"/>
  <c r="P27" i="6" s="1"/>
  <c r="N28" i="6"/>
  <c r="O23" i="6" l="1"/>
  <c r="M24" i="6" s="1"/>
  <c r="R25" i="6"/>
  <c r="Q24" i="6"/>
  <c r="L28" i="6"/>
  <c r="P28" i="6" s="1"/>
  <c r="N29" i="6"/>
  <c r="O24" i="6" l="1"/>
  <c r="M25" i="6" s="1"/>
  <c r="R26" i="6"/>
  <c r="Q25" i="6"/>
  <c r="L29" i="6"/>
  <c r="P29" i="6" s="1"/>
  <c r="N31" i="6"/>
  <c r="N30" i="6"/>
  <c r="O25" i="6" l="1"/>
  <c r="M26" i="6" s="1"/>
  <c r="R27" i="6"/>
  <c r="Q26" i="6"/>
  <c r="L30" i="6"/>
  <c r="P30" i="6" s="1"/>
  <c r="L31" i="6"/>
  <c r="P31" i="6" s="1"/>
  <c r="O26" i="6" l="1"/>
  <c r="M27" i="6" s="1"/>
  <c r="R28" i="6"/>
  <c r="Q27" i="6"/>
  <c r="O27" i="6" l="1"/>
  <c r="M28" i="6" s="1"/>
  <c r="R29" i="6"/>
  <c r="Q28" i="6"/>
  <c r="O28" i="6" l="1"/>
  <c r="M29" i="6" s="1"/>
  <c r="R30" i="6"/>
  <c r="Q29" i="6"/>
  <c r="O29" i="6" l="1"/>
  <c r="M30" i="6" s="1"/>
  <c r="R31" i="6"/>
  <c r="Q31" i="6" s="1"/>
  <c r="Q30" i="6"/>
  <c r="O30" i="6" l="1"/>
  <c r="M31" i="6" s="1"/>
  <c r="O31" i="6" s="1"/>
</calcChain>
</file>

<file path=xl/sharedStrings.xml><?xml version="1.0" encoding="utf-8"?>
<sst xmlns="http://schemas.openxmlformats.org/spreadsheetml/2006/main" count="2482" uniqueCount="431">
  <si>
    <t>初始血量</t>
    <phoneticPr fontId="1" type="noConversion"/>
  </si>
  <si>
    <t>初始金币</t>
    <phoneticPr fontId="1" type="noConversion"/>
  </si>
  <si>
    <t>序号</t>
    <phoneticPr fontId="1" type="noConversion"/>
  </si>
  <si>
    <t>名称</t>
    <phoneticPr fontId="1" type="noConversion"/>
  </si>
  <si>
    <t>等级</t>
    <phoneticPr fontId="1" type="noConversion"/>
  </si>
  <si>
    <t>攻击上限</t>
    <phoneticPr fontId="1" type="noConversion"/>
  </si>
  <si>
    <t>攻击下限</t>
    <phoneticPr fontId="1" type="noConversion"/>
  </si>
  <si>
    <t>攻击范围</t>
    <phoneticPr fontId="1" type="noConversion"/>
  </si>
  <si>
    <t>价格</t>
    <phoneticPr fontId="1" type="noConversion"/>
  </si>
  <si>
    <t>皇家弓箭手</t>
    <phoneticPr fontId="1" type="noConversion"/>
  </si>
  <si>
    <t>物理防御</t>
    <phoneticPr fontId="1" type="noConversion"/>
  </si>
  <si>
    <t>魔法防御</t>
    <phoneticPr fontId="1" type="noConversion"/>
  </si>
  <si>
    <t>技能1</t>
    <phoneticPr fontId="1" type="noConversion"/>
  </si>
  <si>
    <t>技能2</t>
  </si>
  <si>
    <t>技能3</t>
  </si>
  <si>
    <t>技能4</t>
  </si>
  <si>
    <t>圣骑士殿堂</t>
    <phoneticPr fontId="1" type="noConversion"/>
  </si>
  <si>
    <t>-</t>
    <phoneticPr fontId="1" type="noConversion"/>
  </si>
  <si>
    <t>猪头兵</t>
    <phoneticPr fontId="1" type="noConversion"/>
  </si>
  <si>
    <t>序号</t>
    <phoneticPr fontId="1" type="noConversion"/>
  </si>
  <si>
    <t>消耗</t>
    <phoneticPr fontId="1" type="noConversion"/>
  </si>
  <si>
    <t>效果</t>
    <phoneticPr fontId="1" type="noConversion"/>
  </si>
  <si>
    <t>作战口粮</t>
    <phoneticPr fontId="1" type="noConversion"/>
  </si>
  <si>
    <t>所有塔单位的生命值提高10%</t>
    <phoneticPr fontId="1" type="noConversion"/>
  </si>
  <si>
    <t>-</t>
    <phoneticPr fontId="1" type="noConversion"/>
  </si>
  <si>
    <t>瞄准装置</t>
    <phoneticPr fontId="1" type="noConversion"/>
  </si>
  <si>
    <t>行动纲领</t>
    <phoneticPr fontId="1" type="noConversion"/>
  </si>
  <si>
    <t>改进公式</t>
    <phoneticPr fontId="1" type="noConversion"/>
  </si>
  <si>
    <t>战斗狂热</t>
    <phoneticPr fontId="1" type="noConversion"/>
  </si>
  <si>
    <t>所有塔的攻击范围增加10%</t>
    <phoneticPr fontId="1" type="noConversion"/>
  </si>
  <si>
    <t>减少防御塔单位的刷新时间和援军的冷却时间</t>
    <phoneticPr fontId="1" type="noConversion"/>
  </si>
  <si>
    <t>使所有来自防御塔的爆炸伤害最大化，并增加其伤害范围</t>
    <phoneticPr fontId="1" type="noConversion"/>
  </si>
  <si>
    <t>减少所有防御塔技能20%的冷却时间</t>
    <phoneticPr fontId="1" type="noConversion"/>
  </si>
  <si>
    <t>明智投资</t>
    <phoneticPr fontId="1" type="noConversion"/>
  </si>
  <si>
    <t>黄金时间</t>
    <phoneticPr fontId="1" type="noConversion"/>
  </si>
  <si>
    <t>贵宾待遇</t>
    <phoneticPr fontId="1" type="noConversion"/>
  </si>
  <si>
    <t>防御塔在出售时返还其成本的90%</t>
    <phoneticPr fontId="1" type="noConversion"/>
  </si>
  <si>
    <t>增加提前召唤波次获得的额外金币奖励</t>
    <phoneticPr fontId="1" type="noConversion"/>
  </si>
  <si>
    <t>购买技能的最终等级时，退还其费用的50%</t>
    <phoneticPr fontId="1" type="noConversion"/>
  </si>
  <si>
    <t>知己知彼</t>
    <phoneticPr fontId="1" type="noConversion"/>
  </si>
  <si>
    <t>并肩作战</t>
    <phoneticPr fontId="1" type="noConversion"/>
  </si>
  <si>
    <t>活力无限</t>
    <phoneticPr fontId="1" type="noConversion"/>
  </si>
  <si>
    <t>矫健身手</t>
    <phoneticPr fontId="1" type="noConversion"/>
  </si>
  <si>
    <t>突破极限</t>
    <phoneticPr fontId="1" type="noConversion"/>
  </si>
  <si>
    <t>孤单英雄</t>
    <phoneticPr fontId="1" type="noConversion"/>
  </si>
  <si>
    <t>弱点打击</t>
    <phoneticPr fontId="1" type="noConversion"/>
  </si>
  <si>
    <t>铁匠大师</t>
    <phoneticPr fontId="1" type="noConversion"/>
  </si>
  <si>
    <t>提高援军血量和持续时间</t>
    <phoneticPr fontId="1" type="noConversion"/>
  </si>
  <si>
    <t>暗影号令</t>
    <phoneticPr fontId="1" type="noConversion"/>
  </si>
  <si>
    <t>强化训练</t>
    <phoneticPr fontId="1" type="noConversion"/>
  </si>
  <si>
    <t>灰烬之弓</t>
    <phoneticPr fontId="1" type="noConversion"/>
  </si>
  <si>
    <t>暗影唤鸦者</t>
    <phoneticPr fontId="1" type="noConversion"/>
  </si>
  <si>
    <t>王国义勇</t>
    <phoneticPr fontId="1" type="noConversion"/>
  </si>
  <si>
    <t>反伤护甲</t>
    <phoneticPr fontId="1" type="noConversion"/>
  </si>
  <si>
    <t>王国楷模</t>
    <phoneticPr fontId="1" type="noConversion"/>
  </si>
  <si>
    <t>无情阵线</t>
    <phoneticPr fontId="1" type="noConversion"/>
  </si>
  <si>
    <t>暗影随行</t>
    <phoneticPr fontId="1" type="noConversion"/>
  </si>
  <si>
    <t>共享储备</t>
    <phoneticPr fontId="1" type="noConversion"/>
  </si>
  <si>
    <t>惩戒之印</t>
    <phoneticPr fontId="1" type="noConversion"/>
  </si>
  <si>
    <t>灾厄诅咒</t>
    <phoneticPr fontId="1" type="noConversion"/>
  </si>
  <si>
    <t>英勇无畏</t>
    <phoneticPr fontId="1" type="noConversion"/>
  </si>
  <si>
    <t>王室忠魂</t>
    <phoneticPr fontId="1" type="noConversion"/>
  </si>
  <si>
    <t>奥数石柱</t>
    <phoneticPr fontId="1" type="noConversion"/>
  </si>
  <si>
    <t>生命赐福</t>
    <phoneticPr fontId="1" type="noConversion"/>
  </si>
  <si>
    <t>英雄的攻击将无视敌人10%的抗性</t>
    <phoneticPr fontId="1" type="noConversion"/>
  </si>
  <si>
    <t>当英雄们彼此靠近时会获得额外10%护甲</t>
    <phoneticPr fontId="1" type="noConversion"/>
  </si>
  <si>
    <t>减少所有英雄奥义10%的冷却时间</t>
    <phoneticPr fontId="1" type="noConversion"/>
  </si>
  <si>
    <t>英雄有20%几率闪避敌人攻击</t>
    <phoneticPr fontId="1" type="noConversion"/>
  </si>
  <si>
    <t>每个英雄奥义使用五次后，其冷却时间将立即重置</t>
    <phoneticPr fontId="1" type="noConversion"/>
  </si>
  <si>
    <t>增强援军的伤害和护甲</t>
    <phoneticPr fontId="1" type="noConversion"/>
  </si>
  <si>
    <t>暗影射手将取代援军，进行远程攻击并可以锁定飞行单位</t>
    <phoneticPr fontId="1" type="noConversion"/>
  </si>
  <si>
    <t>暗影射手的射程和攻击速度增加</t>
    <phoneticPr fontId="1" type="noConversion"/>
  </si>
  <si>
    <t>召唤援军时也会同时召唤一名暗影唤鸦者</t>
    <phoneticPr fontId="1" type="noConversion"/>
  </si>
  <si>
    <t>利尼维亚抵抗军将取代援军，他们是身穿厚重铠甲的坚韧战士</t>
    <phoneticPr fontId="1" type="noConversion"/>
  </si>
  <si>
    <t>利尼维亚抵抗军将反弹一部分近战伤害</t>
    <phoneticPr fontId="1" type="noConversion"/>
  </si>
  <si>
    <t>召唤援军时也会同时召唤一名骑士楷模</t>
    <phoneticPr fontId="1" type="noConversion"/>
  </si>
  <si>
    <t>每建立一座黑暗大军防御塔就会提高英雄的攻击伤害</t>
    <phoneticPr fontId="1" type="noConversion"/>
  </si>
  <si>
    <t>每建立一座利尼维亚防御塔就会提高英雄血量</t>
    <phoneticPr fontId="1" type="noConversion"/>
  </si>
  <si>
    <t>每带上一名黑暗大军的英雄就会提高防御塔的攻击伤害</t>
    <phoneticPr fontId="1" type="noConversion"/>
  </si>
  <si>
    <t>在关卡开始时提供额外金币</t>
    <phoneticPr fontId="1" type="noConversion"/>
  </si>
  <si>
    <t>将防御点替换为魔法封印，对经过的敌人造成伤害</t>
    <phoneticPr fontId="1" type="noConversion"/>
  </si>
  <si>
    <t>黑暗大军的英雄奥义现在能够使所有敌人减速</t>
    <phoneticPr fontId="1" type="noConversion"/>
  </si>
  <si>
    <t>英雄等级</t>
    <phoneticPr fontId="1" type="noConversion"/>
  </si>
  <si>
    <t>升级经验</t>
    <phoneticPr fontId="1" type="noConversion"/>
  </si>
  <si>
    <t>攻击类型</t>
    <phoneticPr fontId="1" type="noConversion"/>
  </si>
  <si>
    <t>攻击方式</t>
    <phoneticPr fontId="1" type="noConversion"/>
  </si>
  <si>
    <t>攻击上限</t>
    <phoneticPr fontId="1" type="noConversion"/>
  </si>
  <si>
    <t>攻击下限</t>
    <phoneticPr fontId="1" type="noConversion"/>
  </si>
  <si>
    <t>魔法防御</t>
    <phoneticPr fontId="1" type="noConversion"/>
  </si>
  <si>
    <t>物理防御</t>
    <phoneticPr fontId="1" type="noConversion"/>
  </si>
  <si>
    <t>攻击速度</t>
    <phoneticPr fontId="1" type="noConversion"/>
  </si>
  <si>
    <t>移动速度</t>
    <phoneticPr fontId="1" type="noConversion"/>
  </si>
  <si>
    <t>每带上一位利尼维亚的英雄就会减少建筑和升级防御塔费用</t>
    <phoneticPr fontId="1" type="noConversion"/>
  </si>
  <si>
    <t>将所有出口旗帜替换为奥术石柱，可将附近敌人往回传送</t>
    <phoneticPr fontId="1" type="noConversion"/>
  </si>
  <si>
    <t>利尼维亚的英雄奥义现在能够治疗和复活所有友方单位</t>
    <phoneticPr fontId="1" type="noConversion"/>
  </si>
  <si>
    <t>维斯珀</t>
    <phoneticPr fontId="1" type="noConversion"/>
  </si>
  <si>
    <t>蕾琳</t>
    <phoneticPr fontId="1" type="noConversion"/>
  </si>
  <si>
    <t>英雄势力</t>
    <phoneticPr fontId="1" type="noConversion"/>
  </si>
  <si>
    <t>尼鲁</t>
    <phoneticPr fontId="1" type="noConversion"/>
  </si>
  <si>
    <t>托雷斯</t>
    <phoneticPr fontId="1" type="noConversion"/>
  </si>
  <si>
    <t>安雅</t>
    <phoneticPr fontId="1" type="noConversion"/>
  </si>
  <si>
    <t>格里姆森</t>
    <phoneticPr fontId="1" type="noConversion"/>
  </si>
  <si>
    <t>布卢登</t>
    <phoneticPr fontId="1" type="noConversion"/>
  </si>
  <si>
    <t>赛莉恩</t>
    <phoneticPr fontId="1" type="noConversion"/>
  </si>
  <si>
    <t>奥纳格罗</t>
    <phoneticPr fontId="1" type="noConversion"/>
  </si>
  <si>
    <t>战争巨头</t>
    <phoneticPr fontId="1" type="noConversion"/>
  </si>
  <si>
    <t>卢米妮尔</t>
    <phoneticPr fontId="1" type="noConversion"/>
  </si>
  <si>
    <t>科斯米尔</t>
    <phoneticPr fontId="1" type="noConversion"/>
  </si>
  <si>
    <t>斯特蕾吉</t>
    <phoneticPr fontId="1" type="noConversion"/>
  </si>
  <si>
    <t>波恩哈特</t>
    <phoneticPr fontId="1" type="noConversion"/>
  </si>
  <si>
    <t>利尼维亚</t>
    <phoneticPr fontId="1" type="noConversion"/>
  </si>
  <si>
    <t>黑暗大军</t>
    <phoneticPr fontId="1" type="noConversion"/>
  </si>
  <si>
    <t>攻击范围</t>
    <phoneticPr fontId="1" type="noConversion"/>
  </si>
  <si>
    <t>关卡</t>
    <phoneticPr fontId="1" type="noConversion"/>
  </si>
  <si>
    <t>波数</t>
    <phoneticPr fontId="1" type="noConversion"/>
  </si>
  <si>
    <t>掉落金币</t>
    <phoneticPr fontId="1" type="noConversion"/>
  </si>
  <si>
    <t>掉落经验</t>
    <phoneticPr fontId="1" type="noConversion"/>
  </si>
  <si>
    <t>怪物名称</t>
    <phoneticPr fontId="1" type="noConversion"/>
  </si>
  <si>
    <t>近战</t>
    <phoneticPr fontId="1" type="noConversion"/>
  </si>
  <si>
    <t>物理</t>
    <phoneticPr fontId="1" type="noConversion"/>
  </si>
  <si>
    <t>血量</t>
    <phoneticPr fontId="1" type="noConversion"/>
  </si>
  <si>
    <t>远程</t>
    <phoneticPr fontId="1" type="noConversion"/>
  </si>
  <si>
    <t>獠牙斗士</t>
    <phoneticPr fontId="1" type="noConversion"/>
  </si>
  <si>
    <t>援军</t>
    <phoneticPr fontId="1" type="noConversion"/>
  </si>
  <si>
    <t>单位生命</t>
    <phoneticPr fontId="1" type="noConversion"/>
  </si>
  <si>
    <t>奥数法师</t>
    <phoneticPr fontId="1" type="noConversion"/>
  </si>
  <si>
    <t>魔法</t>
    <phoneticPr fontId="1" type="noConversion"/>
  </si>
  <si>
    <t>技能点</t>
    <phoneticPr fontId="1" type="noConversion"/>
  </si>
  <si>
    <t>技能1</t>
    <phoneticPr fontId="1" type="noConversion"/>
  </si>
  <si>
    <t>技能5</t>
  </si>
  <si>
    <t>穿膝利箭</t>
  </si>
  <si>
    <t>穿膝利箭</t>
    <phoneticPr fontId="1" type="noConversion"/>
  </si>
  <si>
    <t>弹射箭矢</t>
  </si>
  <si>
    <t>弹射箭矢</t>
    <phoneticPr fontId="1" type="noConversion"/>
  </si>
  <si>
    <t>武艺绽放</t>
  </si>
  <si>
    <t>武艺绽放</t>
    <phoneticPr fontId="1" type="noConversion"/>
  </si>
  <si>
    <t>金蝉脱壳</t>
  </si>
  <si>
    <t>金蝉脱壳</t>
    <phoneticPr fontId="1" type="noConversion"/>
  </si>
  <si>
    <t>箭矢风暴</t>
  </si>
  <si>
    <t>箭矢风暴</t>
    <phoneticPr fontId="1" type="noConversion"/>
  </si>
  <si>
    <t>坚不可摧</t>
  </si>
  <si>
    <t>坚不可摧</t>
    <phoneticPr fontId="1" type="noConversion"/>
  </si>
  <si>
    <t>闻风丧胆</t>
  </si>
  <si>
    <t>闻风丧胆</t>
    <phoneticPr fontId="1" type="noConversion"/>
  </si>
  <si>
    <t>残酷斩击</t>
  </si>
  <si>
    <t>残酷斩击</t>
    <phoneticPr fontId="1" type="noConversion"/>
  </si>
  <si>
    <t>全力猛攻</t>
  </si>
  <si>
    <t>全力猛攻</t>
    <phoneticPr fontId="1" type="noConversion"/>
  </si>
  <si>
    <t>指挥号令</t>
  </si>
  <si>
    <t>指挥号令</t>
    <phoneticPr fontId="1" type="noConversion"/>
  </si>
  <si>
    <t>哨兵仙灵</t>
  </si>
  <si>
    <t>哨兵仙灵</t>
    <phoneticPr fontId="1" type="noConversion"/>
  </si>
  <si>
    <t>翠绿迸发</t>
  </si>
  <si>
    <t>翠绿迸发</t>
    <phoneticPr fontId="1" type="noConversion"/>
  </si>
  <si>
    <t>叶片旋风</t>
  </si>
  <si>
    <t>叶片旋风</t>
    <phoneticPr fontId="1" type="noConversion"/>
  </si>
  <si>
    <t>衰弱咒语</t>
  </si>
  <si>
    <t>衰弱咒语</t>
    <phoneticPr fontId="1" type="noConversion"/>
  </si>
  <si>
    <t>根系守卫</t>
  </si>
  <si>
    <t>根系守卫</t>
    <phoneticPr fontId="1" type="noConversion"/>
  </si>
  <si>
    <t>正在施工</t>
  </si>
  <si>
    <t>正在施工</t>
    <phoneticPr fontId="1" type="noConversion"/>
  </si>
  <si>
    <t>午休时间</t>
  </si>
  <si>
    <t>午休时间</t>
    <phoneticPr fontId="1" type="noConversion"/>
  </si>
  <si>
    <t>拆迁达人</t>
  </si>
  <si>
    <t>拆迁达人</t>
    <phoneticPr fontId="1" type="noConversion"/>
  </si>
  <si>
    <t>防御塔楼</t>
  </si>
  <si>
    <t>防御塔楼</t>
    <phoneticPr fontId="1" type="noConversion"/>
  </si>
  <si>
    <t>破城钢球</t>
  </si>
  <si>
    <t>破城钢球</t>
    <phoneticPr fontId="1" type="noConversion"/>
  </si>
  <si>
    <t>吸血爪击</t>
  </si>
  <si>
    <t>吸血爪击</t>
    <phoneticPr fontId="1" type="noConversion"/>
  </si>
  <si>
    <t>迷雾步伐</t>
  </si>
  <si>
    <t>迷雾步伐</t>
    <phoneticPr fontId="1" type="noConversion"/>
  </si>
  <si>
    <t>银白风暴</t>
  </si>
  <si>
    <t>银白风暴</t>
    <phoneticPr fontId="1" type="noConversion"/>
  </si>
  <si>
    <t>黄昏血妖</t>
  </si>
  <si>
    <t>黄昏血妖</t>
    <phoneticPr fontId="1" type="noConversion"/>
  </si>
  <si>
    <t>猎人援助</t>
  </si>
  <si>
    <t>猎人援助</t>
    <phoneticPr fontId="1" type="noConversion"/>
  </si>
  <si>
    <t>贯心追猎</t>
  </si>
  <si>
    <t>贯心追猎</t>
    <phoneticPr fontId="1" type="noConversion"/>
  </si>
  <si>
    <t>原始野性</t>
  </si>
  <si>
    <t>原始野性</t>
    <phoneticPr fontId="1" type="noConversion"/>
  </si>
  <si>
    <t>致命尖刺</t>
  </si>
  <si>
    <t>致命尖刺</t>
    <phoneticPr fontId="1" type="noConversion"/>
  </si>
  <si>
    <t>重塑血肉</t>
  </si>
  <si>
    <t>重塑血肉</t>
    <phoneticPr fontId="1" type="noConversion"/>
  </si>
  <si>
    <t>死亡蔓延</t>
  </si>
  <si>
    <t>死亡蔓延</t>
    <phoneticPr fontId="1" type="noConversion"/>
  </si>
  <si>
    <t>扫荡轰炸</t>
  </si>
  <si>
    <t>扫荡轰炸</t>
    <phoneticPr fontId="1" type="noConversion"/>
  </si>
  <si>
    <t>恐怖尖啸</t>
  </si>
  <si>
    <t>恐怖尖啸</t>
    <phoneticPr fontId="1" type="noConversion"/>
  </si>
  <si>
    <t>惩戒子弹</t>
  </si>
  <si>
    <t>惩戒子弹</t>
    <phoneticPr fontId="1" type="noConversion"/>
  </si>
  <si>
    <t>狩猎俯冲</t>
  </si>
  <si>
    <t>狩猎俯冲</t>
    <phoneticPr fontId="1" type="noConversion"/>
  </si>
  <si>
    <t>纷争之翼</t>
  </si>
  <si>
    <t>纷争之翼</t>
    <phoneticPr fontId="1" type="noConversion"/>
  </si>
  <si>
    <t>星界镜像</t>
  </si>
  <si>
    <t>星界镜像</t>
    <phoneticPr fontId="1" type="noConversion"/>
  </si>
  <si>
    <t>黑曜庇护</t>
  </si>
  <si>
    <t>黑曜庇护</t>
    <phoneticPr fontId="1" type="noConversion"/>
  </si>
  <si>
    <t>虚空裂缝</t>
  </si>
  <si>
    <t>虚空裂缝</t>
    <phoneticPr fontId="1" type="noConversion"/>
  </si>
  <si>
    <t>空间畸变</t>
  </si>
  <si>
    <t>空间畸变</t>
    <phoneticPr fontId="1" type="noConversion"/>
  </si>
  <si>
    <t>异域囚笼</t>
  </si>
  <si>
    <t>异域囚笼</t>
    <phoneticPr fontId="1" type="noConversion"/>
  </si>
  <si>
    <t>哥布林无人机</t>
  </si>
  <si>
    <t>哥布林无人机</t>
    <phoneticPr fontId="1" type="noConversion"/>
  </si>
  <si>
    <t>焦油炸弹</t>
  </si>
  <si>
    <t>焦油炸弹</t>
    <phoneticPr fontId="1" type="noConversion"/>
  </si>
  <si>
    <t>冲力猛击</t>
  </si>
  <si>
    <t>冲力猛击</t>
    <phoneticPr fontId="1" type="noConversion"/>
  </si>
  <si>
    <t>地雷部署</t>
  </si>
  <si>
    <t>地雷部署</t>
    <phoneticPr fontId="1" type="noConversion"/>
  </si>
  <si>
    <t>死神天降</t>
  </si>
  <si>
    <t>死神天降</t>
    <phoneticPr fontId="1" type="noConversion"/>
  </si>
  <si>
    <t>震撼冲击</t>
  </si>
  <si>
    <t>震撼冲击</t>
    <phoneticPr fontId="1" type="noConversion"/>
  </si>
  <si>
    <t>瓦斯烟幕</t>
  </si>
  <si>
    <t>瓦斯烟幕</t>
    <phoneticPr fontId="1" type="noConversion"/>
  </si>
  <si>
    <t>战争献祭</t>
  </si>
  <si>
    <t>战争献祭</t>
    <phoneticPr fontId="1" type="noConversion"/>
  </si>
  <si>
    <t>钢铁勾拳</t>
  </si>
  <si>
    <t>钢铁勾拳</t>
    <phoneticPr fontId="1" type="noConversion"/>
  </si>
  <si>
    <t>轰鸣火车</t>
  </si>
  <si>
    <t>轰鸣火车</t>
    <phoneticPr fontId="1" type="noConversion"/>
  </si>
  <si>
    <t>光辉波动</t>
  </si>
  <si>
    <t>光辉波动</t>
    <phoneticPr fontId="1" type="noConversion"/>
  </si>
  <si>
    <t>光明伙伴</t>
  </si>
  <si>
    <t>光明伙伴</t>
    <phoneticPr fontId="1" type="noConversion"/>
  </si>
  <si>
    <t>反伤赐福</t>
  </si>
  <si>
    <t>反伤赐福</t>
    <phoneticPr fontId="1" type="noConversion"/>
  </si>
  <si>
    <t>天国裁决</t>
  </si>
  <si>
    <t>天国裁决</t>
    <phoneticPr fontId="1" type="noConversion"/>
  </si>
  <si>
    <t>光耀凯歌</t>
  </si>
  <si>
    <t>光耀凯歌</t>
    <phoneticPr fontId="1" type="noConversion"/>
  </si>
  <si>
    <t>结晶吐息</t>
  </si>
  <si>
    <t>结晶吐息</t>
    <phoneticPr fontId="1" type="noConversion"/>
  </si>
  <si>
    <t>棱晶碎片</t>
  </si>
  <si>
    <t>棱晶碎片</t>
    <phoneticPr fontId="1" type="noConversion"/>
  </si>
  <si>
    <t>红晶石冢</t>
  </si>
  <si>
    <t>红晶石冢</t>
    <phoneticPr fontId="1" type="noConversion"/>
  </si>
  <si>
    <t>能量输导</t>
  </si>
  <si>
    <t>能量输导</t>
    <phoneticPr fontId="1" type="noConversion"/>
  </si>
  <si>
    <t>水晶崩落</t>
  </si>
  <si>
    <t>水晶崩落</t>
    <phoneticPr fontId="1" type="noConversion"/>
  </si>
  <si>
    <t>变成蔬菜</t>
  </si>
  <si>
    <t>变成蔬菜</t>
    <phoneticPr fontId="1" type="noConversion"/>
  </si>
  <si>
    <t>闪光诱饵</t>
  </si>
  <si>
    <t>闪光诱饵</t>
    <phoneticPr fontId="1" type="noConversion"/>
  </si>
  <si>
    <t>黑夜煞星</t>
  </si>
  <si>
    <t>黑夜煞星</t>
    <phoneticPr fontId="1" type="noConversion"/>
  </si>
  <si>
    <t>咻~啪啦！！</t>
  </si>
  <si>
    <t>咻~啪啦！！</t>
    <phoneticPr fontId="1" type="noConversion"/>
  </si>
  <si>
    <t>昏昏欲退</t>
  </si>
  <si>
    <t>昏昏欲退</t>
    <phoneticPr fontId="1" type="noConversion"/>
  </si>
  <si>
    <t>瘟神毒雾</t>
  </si>
  <si>
    <t>瘟神毒雾</t>
    <phoneticPr fontId="1" type="noConversion"/>
  </si>
  <si>
    <t>疫病灾星</t>
  </si>
  <si>
    <t>疫病灾星</t>
    <phoneticPr fontId="1" type="noConversion"/>
  </si>
  <si>
    <t>脊骨骤雨</t>
  </si>
  <si>
    <t>脊骨骤雨</t>
    <phoneticPr fontId="1" type="noConversion"/>
  </si>
  <si>
    <t>爆发感染</t>
  </si>
  <si>
    <t>爆发感染</t>
    <phoneticPr fontId="1" type="noConversion"/>
  </si>
  <si>
    <t>化骨为龙</t>
  </si>
  <si>
    <t>化骨为龙</t>
    <phoneticPr fontId="1" type="noConversion"/>
  </si>
  <si>
    <t>等级</t>
    <phoneticPr fontId="1" type="noConversion"/>
  </si>
  <si>
    <t>消耗类型</t>
    <phoneticPr fontId="1" type="noConversion"/>
  </si>
  <si>
    <t>技能类型</t>
    <phoneticPr fontId="1" type="noConversion"/>
  </si>
  <si>
    <t>英雄技能</t>
    <phoneticPr fontId="1" type="noConversion"/>
  </si>
  <si>
    <t>真实</t>
    <phoneticPr fontId="1" type="noConversion"/>
  </si>
  <si>
    <t>升级技能</t>
    <phoneticPr fontId="1" type="noConversion"/>
  </si>
  <si>
    <t>升级点</t>
    <phoneticPr fontId="1" type="noConversion"/>
  </si>
  <si>
    <t>防御塔技能</t>
    <phoneticPr fontId="1" type="noConversion"/>
  </si>
  <si>
    <t>金币</t>
    <phoneticPr fontId="1" type="noConversion"/>
  </si>
  <si>
    <t>技能对象</t>
    <phoneticPr fontId="1" type="noConversion"/>
  </si>
  <si>
    <t>通用</t>
    <phoneticPr fontId="1" type="noConversion"/>
  </si>
  <si>
    <t>英雄们远离彼此时获得更多经验</t>
    <phoneticPr fontId="1" type="noConversion"/>
  </si>
  <si>
    <t>英雄的攻击有20%几率造成暴击伤害</t>
    <phoneticPr fontId="1" type="noConversion"/>
  </si>
  <si>
    <t>冷却时间</t>
    <phoneticPr fontId="1" type="noConversion"/>
  </si>
  <si>
    <t>技能等级</t>
    <phoneticPr fontId="1" type="noConversion"/>
  </si>
  <si>
    <t>射出一支利箭，眩晕敌人0.5秒，造成40点物理伤害</t>
    <phoneticPr fontId="1" type="noConversion"/>
  </si>
  <si>
    <t>射出一支利箭，在3名敌人间弹射，每次造成35点物理伤害</t>
    <phoneticPr fontId="1" type="noConversion"/>
  </si>
  <si>
    <t>当维斯珀的生命值低于40%时 ，会向后跳跃避开下一次近战攻击，接着射出三支箭矢，每支对附近敌人造成40点物理伤害</t>
    <phoneticPr fontId="1" type="noConversion"/>
  </si>
  <si>
    <t>朝一片区域倾泻20支箭矢，每支对敌人造成25点物理伤害</t>
    <phoneticPr fontId="1" type="noConversion"/>
  </si>
  <si>
    <t>射出一支利箭，眩晕敌人0.75秒，造成70点物理伤害</t>
    <phoneticPr fontId="1" type="noConversion"/>
  </si>
  <si>
    <t>射出一支利箭，眩晕敌人1秒，造成90点物理伤害</t>
    <phoneticPr fontId="1" type="noConversion"/>
  </si>
  <si>
    <t>射出一支利箭，在5名敌人间弹射，每次造成35点物理伤害</t>
    <phoneticPr fontId="1" type="noConversion"/>
  </si>
  <si>
    <t>射出一支利箭，在8名敌人间弹射，每次造成35点物理伤害</t>
    <phoneticPr fontId="1" type="noConversion"/>
  </si>
  <si>
    <t>攻击一名敌人三次，共造成90点物理伤害</t>
    <phoneticPr fontId="1" type="noConversion"/>
  </si>
  <si>
    <t>攻击一名敌人三次，共造成180点物理伤害</t>
    <phoneticPr fontId="1" type="noConversion"/>
  </si>
  <si>
    <t>攻击一名敌人三次，共造成270点物理伤害</t>
    <phoneticPr fontId="1" type="noConversion"/>
  </si>
  <si>
    <t>当维斯珀的生命值低于40%时 ，会向后跳跃避开下一次近战攻击，接着射出三支箭矢，每支对附近敌人造成80点物理伤害</t>
    <phoneticPr fontId="1" type="noConversion"/>
  </si>
  <si>
    <t>当维斯珀的生命值低于40%时 ，会向后跳跃避开下一次近战攻击，接着射出三支箭矢，每支对附近敌人造成120点物理伤害</t>
    <phoneticPr fontId="1" type="noConversion"/>
  </si>
  <si>
    <t>朝一片区域倾泻24支箭矢，每支对敌人造成30点物理伤害</t>
    <phoneticPr fontId="1" type="noConversion"/>
  </si>
  <si>
    <t>朝一片区域倾泻28支箭矢，每支对敌人造成35点物理伤害</t>
    <phoneticPr fontId="1" type="noConversion"/>
  </si>
  <si>
    <t>三管加农炮</t>
    <phoneticPr fontId="1" type="noConversion"/>
  </si>
  <si>
    <t>巨弩哨站</t>
    <phoneticPr fontId="1" type="noConversion"/>
  </si>
  <si>
    <t>树灵使者</t>
    <phoneticPr fontId="1" type="noConversion"/>
  </si>
  <si>
    <t>恶魔熔坑</t>
    <phoneticPr fontId="1" type="noConversion"/>
  </si>
  <si>
    <t>酿酒战匠</t>
    <phoneticPr fontId="1" type="noConversion"/>
  </si>
  <si>
    <t>死灵法师</t>
    <phoneticPr fontId="1" type="noConversion"/>
  </si>
  <si>
    <t>精灵观星者</t>
    <phoneticPr fontId="1" type="noConversion"/>
  </si>
  <si>
    <t>矮人喷火器</t>
    <phoneticPr fontId="1" type="noConversion"/>
  </si>
  <si>
    <t>沙丘哨兵</t>
    <phoneticPr fontId="1" type="noConversion"/>
  </si>
  <si>
    <t>火箭枪手</t>
    <phoneticPr fontId="1" type="noConversion"/>
  </si>
  <si>
    <t>诡术魔导师</t>
    <phoneticPr fontId="1" type="noConversion"/>
  </si>
  <si>
    <t>幽冥战魂</t>
    <phoneticPr fontId="1" type="noConversion"/>
  </si>
  <si>
    <t>暮光长弓</t>
    <phoneticPr fontId="1" type="noConversion"/>
  </si>
  <si>
    <t>穿甲射击</t>
    <phoneticPr fontId="1" type="noConversion"/>
  </si>
  <si>
    <t>贪婪猎手</t>
    <phoneticPr fontId="1" type="noConversion"/>
  </si>
  <si>
    <t>身先士卒</t>
    <phoneticPr fontId="1" type="noConversion"/>
  </si>
  <si>
    <t>治愈祷告</t>
    <phoneticPr fontId="1" type="noConversion"/>
  </si>
  <si>
    <t>分解射线</t>
    <phoneticPr fontId="1" type="noConversion"/>
  </si>
  <si>
    <t>强化光环</t>
    <phoneticPr fontId="1" type="noConversion"/>
  </si>
  <si>
    <t>过热模式</t>
    <phoneticPr fontId="1" type="noConversion"/>
  </si>
  <si>
    <t>猛烈轰炸</t>
    <phoneticPr fontId="1" type="noConversion"/>
  </si>
  <si>
    <t>终结一钉</t>
    <phoneticPr fontId="1" type="noConversion"/>
  </si>
  <si>
    <t>废品炸弹</t>
    <phoneticPr fontId="1" type="noConversion"/>
  </si>
  <si>
    <t>自然馈赠</t>
    <phoneticPr fontId="1" type="noConversion"/>
  </si>
  <si>
    <t>荆棘缠绕</t>
    <phoneticPr fontId="1" type="noConversion"/>
  </si>
  <si>
    <t>天降魔头</t>
    <phoneticPr fontId="1" type="noConversion"/>
  </si>
  <si>
    <t>爆炸大师</t>
    <phoneticPr fontId="1" type="noConversion"/>
  </si>
  <si>
    <t>神奇药酒</t>
    <phoneticPr fontId="1" type="noConversion"/>
  </si>
  <si>
    <t>不良批次</t>
    <phoneticPr fontId="1" type="noConversion"/>
  </si>
  <si>
    <t>颤骨图腾</t>
    <phoneticPr fontId="1" type="noConversion"/>
  </si>
  <si>
    <t>亡灵骑士</t>
    <phoneticPr fontId="1" type="noConversion"/>
  </si>
  <si>
    <t>事件视界</t>
    <phoneticPr fontId="1" type="noConversion"/>
  </si>
  <si>
    <t>星光涌现</t>
    <phoneticPr fontId="1" type="noConversion"/>
  </si>
  <si>
    <t>炽热轨迹</t>
    <phoneticPr fontId="1" type="noConversion"/>
  </si>
  <si>
    <t>烈焰火柱</t>
    <phoneticPr fontId="1" type="noConversion"/>
  </si>
  <si>
    <t>赏金狩猎</t>
    <phoneticPr fontId="1" type="noConversion"/>
  </si>
  <si>
    <t>厄运回旋</t>
    <phoneticPr fontId="1" type="noConversion"/>
  </si>
  <si>
    <t>磷化子弹</t>
    <phoneticPr fontId="1" type="noConversion"/>
  </si>
  <si>
    <t>蜂刺导弹</t>
    <phoneticPr fontId="1" type="noConversion"/>
  </si>
  <si>
    <t>魔力溢流</t>
    <phoneticPr fontId="1" type="noConversion"/>
  </si>
  <si>
    <t>变形魔咒</t>
    <phoneticPr fontId="1" type="noConversion"/>
  </si>
  <si>
    <t>永恒恐惧</t>
    <phoneticPr fontId="1" type="noConversion"/>
  </si>
  <si>
    <t>灵魂虹吸</t>
    <phoneticPr fontId="1" type="noConversion"/>
  </si>
  <si>
    <t>利刃援军</t>
    <phoneticPr fontId="1" type="noConversion"/>
  </si>
  <si>
    <t>猎杀戾气</t>
    <phoneticPr fontId="1" type="noConversion"/>
  </si>
  <si>
    <t>皇家弓箭手</t>
    <phoneticPr fontId="1" type="noConversion"/>
  </si>
  <si>
    <t>圣骑士殿堂</t>
    <phoneticPr fontId="1" type="noConversion"/>
  </si>
  <si>
    <t>技能名称</t>
    <phoneticPr fontId="1" type="noConversion"/>
  </si>
  <si>
    <t>射出三支强化箭矢，造成38-58点物理伤害，并无视敌人20%的护甲</t>
    <phoneticPr fontId="1" type="noConversion"/>
  </si>
  <si>
    <t>召唤一只战鹰攻击路径上的敌人，造成18-26点物理伤害</t>
    <phoneticPr fontId="1" type="noConversion"/>
  </si>
  <si>
    <t>射出三支强化箭矢，造成78-118点物理伤害，并无视敌人35%的护甲</t>
    <phoneticPr fontId="1" type="noConversion"/>
  </si>
  <si>
    <t>射出三支强化箭矢，造成118-158点物理伤害，并无视敌人50%的护甲</t>
    <phoneticPr fontId="1" type="noConversion"/>
  </si>
  <si>
    <t>召唤一只战鹰攻击路径上的敌人，造成34-52点物理伤害</t>
    <phoneticPr fontId="1" type="noConversion"/>
  </si>
  <si>
    <t>召唤一只战鹰攻击路径上的敌人，造成50-68点物理伤害</t>
    <phoneticPr fontId="1" type="noConversion"/>
  </si>
  <si>
    <t>攻击速度</t>
    <phoneticPr fontId="1" type="noConversion"/>
  </si>
  <si>
    <t>攻击数量</t>
    <phoneticPr fontId="1" type="noConversion"/>
  </si>
  <si>
    <t>性价比</t>
    <phoneticPr fontId="1" type="noConversion"/>
  </si>
  <si>
    <t>等效DPS</t>
    <phoneticPr fontId="1" type="noConversion"/>
  </si>
  <si>
    <t>波次</t>
    <phoneticPr fontId="1" type="noConversion"/>
  </si>
  <si>
    <t>怪物1</t>
    <phoneticPr fontId="1" type="noConversion"/>
  </si>
  <si>
    <t>怪物2</t>
  </si>
  <si>
    <t>怪物数量</t>
    <phoneticPr fontId="1" type="noConversion"/>
  </si>
  <si>
    <t>死亡骑士</t>
    <phoneticPr fontId="1" type="noConversion"/>
  </si>
  <si>
    <t>角色名称</t>
    <phoneticPr fontId="1" type="noConversion"/>
  </si>
  <si>
    <t>角色类型</t>
    <phoneticPr fontId="1" type="noConversion"/>
  </si>
  <si>
    <t>英雄</t>
    <phoneticPr fontId="1" type="noConversion"/>
  </si>
  <si>
    <t>召唤物</t>
    <phoneticPr fontId="1" type="noConversion"/>
  </si>
  <si>
    <t>助战</t>
    <phoneticPr fontId="1" type="noConversion"/>
  </si>
  <si>
    <t>DPS计算公式示例如下，由于过多会卡顿因此单独展示</t>
    <phoneticPr fontId="1" type="noConversion"/>
  </si>
  <si>
    <t>小骨龙</t>
    <phoneticPr fontId="1" type="noConversion"/>
  </si>
  <si>
    <t>树灵荆棘矛兵</t>
    <phoneticPr fontId="1" type="noConversion"/>
  </si>
  <si>
    <t>暗影射手</t>
    <phoneticPr fontId="1" type="noConversion"/>
  </si>
  <si>
    <t>利尼维亚抵抗军</t>
    <phoneticPr fontId="1" type="noConversion"/>
  </si>
  <si>
    <t>骑士楷模</t>
    <phoneticPr fontId="1" type="noConversion"/>
  </si>
  <si>
    <t>标准普通怪物输出</t>
    <phoneticPr fontId="1" type="noConversion"/>
  </si>
  <si>
    <t>标准精英怪物输出</t>
    <phoneticPr fontId="1" type="noConversion"/>
  </si>
  <si>
    <t>标准BOSS怪物输出</t>
    <phoneticPr fontId="1" type="noConversion"/>
  </si>
  <si>
    <t>DPL(每生命承伤次数)</t>
    <phoneticPr fontId="1" type="noConversion"/>
  </si>
  <si>
    <t>DPK(每生命击杀)</t>
    <phoneticPr fontId="1" type="noConversion"/>
  </si>
  <si>
    <t>标准普通怪物血量</t>
    <phoneticPr fontId="1" type="noConversion"/>
  </si>
  <si>
    <t>标准精英怪物血量</t>
    <phoneticPr fontId="1" type="noConversion"/>
  </si>
  <si>
    <t>标准BOSS怪物血量</t>
    <phoneticPr fontId="1" type="noConversion"/>
  </si>
  <si>
    <t>=ROUND(((I2+J2)/2/N2+IFERROR(XLOOKUP(1,(技能表!$B:$B=R2)*(技能表!$C:$C=S2),技能表!$F:$F),0)+IFERROR(XLOOKUP(1,(技能表!$B:$B=T2)*(技能表!$C:$C=U2),技能表!$F:$F),0)+IFERROR(XLOOKUP(1,(技能表!$B:$B=V2)*(技能表!$C:$C=W2),技能表!$F:$F),0)+IFERROR(XLOOKUP(1,(技能表!$B:$B=X2)*(技能表!$C:$C=Y2),技能表!$F:$F),0)+IFERROR(XLOOKUP(1,(技能表!$B:$B=Z2)*(技能表!$C:$C=AA2),技能表!$F:$F),0))*((100-(设定表!$C$16+设定表!$C$19)/2)/100),1)</t>
    <phoneticPr fontId="1" type="noConversion"/>
  </si>
  <si>
    <t>DPS(每秒输出)</t>
    <phoneticPr fontId="1" type="noConversion"/>
  </si>
  <si>
    <t>总伤害</t>
    <phoneticPr fontId="1" type="noConversion"/>
  </si>
  <si>
    <t>怪物技能</t>
    <phoneticPr fontId="1" type="noConversion"/>
  </si>
  <si>
    <t>标准设定表</t>
    <phoneticPr fontId="1" type="noConversion"/>
  </si>
  <si>
    <t>标准英雄输出</t>
    <phoneticPr fontId="1" type="noConversion"/>
  </si>
  <si>
    <t>标准英雄血量</t>
    <phoneticPr fontId="1" type="noConversion"/>
  </si>
  <si>
    <t>标准英雄防御</t>
    <phoneticPr fontId="1" type="noConversion"/>
  </si>
  <si>
    <t>标准防御塔输出</t>
    <phoneticPr fontId="1" type="noConversion"/>
  </si>
  <si>
    <t>标准普通怪物防御</t>
    <phoneticPr fontId="1" type="noConversion"/>
  </si>
  <si>
    <t>标准精英怪物防御</t>
    <phoneticPr fontId="1" type="noConversion"/>
  </si>
  <si>
    <t>标准BOSS怪物防御</t>
    <phoneticPr fontId="1" type="noConversion"/>
  </si>
  <si>
    <t>标准单位防御</t>
    <phoneticPr fontId="1" type="noConversion"/>
  </si>
  <si>
    <t>标准单位血量</t>
    <phoneticPr fontId="1" type="noConversion"/>
  </si>
  <si>
    <t>标准单位输出</t>
    <phoneticPr fontId="1" type="noConversion"/>
  </si>
  <si>
    <t>怪物3</t>
  </si>
  <si>
    <t>防御塔数</t>
    <phoneticPr fontId="1" type="noConversion"/>
  </si>
  <si>
    <t>防御塔等级</t>
    <phoneticPr fontId="1" type="noConversion"/>
  </si>
  <si>
    <t>怪物类型</t>
    <phoneticPr fontId="1" type="noConversion"/>
  </si>
  <si>
    <t>小怪</t>
    <phoneticPr fontId="1" type="noConversion"/>
  </si>
  <si>
    <t>BOSS</t>
    <phoneticPr fontId="1" type="noConversion"/>
  </si>
  <si>
    <t>关卡设定表</t>
    <phoneticPr fontId="1" type="noConversion"/>
  </si>
  <si>
    <t>关卡名称</t>
    <phoneticPr fontId="1" type="noConversion"/>
  </si>
  <si>
    <t>防御塔上限</t>
    <phoneticPr fontId="1" type="noConversion"/>
  </si>
  <si>
    <t>产出金币</t>
    <phoneticPr fontId="1" type="noConversion"/>
  </si>
  <si>
    <t>剩余金币</t>
    <phoneticPr fontId="1" type="noConversion"/>
  </si>
  <si>
    <t>可用金币</t>
    <phoneticPr fontId="1" type="noConversion"/>
  </si>
  <si>
    <t>防御塔输出表</t>
    <phoneticPr fontId="1" type="noConversion"/>
  </si>
  <si>
    <t>防御塔消耗表</t>
    <phoneticPr fontId="1" type="noConversion"/>
  </si>
  <si>
    <t>输出</t>
    <phoneticPr fontId="1" type="noConversion"/>
  </si>
  <si>
    <t>最高等级防御塔数量</t>
    <phoneticPr fontId="1" type="noConversion"/>
  </si>
  <si>
    <t>最高防御塔等级</t>
    <phoneticPr fontId="1" type="noConversion"/>
  </si>
  <si>
    <t>总金币</t>
    <phoneticPr fontId="1" type="noConversion"/>
  </si>
  <si>
    <t>累计消耗（仅用于关卡表计算）</t>
    <phoneticPr fontId="1" type="noConversion"/>
  </si>
  <si>
    <t>怪物战力修正</t>
    <phoneticPr fontId="1" type="noConversion"/>
  </si>
  <si>
    <t>英雄战力修正</t>
    <phoneticPr fontId="1" type="noConversion"/>
  </si>
  <si>
    <t>防御塔战力修正</t>
    <phoneticPr fontId="1" type="noConversion"/>
  </si>
  <si>
    <t>战斗结果</t>
    <phoneticPr fontId="1" type="noConversion"/>
  </si>
  <si>
    <t>怪物战力(取血量)</t>
    <phoneticPr fontId="1" type="noConversion"/>
  </si>
  <si>
    <t>英雄战力(取输出)</t>
    <phoneticPr fontId="1" type="noConversion"/>
  </si>
  <si>
    <t>防御塔战力(取输出)</t>
    <phoneticPr fontId="1" type="noConversion"/>
  </si>
  <si>
    <t>游戏名称</t>
    <phoneticPr fontId="1" type="noConversion"/>
  </si>
  <si>
    <t>数值分析</t>
    <phoneticPr fontId="1" type="noConversion"/>
  </si>
  <si>
    <t>王国保卫战5</t>
    <phoneticPr fontId="1" type="noConversion"/>
  </si>
  <si>
    <t>气球塔防2</t>
    <phoneticPr fontId="1" type="noConversion"/>
  </si>
  <si>
    <t>保卫萝卜2</t>
    <phoneticPr fontId="1" type="noConversion"/>
  </si>
  <si>
    <t>兽人必须死3</t>
    <phoneticPr fontId="1" type="noConversion"/>
  </si>
  <si>
    <t>暂无</t>
    <phoneticPr fontId="1" type="noConversion"/>
  </si>
  <si>
    <t>游戏总览表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</si>
</sst>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/>
    <xf numFmtId="0" fontId="3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3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3</xdr:row>
          <xdr:rowOff>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跳转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98763\Desktop\&#27169;&#25311;&#32463;&#33829;&#28216;&#25103;&#25968;&#20540;&#34920;.xlsx" TargetMode="External"/><Relationship Id="rId1" Type="http://schemas.openxmlformats.org/officeDocument/2006/relationships/externalLinkPath" Target="&#27169;&#25311;&#32463;&#33829;&#28216;&#25103;&#25968;&#20540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介绍表"/>
      <sheetName val="模拟经营游戏数值表"/>
    </sheetNames>
    <definedNames>
      <definedName name="按钮2_Click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F228A-6ABC-44EB-9E17-936D530036FC}">
  <sheetPr codeName="Sheet7"/>
  <dimension ref="B2:D7"/>
  <sheetViews>
    <sheetView tabSelected="1" workbookViewId="0">
      <selection activeCell="D9" sqref="D9"/>
    </sheetView>
  </sheetViews>
  <sheetFormatPr defaultColWidth="13.77734375" defaultRowHeight="13.8" x14ac:dyDescent="0.25"/>
  <cols>
    <col min="4" max="4" width="27.44140625" customWidth="1"/>
  </cols>
  <sheetData>
    <row r="2" spans="2:4" ht="16.2" x14ac:dyDescent="0.4">
      <c r="B2" s="10" t="s">
        <v>430</v>
      </c>
      <c r="D2" s="1"/>
    </row>
    <row r="3" spans="2:4" ht="16.2" x14ac:dyDescent="0.4">
      <c r="B3" s="15" t="s">
        <v>2</v>
      </c>
      <c r="C3" s="15" t="s">
        <v>423</v>
      </c>
      <c r="D3" s="15" t="s">
        <v>424</v>
      </c>
    </row>
    <row r="4" spans="2:4" ht="15.6" x14ac:dyDescent="0.35">
      <c r="B4" s="2">
        <v>1</v>
      </c>
      <c r="C4" s="2" t="s">
        <v>425</v>
      </c>
      <c r="D4" s="2"/>
    </row>
    <row r="5" spans="2:4" ht="15.6" x14ac:dyDescent="0.35">
      <c r="B5" s="2">
        <v>2</v>
      </c>
      <c r="C5" s="2" t="s">
        <v>428</v>
      </c>
      <c r="D5" s="2" t="s">
        <v>429</v>
      </c>
    </row>
    <row r="6" spans="2:4" ht="15.6" x14ac:dyDescent="0.35">
      <c r="B6" s="2">
        <v>3</v>
      </c>
      <c r="C6" s="2" t="s">
        <v>426</v>
      </c>
      <c r="D6" s="2" t="s">
        <v>429</v>
      </c>
    </row>
    <row r="7" spans="2:4" ht="15.6" x14ac:dyDescent="0.35">
      <c r="B7" s="2">
        <v>4</v>
      </c>
      <c r="C7" s="2" t="s">
        <v>427</v>
      </c>
      <c r="D7" s="2" t="s">
        <v>429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跳转王国保卫战5">
                <anchor moveWithCells="1" sizeWithCells="1">
                  <from>
                    <xdr:col>3</xdr:col>
                    <xdr:colOff>7620</xdr:colOff>
                    <xdr:row>3</xdr:row>
                    <xdr:rowOff>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19"/>
  <sheetViews>
    <sheetView workbookViewId="0">
      <selection activeCell="I5" sqref="I5"/>
    </sheetView>
  </sheetViews>
  <sheetFormatPr defaultColWidth="13.77734375" defaultRowHeight="15.6" x14ac:dyDescent="0.35"/>
  <cols>
    <col min="1" max="1" width="13.77734375" style="1"/>
    <col min="2" max="2" width="20.77734375" style="1" customWidth="1"/>
    <col min="3" max="13" width="13.77734375" style="1"/>
    <col min="14" max="14" width="31.44140625" style="1" bestFit="1" customWidth="1"/>
    <col min="15" max="16384" width="13.77734375" style="1"/>
  </cols>
  <sheetData>
    <row r="2" spans="2:14" ht="16.2" x14ac:dyDescent="0.4">
      <c r="B2" s="10" t="s">
        <v>386</v>
      </c>
      <c r="E2" s="10" t="s">
        <v>403</v>
      </c>
      <c r="I2" s="10" t="s">
        <v>409</v>
      </c>
      <c r="L2" s="10" t="s">
        <v>410</v>
      </c>
    </row>
    <row r="3" spans="2:14" x14ac:dyDescent="0.35">
      <c r="B3" s="2" t="s">
        <v>0</v>
      </c>
      <c r="C3" s="2">
        <v>20</v>
      </c>
      <c r="E3" s="2" t="s">
        <v>404</v>
      </c>
      <c r="F3" s="2" t="s">
        <v>1</v>
      </c>
      <c r="G3" s="2" t="s">
        <v>405</v>
      </c>
      <c r="I3" s="2" t="s">
        <v>399</v>
      </c>
      <c r="J3" s="2" t="s">
        <v>411</v>
      </c>
      <c r="L3" s="2" t="s">
        <v>399</v>
      </c>
      <c r="M3" s="2" t="s">
        <v>20</v>
      </c>
      <c r="N3" s="2" t="s">
        <v>415</v>
      </c>
    </row>
    <row r="4" spans="2:14" x14ac:dyDescent="0.35">
      <c r="B4" s="2" t="s">
        <v>374</v>
      </c>
      <c r="C4" s="2">
        <v>2.5</v>
      </c>
      <c r="E4" s="2">
        <v>1</v>
      </c>
      <c r="F4" s="2">
        <v>200</v>
      </c>
      <c r="G4" s="2">
        <v>10</v>
      </c>
      <c r="I4" s="2">
        <v>1</v>
      </c>
      <c r="J4" s="2">
        <v>5</v>
      </c>
      <c r="L4" s="2">
        <v>1</v>
      </c>
      <c r="M4" s="2">
        <v>70</v>
      </c>
      <c r="N4" s="2">
        <f>SUM($M$4:M4)</f>
        <v>70</v>
      </c>
    </row>
    <row r="5" spans="2:14" x14ac:dyDescent="0.35">
      <c r="B5" s="2" t="s">
        <v>379</v>
      </c>
      <c r="C5" s="2">
        <v>40</v>
      </c>
      <c r="I5" s="2">
        <v>2</v>
      </c>
      <c r="J5" s="2">
        <v>10</v>
      </c>
      <c r="L5" s="2">
        <v>2</v>
      </c>
      <c r="M5" s="2">
        <v>100</v>
      </c>
      <c r="N5" s="2">
        <f>SUM($M$4:M5)</f>
        <v>170</v>
      </c>
    </row>
    <row r="6" spans="2:14" x14ac:dyDescent="0.35">
      <c r="B6" s="2" t="s">
        <v>391</v>
      </c>
      <c r="C6" s="2">
        <v>0</v>
      </c>
      <c r="I6" s="2">
        <v>3</v>
      </c>
      <c r="J6" s="2">
        <v>20</v>
      </c>
      <c r="L6" s="2">
        <v>3</v>
      </c>
      <c r="M6" s="2">
        <v>160</v>
      </c>
      <c r="N6" s="2">
        <f>SUM($M$4:M6)</f>
        <v>330</v>
      </c>
    </row>
    <row r="7" spans="2:14" x14ac:dyDescent="0.35">
      <c r="B7" s="2" t="s">
        <v>375</v>
      </c>
      <c r="C7" s="2">
        <v>5</v>
      </c>
      <c r="I7" s="2">
        <v>4</v>
      </c>
      <c r="J7" s="2">
        <v>40</v>
      </c>
      <c r="L7" s="2">
        <v>4</v>
      </c>
      <c r="M7" s="2">
        <v>250</v>
      </c>
      <c r="N7" s="2">
        <f>SUM($M$4:M7)</f>
        <v>580</v>
      </c>
    </row>
    <row r="8" spans="2:14" x14ac:dyDescent="0.35">
      <c r="B8" s="2" t="s">
        <v>380</v>
      </c>
      <c r="C8" s="2">
        <v>80</v>
      </c>
    </row>
    <row r="9" spans="2:14" x14ac:dyDescent="0.35">
      <c r="B9" s="2" t="s">
        <v>392</v>
      </c>
      <c r="C9" s="2">
        <v>10</v>
      </c>
    </row>
    <row r="10" spans="2:14" x14ac:dyDescent="0.35">
      <c r="B10" s="2" t="s">
        <v>376</v>
      </c>
      <c r="C10" s="2">
        <v>100</v>
      </c>
    </row>
    <row r="11" spans="2:14" x14ac:dyDescent="0.35">
      <c r="B11" s="2" t="s">
        <v>381</v>
      </c>
      <c r="C11" s="2">
        <v>1500</v>
      </c>
    </row>
    <row r="12" spans="2:14" x14ac:dyDescent="0.35">
      <c r="B12" s="2" t="s">
        <v>393</v>
      </c>
      <c r="C12" s="2">
        <v>50</v>
      </c>
    </row>
    <row r="13" spans="2:14" x14ac:dyDescent="0.35">
      <c r="B13" s="2" t="s">
        <v>387</v>
      </c>
      <c r="C13" s="2">
        <v>10</v>
      </c>
    </row>
    <row r="14" spans="2:14" x14ac:dyDescent="0.35">
      <c r="B14" s="2" t="s">
        <v>388</v>
      </c>
      <c r="C14" s="2">
        <v>200</v>
      </c>
    </row>
    <row r="15" spans="2:14" x14ac:dyDescent="0.35">
      <c r="B15" s="2" t="s">
        <v>389</v>
      </c>
      <c r="C15" s="2">
        <v>10</v>
      </c>
    </row>
    <row r="16" spans="2:14" x14ac:dyDescent="0.35">
      <c r="B16" s="2" t="s">
        <v>390</v>
      </c>
      <c r="C16" s="2">
        <v>10</v>
      </c>
    </row>
    <row r="17" spans="2:3" x14ac:dyDescent="0.35">
      <c r="B17" s="2" t="s">
        <v>396</v>
      </c>
      <c r="C17" s="2">
        <v>2</v>
      </c>
    </row>
    <row r="18" spans="2:3" x14ac:dyDescent="0.35">
      <c r="B18" s="2" t="s">
        <v>395</v>
      </c>
      <c r="C18" s="2">
        <v>44</v>
      </c>
    </row>
    <row r="19" spans="2:3" x14ac:dyDescent="0.35">
      <c r="B19" s="2" t="s">
        <v>394</v>
      </c>
      <c r="C19" s="2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97BCF-6214-4CB8-8B8D-C2020FECF09F}">
  <sheetPr codeName="Sheet2"/>
  <dimension ref="A1:AE149"/>
  <sheetViews>
    <sheetView workbookViewId="0">
      <pane xSplit="3" topLeftCell="D1" activePane="topRight" state="frozen"/>
      <selection pane="topRight" activeCell="AB15" sqref="AB15"/>
    </sheetView>
  </sheetViews>
  <sheetFormatPr defaultColWidth="12.77734375" defaultRowHeight="15.6" x14ac:dyDescent="0.35"/>
  <cols>
    <col min="1" max="18" width="12.77734375" style="1"/>
    <col min="19" max="19" width="9.77734375" style="1" bestFit="1" customWidth="1"/>
    <col min="20" max="20" width="12.77734375" style="1"/>
    <col min="21" max="21" width="9.77734375" style="1" bestFit="1" customWidth="1"/>
    <col min="22" max="22" width="12.77734375" style="1"/>
    <col min="23" max="23" width="9.77734375" style="1" bestFit="1" customWidth="1"/>
    <col min="24" max="24" width="12.77734375" style="1"/>
    <col min="25" max="25" width="9.77734375" style="1" bestFit="1" customWidth="1"/>
    <col min="26" max="26" width="12.77734375" style="1"/>
    <col min="27" max="27" width="9.77734375" style="1" bestFit="1" customWidth="1"/>
    <col min="28" max="30" width="20.77734375" style="1" customWidth="1"/>
    <col min="31" max="16384" width="12.77734375" style="1"/>
  </cols>
  <sheetData>
    <row r="1" spans="1:31" ht="16.2" x14ac:dyDescent="0.4">
      <c r="A1" s="2" t="s">
        <v>19</v>
      </c>
      <c r="B1" s="2" t="s">
        <v>364</v>
      </c>
      <c r="C1" s="2" t="s">
        <v>363</v>
      </c>
      <c r="D1" s="2" t="s">
        <v>97</v>
      </c>
      <c r="E1" s="2" t="s">
        <v>82</v>
      </c>
      <c r="F1" s="2" t="s">
        <v>83</v>
      </c>
      <c r="G1" s="2" t="s">
        <v>84</v>
      </c>
      <c r="H1" s="2" t="s">
        <v>85</v>
      </c>
      <c r="I1" s="2" t="s">
        <v>87</v>
      </c>
      <c r="J1" s="2" t="s">
        <v>86</v>
      </c>
      <c r="K1" s="2" t="s">
        <v>120</v>
      </c>
      <c r="L1" s="2" t="s">
        <v>89</v>
      </c>
      <c r="M1" s="2" t="s">
        <v>88</v>
      </c>
      <c r="N1" s="2" t="s">
        <v>90</v>
      </c>
      <c r="O1" s="2" t="s">
        <v>112</v>
      </c>
      <c r="P1" s="2" t="s">
        <v>91</v>
      </c>
      <c r="Q1" s="2" t="s">
        <v>127</v>
      </c>
      <c r="R1" s="2" t="s">
        <v>128</v>
      </c>
      <c r="S1" s="2" t="s">
        <v>270</v>
      </c>
      <c r="T1" s="2" t="s">
        <v>13</v>
      </c>
      <c r="U1" s="2" t="s">
        <v>270</v>
      </c>
      <c r="V1" s="2" t="s">
        <v>14</v>
      </c>
      <c r="W1" s="2" t="s">
        <v>270</v>
      </c>
      <c r="X1" s="2" t="s">
        <v>15</v>
      </c>
      <c r="Y1" s="2" t="s">
        <v>270</v>
      </c>
      <c r="Z1" s="2" t="s">
        <v>129</v>
      </c>
      <c r="AA1" s="2" t="s">
        <v>270</v>
      </c>
      <c r="AB1" s="2" t="s">
        <v>383</v>
      </c>
      <c r="AC1" s="2" t="s">
        <v>377</v>
      </c>
      <c r="AD1" s="2" t="s">
        <v>378</v>
      </c>
      <c r="AE1" s="8" t="s">
        <v>368</v>
      </c>
    </row>
    <row r="2" spans="1:31" x14ac:dyDescent="0.35">
      <c r="A2" s="2">
        <v>1</v>
      </c>
      <c r="B2" s="2" t="s">
        <v>365</v>
      </c>
      <c r="C2" s="2" t="s">
        <v>95</v>
      </c>
      <c r="D2" s="2" t="s">
        <v>110</v>
      </c>
      <c r="E2" s="2">
        <v>1</v>
      </c>
      <c r="F2" s="2">
        <f>100+50*(E2-1)</f>
        <v>100</v>
      </c>
      <c r="G2" s="2" t="s">
        <v>119</v>
      </c>
      <c r="H2" s="2" t="s">
        <v>121</v>
      </c>
      <c r="I2" s="2">
        <f>6+(E2-1)*1</f>
        <v>6</v>
      </c>
      <c r="J2" s="2">
        <f>ROUND(10+1.4*(E2-1),0)</f>
        <v>10</v>
      </c>
      <c r="K2" s="2">
        <f t="shared" ref="K2:K11" si="0">160+(E2-1)*15</f>
        <v>160</v>
      </c>
      <c r="L2" s="2">
        <v>0</v>
      </c>
      <c r="M2" s="2">
        <v>0</v>
      </c>
      <c r="N2" s="2">
        <v>1</v>
      </c>
      <c r="O2" s="2">
        <v>400</v>
      </c>
      <c r="P2" s="2">
        <v>75</v>
      </c>
      <c r="Q2" s="2">
        <f>4*(E2-1)</f>
        <v>0</v>
      </c>
      <c r="R2" s="2" t="s">
        <v>131</v>
      </c>
      <c r="S2" s="2">
        <v>0</v>
      </c>
      <c r="T2" s="2" t="s">
        <v>133</v>
      </c>
      <c r="U2" s="2">
        <v>0</v>
      </c>
      <c r="V2" s="2" t="s">
        <v>135</v>
      </c>
      <c r="W2" s="2">
        <v>0</v>
      </c>
      <c r="X2" s="2" t="s">
        <v>137</v>
      </c>
      <c r="Y2" s="2">
        <v>0</v>
      </c>
      <c r="Z2" s="2" t="s">
        <v>139</v>
      </c>
      <c r="AA2" s="2">
        <v>0</v>
      </c>
      <c r="AB2" s="2">
        <v>7.6</v>
      </c>
      <c r="AC2" s="2">
        <f>ROUND(K2/(('01设定表'!$C$4+'01设定表'!$C$7)/2*((100-L2)/100)),1)</f>
        <v>42.7</v>
      </c>
      <c r="AD2" s="2">
        <f>ROUND(AC2*AB2/('01设定表'!$C$5+'01设定表'!$C$8)/2,1)</f>
        <v>1.4</v>
      </c>
      <c r="AE2" s="9" t="s">
        <v>382</v>
      </c>
    </row>
    <row r="3" spans="1:31" x14ac:dyDescent="0.35">
      <c r="A3" s="2">
        <v>2</v>
      </c>
      <c r="B3" s="2" t="s">
        <v>365</v>
      </c>
      <c r="C3" s="2" t="s">
        <v>95</v>
      </c>
      <c r="D3" s="2" t="s">
        <v>110</v>
      </c>
      <c r="E3" s="2">
        <v>2</v>
      </c>
      <c r="F3" s="2">
        <f t="shared" ref="F3:F112" si="1">100+50*(E3-1)</f>
        <v>150</v>
      </c>
      <c r="G3" s="2" t="s">
        <v>119</v>
      </c>
      <c r="H3" s="2" t="s">
        <v>121</v>
      </c>
      <c r="I3" s="2">
        <f t="shared" ref="I3:I11" si="2">6+(E3-1)*1</f>
        <v>7</v>
      </c>
      <c r="J3" s="2">
        <f t="shared" ref="J3:J11" si="3">ROUND(10+1.4*(E3-1),0)</f>
        <v>11</v>
      </c>
      <c r="K3" s="2">
        <f t="shared" si="0"/>
        <v>175</v>
      </c>
      <c r="L3" s="2">
        <v>5</v>
      </c>
      <c r="M3" s="2">
        <v>0</v>
      </c>
      <c r="N3" s="2">
        <v>1</v>
      </c>
      <c r="O3" s="2">
        <v>400</v>
      </c>
      <c r="P3" s="2">
        <v>75</v>
      </c>
      <c r="Q3" s="2">
        <f t="shared" ref="Q3:Q66" si="4">4*(E3-1)</f>
        <v>4</v>
      </c>
      <c r="R3" s="2" t="s">
        <v>131</v>
      </c>
      <c r="S3" s="2">
        <v>2</v>
      </c>
      <c r="T3" s="2" t="s">
        <v>133</v>
      </c>
      <c r="U3" s="2">
        <v>0</v>
      </c>
      <c r="V3" s="2" t="s">
        <v>135</v>
      </c>
      <c r="W3" s="2">
        <v>0</v>
      </c>
      <c r="X3" s="2" t="s">
        <v>137</v>
      </c>
      <c r="Y3" s="2">
        <v>0</v>
      </c>
      <c r="Z3" s="2" t="s">
        <v>139</v>
      </c>
      <c r="AA3" s="2">
        <v>0</v>
      </c>
      <c r="AB3" s="2">
        <v>14.1</v>
      </c>
      <c r="AC3" s="2">
        <f>ROUND(K3/(('01设定表'!$C$4+'01设定表'!$C$7)/2*((100-L3)/100)),1)</f>
        <v>49.1</v>
      </c>
      <c r="AD3" s="2">
        <f>ROUND(AC3*AB3/('01设定表'!$C$5+'01设定表'!$C$8)/2,1)</f>
        <v>2.9</v>
      </c>
    </row>
    <row r="4" spans="1:31" x14ac:dyDescent="0.35">
      <c r="A4" s="2">
        <v>3</v>
      </c>
      <c r="B4" s="2" t="s">
        <v>365</v>
      </c>
      <c r="C4" s="2" t="s">
        <v>95</v>
      </c>
      <c r="D4" s="2" t="s">
        <v>110</v>
      </c>
      <c r="E4" s="2">
        <v>3</v>
      </c>
      <c r="F4" s="2">
        <f t="shared" si="1"/>
        <v>200</v>
      </c>
      <c r="G4" s="2" t="s">
        <v>119</v>
      </c>
      <c r="H4" s="2" t="s">
        <v>121</v>
      </c>
      <c r="I4" s="2">
        <f t="shared" si="2"/>
        <v>8</v>
      </c>
      <c r="J4" s="2">
        <f t="shared" si="3"/>
        <v>13</v>
      </c>
      <c r="K4" s="2">
        <f t="shared" si="0"/>
        <v>190</v>
      </c>
      <c r="L4" s="2">
        <f t="shared" ref="L4:L10" si="5">L3+5</f>
        <v>10</v>
      </c>
      <c r="M4" s="2">
        <v>0</v>
      </c>
      <c r="N4" s="2">
        <v>1</v>
      </c>
      <c r="O4" s="2">
        <v>400</v>
      </c>
      <c r="P4" s="2">
        <v>75</v>
      </c>
      <c r="Q4" s="2">
        <f t="shared" si="4"/>
        <v>8</v>
      </c>
      <c r="R4" s="2" t="s">
        <v>131</v>
      </c>
      <c r="S4" s="2">
        <v>3</v>
      </c>
      <c r="T4" s="2" t="s">
        <v>133</v>
      </c>
      <c r="U4" s="2">
        <v>0</v>
      </c>
      <c r="V4" s="2" t="s">
        <v>135</v>
      </c>
      <c r="W4" s="2">
        <v>1</v>
      </c>
      <c r="X4" s="2" t="s">
        <v>137</v>
      </c>
      <c r="Y4" s="2">
        <v>0</v>
      </c>
      <c r="Z4" s="2" t="s">
        <v>139</v>
      </c>
      <c r="AA4" s="2">
        <v>0</v>
      </c>
      <c r="AB4" s="2">
        <v>23.8</v>
      </c>
      <c r="AC4" s="2">
        <f>ROUND(K4/(('01设定表'!$C$4+'01设定表'!$C$7)/2*((100-L4)/100)),1)</f>
        <v>56.3</v>
      </c>
      <c r="AD4" s="2">
        <f>ROUND(AC4*AB4/('01设定表'!$C$5+'01设定表'!$C$8)/2,1)</f>
        <v>5.6</v>
      </c>
    </row>
    <row r="5" spans="1:31" x14ac:dyDescent="0.35">
      <c r="A5" s="2">
        <v>4</v>
      </c>
      <c r="B5" s="2" t="s">
        <v>365</v>
      </c>
      <c r="C5" s="2" t="s">
        <v>95</v>
      </c>
      <c r="D5" s="2" t="s">
        <v>110</v>
      </c>
      <c r="E5" s="2">
        <v>4</v>
      </c>
      <c r="F5" s="2">
        <f t="shared" si="1"/>
        <v>250</v>
      </c>
      <c r="G5" s="2" t="s">
        <v>119</v>
      </c>
      <c r="H5" s="2" t="s">
        <v>121</v>
      </c>
      <c r="I5" s="2">
        <f t="shared" si="2"/>
        <v>9</v>
      </c>
      <c r="J5" s="2">
        <f t="shared" si="3"/>
        <v>14</v>
      </c>
      <c r="K5" s="2">
        <f t="shared" si="0"/>
        <v>205</v>
      </c>
      <c r="L5" s="2">
        <f t="shared" si="5"/>
        <v>15</v>
      </c>
      <c r="M5" s="2">
        <v>0</v>
      </c>
      <c r="N5" s="2">
        <v>1</v>
      </c>
      <c r="O5" s="2">
        <v>400</v>
      </c>
      <c r="P5" s="2">
        <v>75</v>
      </c>
      <c r="Q5" s="2">
        <f t="shared" si="4"/>
        <v>12</v>
      </c>
      <c r="R5" s="2" t="s">
        <v>131</v>
      </c>
      <c r="S5" s="2">
        <v>3</v>
      </c>
      <c r="T5" s="2" t="s">
        <v>133</v>
      </c>
      <c r="U5" s="2">
        <v>1</v>
      </c>
      <c r="V5" s="2" t="s">
        <v>135</v>
      </c>
      <c r="W5" s="2">
        <v>1</v>
      </c>
      <c r="X5" s="2" t="s">
        <v>137</v>
      </c>
      <c r="Y5" s="2">
        <v>1</v>
      </c>
      <c r="Z5" s="2" t="s">
        <v>139</v>
      </c>
      <c r="AA5" s="2">
        <v>0</v>
      </c>
      <c r="AB5" s="2">
        <v>35.5</v>
      </c>
      <c r="AC5" s="2">
        <f>ROUND(K5/(('01设定表'!$C$4+'01设定表'!$C$7)/2*((100-L5)/100)),1)</f>
        <v>64.3</v>
      </c>
      <c r="AD5" s="2">
        <f>ROUND(AC5*AB5/('01设定表'!$C$5+'01设定表'!$C$8)/2,1)</f>
        <v>9.5</v>
      </c>
    </row>
    <row r="6" spans="1:31" x14ac:dyDescent="0.35">
      <c r="A6" s="2">
        <v>5</v>
      </c>
      <c r="B6" s="2" t="s">
        <v>365</v>
      </c>
      <c r="C6" s="2" t="s">
        <v>95</v>
      </c>
      <c r="D6" s="2" t="s">
        <v>110</v>
      </c>
      <c r="E6" s="2">
        <v>5</v>
      </c>
      <c r="F6" s="2">
        <f t="shared" si="1"/>
        <v>300</v>
      </c>
      <c r="G6" s="2" t="s">
        <v>119</v>
      </c>
      <c r="H6" s="2" t="s">
        <v>121</v>
      </c>
      <c r="I6" s="2">
        <f t="shared" si="2"/>
        <v>10</v>
      </c>
      <c r="J6" s="2">
        <f t="shared" si="3"/>
        <v>16</v>
      </c>
      <c r="K6" s="2">
        <f t="shared" si="0"/>
        <v>220</v>
      </c>
      <c r="L6" s="2">
        <f t="shared" si="5"/>
        <v>20</v>
      </c>
      <c r="M6" s="2">
        <v>0</v>
      </c>
      <c r="N6" s="2">
        <v>1</v>
      </c>
      <c r="O6" s="2">
        <v>400</v>
      </c>
      <c r="P6" s="2">
        <v>75</v>
      </c>
      <c r="Q6" s="2">
        <f t="shared" si="4"/>
        <v>16</v>
      </c>
      <c r="R6" s="2" t="s">
        <v>131</v>
      </c>
      <c r="S6" s="2">
        <v>3</v>
      </c>
      <c r="T6" s="2" t="s">
        <v>133</v>
      </c>
      <c r="U6" s="2">
        <v>2</v>
      </c>
      <c r="V6" s="2" t="s">
        <v>135</v>
      </c>
      <c r="W6" s="2">
        <v>1</v>
      </c>
      <c r="X6" s="2" t="s">
        <v>137</v>
      </c>
      <c r="Y6" s="2">
        <v>2</v>
      </c>
      <c r="Z6" s="2" t="s">
        <v>139</v>
      </c>
      <c r="AA6" s="2">
        <v>0</v>
      </c>
      <c r="AB6" s="2">
        <v>46</v>
      </c>
      <c r="AC6" s="2">
        <f>ROUND(K6/(('01设定表'!$C$4+'01设定表'!$C$7)/2*((100-L6)/100)),1)</f>
        <v>73.3</v>
      </c>
      <c r="AD6" s="2">
        <f>ROUND(AC6*AB6/('01设定表'!$C$5+'01设定表'!$C$8)/2,1)</f>
        <v>14</v>
      </c>
    </row>
    <row r="7" spans="1:31" x14ac:dyDescent="0.35">
      <c r="A7" s="2">
        <v>6</v>
      </c>
      <c r="B7" s="2" t="s">
        <v>365</v>
      </c>
      <c r="C7" s="2" t="s">
        <v>95</v>
      </c>
      <c r="D7" s="2" t="s">
        <v>110</v>
      </c>
      <c r="E7" s="2">
        <v>6</v>
      </c>
      <c r="F7" s="2">
        <f t="shared" si="1"/>
        <v>350</v>
      </c>
      <c r="G7" s="2" t="s">
        <v>119</v>
      </c>
      <c r="H7" s="2" t="s">
        <v>121</v>
      </c>
      <c r="I7" s="2">
        <f t="shared" si="2"/>
        <v>11</v>
      </c>
      <c r="J7" s="2">
        <f t="shared" si="3"/>
        <v>17</v>
      </c>
      <c r="K7" s="2">
        <f t="shared" si="0"/>
        <v>235</v>
      </c>
      <c r="L7" s="2">
        <f t="shared" si="5"/>
        <v>25</v>
      </c>
      <c r="M7" s="2">
        <v>0</v>
      </c>
      <c r="N7" s="2">
        <v>1</v>
      </c>
      <c r="O7" s="2">
        <v>400</v>
      </c>
      <c r="P7" s="2">
        <v>75</v>
      </c>
      <c r="Q7" s="2">
        <f t="shared" si="4"/>
        <v>20</v>
      </c>
      <c r="R7" s="2" t="s">
        <v>131</v>
      </c>
      <c r="S7" s="2">
        <v>3</v>
      </c>
      <c r="T7" s="2" t="s">
        <v>133</v>
      </c>
      <c r="U7" s="2">
        <v>3</v>
      </c>
      <c r="V7" s="2" t="s">
        <v>135</v>
      </c>
      <c r="W7" s="2">
        <v>2</v>
      </c>
      <c r="X7" s="2" t="s">
        <v>137</v>
      </c>
      <c r="Y7" s="2">
        <v>2</v>
      </c>
      <c r="Z7" s="2" t="s">
        <v>139</v>
      </c>
      <c r="AA7" s="2">
        <v>0</v>
      </c>
      <c r="AB7" s="2">
        <v>57.3</v>
      </c>
      <c r="AC7" s="2">
        <f>ROUND(K7/(('01设定表'!$C$4+'01设定表'!$C$7)/2*((100-L7)/100)),1)</f>
        <v>83.6</v>
      </c>
      <c r="AD7" s="2">
        <f>ROUND(AC7*AB7/('01设定表'!$C$5+'01设定表'!$C$8)/2,1)</f>
        <v>20</v>
      </c>
    </row>
    <row r="8" spans="1:31" x14ac:dyDescent="0.35">
      <c r="A8" s="2">
        <v>7</v>
      </c>
      <c r="B8" s="2" t="s">
        <v>365</v>
      </c>
      <c r="C8" s="2" t="s">
        <v>95</v>
      </c>
      <c r="D8" s="2" t="s">
        <v>110</v>
      </c>
      <c r="E8" s="2">
        <v>7</v>
      </c>
      <c r="F8" s="2">
        <f t="shared" si="1"/>
        <v>400</v>
      </c>
      <c r="G8" s="2" t="s">
        <v>119</v>
      </c>
      <c r="H8" s="2" t="s">
        <v>121</v>
      </c>
      <c r="I8" s="2">
        <f t="shared" si="2"/>
        <v>12</v>
      </c>
      <c r="J8" s="2">
        <f t="shared" si="3"/>
        <v>18</v>
      </c>
      <c r="K8" s="2">
        <f t="shared" si="0"/>
        <v>250</v>
      </c>
      <c r="L8" s="2">
        <f t="shared" si="5"/>
        <v>30</v>
      </c>
      <c r="M8" s="2">
        <v>0</v>
      </c>
      <c r="N8" s="2">
        <v>1</v>
      </c>
      <c r="O8" s="2">
        <v>400</v>
      </c>
      <c r="P8" s="2">
        <v>75</v>
      </c>
      <c r="Q8" s="2">
        <f t="shared" si="4"/>
        <v>24</v>
      </c>
      <c r="R8" s="2" t="s">
        <v>131</v>
      </c>
      <c r="S8" s="2">
        <v>3</v>
      </c>
      <c r="T8" s="2" t="s">
        <v>133</v>
      </c>
      <c r="U8" s="2">
        <v>3</v>
      </c>
      <c r="V8" s="2" t="s">
        <v>135</v>
      </c>
      <c r="W8" s="2">
        <v>3</v>
      </c>
      <c r="X8" s="2" t="s">
        <v>137</v>
      </c>
      <c r="Y8" s="2">
        <v>3</v>
      </c>
      <c r="Z8" s="2" t="s">
        <v>139</v>
      </c>
      <c r="AA8" s="2">
        <v>0</v>
      </c>
      <c r="AB8" s="2">
        <v>69.3</v>
      </c>
      <c r="AC8" s="2">
        <f>ROUND(K8/(('01设定表'!$C$4+'01设定表'!$C$7)/2*((100-L8)/100)),1)</f>
        <v>95.2</v>
      </c>
      <c r="AD8" s="2">
        <f>ROUND(AC8*AB8/('01设定表'!$C$5+'01设定表'!$C$8)/2,1)</f>
        <v>27.5</v>
      </c>
    </row>
    <row r="9" spans="1:31" x14ac:dyDescent="0.35">
      <c r="A9" s="2">
        <v>8</v>
      </c>
      <c r="B9" s="2" t="s">
        <v>365</v>
      </c>
      <c r="C9" s="2" t="s">
        <v>95</v>
      </c>
      <c r="D9" s="2" t="s">
        <v>110</v>
      </c>
      <c r="E9" s="2">
        <v>8</v>
      </c>
      <c r="F9" s="2">
        <f t="shared" si="1"/>
        <v>450</v>
      </c>
      <c r="G9" s="2" t="s">
        <v>119</v>
      </c>
      <c r="H9" s="2" t="s">
        <v>121</v>
      </c>
      <c r="I9" s="2">
        <f t="shared" si="2"/>
        <v>13</v>
      </c>
      <c r="J9" s="2">
        <f t="shared" si="3"/>
        <v>20</v>
      </c>
      <c r="K9" s="2">
        <f t="shared" si="0"/>
        <v>265</v>
      </c>
      <c r="L9" s="2">
        <f t="shared" si="5"/>
        <v>35</v>
      </c>
      <c r="M9" s="2">
        <v>0</v>
      </c>
      <c r="N9" s="2">
        <v>1</v>
      </c>
      <c r="O9" s="2">
        <v>400</v>
      </c>
      <c r="P9" s="2">
        <v>75</v>
      </c>
      <c r="Q9" s="2">
        <f t="shared" si="4"/>
        <v>28</v>
      </c>
      <c r="R9" s="2" t="s">
        <v>131</v>
      </c>
      <c r="S9" s="2">
        <v>3</v>
      </c>
      <c r="T9" s="2" t="s">
        <v>133</v>
      </c>
      <c r="U9" s="2">
        <v>3</v>
      </c>
      <c r="V9" s="2" t="s">
        <v>135</v>
      </c>
      <c r="W9" s="2">
        <v>3</v>
      </c>
      <c r="X9" s="2" t="s">
        <v>137</v>
      </c>
      <c r="Y9" s="2">
        <v>3</v>
      </c>
      <c r="Z9" s="2" t="s">
        <v>139</v>
      </c>
      <c r="AA9" s="2">
        <v>1</v>
      </c>
      <c r="AB9" s="2">
        <v>80.2</v>
      </c>
      <c r="AC9" s="2">
        <f>ROUND(K9/(('01设定表'!$C$4+'01设定表'!$C$7)/2*((100-L9)/100)),1)</f>
        <v>108.7</v>
      </c>
      <c r="AD9" s="2">
        <f>ROUND(AC9*AB9/('01设定表'!$C$5+'01设定表'!$C$8)/2,1)</f>
        <v>36.299999999999997</v>
      </c>
    </row>
    <row r="10" spans="1:31" x14ac:dyDescent="0.35">
      <c r="A10" s="2">
        <v>9</v>
      </c>
      <c r="B10" s="2" t="s">
        <v>365</v>
      </c>
      <c r="C10" s="2" t="s">
        <v>95</v>
      </c>
      <c r="D10" s="2" t="s">
        <v>110</v>
      </c>
      <c r="E10" s="2">
        <v>9</v>
      </c>
      <c r="F10" s="2">
        <f t="shared" si="1"/>
        <v>500</v>
      </c>
      <c r="G10" s="2" t="s">
        <v>119</v>
      </c>
      <c r="H10" s="2" t="s">
        <v>121</v>
      </c>
      <c r="I10" s="2">
        <f t="shared" si="2"/>
        <v>14</v>
      </c>
      <c r="J10" s="2">
        <f t="shared" si="3"/>
        <v>21</v>
      </c>
      <c r="K10" s="2">
        <f t="shared" si="0"/>
        <v>280</v>
      </c>
      <c r="L10" s="2">
        <f t="shared" si="5"/>
        <v>40</v>
      </c>
      <c r="M10" s="2">
        <v>0</v>
      </c>
      <c r="N10" s="2">
        <v>1</v>
      </c>
      <c r="O10" s="2">
        <v>400</v>
      </c>
      <c r="P10" s="2">
        <v>75</v>
      </c>
      <c r="Q10" s="2">
        <f t="shared" si="4"/>
        <v>32</v>
      </c>
      <c r="R10" s="2" t="s">
        <v>131</v>
      </c>
      <c r="S10" s="2">
        <v>3</v>
      </c>
      <c r="T10" s="2" t="s">
        <v>133</v>
      </c>
      <c r="U10" s="2">
        <v>3</v>
      </c>
      <c r="V10" s="2" t="s">
        <v>135</v>
      </c>
      <c r="W10" s="2">
        <v>3</v>
      </c>
      <c r="X10" s="2" t="s">
        <v>137</v>
      </c>
      <c r="Y10" s="2">
        <v>3</v>
      </c>
      <c r="Z10" s="2" t="s">
        <v>139</v>
      </c>
      <c r="AA10" s="2">
        <v>2</v>
      </c>
      <c r="AB10" s="2">
        <v>85.3</v>
      </c>
      <c r="AC10" s="2">
        <f>ROUND(K10/(('01设定表'!$C$4+'01设定表'!$C$7)/2*((100-L10)/100)),1)</f>
        <v>124.4</v>
      </c>
      <c r="AD10" s="2">
        <f>ROUND(AC10*AB10/('01设定表'!$C$5+'01设定表'!$C$8)/2,1)</f>
        <v>44.2</v>
      </c>
    </row>
    <row r="11" spans="1:31" x14ac:dyDescent="0.35">
      <c r="A11" s="2">
        <v>10</v>
      </c>
      <c r="B11" s="2" t="s">
        <v>365</v>
      </c>
      <c r="C11" s="2" t="s">
        <v>95</v>
      </c>
      <c r="D11" s="2" t="s">
        <v>110</v>
      </c>
      <c r="E11" s="2">
        <v>10</v>
      </c>
      <c r="F11" s="2">
        <f t="shared" si="1"/>
        <v>550</v>
      </c>
      <c r="G11" s="2" t="s">
        <v>119</v>
      </c>
      <c r="H11" s="2" t="s">
        <v>121</v>
      </c>
      <c r="I11" s="2">
        <f t="shared" si="2"/>
        <v>15</v>
      </c>
      <c r="J11" s="2">
        <f t="shared" si="3"/>
        <v>23</v>
      </c>
      <c r="K11" s="2">
        <f t="shared" si="0"/>
        <v>295</v>
      </c>
      <c r="L11" s="2">
        <f>L10+5</f>
        <v>45</v>
      </c>
      <c r="M11" s="2">
        <v>0</v>
      </c>
      <c r="N11" s="2">
        <v>1</v>
      </c>
      <c r="O11" s="2">
        <v>400</v>
      </c>
      <c r="P11" s="2">
        <v>75</v>
      </c>
      <c r="Q11" s="2">
        <f t="shared" si="4"/>
        <v>36</v>
      </c>
      <c r="R11" s="2" t="s">
        <v>131</v>
      </c>
      <c r="S11" s="2">
        <v>3</v>
      </c>
      <c r="T11" s="2" t="s">
        <v>133</v>
      </c>
      <c r="U11" s="2">
        <v>3</v>
      </c>
      <c r="V11" s="2" t="s">
        <v>135</v>
      </c>
      <c r="W11" s="2">
        <v>3</v>
      </c>
      <c r="X11" s="2" t="s">
        <v>137</v>
      </c>
      <c r="Y11" s="2">
        <v>3</v>
      </c>
      <c r="Z11" s="2" t="s">
        <v>139</v>
      </c>
      <c r="AA11" s="2">
        <v>3</v>
      </c>
      <c r="AB11" s="2">
        <v>91.7</v>
      </c>
      <c r="AC11" s="2">
        <f>ROUND(K11/(('01设定表'!$C$4+'01设定表'!$C$7)/2*((100-L11)/100)),1)</f>
        <v>143</v>
      </c>
      <c r="AD11" s="2">
        <f>ROUND(AC11*AB11/('01设定表'!$C$5+'01设定表'!$C$8)/2,1)</f>
        <v>54.6</v>
      </c>
    </row>
    <row r="12" spans="1:31" x14ac:dyDescent="0.35">
      <c r="A12" s="2">
        <v>11</v>
      </c>
      <c r="B12" s="2" t="s">
        <v>365</v>
      </c>
      <c r="C12" s="2" t="s">
        <v>96</v>
      </c>
      <c r="D12" s="2" t="s">
        <v>111</v>
      </c>
      <c r="E12" s="2">
        <v>1</v>
      </c>
      <c r="F12" s="2">
        <f>100+50*(E12-1)</f>
        <v>100</v>
      </c>
      <c r="G12" s="2" t="s">
        <v>119</v>
      </c>
      <c r="H12" s="2" t="s">
        <v>118</v>
      </c>
      <c r="I12" s="2">
        <f>ROUND(10+(E12-1)*1.5,0)</f>
        <v>10</v>
      </c>
      <c r="J12" s="2">
        <f>ROUND(14+2.4*(E12-1),0)</f>
        <v>14</v>
      </c>
      <c r="K12" s="2">
        <f t="shared" ref="K12:K21" si="6">220+20*(E12-1)</f>
        <v>220</v>
      </c>
      <c r="L12" s="2">
        <v>15</v>
      </c>
      <c r="M12" s="2">
        <v>0</v>
      </c>
      <c r="N12" s="2">
        <v>2</v>
      </c>
      <c r="O12" s="2">
        <v>10</v>
      </c>
      <c r="P12" s="2">
        <v>50</v>
      </c>
      <c r="Q12" s="2">
        <f t="shared" si="4"/>
        <v>0</v>
      </c>
      <c r="R12" s="2" t="s">
        <v>141</v>
      </c>
      <c r="S12" s="2">
        <v>0</v>
      </c>
      <c r="T12" s="2" t="s">
        <v>143</v>
      </c>
      <c r="U12" s="2">
        <v>0</v>
      </c>
      <c r="V12" s="2" t="s">
        <v>145</v>
      </c>
      <c r="W12" s="2">
        <v>0</v>
      </c>
      <c r="X12" s="2" t="s">
        <v>147</v>
      </c>
      <c r="Y12" s="2">
        <v>0</v>
      </c>
      <c r="Z12" s="2" t="s">
        <v>149</v>
      </c>
      <c r="AA12" s="2">
        <v>0</v>
      </c>
      <c r="AB12" s="2"/>
      <c r="AC12" s="2"/>
      <c r="AD12" s="2"/>
    </row>
    <row r="13" spans="1:31" x14ac:dyDescent="0.35">
      <c r="A13" s="2">
        <v>12</v>
      </c>
      <c r="B13" s="2" t="s">
        <v>365</v>
      </c>
      <c r="C13" s="2" t="s">
        <v>96</v>
      </c>
      <c r="D13" s="2" t="s">
        <v>111</v>
      </c>
      <c r="E13" s="2">
        <v>2</v>
      </c>
      <c r="F13" s="2">
        <f t="shared" si="1"/>
        <v>150</v>
      </c>
      <c r="G13" s="2" t="s">
        <v>119</v>
      </c>
      <c r="H13" s="2" t="s">
        <v>118</v>
      </c>
      <c r="I13" s="2">
        <f t="shared" ref="I13:I21" si="7">ROUND(10+(E13-1)*1.4,0)</f>
        <v>11</v>
      </c>
      <c r="J13" s="2">
        <f t="shared" ref="J13:J21" si="8">ROUND(14+2.4*(E13-1),0)</f>
        <v>16</v>
      </c>
      <c r="K13" s="2">
        <f t="shared" si="6"/>
        <v>240</v>
      </c>
      <c r="L13" s="2">
        <f>L12+5</f>
        <v>20</v>
      </c>
      <c r="M13" s="2">
        <v>0</v>
      </c>
      <c r="N13" s="2">
        <v>2</v>
      </c>
      <c r="O13" s="2">
        <v>10</v>
      </c>
      <c r="P13" s="2">
        <v>50</v>
      </c>
      <c r="Q13" s="2">
        <f t="shared" si="4"/>
        <v>4</v>
      </c>
      <c r="R13" s="2" t="s">
        <v>141</v>
      </c>
      <c r="S13" s="2">
        <v>1</v>
      </c>
      <c r="T13" s="2" t="s">
        <v>143</v>
      </c>
      <c r="U13" s="2">
        <v>0</v>
      </c>
      <c r="V13" s="2" t="s">
        <v>145</v>
      </c>
      <c r="W13" s="2">
        <v>0</v>
      </c>
      <c r="X13" s="2" t="s">
        <v>147</v>
      </c>
      <c r="Y13" s="2">
        <v>1</v>
      </c>
      <c r="Z13" s="2" t="s">
        <v>149</v>
      </c>
      <c r="AA13" s="2">
        <v>0</v>
      </c>
      <c r="AB13" s="2"/>
      <c r="AC13" s="2"/>
      <c r="AD13" s="2"/>
    </row>
    <row r="14" spans="1:31" x14ac:dyDescent="0.35">
      <c r="A14" s="2">
        <v>13</v>
      </c>
      <c r="B14" s="2" t="s">
        <v>365</v>
      </c>
      <c r="C14" s="2" t="s">
        <v>96</v>
      </c>
      <c r="D14" s="2" t="s">
        <v>111</v>
      </c>
      <c r="E14" s="2">
        <v>3</v>
      </c>
      <c r="F14" s="2">
        <f t="shared" si="1"/>
        <v>200</v>
      </c>
      <c r="G14" s="2" t="s">
        <v>119</v>
      </c>
      <c r="H14" s="2" t="s">
        <v>118</v>
      </c>
      <c r="I14" s="2">
        <f t="shared" si="7"/>
        <v>13</v>
      </c>
      <c r="J14" s="2">
        <f t="shared" si="8"/>
        <v>19</v>
      </c>
      <c r="K14" s="2">
        <f t="shared" si="6"/>
        <v>260</v>
      </c>
      <c r="L14" s="2">
        <f t="shared" ref="L14:L21" si="9">L13+5</f>
        <v>25</v>
      </c>
      <c r="M14" s="2">
        <v>0</v>
      </c>
      <c r="N14" s="2">
        <v>2</v>
      </c>
      <c r="O14" s="2">
        <v>10</v>
      </c>
      <c r="P14" s="2">
        <v>50</v>
      </c>
      <c r="Q14" s="2">
        <f t="shared" si="4"/>
        <v>8</v>
      </c>
      <c r="R14" s="2" t="s">
        <v>141</v>
      </c>
      <c r="S14" s="2">
        <v>2</v>
      </c>
      <c r="T14" s="2" t="s">
        <v>143</v>
      </c>
      <c r="U14" s="2">
        <v>0</v>
      </c>
      <c r="V14" s="2" t="s">
        <v>145</v>
      </c>
      <c r="W14" s="2">
        <v>0</v>
      </c>
      <c r="X14" s="2" t="s">
        <v>147</v>
      </c>
      <c r="Y14" s="2">
        <v>2</v>
      </c>
      <c r="Z14" s="2" t="s">
        <v>149</v>
      </c>
      <c r="AA14" s="2">
        <v>0</v>
      </c>
      <c r="AB14" s="2"/>
      <c r="AC14" s="2"/>
      <c r="AD14" s="2"/>
    </row>
    <row r="15" spans="1:31" x14ac:dyDescent="0.35">
      <c r="A15" s="2">
        <v>14</v>
      </c>
      <c r="B15" s="2" t="s">
        <v>365</v>
      </c>
      <c r="C15" s="2" t="s">
        <v>96</v>
      </c>
      <c r="D15" s="2" t="s">
        <v>111</v>
      </c>
      <c r="E15" s="2">
        <v>4</v>
      </c>
      <c r="F15" s="2">
        <f t="shared" si="1"/>
        <v>250</v>
      </c>
      <c r="G15" s="2" t="s">
        <v>119</v>
      </c>
      <c r="H15" s="2" t="s">
        <v>118</v>
      </c>
      <c r="I15" s="2">
        <f t="shared" si="7"/>
        <v>14</v>
      </c>
      <c r="J15" s="2">
        <f t="shared" si="8"/>
        <v>21</v>
      </c>
      <c r="K15" s="2">
        <f t="shared" si="6"/>
        <v>280</v>
      </c>
      <c r="L15" s="2">
        <f t="shared" si="9"/>
        <v>30</v>
      </c>
      <c r="M15" s="2">
        <v>0</v>
      </c>
      <c r="N15" s="2">
        <v>2</v>
      </c>
      <c r="O15" s="2">
        <v>10</v>
      </c>
      <c r="P15" s="2">
        <v>50</v>
      </c>
      <c r="Q15" s="2">
        <f t="shared" si="4"/>
        <v>12</v>
      </c>
      <c r="R15" s="2" t="s">
        <v>141</v>
      </c>
      <c r="S15" s="2">
        <v>3</v>
      </c>
      <c r="T15" s="2" t="s">
        <v>143</v>
      </c>
      <c r="U15" s="2">
        <v>0</v>
      </c>
      <c r="V15" s="2" t="s">
        <v>145</v>
      </c>
      <c r="W15" s="2">
        <v>0</v>
      </c>
      <c r="X15" s="2" t="s">
        <v>147</v>
      </c>
      <c r="Y15" s="2">
        <v>3</v>
      </c>
      <c r="Z15" s="2" t="s">
        <v>149</v>
      </c>
      <c r="AA15" s="2">
        <v>0</v>
      </c>
      <c r="AB15" s="2"/>
      <c r="AC15" s="2"/>
      <c r="AD15" s="2"/>
    </row>
    <row r="16" spans="1:31" x14ac:dyDescent="0.35">
      <c r="A16" s="2">
        <v>15</v>
      </c>
      <c r="B16" s="2" t="s">
        <v>365</v>
      </c>
      <c r="C16" s="2" t="s">
        <v>96</v>
      </c>
      <c r="D16" s="2" t="s">
        <v>111</v>
      </c>
      <c r="E16" s="2">
        <v>5</v>
      </c>
      <c r="F16" s="2">
        <f t="shared" si="1"/>
        <v>300</v>
      </c>
      <c r="G16" s="2" t="s">
        <v>119</v>
      </c>
      <c r="H16" s="2" t="s">
        <v>118</v>
      </c>
      <c r="I16" s="2">
        <f t="shared" si="7"/>
        <v>16</v>
      </c>
      <c r="J16" s="2">
        <f t="shared" si="8"/>
        <v>24</v>
      </c>
      <c r="K16" s="2">
        <f t="shared" si="6"/>
        <v>300</v>
      </c>
      <c r="L16" s="2">
        <f t="shared" si="9"/>
        <v>35</v>
      </c>
      <c r="M16" s="2">
        <v>0</v>
      </c>
      <c r="N16" s="2">
        <v>2</v>
      </c>
      <c r="O16" s="2">
        <v>10</v>
      </c>
      <c r="P16" s="2">
        <v>50</v>
      </c>
      <c r="Q16" s="2">
        <f t="shared" si="4"/>
        <v>16</v>
      </c>
      <c r="R16" s="2" t="s">
        <v>141</v>
      </c>
      <c r="S16" s="2">
        <v>3</v>
      </c>
      <c r="T16" s="2" t="s">
        <v>143</v>
      </c>
      <c r="U16" s="2">
        <v>1</v>
      </c>
      <c r="V16" s="2" t="s">
        <v>145</v>
      </c>
      <c r="W16" s="2">
        <v>0</v>
      </c>
      <c r="X16" s="2" t="s">
        <v>147</v>
      </c>
      <c r="Y16" s="2">
        <v>3</v>
      </c>
      <c r="Z16" s="2" t="s">
        <v>149</v>
      </c>
      <c r="AA16" s="2">
        <v>0</v>
      </c>
      <c r="AB16" s="2"/>
      <c r="AC16" s="2"/>
      <c r="AD16" s="2"/>
    </row>
    <row r="17" spans="1:30" x14ac:dyDescent="0.35">
      <c r="A17" s="2">
        <v>16</v>
      </c>
      <c r="B17" s="2" t="s">
        <v>365</v>
      </c>
      <c r="C17" s="2" t="s">
        <v>96</v>
      </c>
      <c r="D17" s="2" t="s">
        <v>111</v>
      </c>
      <c r="E17" s="2">
        <v>6</v>
      </c>
      <c r="F17" s="2">
        <f t="shared" si="1"/>
        <v>350</v>
      </c>
      <c r="G17" s="2" t="s">
        <v>119</v>
      </c>
      <c r="H17" s="2" t="s">
        <v>118</v>
      </c>
      <c r="I17" s="2">
        <f t="shared" si="7"/>
        <v>17</v>
      </c>
      <c r="J17" s="2">
        <f t="shared" si="8"/>
        <v>26</v>
      </c>
      <c r="K17" s="2">
        <f t="shared" si="6"/>
        <v>320</v>
      </c>
      <c r="L17" s="2">
        <f t="shared" si="9"/>
        <v>40</v>
      </c>
      <c r="M17" s="2">
        <v>0</v>
      </c>
      <c r="N17" s="2">
        <v>2</v>
      </c>
      <c r="O17" s="2">
        <v>10</v>
      </c>
      <c r="P17" s="2">
        <v>50</v>
      </c>
      <c r="Q17" s="2">
        <f t="shared" si="4"/>
        <v>20</v>
      </c>
      <c r="R17" s="2" t="s">
        <v>141</v>
      </c>
      <c r="S17" s="2">
        <v>3</v>
      </c>
      <c r="T17" s="2" t="s">
        <v>143</v>
      </c>
      <c r="U17" s="2">
        <v>2</v>
      </c>
      <c r="V17" s="2" t="s">
        <v>145</v>
      </c>
      <c r="W17" s="2">
        <v>0</v>
      </c>
      <c r="X17" s="2" t="s">
        <v>147</v>
      </c>
      <c r="Y17" s="2">
        <v>3</v>
      </c>
      <c r="Z17" s="2" t="s">
        <v>149</v>
      </c>
      <c r="AA17" s="2">
        <v>0</v>
      </c>
      <c r="AB17" s="2"/>
      <c r="AC17" s="2"/>
      <c r="AD17" s="2"/>
    </row>
    <row r="18" spans="1:30" x14ac:dyDescent="0.35">
      <c r="A18" s="2">
        <v>17</v>
      </c>
      <c r="B18" s="2" t="s">
        <v>365</v>
      </c>
      <c r="C18" s="2" t="s">
        <v>96</v>
      </c>
      <c r="D18" s="2" t="s">
        <v>111</v>
      </c>
      <c r="E18" s="2">
        <v>7</v>
      </c>
      <c r="F18" s="2">
        <f t="shared" si="1"/>
        <v>400</v>
      </c>
      <c r="G18" s="2" t="s">
        <v>119</v>
      </c>
      <c r="H18" s="2" t="s">
        <v>118</v>
      </c>
      <c r="I18" s="2">
        <f t="shared" si="7"/>
        <v>18</v>
      </c>
      <c r="J18" s="2">
        <f t="shared" si="8"/>
        <v>28</v>
      </c>
      <c r="K18" s="2">
        <f t="shared" si="6"/>
        <v>340</v>
      </c>
      <c r="L18" s="2">
        <f t="shared" si="9"/>
        <v>45</v>
      </c>
      <c r="M18" s="2">
        <v>0</v>
      </c>
      <c r="N18" s="2">
        <v>2</v>
      </c>
      <c r="O18" s="2">
        <v>10</v>
      </c>
      <c r="P18" s="2">
        <v>50</v>
      </c>
      <c r="Q18" s="2">
        <f t="shared" si="4"/>
        <v>24</v>
      </c>
      <c r="R18" s="2" t="s">
        <v>141</v>
      </c>
      <c r="S18" s="2">
        <v>3</v>
      </c>
      <c r="T18" s="2" t="s">
        <v>143</v>
      </c>
      <c r="U18" s="2">
        <v>3</v>
      </c>
      <c r="V18" s="2" t="s">
        <v>145</v>
      </c>
      <c r="W18" s="2">
        <v>1</v>
      </c>
      <c r="X18" s="2" t="s">
        <v>147</v>
      </c>
      <c r="Y18" s="2">
        <v>3</v>
      </c>
      <c r="Z18" s="2" t="s">
        <v>149</v>
      </c>
      <c r="AA18" s="2">
        <v>0</v>
      </c>
      <c r="AB18" s="2"/>
      <c r="AC18" s="2"/>
      <c r="AD18" s="2"/>
    </row>
    <row r="19" spans="1:30" x14ac:dyDescent="0.35">
      <c r="A19" s="2">
        <v>18</v>
      </c>
      <c r="B19" s="2" t="s">
        <v>365</v>
      </c>
      <c r="C19" s="2" t="s">
        <v>96</v>
      </c>
      <c r="D19" s="2" t="s">
        <v>111</v>
      </c>
      <c r="E19" s="2">
        <v>8</v>
      </c>
      <c r="F19" s="2">
        <f t="shared" si="1"/>
        <v>450</v>
      </c>
      <c r="G19" s="2" t="s">
        <v>119</v>
      </c>
      <c r="H19" s="2" t="s">
        <v>118</v>
      </c>
      <c r="I19" s="2">
        <f t="shared" si="7"/>
        <v>20</v>
      </c>
      <c r="J19" s="2">
        <f t="shared" si="8"/>
        <v>31</v>
      </c>
      <c r="K19" s="2">
        <f t="shared" si="6"/>
        <v>360</v>
      </c>
      <c r="L19" s="2">
        <f t="shared" si="9"/>
        <v>50</v>
      </c>
      <c r="M19" s="2">
        <v>0</v>
      </c>
      <c r="N19" s="2">
        <v>2</v>
      </c>
      <c r="O19" s="2">
        <v>10</v>
      </c>
      <c r="P19" s="2">
        <v>50</v>
      </c>
      <c r="Q19" s="2">
        <f t="shared" si="4"/>
        <v>28</v>
      </c>
      <c r="R19" s="2" t="s">
        <v>141</v>
      </c>
      <c r="S19" s="2">
        <v>3</v>
      </c>
      <c r="T19" s="2" t="s">
        <v>143</v>
      </c>
      <c r="U19" s="2">
        <v>3</v>
      </c>
      <c r="V19" s="2" t="s">
        <v>145</v>
      </c>
      <c r="W19" s="2">
        <v>3</v>
      </c>
      <c r="X19" s="2" t="s">
        <v>147</v>
      </c>
      <c r="Y19" s="2">
        <v>3</v>
      </c>
      <c r="Z19" s="2" t="s">
        <v>149</v>
      </c>
      <c r="AA19" s="2">
        <v>0</v>
      </c>
      <c r="AB19" s="2"/>
      <c r="AC19" s="2"/>
      <c r="AD19" s="2"/>
    </row>
    <row r="20" spans="1:30" x14ac:dyDescent="0.35">
      <c r="A20" s="2">
        <v>19</v>
      </c>
      <c r="B20" s="2" t="s">
        <v>365</v>
      </c>
      <c r="C20" s="2" t="s">
        <v>96</v>
      </c>
      <c r="D20" s="2" t="s">
        <v>111</v>
      </c>
      <c r="E20" s="2">
        <v>9</v>
      </c>
      <c r="F20" s="2">
        <f t="shared" si="1"/>
        <v>500</v>
      </c>
      <c r="G20" s="2" t="s">
        <v>119</v>
      </c>
      <c r="H20" s="2" t="s">
        <v>118</v>
      </c>
      <c r="I20" s="2">
        <f t="shared" si="7"/>
        <v>21</v>
      </c>
      <c r="J20" s="2">
        <f t="shared" si="8"/>
        <v>33</v>
      </c>
      <c r="K20" s="2">
        <f t="shared" si="6"/>
        <v>380</v>
      </c>
      <c r="L20" s="2">
        <f t="shared" si="9"/>
        <v>55</v>
      </c>
      <c r="M20" s="2">
        <v>0</v>
      </c>
      <c r="N20" s="2">
        <v>2</v>
      </c>
      <c r="O20" s="2">
        <v>10</v>
      </c>
      <c r="P20" s="2">
        <v>50</v>
      </c>
      <c r="Q20" s="2">
        <f t="shared" si="4"/>
        <v>32</v>
      </c>
      <c r="R20" s="2" t="s">
        <v>141</v>
      </c>
      <c r="S20" s="2">
        <v>3</v>
      </c>
      <c r="T20" s="2" t="s">
        <v>143</v>
      </c>
      <c r="U20" s="2">
        <v>3</v>
      </c>
      <c r="V20" s="2" t="s">
        <v>145</v>
      </c>
      <c r="W20" s="2">
        <v>3</v>
      </c>
      <c r="X20" s="2" t="s">
        <v>147</v>
      </c>
      <c r="Y20" s="2">
        <v>3</v>
      </c>
      <c r="Z20" s="2" t="s">
        <v>149</v>
      </c>
      <c r="AA20" s="2">
        <v>1</v>
      </c>
      <c r="AB20" s="2"/>
      <c r="AC20" s="2"/>
      <c r="AD20" s="2"/>
    </row>
    <row r="21" spans="1:30" x14ac:dyDescent="0.35">
      <c r="A21" s="2">
        <v>20</v>
      </c>
      <c r="B21" s="2" t="s">
        <v>365</v>
      </c>
      <c r="C21" s="2" t="s">
        <v>96</v>
      </c>
      <c r="D21" s="2" t="s">
        <v>111</v>
      </c>
      <c r="E21" s="2">
        <v>10</v>
      </c>
      <c r="F21" s="2">
        <f t="shared" si="1"/>
        <v>550</v>
      </c>
      <c r="G21" s="2" t="s">
        <v>119</v>
      </c>
      <c r="H21" s="2" t="s">
        <v>118</v>
      </c>
      <c r="I21" s="2">
        <f t="shared" si="7"/>
        <v>23</v>
      </c>
      <c r="J21" s="2">
        <f t="shared" si="8"/>
        <v>36</v>
      </c>
      <c r="K21" s="2">
        <f t="shared" si="6"/>
        <v>400</v>
      </c>
      <c r="L21" s="2">
        <f t="shared" si="9"/>
        <v>60</v>
      </c>
      <c r="M21" s="2">
        <v>0</v>
      </c>
      <c r="N21" s="2">
        <v>2</v>
      </c>
      <c r="O21" s="2">
        <v>10</v>
      </c>
      <c r="P21" s="2">
        <v>50</v>
      </c>
      <c r="Q21" s="2">
        <f t="shared" si="4"/>
        <v>36</v>
      </c>
      <c r="R21" s="2" t="s">
        <v>141</v>
      </c>
      <c r="S21" s="2">
        <v>3</v>
      </c>
      <c r="T21" s="2" t="s">
        <v>143</v>
      </c>
      <c r="U21" s="2">
        <v>3</v>
      </c>
      <c r="V21" s="2" t="s">
        <v>145</v>
      </c>
      <c r="W21" s="2">
        <v>3</v>
      </c>
      <c r="X21" s="2" t="s">
        <v>147</v>
      </c>
      <c r="Y21" s="2">
        <v>3</v>
      </c>
      <c r="Z21" s="2" t="s">
        <v>149</v>
      </c>
      <c r="AA21" s="2">
        <v>3</v>
      </c>
      <c r="AB21" s="2"/>
      <c r="AC21" s="2"/>
      <c r="AD21" s="2"/>
    </row>
    <row r="22" spans="1:30" x14ac:dyDescent="0.35">
      <c r="A22" s="2">
        <v>21</v>
      </c>
      <c r="B22" s="2" t="s">
        <v>365</v>
      </c>
      <c r="C22" s="2" t="s">
        <v>98</v>
      </c>
      <c r="D22" s="2" t="s">
        <v>110</v>
      </c>
      <c r="E22" s="2">
        <v>1</v>
      </c>
      <c r="F22" s="2">
        <f t="shared" si="1"/>
        <v>100</v>
      </c>
      <c r="G22" s="2" t="s">
        <v>126</v>
      </c>
      <c r="H22" s="2" t="s">
        <v>121</v>
      </c>
      <c r="I22" s="2">
        <f>9+1*(E22-1)</f>
        <v>9</v>
      </c>
      <c r="J22" s="2">
        <f>27+3*(E22-1)</f>
        <v>27</v>
      </c>
      <c r="K22" s="2">
        <f t="shared" ref="K22:K31" si="10">145+10*(E22-1)</f>
        <v>145</v>
      </c>
      <c r="L22" s="2">
        <v>0</v>
      </c>
      <c r="M22" s="2">
        <v>0</v>
      </c>
      <c r="N22" s="2">
        <v>1.5</v>
      </c>
      <c r="O22" s="2">
        <v>360</v>
      </c>
      <c r="P22" s="2">
        <v>75</v>
      </c>
      <c r="Q22" s="2">
        <f t="shared" si="4"/>
        <v>0</v>
      </c>
      <c r="R22" s="2" t="s">
        <v>151</v>
      </c>
      <c r="S22" s="2">
        <v>0</v>
      </c>
      <c r="T22" s="2" t="s">
        <v>153</v>
      </c>
      <c r="U22" s="2">
        <v>0</v>
      </c>
      <c r="V22" s="2" t="s">
        <v>155</v>
      </c>
      <c r="W22" s="2">
        <v>0</v>
      </c>
      <c r="X22" s="2" t="s">
        <v>157</v>
      </c>
      <c r="Y22" s="2">
        <v>0</v>
      </c>
      <c r="Z22" s="2" t="s">
        <v>159</v>
      </c>
      <c r="AA22" s="2">
        <v>0</v>
      </c>
      <c r="AB22" s="2"/>
      <c r="AC22" s="2"/>
      <c r="AD22" s="2"/>
    </row>
    <row r="23" spans="1:30" x14ac:dyDescent="0.35">
      <c r="A23" s="2">
        <v>22</v>
      </c>
      <c r="B23" s="2" t="s">
        <v>365</v>
      </c>
      <c r="C23" s="2" t="s">
        <v>98</v>
      </c>
      <c r="D23" s="2" t="s">
        <v>110</v>
      </c>
      <c r="E23" s="2">
        <v>2</v>
      </c>
      <c r="F23" s="2">
        <f t="shared" si="1"/>
        <v>150</v>
      </c>
      <c r="G23" s="2" t="s">
        <v>126</v>
      </c>
      <c r="H23" s="2" t="s">
        <v>121</v>
      </c>
      <c r="I23" s="2">
        <f t="shared" ref="I23:I31" si="11">9+1*(E23-1)</f>
        <v>10</v>
      </c>
      <c r="J23" s="2">
        <f t="shared" ref="J23:J31" si="12">27+3*(E23-1)</f>
        <v>30</v>
      </c>
      <c r="K23" s="2">
        <f t="shared" si="10"/>
        <v>155</v>
      </c>
      <c r="L23" s="2">
        <v>0</v>
      </c>
      <c r="M23" s="2">
        <v>0</v>
      </c>
      <c r="N23" s="2">
        <v>1.5</v>
      </c>
      <c r="O23" s="2">
        <v>360</v>
      </c>
      <c r="P23" s="2">
        <v>75</v>
      </c>
      <c r="Q23" s="2">
        <f t="shared" si="4"/>
        <v>4</v>
      </c>
      <c r="R23" s="2" t="s">
        <v>151</v>
      </c>
      <c r="S23" s="2">
        <v>2</v>
      </c>
      <c r="T23" s="2" t="s">
        <v>153</v>
      </c>
      <c r="U23" s="2">
        <v>0</v>
      </c>
      <c r="V23" s="2" t="s">
        <v>155</v>
      </c>
      <c r="W23" s="2">
        <v>0</v>
      </c>
      <c r="X23" s="2" t="s">
        <v>157</v>
      </c>
      <c r="Y23" s="2">
        <v>0</v>
      </c>
      <c r="Z23" s="2" t="s">
        <v>159</v>
      </c>
      <c r="AA23" s="2">
        <v>0</v>
      </c>
      <c r="AB23" s="2"/>
      <c r="AC23" s="2"/>
      <c r="AD23" s="2"/>
    </row>
    <row r="24" spans="1:30" x14ac:dyDescent="0.35">
      <c r="A24" s="2">
        <v>23</v>
      </c>
      <c r="B24" s="2" t="s">
        <v>365</v>
      </c>
      <c r="C24" s="2" t="s">
        <v>98</v>
      </c>
      <c r="D24" s="2" t="s">
        <v>110</v>
      </c>
      <c r="E24" s="2">
        <v>3</v>
      </c>
      <c r="F24" s="2">
        <f t="shared" si="1"/>
        <v>200</v>
      </c>
      <c r="G24" s="2" t="s">
        <v>126</v>
      </c>
      <c r="H24" s="2" t="s">
        <v>121</v>
      </c>
      <c r="I24" s="2">
        <f t="shared" si="11"/>
        <v>11</v>
      </c>
      <c r="J24" s="2">
        <f t="shared" si="12"/>
        <v>33</v>
      </c>
      <c r="K24" s="2">
        <f t="shared" si="10"/>
        <v>165</v>
      </c>
      <c r="L24" s="2">
        <v>0</v>
      </c>
      <c r="M24" s="2">
        <v>0</v>
      </c>
      <c r="N24" s="2">
        <v>1.5</v>
      </c>
      <c r="O24" s="2">
        <v>360</v>
      </c>
      <c r="P24" s="2">
        <v>75</v>
      </c>
      <c r="Q24" s="2">
        <f t="shared" si="4"/>
        <v>8</v>
      </c>
      <c r="R24" s="2" t="s">
        <v>151</v>
      </c>
      <c r="S24" s="2">
        <v>3</v>
      </c>
      <c r="T24" s="2" t="s">
        <v>153</v>
      </c>
      <c r="U24" s="2">
        <v>0</v>
      </c>
      <c r="V24" s="2" t="s">
        <v>155</v>
      </c>
      <c r="W24" s="2">
        <v>1</v>
      </c>
      <c r="X24" s="2" t="s">
        <v>157</v>
      </c>
      <c r="Y24" s="2">
        <v>0</v>
      </c>
      <c r="Z24" s="2" t="s">
        <v>159</v>
      </c>
      <c r="AA24" s="2">
        <v>0</v>
      </c>
      <c r="AB24" s="2"/>
      <c r="AC24" s="2"/>
      <c r="AD24" s="2"/>
    </row>
    <row r="25" spans="1:30" x14ac:dyDescent="0.35">
      <c r="A25" s="2">
        <v>24</v>
      </c>
      <c r="B25" s="2" t="s">
        <v>365</v>
      </c>
      <c r="C25" s="2" t="s">
        <v>98</v>
      </c>
      <c r="D25" s="2" t="s">
        <v>110</v>
      </c>
      <c r="E25" s="2">
        <v>4</v>
      </c>
      <c r="F25" s="2">
        <f t="shared" si="1"/>
        <v>250</v>
      </c>
      <c r="G25" s="2" t="s">
        <v>126</v>
      </c>
      <c r="H25" s="2" t="s">
        <v>121</v>
      </c>
      <c r="I25" s="2">
        <f t="shared" si="11"/>
        <v>12</v>
      </c>
      <c r="J25" s="2">
        <f t="shared" si="12"/>
        <v>36</v>
      </c>
      <c r="K25" s="2">
        <f t="shared" si="10"/>
        <v>175</v>
      </c>
      <c r="L25" s="2">
        <v>0</v>
      </c>
      <c r="M25" s="2">
        <v>0</v>
      </c>
      <c r="N25" s="2">
        <v>1.5</v>
      </c>
      <c r="O25" s="2">
        <v>360</v>
      </c>
      <c r="P25" s="2">
        <v>75</v>
      </c>
      <c r="Q25" s="2">
        <f t="shared" si="4"/>
        <v>12</v>
      </c>
      <c r="R25" s="2" t="s">
        <v>151</v>
      </c>
      <c r="S25" s="2">
        <v>3</v>
      </c>
      <c r="T25" s="2" t="s">
        <v>153</v>
      </c>
      <c r="U25" s="2">
        <v>1</v>
      </c>
      <c r="V25" s="2" t="s">
        <v>155</v>
      </c>
      <c r="W25" s="2">
        <v>1</v>
      </c>
      <c r="X25" s="2" t="s">
        <v>157</v>
      </c>
      <c r="Y25" s="2">
        <v>1</v>
      </c>
      <c r="Z25" s="2" t="s">
        <v>159</v>
      </c>
      <c r="AA25" s="2">
        <v>0</v>
      </c>
      <c r="AB25" s="2"/>
      <c r="AC25" s="2"/>
      <c r="AD25" s="2"/>
    </row>
    <row r="26" spans="1:30" x14ac:dyDescent="0.35">
      <c r="A26" s="2">
        <v>25</v>
      </c>
      <c r="B26" s="2" t="s">
        <v>365</v>
      </c>
      <c r="C26" s="2" t="s">
        <v>98</v>
      </c>
      <c r="D26" s="2" t="s">
        <v>110</v>
      </c>
      <c r="E26" s="2">
        <v>5</v>
      </c>
      <c r="F26" s="2">
        <f t="shared" si="1"/>
        <v>300</v>
      </c>
      <c r="G26" s="2" t="s">
        <v>126</v>
      </c>
      <c r="H26" s="2" t="s">
        <v>121</v>
      </c>
      <c r="I26" s="2">
        <f t="shared" si="11"/>
        <v>13</v>
      </c>
      <c r="J26" s="2">
        <f t="shared" si="12"/>
        <v>39</v>
      </c>
      <c r="K26" s="2">
        <f t="shared" si="10"/>
        <v>185</v>
      </c>
      <c r="L26" s="2">
        <v>0</v>
      </c>
      <c r="M26" s="2">
        <v>0</v>
      </c>
      <c r="N26" s="2">
        <v>1.5</v>
      </c>
      <c r="O26" s="2">
        <v>360</v>
      </c>
      <c r="P26" s="2">
        <v>75</v>
      </c>
      <c r="Q26" s="2">
        <f t="shared" si="4"/>
        <v>16</v>
      </c>
      <c r="R26" s="2" t="s">
        <v>151</v>
      </c>
      <c r="S26" s="2">
        <v>3</v>
      </c>
      <c r="T26" s="2" t="s">
        <v>153</v>
      </c>
      <c r="U26" s="2">
        <v>2</v>
      </c>
      <c r="V26" s="2" t="s">
        <v>155</v>
      </c>
      <c r="W26" s="2">
        <v>2</v>
      </c>
      <c r="X26" s="2" t="s">
        <v>157</v>
      </c>
      <c r="Y26" s="2">
        <v>1</v>
      </c>
      <c r="Z26" s="2" t="s">
        <v>159</v>
      </c>
      <c r="AA26" s="2">
        <v>0</v>
      </c>
      <c r="AB26" s="2"/>
      <c r="AC26" s="2"/>
      <c r="AD26" s="2"/>
    </row>
    <row r="27" spans="1:30" x14ac:dyDescent="0.35">
      <c r="A27" s="2">
        <v>26</v>
      </c>
      <c r="B27" s="2" t="s">
        <v>365</v>
      </c>
      <c r="C27" s="2" t="s">
        <v>98</v>
      </c>
      <c r="D27" s="2" t="s">
        <v>110</v>
      </c>
      <c r="E27" s="2">
        <v>6</v>
      </c>
      <c r="F27" s="2">
        <f t="shared" si="1"/>
        <v>350</v>
      </c>
      <c r="G27" s="2" t="s">
        <v>126</v>
      </c>
      <c r="H27" s="2" t="s">
        <v>121</v>
      </c>
      <c r="I27" s="2">
        <f t="shared" si="11"/>
        <v>14</v>
      </c>
      <c r="J27" s="2">
        <f t="shared" si="12"/>
        <v>42</v>
      </c>
      <c r="K27" s="2">
        <f t="shared" si="10"/>
        <v>195</v>
      </c>
      <c r="L27" s="2">
        <v>0</v>
      </c>
      <c r="M27" s="2">
        <v>0</v>
      </c>
      <c r="N27" s="2">
        <v>1.5</v>
      </c>
      <c r="O27" s="2">
        <v>360</v>
      </c>
      <c r="P27" s="2">
        <v>75</v>
      </c>
      <c r="Q27" s="2">
        <f t="shared" si="4"/>
        <v>20</v>
      </c>
      <c r="R27" s="2" t="s">
        <v>151</v>
      </c>
      <c r="S27" s="2">
        <v>3</v>
      </c>
      <c r="T27" s="2" t="s">
        <v>153</v>
      </c>
      <c r="U27" s="2">
        <v>3</v>
      </c>
      <c r="V27" s="2" t="s">
        <v>155</v>
      </c>
      <c r="W27" s="2">
        <v>3</v>
      </c>
      <c r="X27" s="2" t="s">
        <v>157</v>
      </c>
      <c r="Y27" s="2">
        <v>1</v>
      </c>
      <c r="Z27" s="2" t="s">
        <v>159</v>
      </c>
      <c r="AA27" s="2">
        <v>0</v>
      </c>
      <c r="AB27" s="2"/>
      <c r="AC27" s="2"/>
      <c r="AD27" s="2"/>
    </row>
    <row r="28" spans="1:30" x14ac:dyDescent="0.35">
      <c r="A28" s="2">
        <v>27</v>
      </c>
      <c r="B28" s="2" t="s">
        <v>365</v>
      </c>
      <c r="C28" s="2" t="s">
        <v>98</v>
      </c>
      <c r="D28" s="2" t="s">
        <v>110</v>
      </c>
      <c r="E28" s="2">
        <v>7</v>
      </c>
      <c r="F28" s="2">
        <f t="shared" si="1"/>
        <v>400</v>
      </c>
      <c r="G28" s="2" t="s">
        <v>126</v>
      </c>
      <c r="H28" s="2" t="s">
        <v>121</v>
      </c>
      <c r="I28" s="2">
        <f t="shared" si="11"/>
        <v>15</v>
      </c>
      <c r="J28" s="2">
        <f t="shared" si="12"/>
        <v>45</v>
      </c>
      <c r="K28" s="2">
        <f t="shared" si="10"/>
        <v>205</v>
      </c>
      <c r="L28" s="2">
        <v>0</v>
      </c>
      <c r="M28" s="2">
        <v>0</v>
      </c>
      <c r="N28" s="2">
        <v>1.5</v>
      </c>
      <c r="O28" s="2">
        <v>360</v>
      </c>
      <c r="P28" s="2">
        <v>75</v>
      </c>
      <c r="Q28" s="2">
        <f t="shared" si="4"/>
        <v>24</v>
      </c>
      <c r="R28" s="2" t="s">
        <v>151</v>
      </c>
      <c r="S28" s="2">
        <v>3</v>
      </c>
      <c r="T28" s="2" t="s">
        <v>153</v>
      </c>
      <c r="U28" s="2">
        <v>3</v>
      </c>
      <c r="V28" s="2" t="s">
        <v>155</v>
      </c>
      <c r="W28" s="2">
        <v>3</v>
      </c>
      <c r="X28" s="2" t="s">
        <v>157</v>
      </c>
      <c r="Y28" s="2">
        <v>3</v>
      </c>
      <c r="Z28" s="2" t="s">
        <v>159</v>
      </c>
      <c r="AA28" s="2">
        <v>0</v>
      </c>
      <c r="AB28" s="2"/>
      <c r="AC28" s="2"/>
      <c r="AD28" s="2"/>
    </row>
    <row r="29" spans="1:30" x14ac:dyDescent="0.35">
      <c r="A29" s="2">
        <v>28</v>
      </c>
      <c r="B29" s="2" t="s">
        <v>365</v>
      </c>
      <c r="C29" s="2" t="s">
        <v>98</v>
      </c>
      <c r="D29" s="2" t="s">
        <v>110</v>
      </c>
      <c r="E29" s="2">
        <v>8</v>
      </c>
      <c r="F29" s="2">
        <f t="shared" si="1"/>
        <v>450</v>
      </c>
      <c r="G29" s="2" t="s">
        <v>126</v>
      </c>
      <c r="H29" s="2" t="s">
        <v>121</v>
      </c>
      <c r="I29" s="2">
        <f t="shared" si="11"/>
        <v>16</v>
      </c>
      <c r="J29" s="2">
        <f t="shared" si="12"/>
        <v>48</v>
      </c>
      <c r="K29" s="2">
        <f t="shared" si="10"/>
        <v>215</v>
      </c>
      <c r="L29" s="2">
        <v>0</v>
      </c>
      <c r="M29" s="2">
        <v>0</v>
      </c>
      <c r="N29" s="2">
        <v>1.5</v>
      </c>
      <c r="O29" s="2">
        <v>360</v>
      </c>
      <c r="P29" s="2">
        <v>75</v>
      </c>
      <c r="Q29" s="2">
        <f t="shared" si="4"/>
        <v>28</v>
      </c>
      <c r="R29" s="2" t="s">
        <v>151</v>
      </c>
      <c r="S29" s="2">
        <v>3</v>
      </c>
      <c r="T29" s="2" t="s">
        <v>153</v>
      </c>
      <c r="U29" s="2">
        <v>3</v>
      </c>
      <c r="V29" s="2" t="s">
        <v>155</v>
      </c>
      <c r="W29" s="2">
        <v>3</v>
      </c>
      <c r="X29" s="2" t="s">
        <v>157</v>
      </c>
      <c r="Y29" s="2">
        <v>3</v>
      </c>
      <c r="Z29" s="2" t="s">
        <v>159</v>
      </c>
      <c r="AA29" s="2">
        <v>1</v>
      </c>
      <c r="AB29" s="2"/>
      <c r="AC29" s="2"/>
      <c r="AD29" s="2"/>
    </row>
    <row r="30" spans="1:30" x14ac:dyDescent="0.35">
      <c r="A30" s="2">
        <v>29</v>
      </c>
      <c r="B30" s="2" t="s">
        <v>365</v>
      </c>
      <c r="C30" s="2" t="s">
        <v>98</v>
      </c>
      <c r="D30" s="2" t="s">
        <v>110</v>
      </c>
      <c r="E30" s="2">
        <v>9</v>
      </c>
      <c r="F30" s="2">
        <f t="shared" si="1"/>
        <v>500</v>
      </c>
      <c r="G30" s="2" t="s">
        <v>126</v>
      </c>
      <c r="H30" s="2" t="s">
        <v>121</v>
      </c>
      <c r="I30" s="2">
        <f t="shared" si="11"/>
        <v>17</v>
      </c>
      <c r="J30" s="2">
        <f t="shared" si="12"/>
        <v>51</v>
      </c>
      <c r="K30" s="2">
        <f t="shared" si="10"/>
        <v>225</v>
      </c>
      <c r="L30" s="2">
        <v>0</v>
      </c>
      <c r="M30" s="2">
        <v>0</v>
      </c>
      <c r="N30" s="2">
        <v>1.5</v>
      </c>
      <c r="O30" s="2">
        <v>360</v>
      </c>
      <c r="P30" s="2">
        <v>75</v>
      </c>
      <c r="Q30" s="2">
        <f t="shared" si="4"/>
        <v>32</v>
      </c>
      <c r="R30" s="2" t="s">
        <v>151</v>
      </c>
      <c r="S30" s="2">
        <v>3</v>
      </c>
      <c r="T30" s="2" t="s">
        <v>153</v>
      </c>
      <c r="U30" s="2">
        <v>3</v>
      </c>
      <c r="V30" s="2" t="s">
        <v>155</v>
      </c>
      <c r="W30" s="2">
        <v>3</v>
      </c>
      <c r="X30" s="2" t="s">
        <v>157</v>
      </c>
      <c r="Y30" s="2">
        <v>3</v>
      </c>
      <c r="Z30" s="2" t="s">
        <v>159</v>
      </c>
      <c r="AA30" s="2">
        <v>2</v>
      </c>
      <c r="AB30" s="2"/>
      <c r="AC30" s="2"/>
      <c r="AD30" s="2"/>
    </row>
    <row r="31" spans="1:30" x14ac:dyDescent="0.35">
      <c r="A31" s="2">
        <v>30</v>
      </c>
      <c r="B31" s="2" t="s">
        <v>365</v>
      </c>
      <c r="C31" s="2" t="s">
        <v>98</v>
      </c>
      <c r="D31" s="2" t="s">
        <v>110</v>
      </c>
      <c r="E31" s="2">
        <v>10</v>
      </c>
      <c r="F31" s="2">
        <f t="shared" si="1"/>
        <v>550</v>
      </c>
      <c r="G31" s="2" t="s">
        <v>126</v>
      </c>
      <c r="H31" s="2" t="s">
        <v>121</v>
      </c>
      <c r="I31" s="2">
        <f t="shared" si="11"/>
        <v>18</v>
      </c>
      <c r="J31" s="2">
        <f t="shared" si="12"/>
        <v>54</v>
      </c>
      <c r="K31" s="2">
        <f t="shared" si="10"/>
        <v>235</v>
      </c>
      <c r="L31" s="2">
        <v>0</v>
      </c>
      <c r="M31" s="2">
        <v>0</v>
      </c>
      <c r="N31" s="2">
        <v>1.5</v>
      </c>
      <c r="O31" s="2">
        <v>360</v>
      </c>
      <c r="P31" s="2">
        <v>75</v>
      </c>
      <c r="Q31" s="2">
        <f t="shared" si="4"/>
        <v>36</v>
      </c>
      <c r="R31" s="2" t="s">
        <v>151</v>
      </c>
      <c r="S31" s="2">
        <v>3</v>
      </c>
      <c r="T31" s="2" t="s">
        <v>153</v>
      </c>
      <c r="U31" s="2">
        <v>3</v>
      </c>
      <c r="V31" s="2" t="s">
        <v>155</v>
      </c>
      <c r="W31" s="2">
        <v>3</v>
      </c>
      <c r="X31" s="2" t="s">
        <v>157</v>
      </c>
      <c r="Y31" s="2">
        <v>3</v>
      </c>
      <c r="Z31" s="2" t="s">
        <v>159</v>
      </c>
      <c r="AA31" s="2">
        <v>3</v>
      </c>
      <c r="AB31" s="2"/>
      <c r="AC31" s="2"/>
      <c r="AD31" s="2"/>
    </row>
    <row r="32" spans="1:30" x14ac:dyDescent="0.35">
      <c r="A32" s="2">
        <v>31</v>
      </c>
      <c r="B32" s="2" t="s">
        <v>365</v>
      </c>
      <c r="C32" s="2" t="s">
        <v>99</v>
      </c>
      <c r="D32" s="2" t="s">
        <v>110</v>
      </c>
      <c r="E32" s="2">
        <v>1</v>
      </c>
      <c r="F32" s="2">
        <f t="shared" si="1"/>
        <v>100</v>
      </c>
      <c r="G32" s="2" t="s">
        <v>119</v>
      </c>
      <c r="H32" s="2" t="s">
        <v>118</v>
      </c>
      <c r="I32" s="2">
        <v>13</v>
      </c>
      <c r="J32" s="2">
        <v>16</v>
      </c>
      <c r="K32" s="2">
        <v>250</v>
      </c>
      <c r="L32" s="2">
        <v>0</v>
      </c>
      <c r="M32" s="2">
        <v>0</v>
      </c>
      <c r="N32" s="2">
        <v>2</v>
      </c>
      <c r="O32" s="2">
        <v>10</v>
      </c>
      <c r="P32" s="2">
        <v>50</v>
      </c>
      <c r="Q32" s="2">
        <f t="shared" si="4"/>
        <v>0</v>
      </c>
      <c r="R32" s="2" t="s">
        <v>161</v>
      </c>
      <c r="S32" s="2">
        <v>0</v>
      </c>
      <c r="T32" s="2" t="s">
        <v>163</v>
      </c>
      <c r="U32" s="2">
        <v>0</v>
      </c>
      <c r="V32" s="2" t="s">
        <v>165</v>
      </c>
      <c r="W32" s="2">
        <v>0</v>
      </c>
      <c r="X32" s="2" t="s">
        <v>167</v>
      </c>
      <c r="Y32" s="2">
        <v>0</v>
      </c>
      <c r="Z32" s="2" t="s">
        <v>169</v>
      </c>
      <c r="AA32" s="2">
        <v>0</v>
      </c>
      <c r="AB32" s="2"/>
      <c r="AC32" s="2"/>
      <c r="AD32" s="2"/>
    </row>
    <row r="33" spans="1:30" x14ac:dyDescent="0.35">
      <c r="A33" s="2">
        <v>32</v>
      </c>
      <c r="B33" s="2" t="s">
        <v>365</v>
      </c>
      <c r="C33" s="2" t="s">
        <v>99</v>
      </c>
      <c r="D33" s="2" t="s">
        <v>110</v>
      </c>
      <c r="E33" s="2">
        <v>2</v>
      </c>
      <c r="F33" s="2">
        <f t="shared" si="1"/>
        <v>150</v>
      </c>
      <c r="G33" s="2" t="s">
        <v>119</v>
      </c>
      <c r="H33" s="2" t="s">
        <v>118</v>
      </c>
      <c r="I33" s="2">
        <f>I32+1</f>
        <v>14</v>
      </c>
      <c r="J33" s="2">
        <f>J32+2</f>
        <v>18</v>
      </c>
      <c r="K33" s="2">
        <f>K32+30</f>
        <v>280</v>
      </c>
      <c r="L33" s="2">
        <v>0</v>
      </c>
      <c r="M33" s="2">
        <v>0</v>
      </c>
      <c r="N33" s="2">
        <v>2</v>
      </c>
      <c r="O33" s="2">
        <v>10</v>
      </c>
      <c r="P33" s="2">
        <v>50</v>
      </c>
      <c r="Q33" s="2">
        <f t="shared" si="4"/>
        <v>4</v>
      </c>
      <c r="R33" s="2" t="s">
        <v>161</v>
      </c>
      <c r="S33" s="2">
        <v>1</v>
      </c>
      <c r="T33" s="2" t="s">
        <v>163</v>
      </c>
      <c r="U33" s="2">
        <v>1</v>
      </c>
      <c r="V33" s="2" t="s">
        <v>165</v>
      </c>
      <c r="W33" s="2">
        <v>0</v>
      </c>
      <c r="X33" s="2" t="s">
        <v>167</v>
      </c>
      <c r="Y33" s="2">
        <v>0</v>
      </c>
      <c r="Z33" s="2" t="s">
        <v>169</v>
      </c>
      <c r="AA33" s="2">
        <v>0</v>
      </c>
      <c r="AB33" s="2"/>
      <c r="AC33" s="2"/>
      <c r="AD33" s="2"/>
    </row>
    <row r="34" spans="1:30" x14ac:dyDescent="0.35">
      <c r="A34" s="2">
        <v>33</v>
      </c>
      <c r="B34" s="2" t="s">
        <v>365</v>
      </c>
      <c r="C34" s="2" t="s">
        <v>99</v>
      </c>
      <c r="D34" s="2" t="s">
        <v>110</v>
      </c>
      <c r="E34" s="2">
        <v>3</v>
      </c>
      <c r="F34" s="2">
        <f t="shared" si="1"/>
        <v>200</v>
      </c>
      <c r="G34" s="2" t="s">
        <v>119</v>
      </c>
      <c r="H34" s="2" t="s">
        <v>118</v>
      </c>
      <c r="I34" s="2">
        <f t="shared" ref="I34:I41" si="13">I33+1</f>
        <v>15</v>
      </c>
      <c r="J34" s="2">
        <f t="shared" ref="J34:J41" si="14">J33+2</f>
        <v>20</v>
      </c>
      <c r="K34" s="2">
        <f t="shared" ref="K34:K41" si="15">K33+30</f>
        <v>310</v>
      </c>
      <c r="L34" s="2">
        <v>0</v>
      </c>
      <c r="M34" s="2">
        <v>0</v>
      </c>
      <c r="N34" s="2">
        <v>2</v>
      </c>
      <c r="O34" s="2">
        <v>10</v>
      </c>
      <c r="P34" s="2">
        <v>50</v>
      </c>
      <c r="Q34" s="2">
        <f t="shared" si="4"/>
        <v>8</v>
      </c>
      <c r="R34" s="2" t="s">
        <v>161</v>
      </c>
      <c r="S34" s="2">
        <v>2</v>
      </c>
      <c r="T34" s="2" t="s">
        <v>163</v>
      </c>
      <c r="U34" s="2">
        <v>2</v>
      </c>
      <c r="V34" s="2" t="s">
        <v>165</v>
      </c>
      <c r="W34" s="2">
        <v>0</v>
      </c>
      <c r="X34" s="2" t="s">
        <v>167</v>
      </c>
      <c r="Y34" s="2">
        <v>0</v>
      </c>
      <c r="Z34" s="2" t="s">
        <v>169</v>
      </c>
      <c r="AA34" s="2">
        <v>0</v>
      </c>
      <c r="AB34" s="2"/>
      <c r="AC34" s="2"/>
      <c r="AD34" s="2"/>
    </row>
    <row r="35" spans="1:30" x14ac:dyDescent="0.35">
      <c r="A35" s="2">
        <v>34</v>
      </c>
      <c r="B35" s="2" t="s">
        <v>365</v>
      </c>
      <c r="C35" s="2" t="s">
        <v>99</v>
      </c>
      <c r="D35" s="2" t="s">
        <v>110</v>
      </c>
      <c r="E35" s="2">
        <v>4</v>
      </c>
      <c r="F35" s="2">
        <f t="shared" si="1"/>
        <v>250</v>
      </c>
      <c r="G35" s="2" t="s">
        <v>119</v>
      </c>
      <c r="H35" s="2" t="s">
        <v>118</v>
      </c>
      <c r="I35" s="2">
        <f t="shared" si="13"/>
        <v>16</v>
      </c>
      <c r="J35" s="2">
        <f t="shared" si="14"/>
        <v>22</v>
      </c>
      <c r="K35" s="2">
        <f t="shared" si="15"/>
        <v>340</v>
      </c>
      <c r="L35" s="2">
        <v>0</v>
      </c>
      <c r="M35" s="2">
        <v>0</v>
      </c>
      <c r="N35" s="2">
        <v>2</v>
      </c>
      <c r="O35" s="2">
        <v>10</v>
      </c>
      <c r="P35" s="2">
        <v>50</v>
      </c>
      <c r="Q35" s="2">
        <f t="shared" si="4"/>
        <v>12</v>
      </c>
      <c r="R35" s="2" t="s">
        <v>161</v>
      </c>
      <c r="S35" s="2">
        <v>3</v>
      </c>
      <c r="T35" s="2" t="s">
        <v>163</v>
      </c>
      <c r="U35" s="2">
        <v>3</v>
      </c>
      <c r="V35" s="2" t="s">
        <v>165</v>
      </c>
      <c r="W35" s="2">
        <v>0</v>
      </c>
      <c r="X35" s="2" t="s">
        <v>167</v>
      </c>
      <c r="Y35" s="2">
        <v>0</v>
      </c>
      <c r="Z35" s="2" t="s">
        <v>169</v>
      </c>
      <c r="AA35" s="2">
        <v>0</v>
      </c>
      <c r="AB35" s="2"/>
      <c r="AC35" s="2"/>
      <c r="AD35" s="2"/>
    </row>
    <row r="36" spans="1:30" x14ac:dyDescent="0.35">
      <c r="A36" s="2">
        <v>35</v>
      </c>
      <c r="B36" s="2" t="s">
        <v>365</v>
      </c>
      <c r="C36" s="2" t="s">
        <v>99</v>
      </c>
      <c r="D36" s="2" t="s">
        <v>110</v>
      </c>
      <c r="E36" s="2">
        <v>5</v>
      </c>
      <c r="F36" s="2">
        <f t="shared" si="1"/>
        <v>300</v>
      </c>
      <c r="G36" s="2" t="s">
        <v>119</v>
      </c>
      <c r="H36" s="2" t="s">
        <v>118</v>
      </c>
      <c r="I36" s="2">
        <f t="shared" si="13"/>
        <v>17</v>
      </c>
      <c r="J36" s="2">
        <f t="shared" si="14"/>
        <v>24</v>
      </c>
      <c r="K36" s="2">
        <f t="shared" si="15"/>
        <v>370</v>
      </c>
      <c r="L36" s="2">
        <v>0</v>
      </c>
      <c r="M36" s="2">
        <v>0</v>
      </c>
      <c r="N36" s="2">
        <v>2</v>
      </c>
      <c r="O36" s="2">
        <v>10</v>
      </c>
      <c r="P36" s="2">
        <v>50</v>
      </c>
      <c r="Q36" s="2">
        <f t="shared" si="4"/>
        <v>16</v>
      </c>
      <c r="R36" s="2" t="s">
        <v>161</v>
      </c>
      <c r="S36" s="2">
        <v>3</v>
      </c>
      <c r="T36" s="2" t="s">
        <v>163</v>
      </c>
      <c r="U36" s="2">
        <v>3</v>
      </c>
      <c r="V36" s="2" t="s">
        <v>165</v>
      </c>
      <c r="W36" s="2">
        <v>2</v>
      </c>
      <c r="X36" s="2" t="s">
        <v>167</v>
      </c>
      <c r="Y36" s="2">
        <v>0</v>
      </c>
      <c r="Z36" s="2" t="s">
        <v>169</v>
      </c>
      <c r="AA36" s="2">
        <v>0</v>
      </c>
      <c r="AB36" s="2"/>
      <c r="AC36" s="2"/>
      <c r="AD36" s="2"/>
    </row>
    <row r="37" spans="1:30" x14ac:dyDescent="0.35">
      <c r="A37" s="2">
        <v>36</v>
      </c>
      <c r="B37" s="2" t="s">
        <v>365</v>
      </c>
      <c r="C37" s="2" t="s">
        <v>99</v>
      </c>
      <c r="D37" s="2" t="s">
        <v>110</v>
      </c>
      <c r="E37" s="2">
        <v>6</v>
      </c>
      <c r="F37" s="2">
        <f t="shared" si="1"/>
        <v>350</v>
      </c>
      <c r="G37" s="2" t="s">
        <v>119</v>
      </c>
      <c r="H37" s="2" t="s">
        <v>118</v>
      </c>
      <c r="I37" s="2">
        <f t="shared" si="13"/>
        <v>18</v>
      </c>
      <c r="J37" s="2">
        <f t="shared" si="14"/>
        <v>26</v>
      </c>
      <c r="K37" s="2">
        <f t="shared" si="15"/>
        <v>400</v>
      </c>
      <c r="L37" s="2">
        <v>5</v>
      </c>
      <c r="M37" s="2">
        <v>0</v>
      </c>
      <c r="N37" s="2">
        <v>2</v>
      </c>
      <c r="O37" s="2">
        <v>10</v>
      </c>
      <c r="P37" s="2">
        <v>50</v>
      </c>
      <c r="Q37" s="2">
        <f t="shared" si="4"/>
        <v>20</v>
      </c>
      <c r="R37" s="2" t="s">
        <v>161</v>
      </c>
      <c r="S37" s="2">
        <v>3</v>
      </c>
      <c r="T37" s="2" t="s">
        <v>163</v>
      </c>
      <c r="U37" s="2">
        <v>3</v>
      </c>
      <c r="V37" s="2" t="s">
        <v>165</v>
      </c>
      <c r="W37" s="2">
        <v>3</v>
      </c>
      <c r="X37" s="2" t="s">
        <v>167</v>
      </c>
      <c r="Y37" s="2">
        <v>1</v>
      </c>
      <c r="Z37" s="2" t="s">
        <v>169</v>
      </c>
      <c r="AA37" s="2">
        <v>0</v>
      </c>
      <c r="AB37" s="2"/>
      <c r="AC37" s="2"/>
      <c r="AD37" s="2"/>
    </row>
    <row r="38" spans="1:30" x14ac:dyDescent="0.35">
      <c r="A38" s="2">
        <v>37</v>
      </c>
      <c r="B38" s="2" t="s">
        <v>365</v>
      </c>
      <c r="C38" s="2" t="s">
        <v>99</v>
      </c>
      <c r="D38" s="2" t="s">
        <v>110</v>
      </c>
      <c r="E38" s="2">
        <v>7</v>
      </c>
      <c r="F38" s="2">
        <f t="shared" si="1"/>
        <v>400</v>
      </c>
      <c r="G38" s="2" t="s">
        <v>119</v>
      </c>
      <c r="H38" s="2" t="s">
        <v>118</v>
      </c>
      <c r="I38" s="2">
        <f t="shared" si="13"/>
        <v>19</v>
      </c>
      <c r="J38" s="2">
        <f t="shared" si="14"/>
        <v>28</v>
      </c>
      <c r="K38" s="2">
        <f t="shared" si="15"/>
        <v>430</v>
      </c>
      <c r="L38" s="2">
        <v>10</v>
      </c>
      <c r="M38" s="2">
        <v>0</v>
      </c>
      <c r="N38" s="2">
        <v>2</v>
      </c>
      <c r="O38" s="2">
        <v>10</v>
      </c>
      <c r="P38" s="2">
        <v>50</v>
      </c>
      <c r="Q38" s="2">
        <f t="shared" si="4"/>
        <v>24</v>
      </c>
      <c r="R38" s="2" t="s">
        <v>161</v>
      </c>
      <c r="S38" s="2">
        <v>3</v>
      </c>
      <c r="T38" s="2" t="s">
        <v>163</v>
      </c>
      <c r="U38" s="2">
        <v>3</v>
      </c>
      <c r="V38" s="2" t="s">
        <v>165</v>
      </c>
      <c r="W38" s="2">
        <v>3</v>
      </c>
      <c r="X38" s="2" t="s">
        <v>167</v>
      </c>
      <c r="Y38" s="2">
        <v>3</v>
      </c>
      <c r="Z38" s="2" t="s">
        <v>169</v>
      </c>
      <c r="AA38" s="2">
        <v>0</v>
      </c>
      <c r="AB38" s="2"/>
      <c r="AC38" s="2"/>
      <c r="AD38" s="2"/>
    </row>
    <row r="39" spans="1:30" x14ac:dyDescent="0.35">
      <c r="A39" s="2">
        <v>38</v>
      </c>
      <c r="B39" s="2" t="s">
        <v>365</v>
      </c>
      <c r="C39" s="2" t="s">
        <v>99</v>
      </c>
      <c r="D39" s="2" t="s">
        <v>110</v>
      </c>
      <c r="E39" s="2">
        <v>8</v>
      </c>
      <c r="F39" s="2">
        <f t="shared" si="1"/>
        <v>450</v>
      </c>
      <c r="G39" s="2" t="s">
        <v>119</v>
      </c>
      <c r="H39" s="2" t="s">
        <v>118</v>
      </c>
      <c r="I39" s="2">
        <f t="shared" si="13"/>
        <v>20</v>
      </c>
      <c r="J39" s="2">
        <f t="shared" si="14"/>
        <v>30</v>
      </c>
      <c r="K39" s="2">
        <f t="shared" si="15"/>
        <v>460</v>
      </c>
      <c r="L39" s="2">
        <v>15</v>
      </c>
      <c r="M39" s="2">
        <v>0</v>
      </c>
      <c r="N39" s="2">
        <v>2</v>
      </c>
      <c r="O39" s="2">
        <v>10</v>
      </c>
      <c r="P39" s="2">
        <v>50</v>
      </c>
      <c r="Q39" s="2">
        <f t="shared" si="4"/>
        <v>28</v>
      </c>
      <c r="R39" s="2" t="s">
        <v>161</v>
      </c>
      <c r="S39" s="2">
        <v>3</v>
      </c>
      <c r="T39" s="2" t="s">
        <v>163</v>
      </c>
      <c r="U39" s="2">
        <v>3</v>
      </c>
      <c r="V39" s="2" t="s">
        <v>165</v>
      </c>
      <c r="W39" s="2">
        <v>3</v>
      </c>
      <c r="X39" s="2" t="s">
        <v>167</v>
      </c>
      <c r="Y39" s="2">
        <v>3</v>
      </c>
      <c r="Z39" s="2" t="s">
        <v>169</v>
      </c>
      <c r="AA39" s="2">
        <v>1</v>
      </c>
      <c r="AB39" s="2"/>
      <c r="AC39" s="2"/>
      <c r="AD39" s="2"/>
    </row>
    <row r="40" spans="1:30" x14ac:dyDescent="0.35">
      <c r="A40" s="2">
        <v>39</v>
      </c>
      <c r="B40" s="2" t="s">
        <v>365</v>
      </c>
      <c r="C40" s="2" t="s">
        <v>99</v>
      </c>
      <c r="D40" s="2" t="s">
        <v>110</v>
      </c>
      <c r="E40" s="2">
        <v>9</v>
      </c>
      <c r="F40" s="2">
        <f t="shared" si="1"/>
        <v>500</v>
      </c>
      <c r="G40" s="2" t="s">
        <v>119</v>
      </c>
      <c r="H40" s="2" t="s">
        <v>118</v>
      </c>
      <c r="I40" s="2">
        <f t="shared" si="13"/>
        <v>21</v>
      </c>
      <c r="J40" s="2">
        <f t="shared" si="14"/>
        <v>32</v>
      </c>
      <c r="K40" s="2">
        <f t="shared" si="15"/>
        <v>490</v>
      </c>
      <c r="L40" s="2">
        <v>20</v>
      </c>
      <c r="M40" s="2">
        <v>0</v>
      </c>
      <c r="N40" s="2">
        <v>2</v>
      </c>
      <c r="O40" s="2">
        <v>10</v>
      </c>
      <c r="P40" s="2">
        <v>50</v>
      </c>
      <c r="Q40" s="2">
        <f t="shared" si="4"/>
        <v>32</v>
      </c>
      <c r="R40" s="2" t="s">
        <v>161</v>
      </c>
      <c r="S40" s="2">
        <v>3</v>
      </c>
      <c r="T40" s="2" t="s">
        <v>163</v>
      </c>
      <c r="U40" s="2">
        <v>3</v>
      </c>
      <c r="V40" s="2" t="s">
        <v>165</v>
      </c>
      <c r="W40" s="2">
        <v>3</v>
      </c>
      <c r="X40" s="2" t="s">
        <v>167</v>
      </c>
      <c r="Y40" s="2">
        <v>3</v>
      </c>
      <c r="Z40" s="2" t="s">
        <v>169</v>
      </c>
      <c r="AA40" s="2">
        <v>2</v>
      </c>
      <c r="AB40" s="2"/>
      <c r="AC40" s="2"/>
      <c r="AD40" s="2"/>
    </row>
    <row r="41" spans="1:30" x14ac:dyDescent="0.35">
      <c r="A41" s="2">
        <v>40</v>
      </c>
      <c r="B41" s="2" t="s">
        <v>365</v>
      </c>
      <c r="C41" s="2" t="s">
        <v>99</v>
      </c>
      <c r="D41" s="2" t="s">
        <v>110</v>
      </c>
      <c r="E41" s="2">
        <v>10</v>
      </c>
      <c r="F41" s="2">
        <f t="shared" si="1"/>
        <v>550</v>
      </c>
      <c r="G41" s="2" t="s">
        <v>119</v>
      </c>
      <c r="H41" s="2" t="s">
        <v>118</v>
      </c>
      <c r="I41" s="2">
        <f t="shared" si="13"/>
        <v>22</v>
      </c>
      <c r="J41" s="2">
        <f t="shared" si="14"/>
        <v>34</v>
      </c>
      <c r="K41" s="2">
        <f t="shared" si="15"/>
        <v>520</v>
      </c>
      <c r="L41" s="2">
        <v>25</v>
      </c>
      <c r="M41" s="2">
        <v>0</v>
      </c>
      <c r="N41" s="2">
        <v>2</v>
      </c>
      <c r="O41" s="2">
        <v>10</v>
      </c>
      <c r="P41" s="2">
        <v>50</v>
      </c>
      <c r="Q41" s="2">
        <f t="shared" si="4"/>
        <v>36</v>
      </c>
      <c r="R41" s="2" t="s">
        <v>161</v>
      </c>
      <c r="S41" s="2">
        <v>3</v>
      </c>
      <c r="T41" s="2" t="s">
        <v>163</v>
      </c>
      <c r="U41" s="2">
        <v>3</v>
      </c>
      <c r="V41" s="2" t="s">
        <v>165</v>
      </c>
      <c r="W41" s="2">
        <v>3</v>
      </c>
      <c r="X41" s="2" t="s">
        <v>167</v>
      </c>
      <c r="Y41" s="2">
        <v>3</v>
      </c>
      <c r="Z41" s="2" t="s">
        <v>169</v>
      </c>
      <c r="AA41" s="2">
        <v>3</v>
      </c>
      <c r="AB41" s="2"/>
      <c r="AC41" s="2"/>
      <c r="AD41" s="2"/>
    </row>
    <row r="42" spans="1:30" x14ac:dyDescent="0.35">
      <c r="A42" s="2">
        <v>41</v>
      </c>
      <c r="B42" s="2" t="s">
        <v>365</v>
      </c>
      <c r="C42" s="2" t="s">
        <v>100</v>
      </c>
      <c r="D42" s="2" t="s">
        <v>110</v>
      </c>
      <c r="E42" s="2">
        <v>1</v>
      </c>
      <c r="F42" s="2">
        <f t="shared" si="1"/>
        <v>100</v>
      </c>
      <c r="G42" s="2" t="s">
        <v>119</v>
      </c>
      <c r="H42" s="2" t="s">
        <v>121</v>
      </c>
      <c r="I42" s="2">
        <v>14</v>
      </c>
      <c r="J42" s="2">
        <v>25</v>
      </c>
      <c r="K42" s="2">
        <v>145</v>
      </c>
      <c r="L42" s="2">
        <v>0</v>
      </c>
      <c r="M42" s="2">
        <v>0</v>
      </c>
      <c r="N42" s="2">
        <v>2.5</v>
      </c>
      <c r="O42" s="2">
        <v>480</v>
      </c>
      <c r="P42" s="2">
        <v>75</v>
      </c>
      <c r="Q42" s="2">
        <f t="shared" si="4"/>
        <v>0</v>
      </c>
      <c r="R42" s="2" t="s">
        <v>171</v>
      </c>
      <c r="S42" s="2">
        <v>0</v>
      </c>
      <c r="T42" s="2" t="s">
        <v>173</v>
      </c>
      <c r="U42" s="2">
        <v>0</v>
      </c>
      <c r="V42" s="2" t="s">
        <v>175</v>
      </c>
      <c r="W42" s="2">
        <v>0</v>
      </c>
      <c r="X42" s="2" t="s">
        <v>177</v>
      </c>
      <c r="Y42" s="2">
        <v>0</v>
      </c>
      <c r="Z42" s="2" t="s">
        <v>179</v>
      </c>
      <c r="AA42" s="2">
        <v>0</v>
      </c>
      <c r="AB42" s="2"/>
      <c r="AC42" s="2"/>
      <c r="AD42" s="2"/>
    </row>
    <row r="43" spans="1:30" x14ac:dyDescent="0.35">
      <c r="A43" s="2">
        <v>42</v>
      </c>
      <c r="B43" s="2" t="s">
        <v>365</v>
      </c>
      <c r="C43" s="2" t="s">
        <v>100</v>
      </c>
      <c r="D43" s="2" t="s">
        <v>110</v>
      </c>
      <c r="E43" s="2">
        <v>2</v>
      </c>
      <c r="F43" s="2">
        <f t="shared" si="1"/>
        <v>150</v>
      </c>
      <c r="G43" s="2" t="s">
        <v>119</v>
      </c>
      <c r="H43" s="2" t="s">
        <v>121</v>
      </c>
      <c r="I43" s="2">
        <f>I42+4</f>
        <v>18</v>
      </c>
      <c r="J43" s="2">
        <f>J42+5</f>
        <v>30</v>
      </c>
      <c r="K43" s="2">
        <f t="shared" ref="K43:K46" si="16">K42+15</f>
        <v>160</v>
      </c>
      <c r="L43" s="2">
        <v>0</v>
      </c>
      <c r="M43" s="2">
        <v>0</v>
      </c>
      <c r="N43" s="2">
        <v>2.5</v>
      </c>
      <c r="O43" s="2">
        <v>480</v>
      </c>
      <c r="P43" s="2">
        <v>75</v>
      </c>
      <c r="Q43" s="2">
        <f t="shared" si="4"/>
        <v>4</v>
      </c>
      <c r="R43" s="2" t="s">
        <v>171</v>
      </c>
      <c r="S43" s="2">
        <v>2</v>
      </c>
      <c r="T43" s="2" t="s">
        <v>173</v>
      </c>
      <c r="U43" s="2">
        <v>0</v>
      </c>
      <c r="V43" s="2" t="s">
        <v>175</v>
      </c>
      <c r="W43" s="2">
        <v>0</v>
      </c>
      <c r="X43" s="2" t="s">
        <v>177</v>
      </c>
      <c r="Y43" s="2">
        <v>0</v>
      </c>
      <c r="Z43" s="2" t="s">
        <v>179</v>
      </c>
      <c r="AA43" s="2">
        <v>0</v>
      </c>
      <c r="AB43" s="2"/>
      <c r="AC43" s="2"/>
      <c r="AD43" s="2"/>
    </row>
    <row r="44" spans="1:30" x14ac:dyDescent="0.35">
      <c r="A44" s="2">
        <v>43</v>
      </c>
      <c r="B44" s="2" t="s">
        <v>365</v>
      </c>
      <c r="C44" s="2" t="s">
        <v>100</v>
      </c>
      <c r="D44" s="2" t="s">
        <v>110</v>
      </c>
      <c r="E44" s="2">
        <v>3</v>
      </c>
      <c r="F44" s="2">
        <f t="shared" si="1"/>
        <v>200</v>
      </c>
      <c r="G44" s="2" t="s">
        <v>119</v>
      </c>
      <c r="H44" s="2" t="s">
        <v>121</v>
      </c>
      <c r="I44" s="2">
        <f t="shared" ref="I44:I51" si="17">I43+4</f>
        <v>22</v>
      </c>
      <c r="J44" s="2">
        <f t="shared" ref="J44:J51" si="18">J43+5</f>
        <v>35</v>
      </c>
      <c r="K44" s="2">
        <f t="shared" si="16"/>
        <v>175</v>
      </c>
      <c r="L44" s="2">
        <v>0</v>
      </c>
      <c r="M44" s="2">
        <v>0</v>
      </c>
      <c r="N44" s="2">
        <v>2.5</v>
      </c>
      <c r="O44" s="2">
        <v>480</v>
      </c>
      <c r="P44" s="2">
        <v>75</v>
      </c>
      <c r="Q44" s="2">
        <f t="shared" si="4"/>
        <v>8</v>
      </c>
      <c r="R44" s="2" t="s">
        <v>171</v>
      </c>
      <c r="S44" s="2">
        <v>3</v>
      </c>
      <c r="T44" s="2" t="s">
        <v>173</v>
      </c>
      <c r="U44" s="2">
        <v>1</v>
      </c>
      <c r="V44" s="2" t="s">
        <v>175</v>
      </c>
      <c r="W44" s="2">
        <v>0</v>
      </c>
      <c r="X44" s="2" t="s">
        <v>177</v>
      </c>
      <c r="Y44" s="2">
        <v>0</v>
      </c>
      <c r="Z44" s="2" t="s">
        <v>179</v>
      </c>
      <c r="AA44" s="2">
        <v>0</v>
      </c>
      <c r="AB44" s="2"/>
      <c r="AC44" s="2"/>
      <c r="AD44" s="2"/>
    </row>
    <row r="45" spans="1:30" x14ac:dyDescent="0.35">
      <c r="A45" s="2">
        <v>44</v>
      </c>
      <c r="B45" s="2" t="s">
        <v>365</v>
      </c>
      <c r="C45" s="2" t="s">
        <v>100</v>
      </c>
      <c r="D45" s="2" t="s">
        <v>110</v>
      </c>
      <c r="E45" s="2">
        <v>4</v>
      </c>
      <c r="F45" s="2">
        <f t="shared" si="1"/>
        <v>250</v>
      </c>
      <c r="G45" s="2" t="s">
        <v>119</v>
      </c>
      <c r="H45" s="2" t="s">
        <v>121</v>
      </c>
      <c r="I45" s="2">
        <f t="shared" si="17"/>
        <v>26</v>
      </c>
      <c r="J45" s="2">
        <f t="shared" si="18"/>
        <v>40</v>
      </c>
      <c r="K45" s="2">
        <f t="shared" si="16"/>
        <v>190</v>
      </c>
      <c r="L45" s="2">
        <v>0</v>
      </c>
      <c r="M45" s="2">
        <v>0</v>
      </c>
      <c r="N45" s="2">
        <v>2.5</v>
      </c>
      <c r="O45" s="2">
        <v>480</v>
      </c>
      <c r="P45" s="2">
        <v>75</v>
      </c>
      <c r="Q45" s="2">
        <f t="shared" si="4"/>
        <v>12</v>
      </c>
      <c r="R45" s="2" t="s">
        <v>171</v>
      </c>
      <c r="S45" s="2">
        <v>3</v>
      </c>
      <c r="T45" s="2" t="s">
        <v>173</v>
      </c>
      <c r="U45" s="2">
        <v>3</v>
      </c>
      <c r="V45" s="2" t="s">
        <v>175</v>
      </c>
      <c r="W45" s="2">
        <v>0</v>
      </c>
      <c r="X45" s="2" t="s">
        <v>177</v>
      </c>
      <c r="Y45" s="2">
        <v>0</v>
      </c>
      <c r="Z45" s="2" t="s">
        <v>179</v>
      </c>
      <c r="AA45" s="2">
        <v>0</v>
      </c>
      <c r="AB45" s="2"/>
      <c r="AC45" s="2"/>
      <c r="AD45" s="2"/>
    </row>
    <row r="46" spans="1:30" x14ac:dyDescent="0.35">
      <c r="A46" s="2">
        <v>45</v>
      </c>
      <c r="B46" s="2" t="s">
        <v>365</v>
      </c>
      <c r="C46" s="2" t="s">
        <v>100</v>
      </c>
      <c r="D46" s="2" t="s">
        <v>110</v>
      </c>
      <c r="E46" s="2">
        <v>5</v>
      </c>
      <c r="F46" s="2">
        <f t="shared" si="1"/>
        <v>300</v>
      </c>
      <c r="G46" s="2" t="s">
        <v>119</v>
      </c>
      <c r="H46" s="2" t="s">
        <v>121</v>
      </c>
      <c r="I46" s="2">
        <f t="shared" si="17"/>
        <v>30</v>
      </c>
      <c r="J46" s="2">
        <f t="shared" si="18"/>
        <v>45</v>
      </c>
      <c r="K46" s="2">
        <f t="shared" si="16"/>
        <v>205</v>
      </c>
      <c r="L46" s="2">
        <v>10</v>
      </c>
      <c r="M46" s="2">
        <v>0</v>
      </c>
      <c r="N46" s="2">
        <v>2.5</v>
      </c>
      <c r="O46" s="2">
        <v>480</v>
      </c>
      <c r="P46" s="2">
        <v>75</v>
      </c>
      <c r="Q46" s="2">
        <f t="shared" si="4"/>
        <v>16</v>
      </c>
      <c r="R46" s="2" t="s">
        <v>171</v>
      </c>
      <c r="S46" s="2">
        <v>3</v>
      </c>
      <c r="T46" s="2" t="s">
        <v>173</v>
      </c>
      <c r="U46" s="2">
        <v>3</v>
      </c>
      <c r="V46" s="2" t="s">
        <v>175</v>
      </c>
      <c r="W46" s="2">
        <v>1</v>
      </c>
      <c r="X46" s="2" t="s">
        <v>177</v>
      </c>
      <c r="Y46" s="2">
        <v>1</v>
      </c>
      <c r="Z46" s="2" t="s">
        <v>179</v>
      </c>
      <c r="AA46" s="2">
        <v>0</v>
      </c>
      <c r="AB46" s="2"/>
      <c r="AC46" s="2"/>
      <c r="AD46" s="2"/>
    </row>
    <row r="47" spans="1:30" x14ac:dyDescent="0.35">
      <c r="A47" s="2">
        <v>46</v>
      </c>
      <c r="B47" s="2" t="s">
        <v>365</v>
      </c>
      <c r="C47" s="2" t="s">
        <v>100</v>
      </c>
      <c r="D47" s="2" t="s">
        <v>110</v>
      </c>
      <c r="E47" s="2">
        <v>6</v>
      </c>
      <c r="F47" s="2">
        <f t="shared" si="1"/>
        <v>350</v>
      </c>
      <c r="G47" s="2" t="s">
        <v>119</v>
      </c>
      <c r="H47" s="2" t="s">
        <v>121</v>
      </c>
      <c r="I47" s="2">
        <f t="shared" si="17"/>
        <v>34</v>
      </c>
      <c r="J47" s="2">
        <f t="shared" si="18"/>
        <v>50</v>
      </c>
      <c r="K47" s="2">
        <f>K46+15</f>
        <v>220</v>
      </c>
      <c r="L47" s="2">
        <v>15</v>
      </c>
      <c r="M47" s="2">
        <v>0</v>
      </c>
      <c r="N47" s="2">
        <v>2.5</v>
      </c>
      <c r="O47" s="2">
        <v>480</v>
      </c>
      <c r="P47" s="2">
        <v>75</v>
      </c>
      <c r="Q47" s="2">
        <f t="shared" si="4"/>
        <v>20</v>
      </c>
      <c r="R47" s="2" t="s">
        <v>171</v>
      </c>
      <c r="S47" s="2">
        <v>3</v>
      </c>
      <c r="T47" s="2" t="s">
        <v>173</v>
      </c>
      <c r="U47" s="2">
        <v>3</v>
      </c>
      <c r="V47" s="2" t="s">
        <v>175</v>
      </c>
      <c r="W47" s="2">
        <v>2</v>
      </c>
      <c r="X47" s="2" t="s">
        <v>177</v>
      </c>
      <c r="Y47" s="2">
        <v>2</v>
      </c>
      <c r="Z47" s="2" t="s">
        <v>179</v>
      </c>
      <c r="AA47" s="2">
        <v>0</v>
      </c>
      <c r="AB47" s="2"/>
      <c r="AC47" s="2"/>
      <c r="AD47" s="2"/>
    </row>
    <row r="48" spans="1:30" x14ac:dyDescent="0.35">
      <c r="A48" s="2">
        <v>47</v>
      </c>
      <c r="B48" s="2" t="s">
        <v>365</v>
      </c>
      <c r="C48" s="2" t="s">
        <v>100</v>
      </c>
      <c r="D48" s="2" t="s">
        <v>110</v>
      </c>
      <c r="E48" s="2">
        <v>7</v>
      </c>
      <c r="F48" s="2">
        <f t="shared" si="1"/>
        <v>400</v>
      </c>
      <c r="G48" s="2" t="s">
        <v>119</v>
      </c>
      <c r="H48" s="2" t="s">
        <v>121</v>
      </c>
      <c r="I48" s="2">
        <f t="shared" si="17"/>
        <v>38</v>
      </c>
      <c r="J48" s="2">
        <f t="shared" si="18"/>
        <v>55</v>
      </c>
      <c r="K48" s="2">
        <f t="shared" ref="K48:K51" si="19">K47+15</f>
        <v>235</v>
      </c>
      <c r="L48" s="2">
        <v>15</v>
      </c>
      <c r="M48" s="2">
        <v>0</v>
      </c>
      <c r="N48" s="2">
        <v>2.5</v>
      </c>
      <c r="O48" s="2">
        <v>480</v>
      </c>
      <c r="P48" s="2">
        <v>75</v>
      </c>
      <c r="Q48" s="2">
        <f t="shared" si="4"/>
        <v>24</v>
      </c>
      <c r="R48" s="2" t="s">
        <v>171</v>
      </c>
      <c r="S48" s="2">
        <v>3</v>
      </c>
      <c r="T48" s="2" t="s">
        <v>173</v>
      </c>
      <c r="U48" s="2">
        <v>3</v>
      </c>
      <c r="V48" s="2" t="s">
        <v>175</v>
      </c>
      <c r="W48" s="2">
        <v>3</v>
      </c>
      <c r="X48" s="2" t="s">
        <v>177</v>
      </c>
      <c r="Y48" s="2">
        <v>3</v>
      </c>
      <c r="Z48" s="2" t="s">
        <v>179</v>
      </c>
      <c r="AA48" s="2">
        <v>0</v>
      </c>
      <c r="AB48" s="2"/>
      <c r="AC48" s="2"/>
      <c r="AD48" s="2"/>
    </row>
    <row r="49" spans="1:30" x14ac:dyDescent="0.35">
      <c r="A49" s="2">
        <v>48</v>
      </c>
      <c r="B49" s="2" t="s">
        <v>365</v>
      </c>
      <c r="C49" s="2" t="s">
        <v>100</v>
      </c>
      <c r="D49" s="2" t="s">
        <v>110</v>
      </c>
      <c r="E49" s="2">
        <v>8</v>
      </c>
      <c r="F49" s="2">
        <f t="shared" si="1"/>
        <v>450</v>
      </c>
      <c r="G49" s="2" t="s">
        <v>119</v>
      </c>
      <c r="H49" s="2" t="s">
        <v>121</v>
      </c>
      <c r="I49" s="2">
        <f t="shared" si="17"/>
        <v>42</v>
      </c>
      <c r="J49" s="2">
        <f t="shared" si="18"/>
        <v>60</v>
      </c>
      <c r="K49" s="2">
        <f t="shared" si="19"/>
        <v>250</v>
      </c>
      <c r="L49" s="2">
        <v>20</v>
      </c>
      <c r="M49" s="2">
        <v>0</v>
      </c>
      <c r="N49" s="2">
        <v>2.5</v>
      </c>
      <c r="O49" s="2">
        <v>480</v>
      </c>
      <c r="P49" s="2">
        <v>75</v>
      </c>
      <c r="Q49" s="2">
        <f t="shared" si="4"/>
        <v>28</v>
      </c>
      <c r="R49" s="2" t="s">
        <v>171</v>
      </c>
      <c r="S49" s="2">
        <v>3</v>
      </c>
      <c r="T49" s="2" t="s">
        <v>173</v>
      </c>
      <c r="U49" s="2">
        <v>3</v>
      </c>
      <c r="V49" s="2" t="s">
        <v>175</v>
      </c>
      <c r="W49" s="2">
        <v>3</v>
      </c>
      <c r="X49" s="2" t="s">
        <v>177</v>
      </c>
      <c r="Y49" s="2">
        <v>3</v>
      </c>
      <c r="Z49" s="2" t="s">
        <v>179</v>
      </c>
      <c r="AA49" s="2">
        <v>1</v>
      </c>
      <c r="AB49" s="2"/>
      <c r="AC49" s="2"/>
      <c r="AD49" s="2"/>
    </row>
    <row r="50" spans="1:30" x14ac:dyDescent="0.35">
      <c r="A50" s="2">
        <v>49</v>
      </c>
      <c r="B50" s="2" t="s">
        <v>365</v>
      </c>
      <c r="C50" s="2" t="s">
        <v>100</v>
      </c>
      <c r="D50" s="2" t="s">
        <v>110</v>
      </c>
      <c r="E50" s="2">
        <v>9</v>
      </c>
      <c r="F50" s="2">
        <f t="shared" si="1"/>
        <v>500</v>
      </c>
      <c r="G50" s="2" t="s">
        <v>119</v>
      </c>
      <c r="H50" s="2" t="s">
        <v>121</v>
      </c>
      <c r="I50" s="2">
        <f t="shared" si="17"/>
        <v>46</v>
      </c>
      <c r="J50" s="2">
        <f t="shared" si="18"/>
        <v>65</v>
      </c>
      <c r="K50" s="2">
        <f t="shared" si="19"/>
        <v>265</v>
      </c>
      <c r="L50" s="2">
        <v>20</v>
      </c>
      <c r="M50" s="2">
        <v>0</v>
      </c>
      <c r="N50" s="2">
        <v>2.5</v>
      </c>
      <c r="O50" s="2">
        <v>480</v>
      </c>
      <c r="P50" s="2">
        <v>75</v>
      </c>
      <c r="Q50" s="2">
        <f t="shared" si="4"/>
        <v>32</v>
      </c>
      <c r="R50" s="2" t="s">
        <v>171</v>
      </c>
      <c r="S50" s="2">
        <v>3</v>
      </c>
      <c r="T50" s="2" t="s">
        <v>173</v>
      </c>
      <c r="U50" s="2">
        <v>3</v>
      </c>
      <c r="V50" s="2" t="s">
        <v>175</v>
      </c>
      <c r="W50" s="2">
        <v>3</v>
      </c>
      <c r="X50" s="2" t="s">
        <v>177</v>
      </c>
      <c r="Y50" s="2">
        <v>3</v>
      </c>
      <c r="Z50" s="2" t="s">
        <v>179</v>
      </c>
      <c r="AA50" s="2">
        <v>2</v>
      </c>
      <c r="AB50" s="2"/>
      <c r="AC50" s="2"/>
      <c r="AD50" s="2"/>
    </row>
    <row r="51" spans="1:30" x14ac:dyDescent="0.35">
      <c r="A51" s="2">
        <v>50</v>
      </c>
      <c r="B51" s="2" t="s">
        <v>365</v>
      </c>
      <c r="C51" s="2" t="s">
        <v>100</v>
      </c>
      <c r="D51" s="2" t="s">
        <v>110</v>
      </c>
      <c r="E51" s="2">
        <v>10</v>
      </c>
      <c r="F51" s="2">
        <f t="shared" si="1"/>
        <v>550</v>
      </c>
      <c r="G51" s="2" t="s">
        <v>119</v>
      </c>
      <c r="H51" s="2" t="s">
        <v>121</v>
      </c>
      <c r="I51" s="2">
        <f t="shared" si="17"/>
        <v>50</v>
      </c>
      <c r="J51" s="2">
        <f t="shared" si="18"/>
        <v>70</v>
      </c>
      <c r="K51" s="2">
        <f t="shared" si="19"/>
        <v>280</v>
      </c>
      <c r="L51" s="2">
        <v>25</v>
      </c>
      <c r="M51" s="2">
        <v>0</v>
      </c>
      <c r="N51" s="2">
        <v>2.5</v>
      </c>
      <c r="O51" s="2">
        <v>480</v>
      </c>
      <c r="P51" s="2">
        <v>75</v>
      </c>
      <c r="Q51" s="2">
        <f t="shared" si="4"/>
        <v>36</v>
      </c>
      <c r="R51" s="2" t="s">
        <v>171</v>
      </c>
      <c r="S51" s="2">
        <v>3</v>
      </c>
      <c r="T51" s="2" t="s">
        <v>173</v>
      </c>
      <c r="U51" s="2">
        <v>3</v>
      </c>
      <c r="V51" s="2" t="s">
        <v>175</v>
      </c>
      <c r="W51" s="2">
        <v>3</v>
      </c>
      <c r="X51" s="2" t="s">
        <v>177</v>
      </c>
      <c r="Y51" s="2">
        <v>3</v>
      </c>
      <c r="Z51" s="2" t="s">
        <v>179</v>
      </c>
      <c r="AA51" s="2">
        <v>3</v>
      </c>
      <c r="AB51" s="2"/>
      <c r="AC51" s="2"/>
      <c r="AD51" s="2"/>
    </row>
    <row r="52" spans="1:30" x14ac:dyDescent="0.35">
      <c r="A52" s="2">
        <v>51</v>
      </c>
      <c r="B52" s="2" t="s">
        <v>365</v>
      </c>
      <c r="C52" s="2" t="s">
        <v>101</v>
      </c>
      <c r="D52" s="2" t="s">
        <v>111</v>
      </c>
      <c r="E52" s="2">
        <v>1</v>
      </c>
      <c r="F52" s="2">
        <f t="shared" si="1"/>
        <v>100</v>
      </c>
      <c r="G52" s="2" t="s">
        <v>119</v>
      </c>
      <c r="H52" s="2" t="s">
        <v>118</v>
      </c>
      <c r="I52" s="2">
        <v>2</v>
      </c>
      <c r="J52" s="2">
        <v>10</v>
      </c>
      <c r="K52" s="2">
        <v>180</v>
      </c>
      <c r="L52" s="2">
        <v>0</v>
      </c>
      <c r="M52" s="2">
        <v>0</v>
      </c>
      <c r="N52" s="2">
        <v>1</v>
      </c>
      <c r="O52" s="2">
        <v>10</v>
      </c>
      <c r="P52" s="2">
        <v>75</v>
      </c>
      <c r="Q52" s="2">
        <f t="shared" si="4"/>
        <v>0</v>
      </c>
      <c r="R52" s="2" t="s">
        <v>181</v>
      </c>
      <c r="S52" s="2">
        <v>0</v>
      </c>
      <c r="T52" s="2" t="s">
        <v>183</v>
      </c>
      <c r="U52" s="2">
        <v>0</v>
      </c>
      <c r="V52" s="2" t="s">
        <v>185</v>
      </c>
      <c r="W52" s="2">
        <v>0</v>
      </c>
      <c r="X52" s="2" t="s">
        <v>187</v>
      </c>
      <c r="Y52" s="2">
        <v>0</v>
      </c>
      <c r="Z52" s="2" t="s">
        <v>189</v>
      </c>
      <c r="AA52" s="2">
        <v>0</v>
      </c>
      <c r="AB52" s="2"/>
      <c r="AC52" s="2"/>
      <c r="AD52" s="2"/>
    </row>
    <row r="53" spans="1:30" x14ac:dyDescent="0.35">
      <c r="A53" s="2">
        <v>52</v>
      </c>
      <c r="B53" s="2" t="s">
        <v>365</v>
      </c>
      <c r="C53" s="2" t="s">
        <v>101</v>
      </c>
      <c r="D53" s="2" t="s">
        <v>111</v>
      </c>
      <c r="E53" s="2">
        <v>2</v>
      </c>
      <c r="F53" s="2">
        <f t="shared" si="1"/>
        <v>150</v>
      </c>
      <c r="G53" s="2" t="s">
        <v>119</v>
      </c>
      <c r="H53" s="2" t="s">
        <v>118</v>
      </c>
      <c r="I53" s="2">
        <f>I52+2</f>
        <v>4</v>
      </c>
      <c r="J53" s="2">
        <f>J52+2</f>
        <v>12</v>
      </c>
      <c r="K53" s="2">
        <f t="shared" ref="K53:K56" si="20">K52+25</f>
        <v>205</v>
      </c>
      <c r="L53" s="2">
        <v>0</v>
      </c>
      <c r="M53" s="2">
        <v>0</v>
      </c>
      <c r="N53" s="2">
        <v>1</v>
      </c>
      <c r="O53" s="2">
        <v>10</v>
      </c>
      <c r="P53" s="2">
        <v>75</v>
      </c>
      <c r="Q53" s="2">
        <f t="shared" si="4"/>
        <v>4</v>
      </c>
      <c r="R53" s="2" t="s">
        <v>181</v>
      </c>
      <c r="S53" s="2">
        <v>3</v>
      </c>
      <c r="T53" s="2" t="s">
        <v>183</v>
      </c>
      <c r="U53" s="2">
        <v>0</v>
      </c>
      <c r="V53" s="2" t="s">
        <v>185</v>
      </c>
      <c r="W53" s="2">
        <v>0</v>
      </c>
      <c r="X53" s="2" t="s">
        <v>187</v>
      </c>
      <c r="Y53" s="2">
        <v>0</v>
      </c>
      <c r="Z53" s="2" t="s">
        <v>189</v>
      </c>
      <c r="AA53" s="2">
        <v>0</v>
      </c>
      <c r="AB53" s="2"/>
      <c r="AC53" s="2"/>
      <c r="AD53" s="2"/>
    </row>
    <row r="54" spans="1:30" x14ac:dyDescent="0.35">
      <c r="A54" s="2">
        <v>53</v>
      </c>
      <c r="B54" s="2" t="s">
        <v>365</v>
      </c>
      <c r="C54" s="2" t="s">
        <v>101</v>
      </c>
      <c r="D54" s="2" t="s">
        <v>111</v>
      </c>
      <c r="E54" s="2">
        <v>3</v>
      </c>
      <c r="F54" s="2">
        <f t="shared" si="1"/>
        <v>200</v>
      </c>
      <c r="G54" s="2" t="s">
        <v>119</v>
      </c>
      <c r="H54" s="2" t="s">
        <v>118</v>
      </c>
      <c r="I54" s="2">
        <f t="shared" ref="I54:I66" si="21">I53+2</f>
        <v>6</v>
      </c>
      <c r="J54" s="2">
        <f t="shared" ref="J54:J66" si="22">J53+2</f>
        <v>14</v>
      </c>
      <c r="K54" s="2">
        <f t="shared" si="20"/>
        <v>230</v>
      </c>
      <c r="L54" s="2">
        <v>0</v>
      </c>
      <c r="M54" s="2">
        <v>0</v>
      </c>
      <c r="N54" s="2">
        <v>1</v>
      </c>
      <c r="O54" s="2">
        <v>10</v>
      </c>
      <c r="P54" s="2">
        <v>75</v>
      </c>
      <c r="Q54" s="2">
        <f t="shared" si="4"/>
        <v>8</v>
      </c>
      <c r="R54" s="2" t="s">
        <v>181</v>
      </c>
      <c r="S54" s="2">
        <v>3</v>
      </c>
      <c r="T54" s="2" t="s">
        <v>183</v>
      </c>
      <c r="U54" s="2">
        <v>1</v>
      </c>
      <c r="V54" s="2" t="s">
        <v>185</v>
      </c>
      <c r="W54" s="2">
        <v>0</v>
      </c>
      <c r="X54" s="2" t="s">
        <v>187</v>
      </c>
      <c r="Y54" s="2">
        <v>0</v>
      </c>
      <c r="Z54" s="2" t="s">
        <v>189</v>
      </c>
      <c r="AA54" s="2">
        <v>0</v>
      </c>
      <c r="AB54" s="2"/>
      <c r="AC54" s="2"/>
      <c r="AD54" s="2"/>
    </row>
    <row r="55" spans="1:30" x14ac:dyDescent="0.35">
      <c r="A55" s="2">
        <v>54</v>
      </c>
      <c r="B55" s="2" t="s">
        <v>365</v>
      </c>
      <c r="C55" s="2" t="s">
        <v>101</v>
      </c>
      <c r="D55" s="2" t="s">
        <v>111</v>
      </c>
      <c r="E55" s="2">
        <v>4</v>
      </c>
      <c r="F55" s="2">
        <f t="shared" si="1"/>
        <v>250</v>
      </c>
      <c r="G55" s="2" t="s">
        <v>119</v>
      </c>
      <c r="H55" s="2" t="s">
        <v>118</v>
      </c>
      <c r="I55" s="2">
        <f t="shared" si="21"/>
        <v>8</v>
      </c>
      <c r="J55" s="2">
        <f t="shared" si="22"/>
        <v>16</v>
      </c>
      <c r="K55" s="2">
        <f t="shared" si="20"/>
        <v>255</v>
      </c>
      <c r="L55" s="2">
        <v>0</v>
      </c>
      <c r="M55" s="2">
        <v>0</v>
      </c>
      <c r="N55" s="2">
        <v>1</v>
      </c>
      <c r="O55" s="2">
        <v>10</v>
      </c>
      <c r="P55" s="2">
        <v>75</v>
      </c>
      <c r="Q55" s="2">
        <f t="shared" si="4"/>
        <v>12</v>
      </c>
      <c r="R55" s="2" t="s">
        <v>181</v>
      </c>
      <c r="S55" s="2">
        <v>3</v>
      </c>
      <c r="T55" s="2" t="s">
        <v>183</v>
      </c>
      <c r="U55" s="2">
        <v>2</v>
      </c>
      <c r="V55" s="2" t="s">
        <v>185</v>
      </c>
      <c r="W55" s="2">
        <v>0</v>
      </c>
      <c r="X55" s="2" t="s">
        <v>187</v>
      </c>
      <c r="Y55" s="2">
        <v>0</v>
      </c>
      <c r="Z55" s="2" t="s">
        <v>189</v>
      </c>
      <c r="AA55" s="2">
        <v>0</v>
      </c>
      <c r="AB55" s="2"/>
      <c r="AC55" s="2"/>
      <c r="AD55" s="2"/>
    </row>
    <row r="56" spans="1:30" x14ac:dyDescent="0.35">
      <c r="A56" s="2">
        <v>55</v>
      </c>
      <c r="B56" s="2" t="s">
        <v>365</v>
      </c>
      <c r="C56" s="2" t="s">
        <v>101</v>
      </c>
      <c r="D56" s="2" t="s">
        <v>111</v>
      </c>
      <c r="E56" s="2">
        <v>5</v>
      </c>
      <c r="F56" s="2">
        <f t="shared" si="1"/>
        <v>300</v>
      </c>
      <c r="G56" s="2" t="s">
        <v>119</v>
      </c>
      <c r="H56" s="2" t="s">
        <v>118</v>
      </c>
      <c r="I56" s="2">
        <f t="shared" si="21"/>
        <v>10</v>
      </c>
      <c r="J56" s="2">
        <f t="shared" si="22"/>
        <v>18</v>
      </c>
      <c r="K56" s="2">
        <f t="shared" si="20"/>
        <v>280</v>
      </c>
      <c r="L56" s="2">
        <v>0</v>
      </c>
      <c r="M56" s="2">
        <v>0</v>
      </c>
      <c r="N56" s="2">
        <v>1</v>
      </c>
      <c r="O56" s="2">
        <v>10</v>
      </c>
      <c r="P56" s="2">
        <v>75</v>
      </c>
      <c r="Q56" s="2">
        <f t="shared" si="4"/>
        <v>16</v>
      </c>
      <c r="R56" s="2" t="s">
        <v>181</v>
      </c>
      <c r="S56" s="2">
        <v>3</v>
      </c>
      <c r="T56" s="2" t="s">
        <v>183</v>
      </c>
      <c r="U56" s="2">
        <v>3</v>
      </c>
      <c r="V56" s="2" t="s">
        <v>185</v>
      </c>
      <c r="W56" s="2">
        <v>0</v>
      </c>
      <c r="X56" s="2" t="s">
        <v>187</v>
      </c>
      <c r="Y56" s="2">
        <v>0</v>
      </c>
      <c r="Z56" s="2" t="s">
        <v>189</v>
      </c>
      <c r="AA56" s="2">
        <v>0</v>
      </c>
      <c r="AB56" s="2"/>
      <c r="AC56" s="2"/>
      <c r="AD56" s="2"/>
    </row>
    <row r="57" spans="1:30" x14ac:dyDescent="0.35">
      <c r="A57" s="2">
        <v>56</v>
      </c>
      <c r="B57" s="2" t="s">
        <v>365</v>
      </c>
      <c r="C57" s="2" t="s">
        <v>101</v>
      </c>
      <c r="D57" s="2" t="s">
        <v>111</v>
      </c>
      <c r="E57" s="2">
        <v>6</v>
      </c>
      <c r="F57" s="2">
        <f t="shared" si="1"/>
        <v>350</v>
      </c>
      <c r="G57" s="2" t="s">
        <v>119</v>
      </c>
      <c r="H57" s="2" t="s">
        <v>118</v>
      </c>
      <c r="I57" s="2">
        <f t="shared" si="21"/>
        <v>12</v>
      </c>
      <c r="J57" s="2">
        <f t="shared" si="22"/>
        <v>20</v>
      </c>
      <c r="K57" s="2">
        <f>K56+25</f>
        <v>305</v>
      </c>
      <c r="L57" s="2">
        <v>0</v>
      </c>
      <c r="M57" s="2">
        <v>0</v>
      </c>
      <c r="N57" s="2">
        <v>1</v>
      </c>
      <c r="O57" s="2">
        <v>10</v>
      </c>
      <c r="P57" s="2">
        <v>75</v>
      </c>
      <c r="Q57" s="2">
        <f t="shared" si="4"/>
        <v>20</v>
      </c>
      <c r="R57" s="2" t="s">
        <v>181</v>
      </c>
      <c r="S57" s="2">
        <v>3</v>
      </c>
      <c r="T57" s="2" t="s">
        <v>183</v>
      </c>
      <c r="U57" s="2">
        <v>3</v>
      </c>
      <c r="V57" s="2" t="s">
        <v>185</v>
      </c>
      <c r="W57" s="2">
        <v>2</v>
      </c>
      <c r="X57" s="2" t="s">
        <v>187</v>
      </c>
      <c r="Y57" s="2">
        <v>0</v>
      </c>
      <c r="Z57" s="2" t="s">
        <v>189</v>
      </c>
      <c r="AA57" s="2">
        <v>0</v>
      </c>
      <c r="AB57" s="2"/>
      <c r="AC57" s="2"/>
      <c r="AD57" s="2"/>
    </row>
    <row r="58" spans="1:30" x14ac:dyDescent="0.35">
      <c r="A58" s="2">
        <v>57</v>
      </c>
      <c r="B58" s="2" t="s">
        <v>365</v>
      </c>
      <c r="C58" s="2" t="s">
        <v>101</v>
      </c>
      <c r="D58" s="2" t="s">
        <v>111</v>
      </c>
      <c r="E58" s="2">
        <v>7</v>
      </c>
      <c r="F58" s="2">
        <f t="shared" si="1"/>
        <v>400</v>
      </c>
      <c r="G58" s="2" t="s">
        <v>119</v>
      </c>
      <c r="H58" s="2" t="s">
        <v>118</v>
      </c>
      <c r="I58" s="2">
        <f t="shared" si="21"/>
        <v>14</v>
      </c>
      <c r="J58" s="2">
        <f t="shared" si="22"/>
        <v>22</v>
      </c>
      <c r="K58" s="2">
        <f t="shared" ref="K58:K61" si="23">K57+25</f>
        <v>330</v>
      </c>
      <c r="L58" s="2">
        <v>0</v>
      </c>
      <c r="M58" s="2">
        <v>0</v>
      </c>
      <c r="N58" s="2">
        <v>1</v>
      </c>
      <c r="O58" s="2">
        <v>10</v>
      </c>
      <c r="P58" s="2">
        <v>75</v>
      </c>
      <c r="Q58" s="2">
        <f t="shared" si="4"/>
        <v>24</v>
      </c>
      <c r="R58" s="2" t="s">
        <v>181</v>
      </c>
      <c r="S58" s="2">
        <v>3</v>
      </c>
      <c r="T58" s="2" t="s">
        <v>183</v>
      </c>
      <c r="U58" s="2">
        <v>3</v>
      </c>
      <c r="V58" s="2" t="s">
        <v>185</v>
      </c>
      <c r="W58" s="2">
        <v>3</v>
      </c>
      <c r="X58" s="2" t="s">
        <v>187</v>
      </c>
      <c r="Y58" s="2">
        <v>1</v>
      </c>
      <c r="Z58" s="2" t="s">
        <v>189</v>
      </c>
      <c r="AA58" s="2">
        <v>0</v>
      </c>
      <c r="AB58" s="2"/>
      <c r="AC58" s="2"/>
      <c r="AD58" s="2"/>
    </row>
    <row r="59" spans="1:30" x14ac:dyDescent="0.35">
      <c r="A59" s="2">
        <v>58</v>
      </c>
      <c r="B59" s="2" t="s">
        <v>365</v>
      </c>
      <c r="C59" s="2" t="s">
        <v>101</v>
      </c>
      <c r="D59" s="2" t="s">
        <v>111</v>
      </c>
      <c r="E59" s="2">
        <v>8</v>
      </c>
      <c r="F59" s="2">
        <f t="shared" si="1"/>
        <v>450</v>
      </c>
      <c r="G59" s="2" t="s">
        <v>119</v>
      </c>
      <c r="H59" s="2" t="s">
        <v>118</v>
      </c>
      <c r="I59" s="2">
        <f t="shared" si="21"/>
        <v>16</v>
      </c>
      <c r="J59" s="2">
        <f t="shared" si="22"/>
        <v>24</v>
      </c>
      <c r="K59" s="2">
        <f t="shared" si="23"/>
        <v>355</v>
      </c>
      <c r="L59" s="2">
        <v>0</v>
      </c>
      <c r="M59" s="2">
        <v>0</v>
      </c>
      <c r="N59" s="2">
        <v>1</v>
      </c>
      <c r="O59" s="2">
        <v>10</v>
      </c>
      <c r="P59" s="2">
        <v>75</v>
      </c>
      <c r="Q59" s="2">
        <f t="shared" si="4"/>
        <v>28</v>
      </c>
      <c r="R59" s="2" t="s">
        <v>181</v>
      </c>
      <c r="S59" s="2">
        <v>3</v>
      </c>
      <c r="T59" s="2" t="s">
        <v>183</v>
      </c>
      <c r="U59" s="2">
        <v>3</v>
      </c>
      <c r="V59" s="2" t="s">
        <v>185</v>
      </c>
      <c r="W59" s="2">
        <v>3</v>
      </c>
      <c r="X59" s="2" t="s">
        <v>187</v>
      </c>
      <c r="Y59" s="2">
        <v>2</v>
      </c>
      <c r="Z59" s="2" t="s">
        <v>189</v>
      </c>
      <c r="AA59" s="2">
        <v>0</v>
      </c>
      <c r="AB59" s="2"/>
      <c r="AC59" s="2"/>
      <c r="AD59" s="2"/>
    </row>
    <row r="60" spans="1:30" x14ac:dyDescent="0.35">
      <c r="A60" s="2">
        <v>59</v>
      </c>
      <c r="B60" s="2" t="s">
        <v>365</v>
      </c>
      <c r="C60" s="2" t="s">
        <v>101</v>
      </c>
      <c r="D60" s="2" t="s">
        <v>111</v>
      </c>
      <c r="E60" s="2">
        <v>9</v>
      </c>
      <c r="F60" s="2">
        <f t="shared" si="1"/>
        <v>500</v>
      </c>
      <c r="G60" s="2" t="s">
        <v>119</v>
      </c>
      <c r="H60" s="2" t="s">
        <v>118</v>
      </c>
      <c r="I60" s="2">
        <f t="shared" si="21"/>
        <v>18</v>
      </c>
      <c r="J60" s="2">
        <f t="shared" si="22"/>
        <v>26</v>
      </c>
      <c r="K60" s="2">
        <f t="shared" si="23"/>
        <v>380</v>
      </c>
      <c r="L60" s="2">
        <v>0</v>
      </c>
      <c r="M60" s="2">
        <v>0</v>
      </c>
      <c r="N60" s="2">
        <v>1</v>
      </c>
      <c r="O60" s="2">
        <v>10</v>
      </c>
      <c r="P60" s="2">
        <v>75</v>
      </c>
      <c r="Q60" s="2">
        <f t="shared" si="4"/>
        <v>32</v>
      </c>
      <c r="R60" s="2" t="s">
        <v>181</v>
      </c>
      <c r="S60" s="2">
        <v>3</v>
      </c>
      <c r="T60" s="2" t="s">
        <v>183</v>
      </c>
      <c r="U60" s="2">
        <v>3</v>
      </c>
      <c r="V60" s="2" t="s">
        <v>185</v>
      </c>
      <c r="W60" s="2">
        <v>3</v>
      </c>
      <c r="X60" s="2" t="s">
        <v>187</v>
      </c>
      <c r="Y60" s="2">
        <v>3</v>
      </c>
      <c r="Z60" s="2" t="s">
        <v>189</v>
      </c>
      <c r="AA60" s="2">
        <v>0</v>
      </c>
      <c r="AB60" s="2"/>
      <c r="AC60" s="2"/>
      <c r="AD60" s="2"/>
    </row>
    <row r="61" spans="1:30" x14ac:dyDescent="0.35">
      <c r="A61" s="2">
        <v>60</v>
      </c>
      <c r="B61" s="2" t="s">
        <v>365</v>
      </c>
      <c r="C61" s="2" t="s">
        <v>101</v>
      </c>
      <c r="D61" s="2" t="s">
        <v>111</v>
      </c>
      <c r="E61" s="2">
        <v>10</v>
      </c>
      <c r="F61" s="2">
        <f t="shared" si="1"/>
        <v>550</v>
      </c>
      <c r="G61" s="2" t="s">
        <v>119</v>
      </c>
      <c r="H61" s="2" t="s">
        <v>118</v>
      </c>
      <c r="I61" s="2">
        <f t="shared" si="21"/>
        <v>20</v>
      </c>
      <c r="J61" s="2">
        <f t="shared" si="22"/>
        <v>28</v>
      </c>
      <c r="K61" s="2">
        <f t="shared" si="23"/>
        <v>405</v>
      </c>
      <c r="L61" s="2">
        <v>0</v>
      </c>
      <c r="M61" s="2">
        <v>0</v>
      </c>
      <c r="N61" s="2">
        <v>1</v>
      </c>
      <c r="O61" s="2">
        <v>10</v>
      </c>
      <c r="P61" s="2">
        <v>75</v>
      </c>
      <c r="Q61" s="2">
        <f t="shared" si="4"/>
        <v>36</v>
      </c>
      <c r="R61" s="2" t="s">
        <v>181</v>
      </c>
      <c r="S61" s="2">
        <v>3</v>
      </c>
      <c r="T61" s="2" t="s">
        <v>183</v>
      </c>
      <c r="U61" s="2">
        <v>3</v>
      </c>
      <c r="V61" s="2" t="s">
        <v>185</v>
      </c>
      <c r="W61" s="2">
        <v>3</v>
      </c>
      <c r="X61" s="2" t="s">
        <v>187</v>
      </c>
      <c r="Y61" s="2">
        <v>3</v>
      </c>
      <c r="Z61" s="2" t="s">
        <v>189</v>
      </c>
      <c r="AA61" s="2">
        <v>1</v>
      </c>
      <c r="AB61" s="2"/>
      <c r="AC61" s="2"/>
      <c r="AD61" s="2"/>
    </row>
    <row r="62" spans="1:30" x14ac:dyDescent="0.35">
      <c r="A62" s="2">
        <v>61</v>
      </c>
      <c r="B62" s="2" t="s">
        <v>365</v>
      </c>
      <c r="C62" s="2" t="s">
        <v>102</v>
      </c>
      <c r="D62" s="2" t="s">
        <v>110</v>
      </c>
      <c r="E62" s="2">
        <v>1</v>
      </c>
      <c r="F62" s="2">
        <f t="shared" si="1"/>
        <v>100</v>
      </c>
      <c r="G62" s="2" t="s">
        <v>119</v>
      </c>
      <c r="H62" s="2" t="s">
        <v>121</v>
      </c>
      <c r="I62" s="2">
        <v>8</v>
      </c>
      <c r="J62" s="2">
        <v>20</v>
      </c>
      <c r="K62" s="2">
        <v>280</v>
      </c>
      <c r="L62" s="2">
        <v>0</v>
      </c>
      <c r="M62" s="2">
        <v>0</v>
      </c>
      <c r="N62" s="2">
        <v>1.5</v>
      </c>
      <c r="O62" s="2">
        <v>400</v>
      </c>
      <c r="P62" s="2">
        <v>120</v>
      </c>
      <c r="Q62" s="2">
        <f t="shared" si="4"/>
        <v>0</v>
      </c>
      <c r="R62" s="2" t="s">
        <v>191</v>
      </c>
      <c r="S62" s="2">
        <v>0</v>
      </c>
      <c r="T62" s="2" t="s">
        <v>193</v>
      </c>
      <c r="U62" s="2">
        <v>0</v>
      </c>
      <c r="V62" s="2" t="s">
        <v>195</v>
      </c>
      <c r="W62" s="2">
        <v>0</v>
      </c>
      <c r="X62" s="2" t="s">
        <v>197</v>
      </c>
      <c r="Y62" s="2">
        <v>0</v>
      </c>
      <c r="Z62" s="2" t="s">
        <v>199</v>
      </c>
      <c r="AA62" s="2">
        <v>0</v>
      </c>
      <c r="AB62" s="2"/>
      <c r="AC62" s="2"/>
      <c r="AD62" s="2"/>
    </row>
    <row r="63" spans="1:30" x14ac:dyDescent="0.35">
      <c r="A63" s="2">
        <v>62</v>
      </c>
      <c r="B63" s="2" t="s">
        <v>365</v>
      </c>
      <c r="C63" s="2" t="s">
        <v>102</v>
      </c>
      <c r="D63" s="2" t="s">
        <v>110</v>
      </c>
      <c r="E63" s="2">
        <v>2</v>
      </c>
      <c r="F63" s="2">
        <f t="shared" si="1"/>
        <v>150</v>
      </c>
      <c r="G63" s="2" t="s">
        <v>119</v>
      </c>
      <c r="H63" s="2" t="s">
        <v>121</v>
      </c>
      <c r="I63" s="2">
        <f t="shared" si="21"/>
        <v>10</v>
      </c>
      <c r="J63" s="2">
        <f t="shared" si="22"/>
        <v>22</v>
      </c>
      <c r="K63" s="2">
        <f t="shared" ref="K63:K66" si="24">K62+20</f>
        <v>300</v>
      </c>
      <c r="L63" s="2">
        <v>0</v>
      </c>
      <c r="M63" s="2">
        <v>0</v>
      </c>
      <c r="N63" s="2">
        <v>1.5</v>
      </c>
      <c r="O63" s="2">
        <v>400</v>
      </c>
      <c r="P63" s="2">
        <v>120</v>
      </c>
      <c r="Q63" s="2">
        <f t="shared" si="4"/>
        <v>4</v>
      </c>
      <c r="R63" s="2" t="s">
        <v>191</v>
      </c>
      <c r="S63" s="2">
        <v>1</v>
      </c>
      <c r="T63" s="2" t="s">
        <v>193</v>
      </c>
      <c r="U63" s="2">
        <v>1</v>
      </c>
      <c r="V63" s="2" t="s">
        <v>195</v>
      </c>
      <c r="W63" s="2">
        <v>0</v>
      </c>
      <c r="X63" s="2" t="s">
        <v>197</v>
      </c>
      <c r="Y63" s="2">
        <v>0</v>
      </c>
      <c r="Z63" s="2" t="s">
        <v>199</v>
      </c>
      <c r="AA63" s="2">
        <v>0</v>
      </c>
      <c r="AB63" s="2"/>
      <c r="AC63" s="2"/>
      <c r="AD63" s="2"/>
    </row>
    <row r="64" spans="1:30" x14ac:dyDescent="0.35">
      <c r="A64" s="2">
        <v>63</v>
      </c>
      <c r="B64" s="2" t="s">
        <v>365</v>
      </c>
      <c r="C64" s="2" t="s">
        <v>102</v>
      </c>
      <c r="D64" s="2" t="s">
        <v>110</v>
      </c>
      <c r="E64" s="2">
        <v>3</v>
      </c>
      <c r="F64" s="2">
        <f t="shared" si="1"/>
        <v>200</v>
      </c>
      <c r="G64" s="2" t="s">
        <v>119</v>
      </c>
      <c r="H64" s="2" t="s">
        <v>121</v>
      </c>
      <c r="I64" s="2">
        <f t="shared" si="21"/>
        <v>12</v>
      </c>
      <c r="J64" s="2">
        <f t="shared" si="22"/>
        <v>24</v>
      </c>
      <c r="K64" s="2">
        <f t="shared" si="24"/>
        <v>320</v>
      </c>
      <c r="L64" s="2">
        <v>0</v>
      </c>
      <c r="M64" s="2">
        <v>0</v>
      </c>
      <c r="N64" s="2">
        <v>1.5</v>
      </c>
      <c r="O64" s="2">
        <v>400</v>
      </c>
      <c r="P64" s="2">
        <v>120</v>
      </c>
      <c r="Q64" s="2">
        <f t="shared" si="4"/>
        <v>8</v>
      </c>
      <c r="R64" s="2" t="s">
        <v>191</v>
      </c>
      <c r="S64" s="2">
        <v>2</v>
      </c>
      <c r="T64" s="2" t="s">
        <v>193</v>
      </c>
      <c r="U64" s="2">
        <v>2</v>
      </c>
      <c r="V64" s="2" t="s">
        <v>195</v>
      </c>
      <c r="W64" s="2">
        <v>0</v>
      </c>
      <c r="X64" s="2" t="s">
        <v>197</v>
      </c>
      <c r="Y64" s="2">
        <v>0</v>
      </c>
      <c r="Z64" s="2" t="s">
        <v>199</v>
      </c>
      <c r="AA64" s="2">
        <v>0</v>
      </c>
      <c r="AB64" s="2"/>
      <c r="AC64" s="2"/>
      <c r="AD64" s="2"/>
    </row>
    <row r="65" spans="1:30" x14ac:dyDescent="0.35">
      <c r="A65" s="2">
        <v>64</v>
      </c>
      <c r="B65" s="2" t="s">
        <v>365</v>
      </c>
      <c r="C65" s="2" t="s">
        <v>102</v>
      </c>
      <c r="D65" s="2" t="s">
        <v>110</v>
      </c>
      <c r="E65" s="2">
        <v>4</v>
      </c>
      <c r="F65" s="2">
        <f t="shared" si="1"/>
        <v>250</v>
      </c>
      <c r="G65" s="2" t="s">
        <v>119</v>
      </c>
      <c r="H65" s="2" t="s">
        <v>121</v>
      </c>
      <c r="I65" s="2">
        <f t="shared" si="21"/>
        <v>14</v>
      </c>
      <c r="J65" s="2">
        <f t="shared" si="22"/>
        <v>26</v>
      </c>
      <c r="K65" s="2">
        <f t="shared" si="24"/>
        <v>340</v>
      </c>
      <c r="L65" s="2">
        <v>0</v>
      </c>
      <c r="M65" s="2">
        <v>0</v>
      </c>
      <c r="N65" s="2">
        <v>1.5</v>
      </c>
      <c r="O65" s="2">
        <v>400</v>
      </c>
      <c r="P65" s="2">
        <v>120</v>
      </c>
      <c r="Q65" s="2">
        <f t="shared" si="4"/>
        <v>12</v>
      </c>
      <c r="R65" s="2" t="s">
        <v>191</v>
      </c>
      <c r="S65" s="2">
        <v>3</v>
      </c>
      <c r="T65" s="2" t="s">
        <v>193</v>
      </c>
      <c r="U65" s="2">
        <v>3</v>
      </c>
      <c r="V65" s="2" t="s">
        <v>195</v>
      </c>
      <c r="W65" s="2">
        <v>0</v>
      </c>
      <c r="X65" s="2" t="s">
        <v>197</v>
      </c>
      <c r="Y65" s="2">
        <v>0</v>
      </c>
      <c r="Z65" s="2" t="s">
        <v>199</v>
      </c>
      <c r="AA65" s="2">
        <v>0</v>
      </c>
      <c r="AB65" s="2"/>
      <c r="AC65" s="2"/>
      <c r="AD65" s="2"/>
    </row>
    <row r="66" spans="1:30" x14ac:dyDescent="0.35">
      <c r="A66" s="2">
        <v>65</v>
      </c>
      <c r="B66" s="2" t="s">
        <v>365</v>
      </c>
      <c r="C66" s="2" t="s">
        <v>102</v>
      </c>
      <c r="D66" s="2" t="s">
        <v>110</v>
      </c>
      <c r="E66" s="2">
        <v>5</v>
      </c>
      <c r="F66" s="2">
        <f t="shared" si="1"/>
        <v>300</v>
      </c>
      <c r="G66" s="2" t="s">
        <v>119</v>
      </c>
      <c r="H66" s="2" t="s">
        <v>121</v>
      </c>
      <c r="I66" s="2">
        <f t="shared" si="21"/>
        <v>16</v>
      </c>
      <c r="J66" s="2">
        <f t="shared" si="22"/>
        <v>28</v>
      </c>
      <c r="K66" s="2">
        <f t="shared" si="24"/>
        <v>360</v>
      </c>
      <c r="L66" s="2">
        <v>0</v>
      </c>
      <c r="M66" s="2">
        <v>0</v>
      </c>
      <c r="N66" s="2">
        <v>1.5</v>
      </c>
      <c r="O66" s="2">
        <v>400</v>
      </c>
      <c r="P66" s="2">
        <v>120</v>
      </c>
      <c r="Q66" s="2">
        <f t="shared" si="4"/>
        <v>16</v>
      </c>
      <c r="R66" s="2" t="s">
        <v>191</v>
      </c>
      <c r="S66" s="2">
        <v>3</v>
      </c>
      <c r="T66" s="2" t="s">
        <v>193</v>
      </c>
      <c r="U66" s="2">
        <v>3</v>
      </c>
      <c r="V66" s="2" t="s">
        <v>195</v>
      </c>
      <c r="W66" s="2">
        <v>3</v>
      </c>
      <c r="X66" s="2" t="s">
        <v>197</v>
      </c>
      <c r="Y66" s="2">
        <v>0</v>
      </c>
      <c r="Z66" s="2" t="s">
        <v>199</v>
      </c>
      <c r="AA66" s="2">
        <v>0</v>
      </c>
      <c r="AB66" s="2"/>
      <c r="AC66" s="2"/>
      <c r="AD66" s="2"/>
    </row>
    <row r="67" spans="1:30" x14ac:dyDescent="0.35">
      <c r="A67" s="2">
        <v>66</v>
      </c>
      <c r="B67" s="2" t="s">
        <v>365</v>
      </c>
      <c r="C67" s="2" t="s">
        <v>102</v>
      </c>
      <c r="D67" s="2" t="s">
        <v>110</v>
      </c>
      <c r="E67" s="2">
        <v>6</v>
      </c>
      <c r="F67" s="2">
        <f t="shared" si="1"/>
        <v>350</v>
      </c>
      <c r="G67" s="2" t="s">
        <v>119</v>
      </c>
      <c r="H67" s="2" t="s">
        <v>121</v>
      </c>
      <c r="I67" s="2">
        <f>I66+2</f>
        <v>18</v>
      </c>
      <c r="J67" s="2">
        <f>J66+2</f>
        <v>30</v>
      </c>
      <c r="K67" s="2">
        <f>K66+20</f>
        <v>380</v>
      </c>
      <c r="L67" s="2">
        <v>0</v>
      </c>
      <c r="M67" s="2">
        <v>0</v>
      </c>
      <c r="N67" s="2">
        <v>1.5</v>
      </c>
      <c r="O67" s="2">
        <v>400</v>
      </c>
      <c r="P67" s="2">
        <v>120</v>
      </c>
      <c r="Q67" s="2">
        <f t="shared" ref="Q67:Q130" si="25">4*(E67-1)</f>
        <v>20</v>
      </c>
      <c r="R67" s="2" t="s">
        <v>191</v>
      </c>
      <c r="S67" s="2">
        <v>3</v>
      </c>
      <c r="T67" s="2" t="s">
        <v>193</v>
      </c>
      <c r="U67" s="2">
        <v>3</v>
      </c>
      <c r="V67" s="2" t="s">
        <v>195</v>
      </c>
      <c r="W67" s="2">
        <v>3</v>
      </c>
      <c r="X67" s="2" t="s">
        <v>197</v>
      </c>
      <c r="Y67" s="2">
        <v>1</v>
      </c>
      <c r="Z67" s="2" t="s">
        <v>199</v>
      </c>
      <c r="AA67" s="2">
        <v>0</v>
      </c>
      <c r="AB67" s="2"/>
      <c r="AC67" s="2"/>
      <c r="AD67" s="2"/>
    </row>
    <row r="68" spans="1:30" x14ac:dyDescent="0.35">
      <c r="A68" s="2">
        <v>67</v>
      </c>
      <c r="B68" s="2" t="s">
        <v>365</v>
      </c>
      <c r="C68" s="2" t="s">
        <v>102</v>
      </c>
      <c r="D68" s="2" t="s">
        <v>110</v>
      </c>
      <c r="E68" s="2">
        <v>7</v>
      </c>
      <c r="F68" s="2">
        <f t="shared" si="1"/>
        <v>400</v>
      </c>
      <c r="G68" s="2" t="s">
        <v>119</v>
      </c>
      <c r="H68" s="2" t="s">
        <v>121</v>
      </c>
      <c r="I68" s="2">
        <f t="shared" ref="I68:I76" si="26">I67+2</f>
        <v>20</v>
      </c>
      <c r="J68" s="2">
        <f t="shared" ref="J68:J71" si="27">J67+2</f>
        <v>32</v>
      </c>
      <c r="K68" s="2">
        <f t="shared" ref="K68:K71" si="28">K67+20</f>
        <v>400</v>
      </c>
      <c r="L68" s="2">
        <v>0</v>
      </c>
      <c r="M68" s="2">
        <v>0</v>
      </c>
      <c r="N68" s="2">
        <v>1.5</v>
      </c>
      <c r="O68" s="2">
        <v>400</v>
      </c>
      <c r="P68" s="2">
        <v>120</v>
      </c>
      <c r="Q68" s="2">
        <f t="shared" si="25"/>
        <v>24</v>
      </c>
      <c r="R68" s="2" t="s">
        <v>191</v>
      </c>
      <c r="S68" s="2">
        <v>3</v>
      </c>
      <c r="T68" s="2" t="s">
        <v>193</v>
      </c>
      <c r="U68" s="2">
        <v>3</v>
      </c>
      <c r="V68" s="2" t="s">
        <v>195</v>
      </c>
      <c r="W68" s="2">
        <v>3</v>
      </c>
      <c r="X68" s="2" t="s">
        <v>197</v>
      </c>
      <c r="Y68" s="2">
        <v>2</v>
      </c>
      <c r="Z68" s="2" t="s">
        <v>199</v>
      </c>
      <c r="AA68" s="2">
        <v>0</v>
      </c>
      <c r="AB68" s="2"/>
      <c r="AC68" s="2"/>
      <c r="AD68" s="2"/>
    </row>
    <row r="69" spans="1:30" x14ac:dyDescent="0.35">
      <c r="A69" s="2">
        <v>68</v>
      </c>
      <c r="B69" s="2" t="s">
        <v>365</v>
      </c>
      <c r="C69" s="2" t="s">
        <v>102</v>
      </c>
      <c r="D69" s="2" t="s">
        <v>110</v>
      </c>
      <c r="E69" s="2">
        <v>8</v>
      </c>
      <c r="F69" s="2">
        <f t="shared" si="1"/>
        <v>450</v>
      </c>
      <c r="G69" s="2" t="s">
        <v>119</v>
      </c>
      <c r="H69" s="2" t="s">
        <v>121</v>
      </c>
      <c r="I69" s="2">
        <f t="shared" si="26"/>
        <v>22</v>
      </c>
      <c r="J69" s="2">
        <f t="shared" si="27"/>
        <v>34</v>
      </c>
      <c r="K69" s="2">
        <f t="shared" si="28"/>
        <v>420</v>
      </c>
      <c r="L69" s="2">
        <v>0</v>
      </c>
      <c r="M69" s="2">
        <v>0</v>
      </c>
      <c r="N69" s="2">
        <v>1.5</v>
      </c>
      <c r="O69" s="2">
        <v>400</v>
      </c>
      <c r="P69" s="2">
        <v>120</v>
      </c>
      <c r="Q69" s="2">
        <f t="shared" si="25"/>
        <v>28</v>
      </c>
      <c r="R69" s="2" t="s">
        <v>191</v>
      </c>
      <c r="S69" s="2">
        <v>3</v>
      </c>
      <c r="T69" s="2" t="s">
        <v>193</v>
      </c>
      <c r="U69" s="2">
        <v>3</v>
      </c>
      <c r="V69" s="2" t="s">
        <v>195</v>
      </c>
      <c r="W69" s="2">
        <v>3</v>
      </c>
      <c r="X69" s="2" t="s">
        <v>197</v>
      </c>
      <c r="Y69" s="2">
        <v>3</v>
      </c>
      <c r="Z69" s="2" t="s">
        <v>199</v>
      </c>
      <c r="AA69" s="2">
        <v>1</v>
      </c>
      <c r="AB69" s="2"/>
      <c r="AC69" s="2"/>
      <c r="AD69" s="2"/>
    </row>
    <row r="70" spans="1:30" x14ac:dyDescent="0.35">
      <c r="A70" s="2">
        <v>69</v>
      </c>
      <c r="B70" s="2" t="s">
        <v>365</v>
      </c>
      <c r="C70" s="2" t="s">
        <v>102</v>
      </c>
      <c r="D70" s="2" t="s">
        <v>110</v>
      </c>
      <c r="E70" s="2">
        <v>9</v>
      </c>
      <c r="F70" s="2">
        <f t="shared" si="1"/>
        <v>500</v>
      </c>
      <c r="G70" s="2" t="s">
        <v>119</v>
      </c>
      <c r="H70" s="2" t="s">
        <v>121</v>
      </c>
      <c r="I70" s="2">
        <f t="shared" si="26"/>
        <v>24</v>
      </c>
      <c r="J70" s="2">
        <f t="shared" si="27"/>
        <v>36</v>
      </c>
      <c r="K70" s="2">
        <f t="shared" si="28"/>
        <v>440</v>
      </c>
      <c r="L70" s="2">
        <v>0</v>
      </c>
      <c r="M70" s="2">
        <v>0</v>
      </c>
      <c r="N70" s="2">
        <v>1.5</v>
      </c>
      <c r="O70" s="2">
        <v>400</v>
      </c>
      <c r="P70" s="2">
        <v>120</v>
      </c>
      <c r="Q70" s="2">
        <f t="shared" si="25"/>
        <v>32</v>
      </c>
      <c r="R70" s="2" t="s">
        <v>191</v>
      </c>
      <c r="S70" s="2">
        <v>3</v>
      </c>
      <c r="T70" s="2" t="s">
        <v>193</v>
      </c>
      <c r="U70" s="2">
        <v>3</v>
      </c>
      <c r="V70" s="2" t="s">
        <v>195</v>
      </c>
      <c r="W70" s="2">
        <v>3</v>
      </c>
      <c r="X70" s="2" t="s">
        <v>197</v>
      </c>
      <c r="Y70" s="2">
        <v>3</v>
      </c>
      <c r="Z70" s="2" t="s">
        <v>199</v>
      </c>
      <c r="AA70" s="2">
        <v>3</v>
      </c>
      <c r="AB70" s="2"/>
      <c r="AC70" s="2"/>
      <c r="AD70" s="2"/>
    </row>
    <row r="71" spans="1:30" x14ac:dyDescent="0.35">
      <c r="A71" s="2">
        <v>70</v>
      </c>
      <c r="B71" s="2" t="s">
        <v>365</v>
      </c>
      <c r="C71" s="2" t="s">
        <v>102</v>
      </c>
      <c r="D71" s="2" t="s">
        <v>110</v>
      </c>
      <c r="E71" s="2">
        <v>10</v>
      </c>
      <c r="F71" s="2">
        <f t="shared" si="1"/>
        <v>550</v>
      </c>
      <c r="G71" s="2" t="s">
        <v>119</v>
      </c>
      <c r="H71" s="2" t="s">
        <v>121</v>
      </c>
      <c r="I71" s="2">
        <f t="shared" si="26"/>
        <v>26</v>
      </c>
      <c r="J71" s="2">
        <f t="shared" si="27"/>
        <v>38</v>
      </c>
      <c r="K71" s="2">
        <f t="shared" si="28"/>
        <v>460</v>
      </c>
      <c r="L71" s="2">
        <v>0</v>
      </c>
      <c r="M71" s="2">
        <v>0</v>
      </c>
      <c r="N71" s="2">
        <v>1.5</v>
      </c>
      <c r="O71" s="2">
        <v>400</v>
      </c>
      <c r="P71" s="2">
        <v>120</v>
      </c>
      <c r="Q71" s="2">
        <f t="shared" si="25"/>
        <v>36</v>
      </c>
      <c r="R71" s="2" t="s">
        <v>191</v>
      </c>
      <c r="S71" s="2">
        <v>3</v>
      </c>
      <c r="T71" s="2" t="s">
        <v>193</v>
      </c>
      <c r="U71" s="2">
        <v>3</v>
      </c>
      <c r="V71" s="2" t="s">
        <v>195</v>
      </c>
      <c r="W71" s="2">
        <v>3</v>
      </c>
      <c r="X71" s="2" t="s">
        <v>197</v>
      </c>
      <c r="Y71" s="2">
        <v>3</v>
      </c>
      <c r="Z71" s="2" t="s">
        <v>199</v>
      </c>
      <c r="AA71" s="2">
        <v>3</v>
      </c>
      <c r="AB71" s="2"/>
      <c r="AC71" s="2"/>
      <c r="AD71" s="2"/>
    </row>
    <row r="72" spans="1:30" x14ac:dyDescent="0.35">
      <c r="A72" s="2">
        <v>71</v>
      </c>
      <c r="B72" s="2" t="s">
        <v>365</v>
      </c>
      <c r="C72" s="2" t="s">
        <v>103</v>
      </c>
      <c r="D72" s="2" t="s">
        <v>111</v>
      </c>
      <c r="E72" s="2">
        <v>1</v>
      </c>
      <c r="F72" s="2">
        <f t="shared" si="1"/>
        <v>100</v>
      </c>
      <c r="G72" s="2" t="s">
        <v>126</v>
      </c>
      <c r="H72" s="2" t="s">
        <v>121</v>
      </c>
      <c r="I72" s="2">
        <v>8</v>
      </c>
      <c r="J72" s="2">
        <v>21</v>
      </c>
      <c r="K72" s="2">
        <v>160</v>
      </c>
      <c r="L72" s="2">
        <v>0</v>
      </c>
      <c r="M72" s="2">
        <v>0</v>
      </c>
      <c r="N72" s="2">
        <v>1.5</v>
      </c>
      <c r="O72" s="2">
        <v>320</v>
      </c>
      <c r="P72" s="2">
        <v>90</v>
      </c>
      <c r="Q72" s="2">
        <f t="shared" si="25"/>
        <v>0</v>
      </c>
      <c r="R72" s="2" t="s">
        <v>201</v>
      </c>
      <c r="S72" s="2">
        <v>0</v>
      </c>
      <c r="T72" s="2" t="s">
        <v>203</v>
      </c>
      <c r="U72" s="2">
        <v>0</v>
      </c>
      <c r="V72" s="2" t="s">
        <v>205</v>
      </c>
      <c r="W72" s="2">
        <v>0</v>
      </c>
      <c r="X72" s="2" t="s">
        <v>207</v>
      </c>
      <c r="Y72" s="2">
        <v>0</v>
      </c>
      <c r="Z72" s="2" t="s">
        <v>209</v>
      </c>
      <c r="AA72" s="2">
        <v>0</v>
      </c>
      <c r="AB72" s="2"/>
      <c r="AC72" s="2"/>
      <c r="AD72" s="2"/>
    </row>
    <row r="73" spans="1:30" x14ac:dyDescent="0.35">
      <c r="A73" s="2">
        <v>72</v>
      </c>
      <c r="B73" s="2" t="s">
        <v>365</v>
      </c>
      <c r="C73" s="2" t="s">
        <v>103</v>
      </c>
      <c r="D73" s="2" t="s">
        <v>111</v>
      </c>
      <c r="E73" s="2">
        <v>2</v>
      </c>
      <c r="F73" s="2">
        <f t="shared" si="1"/>
        <v>150</v>
      </c>
      <c r="G73" s="2" t="s">
        <v>126</v>
      </c>
      <c r="H73" s="2" t="s">
        <v>121</v>
      </c>
      <c r="I73" s="2">
        <f t="shared" si="26"/>
        <v>10</v>
      </c>
      <c r="J73" s="2">
        <f t="shared" ref="J73:J76" si="29">J72+3</f>
        <v>24</v>
      </c>
      <c r="K73" s="2">
        <f t="shared" ref="K73:K76" si="30">K72+10</f>
        <v>170</v>
      </c>
      <c r="L73" s="2">
        <v>0</v>
      </c>
      <c r="M73" s="2">
        <v>0</v>
      </c>
      <c r="N73" s="2">
        <v>1.5</v>
      </c>
      <c r="O73" s="2">
        <v>320</v>
      </c>
      <c r="P73" s="2">
        <v>90</v>
      </c>
      <c r="Q73" s="2">
        <f t="shared" si="25"/>
        <v>4</v>
      </c>
      <c r="R73" s="2" t="s">
        <v>201</v>
      </c>
      <c r="S73" s="2">
        <v>1</v>
      </c>
      <c r="T73" s="2" t="s">
        <v>203</v>
      </c>
      <c r="U73" s="2">
        <v>1</v>
      </c>
      <c r="V73" s="2" t="s">
        <v>205</v>
      </c>
      <c r="W73" s="2">
        <v>0</v>
      </c>
      <c r="X73" s="2" t="s">
        <v>207</v>
      </c>
      <c r="Y73" s="2">
        <v>0</v>
      </c>
      <c r="Z73" s="2" t="s">
        <v>209</v>
      </c>
      <c r="AA73" s="2">
        <v>0</v>
      </c>
      <c r="AB73" s="2"/>
      <c r="AC73" s="2"/>
      <c r="AD73" s="2"/>
    </row>
    <row r="74" spans="1:30" x14ac:dyDescent="0.35">
      <c r="A74" s="2">
        <v>73</v>
      </c>
      <c r="B74" s="2" t="s">
        <v>365</v>
      </c>
      <c r="C74" s="2" t="s">
        <v>103</v>
      </c>
      <c r="D74" s="2" t="s">
        <v>111</v>
      </c>
      <c r="E74" s="2">
        <v>3</v>
      </c>
      <c r="F74" s="2">
        <f t="shared" si="1"/>
        <v>200</v>
      </c>
      <c r="G74" s="2" t="s">
        <v>126</v>
      </c>
      <c r="H74" s="2" t="s">
        <v>121</v>
      </c>
      <c r="I74" s="2">
        <f t="shared" si="26"/>
        <v>12</v>
      </c>
      <c r="J74" s="2">
        <f t="shared" si="29"/>
        <v>27</v>
      </c>
      <c r="K74" s="2">
        <f t="shared" si="30"/>
        <v>180</v>
      </c>
      <c r="L74" s="2">
        <v>0</v>
      </c>
      <c r="M74" s="2">
        <v>0</v>
      </c>
      <c r="N74" s="2">
        <v>1.5</v>
      </c>
      <c r="O74" s="2">
        <v>320</v>
      </c>
      <c r="P74" s="2">
        <v>90</v>
      </c>
      <c r="Q74" s="2">
        <f t="shared" si="25"/>
        <v>8</v>
      </c>
      <c r="R74" s="2" t="s">
        <v>201</v>
      </c>
      <c r="S74" s="2">
        <v>2</v>
      </c>
      <c r="T74" s="2" t="s">
        <v>203</v>
      </c>
      <c r="U74" s="2">
        <v>2</v>
      </c>
      <c r="V74" s="2" t="s">
        <v>205</v>
      </c>
      <c r="W74" s="2">
        <v>0</v>
      </c>
      <c r="X74" s="2" t="s">
        <v>207</v>
      </c>
      <c r="Y74" s="2">
        <v>0</v>
      </c>
      <c r="Z74" s="2" t="s">
        <v>209</v>
      </c>
      <c r="AA74" s="2">
        <v>0</v>
      </c>
      <c r="AB74" s="2"/>
      <c r="AC74" s="2"/>
      <c r="AD74" s="2"/>
    </row>
    <row r="75" spans="1:30" x14ac:dyDescent="0.35">
      <c r="A75" s="2">
        <v>74</v>
      </c>
      <c r="B75" s="2" t="s">
        <v>365</v>
      </c>
      <c r="C75" s="2" t="s">
        <v>103</v>
      </c>
      <c r="D75" s="2" t="s">
        <v>111</v>
      </c>
      <c r="E75" s="2">
        <v>4</v>
      </c>
      <c r="F75" s="2">
        <f t="shared" si="1"/>
        <v>250</v>
      </c>
      <c r="G75" s="2" t="s">
        <v>126</v>
      </c>
      <c r="H75" s="2" t="s">
        <v>121</v>
      </c>
      <c r="I75" s="2">
        <f t="shared" si="26"/>
        <v>14</v>
      </c>
      <c r="J75" s="2">
        <f t="shared" si="29"/>
        <v>30</v>
      </c>
      <c r="K75" s="2">
        <f t="shared" si="30"/>
        <v>190</v>
      </c>
      <c r="L75" s="2">
        <v>0</v>
      </c>
      <c r="M75" s="2">
        <v>0</v>
      </c>
      <c r="N75" s="2">
        <v>1.5</v>
      </c>
      <c r="O75" s="2">
        <v>320</v>
      </c>
      <c r="P75" s="2">
        <v>90</v>
      </c>
      <c r="Q75" s="2">
        <f t="shared" si="25"/>
        <v>12</v>
      </c>
      <c r="R75" s="2" t="s">
        <v>201</v>
      </c>
      <c r="S75" s="2">
        <v>3</v>
      </c>
      <c r="T75" s="2" t="s">
        <v>203</v>
      </c>
      <c r="U75" s="2">
        <v>3</v>
      </c>
      <c r="V75" s="2" t="s">
        <v>205</v>
      </c>
      <c r="W75" s="2">
        <v>0</v>
      </c>
      <c r="X75" s="2" t="s">
        <v>207</v>
      </c>
      <c r="Y75" s="2">
        <v>0</v>
      </c>
      <c r="Z75" s="2" t="s">
        <v>209</v>
      </c>
      <c r="AA75" s="2">
        <v>0</v>
      </c>
      <c r="AB75" s="2"/>
      <c r="AC75" s="2"/>
      <c r="AD75" s="2"/>
    </row>
    <row r="76" spans="1:30" x14ac:dyDescent="0.35">
      <c r="A76" s="2">
        <v>75</v>
      </c>
      <c r="B76" s="2" t="s">
        <v>365</v>
      </c>
      <c r="C76" s="2" t="s">
        <v>103</v>
      </c>
      <c r="D76" s="2" t="s">
        <v>111</v>
      </c>
      <c r="E76" s="2">
        <v>5</v>
      </c>
      <c r="F76" s="2">
        <f t="shared" si="1"/>
        <v>300</v>
      </c>
      <c r="G76" s="2" t="s">
        <v>126</v>
      </c>
      <c r="H76" s="2" t="s">
        <v>121</v>
      </c>
      <c r="I76" s="2">
        <f t="shared" si="26"/>
        <v>16</v>
      </c>
      <c r="J76" s="2">
        <f t="shared" si="29"/>
        <v>33</v>
      </c>
      <c r="K76" s="2">
        <f t="shared" si="30"/>
        <v>200</v>
      </c>
      <c r="L76" s="2">
        <v>0</v>
      </c>
      <c r="M76" s="2">
        <v>0</v>
      </c>
      <c r="N76" s="2">
        <v>1.5</v>
      </c>
      <c r="O76" s="2">
        <v>320</v>
      </c>
      <c r="P76" s="2">
        <v>90</v>
      </c>
      <c r="Q76" s="2">
        <f t="shared" si="25"/>
        <v>16</v>
      </c>
      <c r="R76" s="2" t="s">
        <v>201</v>
      </c>
      <c r="S76" s="2">
        <v>3</v>
      </c>
      <c r="T76" s="2" t="s">
        <v>203</v>
      </c>
      <c r="U76" s="2">
        <v>3</v>
      </c>
      <c r="V76" s="2" t="s">
        <v>205</v>
      </c>
      <c r="W76" s="2">
        <v>2</v>
      </c>
      <c r="X76" s="2" t="s">
        <v>207</v>
      </c>
      <c r="Y76" s="2">
        <v>0</v>
      </c>
      <c r="Z76" s="2" t="s">
        <v>209</v>
      </c>
      <c r="AA76" s="2">
        <v>0</v>
      </c>
      <c r="AB76" s="2"/>
      <c r="AC76" s="2"/>
      <c r="AD76" s="2"/>
    </row>
    <row r="77" spans="1:30" x14ac:dyDescent="0.35">
      <c r="A77" s="2">
        <v>76</v>
      </c>
      <c r="B77" s="2" t="s">
        <v>365</v>
      </c>
      <c r="C77" s="2" t="s">
        <v>103</v>
      </c>
      <c r="D77" s="2" t="s">
        <v>111</v>
      </c>
      <c r="E77" s="2">
        <v>6</v>
      </c>
      <c r="F77" s="2">
        <f t="shared" si="1"/>
        <v>350</v>
      </c>
      <c r="G77" s="2" t="s">
        <v>126</v>
      </c>
      <c r="H77" s="2" t="s">
        <v>121</v>
      </c>
      <c r="I77" s="2">
        <f>I76+2</f>
        <v>18</v>
      </c>
      <c r="J77" s="2">
        <f>J76+3</f>
        <v>36</v>
      </c>
      <c r="K77" s="2">
        <f>K76+10</f>
        <v>210</v>
      </c>
      <c r="L77" s="2">
        <v>0</v>
      </c>
      <c r="M77" s="2">
        <v>0</v>
      </c>
      <c r="N77" s="2">
        <v>1.5</v>
      </c>
      <c r="O77" s="2">
        <v>320</v>
      </c>
      <c r="P77" s="2">
        <v>90</v>
      </c>
      <c r="Q77" s="2">
        <f t="shared" si="25"/>
        <v>20</v>
      </c>
      <c r="R77" s="2" t="s">
        <v>201</v>
      </c>
      <c r="S77" s="2">
        <v>3</v>
      </c>
      <c r="T77" s="2" t="s">
        <v>203</v>
      </c>
      <c r="U77" s="2">
        <v>3</v>
      </c>
      <c r="V77" s="2" t="s">
        <v>205</v>
      </c>
      <c r="W77" s="2">
        <v>3</v>
      </c>
      <c r="X77" s="2" t="s">
        <v>207</v>
      </c>
      <c r="Y77" s="2">
        <v>1</v>
      </c>
      <c r="Z77" s="2" t="s">
        <v>209</v>
      </c>
      <c r="AA77" s="2">
        <v>0</v>
      </c>
      <c r="AB77" s="2"/>
      <c r="AC77" s="2"/>
      <c r="AD77" s="2"/>
    </row>
    <row r="78" spans="1:30" x14ac:dyDescent="0.35">
      <c r="A78" s="2">
        <v>77</v>
      </c>
      <c r="B78" s="2" t="s">
        <v>365</v>
      </c>
      <c r="C78" s="2" t="s">
        <v>103</v>
      </c>
      <c r="D78" s="2" t="s">
        <v>111</v>
      </c>
      <c r="E78" s="2">
        <v>7</v>
      </c>
      <c r="F78" s="2">
        <f t="shared" si="1"/>
        <v>400</v>
      </c>
      <c r="G78" s="2" t="s">
        <v>126</v>
      </c>
      <c r="H78" s="2" t="s">
        <v>121</v>
      </c>
      <c r="I78" s="2">
        <f t="shared" ref="I78:I81" si="31">I77+2</f>
        <v>20</v>
      </c>
      <c r="J78" s="2">
        <f t="shared" ref="J78:J81" si="32">J77+3</f>
        <v>39</v>
      </c>
      <c r="K78" s="2">
        <f t="shared" ref="K78:K81" si="33">K77+10</f>
        <v>220</v>
      </c>
      <c r="L78" s="2">
        <v>0</v>
      </c>
      <c r="M78" s="2">
        <v>0</v>
      </c>
      <c r="N78" s="2">
        <v>1.5</v>
      </c>
      <c r="O78" s="2">
        <v>320</v>
      </c>
      <c r="P78" s="2">
        <v>90</v>
      </c>
      <c r="Q78" s="2">
        <f t="shared" si="25"/>
        <v>24</v>
      </c>
      <c r="R78" s="2" t="s">
        <v>201</v>
      </c>
      <c r="S78" s="2">
        <v>3</v>
      </c>
      <c r="T78" s="2" t="s">
        <v>203</v>
      </c>
      <c r="U78" s="2">
        <v>3</v>
      </c>
      <c r="V78" s="2" t="s">
        <v>205</v>
      </c>
      <c r="W78" s="2">
        <v>3</v>
      </c>
      <c r="X78" s="2" t="s">
        <v>207</v>
      </c>
      <c r="Y78" s="2">
        <v>3</v>
      </c>
      <c r="Z78" s="2" t="s">
        <v>209</v>
      </c>
      <c r="AA78" s="2">
        <v>0</v>
      </c>
      <c r="AB78" s="2"/>
      <c r="AC78" s="2"/>
      <c r="AD78" s="2"/>
    </row>
    <row r="79" spans="1:30" x14ac:dyDescent="0.35">
      <c r="A79" s="2">
        <v>78</v>
      </c>
      <c r="B79" s="2" t="s">
        <v>365</v>
      </c>
      <c r="C79" s="2" t="s">
        <v>103</v>
      </c>
      <c r="D79" s="2" t="s">
        <v>111</v>
      </c>
      <c r="E79" s="2">
        <v>8</v>
      </c>
      <c r="F79" s="2">
        <f t="shared" si="1"/>
        <v>450</v>
      </c>
      <c r="G79" s="2" t="s">
        <v>126</v>
      </c>
      <c r="H79" s="2" t="s">
        <v>121</v>
      </c>
      <c r="I79" s="2">
        <f t="shared" si="31"/>
        <v>22</v>
      </c>
      <c r="J79" s="2">
        <f t="shared" si="32"/>
        <v>42</v>
      </c>
      <c r="K79" s="2">
        <f t="shared" si="33"/>
        <v>230</v>
      </c>
      <c r="L79" s="2">
        <v>0</v>
      </c>
      <c r="M79" s="2">
        <v>0</v>
      </c>
      <c r="N79" s="2">
        <v>1.5</v>
      </c>
      <c r="O79" s="2">
        <v>320</v>
      </c>
      <c r="P79" s="2">
        <v>90</v>
      </c>
      <c r="Q79" s="2">
        <f t="shared" si="25"/>
        <v>28</v>
      </c>
      <c r="R79" s="2" t="s">
        <v>201</v>
      </c>
      <c r="S79" s="2">
        <v>3</v>
      </c>
      <c r="T79" s="2" t="s">
        <v>203</v>
      </c>
      <c r="U79" s="2">
        <v>3</v>
      </c>
      <c r="V79" s="2" t="s">
        <v>205</v>
      </c>
      <c r="W79" s="2">
        <v>3</v>
      </c>
      <c r="X79" s="2" t="s">
        <v>207</v>
      </c>
      <c r="Y79" s="2">
        <v>3</v>
      </c>
      <c r="Z79" s="2" t="s">
        <v>209</v>
      </c>
      <c r="AA79" s="2">
        <v>1</v>
      </c>
      <c r="AB79" s="2"/>
      <c r="AC79" s="2"/>
      <c r="AD79" s="2"/>
    </row>
    <row r="80" spans="1:30" x14ac:dyDescent="0.35">
      <c r="A80" s="2">
        <v>79</v>
      </c>
      <c r="B80" s="2" t="s">
        <v>365</v>
      </c>
      <c r="C80" s="2" t="s">
        <v>103</v>
      </c>
      <c r="D80" s="2" t="s">
        <v>111</v>
      </c>
      <c r="E80" s="2">
        <v>9</v>
      </c>
      <c r="F80" s="2">
        <f t="shared" si="1"/>
        <v>500</v>
      </c>
      <c r="G80" s="2" t="s">
        <v>126</v>
      </c>
      <c r="H80" s="2" t="s">
        <v>121</v>
      </c>
      <c r="I80" s="2">
        <f t="shared" si="31"/>
        <v>24</v>
      </c>
      <c r="J80" s="2">
        <f t="shared" si="32"/>
        <v>45</v>
      </c>
      <c r="K80" s="2">
        <f t="shared" si="33"/>
        <v>240</v>
      </c>
      <c r="L80" s="2">
        <v>0</v>
      </c>
      <c r="M80" s="2">
        <v>0</v>
      </c>
      <c r="N80" s="2">
        <v>1.5</v>
      </c>
      <c r="O80" s="2">
        <v>320</v>
      </c>
      <c r="P80" s="2">
        <v>90</v>
      </c>
      <c r="Q80" s="2">
        <f t="shared" si="25"/>
        <v>32</v>
      </c>
      <c r="R80" s="2" t="s">
        <v>201</v>
      </c>
      <c r="S80" s="2">
        <v>3</v>
      </c>
      <c r="T80" s="2" t="s">
        <v>203</v>
      </c>
      <c r="U80" s="2">
        <v>3</v>
      </c>
      <c r="V80" s="2" t="s">
        <v>205</v>
      </c>
      <c r="W80" s="2">
        <v>3</v>
      </c>
      <c r="X80" s="2" t="s">
        <v>207</v>
      </c>
      <c r="Y80" s="2">
        <v>3</v>
      </c>
      <c r="Z80" s="2" t="s">
        <v>209</v>
      </c>
      <c r="AA80" s="2">
        <v>2</v>
      </c>
      <c r="AB80" s="2"/>
      <c r="AC80" s="2"/>
      <c r="AD80" s="2"/>
    </row>
    <row r="81" spans="1:30" x14ac:dyDescent="0.35">
      <c r="A81" s="2">
        <v>80</v>
      </c>
      <c r="B81" s="2" t="s">
        <v>365</v>
      </c>
      <c r="C81" s="2" t="s">
        <v>103</v>
      </c>
      <c r="D81" s="2" t="s">
        <v>111</v>
      </c>
      <c r="E81" s="2">
        <v>10</v>
      </c>
      <c r="F81" s="2">
        <f t="shared" si="1"/>
        <v>550</v>
      </c>
      <c r="G81" s="2" t="s">
        <v>126</v>
      </c>
      <c r="H81" s="2" t="s">
        <v>121</v>
      </c>
      <c r="I81" s="2">
        <f t="shared" si="31"/>
        <v>26</v>
      </c>
      <c r="J81" s="2">
        <f t="shared" si="32"/>
        <v>48</v>
      </c>
      <c r="K81" s="2">
        <f t="shared" si="33"/>
        <v>250</v>
      </c>
      <c r="L81" s="2">
        <v>0</v>
      </c>
      <c r="M81" s="2">
        <v>0</v>
      </c>
      <c r="N81" s="2">
        <v>1.5</v>
      </c>
      <c r="O81" s="2">
        <v>320</v>
      </c>
      <c r="P81" s="2">
        <v>90</v>
      </c>
      <c r="Q81" s="2">
        <f t="shared" si="25"/>
        <v>36</v>
      </c>
      <c r="R81" s="2" t="s">
        <v>201</v>
      </c>
      <c r="S81" s="2">
        <v>3</v>
      </c>
      <c r="T81" s="2" t="s">
        <v>203</v>
      </c>
      <c r="U81" s="2">
        <v>3</v>
      </c>
      <c r="V81" s="2" t="s">
        <v>205</v>
      </c>
      <c r="W81" s="2">
        <v>3</v>
      </c>
      <c r="X81" s="2" t="s">
        <v>207</v>
      </c>
      <c r="Y81" s="2">
        <v>3</v>
      </c>
      <c r="Z81" s="2" t="s">
        <v>209</v>
      </c>
      <c r="AA81" s="2">
        <v>3</v>
      </c>
      <c r="AB81" s="2"/>
      <c r="AC81" s="2"/>
      <c r="AD81" s="2"/>
    </row>
    <row r="82" spans="1:30" x14ac:dyDescent="0.35">
      <c r="A82" s="2">
        <v>81</v>
      </c>
      <c r="B82" s="2" t="s">
        <v>365</v>
      </c>
      <c r="C82" s="2" t="s">
        <v>104</v>
      </c>
      <c r="D82" s="2" t="s">
        <v>111</v>
      </c>
      <c r="E82" s="2">
        <v>1</v>
      </c>
      <c r="F82" s="2">
        <f t="shared" si="1"/>
        <v>100</v>
      </c>
      <c r="G82" s="2" t="s">
        <v>119</v>
      </c>
      <c r="H82" s="2" t="s">
        <v>121</v>
      </c>
      <c r="I82" s="2">
        <v>45</v>
      </c>
      <c r="J82" s="2">
        <v>55</v>
      </c>
      <c r="K82" s="2">
        <v>200</v>
      </c>
      <c r="L82" s="2">
        <v>0</v>
      </c>
      <c r="M82" s="2">
        <v>0</v>
      </c>
      <c r="N82" s="2">
        <v>2</v>
      </c>
      <c r="O82" s="2">
        <v>500</v>
      </c>
      <c r="P82" s="2">
        <v>42</v>
      </c>
      <c r="Q82" s="2">
        <f t="shared" si="25"/>
        <v>0</v>
      </c>
      <c r="R82" s="2" t="s">
        <v>211</v>
      </c>
      <c r="S82" s="2">
        <v>0</v>
      </c>
      <c r="T82" s="2" t="s">
        <v>213</v>
      </c>
      <c r="U82" s="2">
        <v>0</v>
      </c>
      <c r="V82" s="2" t="s">
        <v>215</v>
      </c>
      <c r="W82" s="2">
        <v>0</v>
      </c>
      <c r="X82" s="2" t="s">
        <v>217</v>
      </c>
      <c r="Y82" s="2">
        <v>0</v>
      </c>
      <c r="Z82" s="2" t="s">
        <v>219</v>
      </c>
      <c r="AA82" s="2">
        <v>0</v>
      </c>
      <c r="AB82" s="2"/>
      <c r="AC82" s="2"/>
      <c r="AD82" s="2"/>
    </row>
    <row r="83" spans="1:30" x14ac:dyDescent="0.35">
      <c r="A83" s="2">
        <v>82</v>
      </c>
      <c r="B83" s="2" t="s">
        <v>365</v>
      </c>
      <c r="C83" s="2" t="s">
        <v>104</v>
      </c>
      <c r="D83" s="2" t="s">
        <v>111</v>
      </c>
      <c r="E83" s="2">
        <v>2</v>
      </c>
      <c r="F83" s="2">
        <f t="shared" si="1"/>
        <v>150</v>
      </c>
      <c r="G83" s="2" t="s">
        <v>119</v>
      </c>
      <c r="H83" s="2" t="s">
        <v>121</v>
      </c>
      <c r="I83" s="2">
        <f t="shared" ref="I83:I90" si="34">I82+1</f>
        <v>46</v>
      </c>
      <c r="J83" s="2">
        <f t="shared" ref="J83:J90" si="35">J82+3</f>
        <v>58</v>
      </c>
      <c r="K83" s="2">
        <f t="shared" ref="K83:K86" si="36">K82+10</f>
        <v>210</v>
      </c>
      <c r="L83" s="2">
        <v>0</v>
      </c>
      <c r="M83" s="2">
        <v>0</v>
      </c>
      <c r="N83" s="2">
        <v>2</v>
      </c>
      <c r="O83" s="2">
        <v>500</v>
      </c>
      <c r="P83" s="2">
        <v>42</v>
      </c>
      <c r="Q83" s="2">
        <f t="shared" si="25"/>
        <v>4</v>
      </c>
      <c r="R83" s="2" t="s">
        <v>211</v>
      </c>
      <c r="S83" s="2">
        <v>1</v>
      </c>
      <c r="T83" s="2" t="s">
        <v>213</v>
      </c>
      <c r="U83" s="2">
        <v>1</v>
      </c>
      <c r="V83" s="2" t="s">
        <v>215</v>
      </c>
      <c r="W83" s="2">
        <v>0</v>
      </c>
      <c r="X83" s="2" t="s">
        <v>217</v>
      </c>
      <c r="Y83" s="2">
        <v>0</v>
      </c>
      <c r="Z83" s="2" t="s">
        <v>219</v>
      </c>
      <c r="AA83" s="2">
        <v>0</v>
      </c>
      <c r="AB83" s="2"/>
      <c r="AC83" s="2"/>
      <c r="AD83" s="2"/>
    </row>
    <row r="84" spans="1:30" x14ac:dyDescent="0.35">
      <c r="A84" s="2">
        <v>83</v>
      </c>
      <c r="B84" s="2" t="s">
        <v>365</v>
      </c>
      <c r="C84" s="2" t="s">
        <v>104</v>
      </c>
      <c r="D84" s="2" t="s">
        <v>111</v>
      </c>
      <c r="E84" s="2">
        <v>3</v>
      </c>
      <c r="F84" s="2">
        <f t="shared" si="1"/>
        <v>200</v>
      </c>
      <c r="G84" s="2" t="s">
        <v>119</v>
      </c>
      <c r="H84" s="2" t="s">
        <v>121</v>
      </c>
      <c r="I84" s="2">
        <f t="shared" si="34"/>
        <v>47</v>
      </c>
      <c r="J84" s="2">
        <f t="shared" si="35"/>
        <v>61</v>
      </c>
      <c r="K84" s="2">
        <f t="shared" si="36"/>
        <v>220</v>
      </c>
      <c r="L84" s="2">
        <v>0</v>
      </c>
      <c r="M84" s="2">
        <v>0</v>
      </c>
      <c r="N84" s="2">
        <v>2</v>
      </c>
      <c r="O84" s="2">
        <v>500</v>
      </c>
      <c r="P84" s="2">
        <v>42</v>
      </c>
      <c r="Q84" s="2">
        <f t="shared" si="25"/>
        <v>8</v>
      </c>
      <c r="R84" s="2" t="s">
        <v>211</v>
      </c>
      <c r="S84" s="2">
        <v>2</v>
      </c>
      <c r="T84" s="2" t="s">
        <v>213</v>
      </c>
      <c r="U84" s="2">
        <v>2</v>
      </c>
      <c r="V84" s="2" t="s">
        <v>215</v>
      </c>
      <c r="W84" s="2">
        <v>0</v>
      </c>
      <c r="X84" s="2" t="s">
        <v>217</v>
      </c>
      <c r="Y84" s="2">
        <v>0</v>
      </c>
      <c r="Z84" s="2" t="s">
        <v>219</v>
      </c>
      <c r="AA84" s="2">
        <v>0</v>
      </c>
      <c r="AB84" s="2"/>
      <c r="AC84" s="2"/>
      <c r="AD84" s="2"/>
    </row>
    <row r="85" spans="1:30" x14ac:dyDescent="0.35">
      <c r="A85" s="2">
        <v>84</v>
      </c>
      <c r="B85" s="2" t="s">
        <v>365</v>
      </c>
      <c r="C85" s="2" t="s">
        <v>104</v>
      </c>
      <c r="D85" s="2" t="s">
        <v>111</v>
      </c>
      <c r="E85" s="2">
        <v>4</v>
      </c>
      <c r="F85" s="2">
        <f t="shared" si="1"/>
        <v>250</v>
      </c>
      <c r="G85" s="2" t="s">
        <v>119</v>
      </c>
      <c r="H85" s="2" t="s">
        <v>121</v>
      </c>
      <c r="I85" s="2">
        <f t="shared" si="34"/>
        <v>48</v>
      </c>
      <c r="J85" s="2">
        <f t="shared" si="35"/>
        <v>64</v>
      </c>
      <c r="K85" s="2">
        <f t="shared" si="36"/>
        <v>230</v>
      </c>
      <c r="L85" s="2">
        <v>0</v>
      </c>
      <c r="M85" s="2">
        <v>0</v>
      </c>
      <c r="N85" s="2">
        <v>2</v>
      </c>
      <c r="O85" s="2">
        <v>500</v>
      </c>
      <c r="P85" s="2">
        <v>42</v>
      </c>
      <c r="Q85" s="2">
        <f t="shared" si="25"/>
        <v>12</v>
      </c>
      <c r="R85" s="2" t="s">
        <v>211</v>
      </c>
      <c r="S85" s="2">
        <v>3</v>
      </c>
      <c r="T85" s="2" t="s">
        <v>213</v>
      </c>
      <c r="U85" s="2">
        <v>3</v>
      </c>
      <c r="V85" s="2" t="s">
        <v>215</v>
      </c>
      <c r="W85" s="2">
        <v>0</v>
      </c>
      <c r="X85" s="2" t="s">
        <v>217</v>
      </c>
      <c r="Y85" s="2">
        <v>0</v>
      </c>
      <c r="Z85" s="2" t="s">
        <v>219</v>
      </c>
      <c r="AA85" s="2">
        <v>0</v>
      </c>
      <c r="AB85" s="2"/>
      <c r="AC85" s="2"/>
      <c r="AD85" s="2"/>
    </row>
    <row r="86" spans="1:30" x14ac:dyDescent="0.35">
      <c r="A86" s="2">
        <v>85</v>
      </c>
      <c r="B86" s="2" t="s">
        <v>365</v>
      </c>
      <c r="C86" s="2" t="s">
        <v>104</v>
      </c>
      <c r="D86" s="2" t="s">
        <v>111</v>
      </c>
      <c r="E86" s="2">
        <v>5</v>
      </c>
      <c r="F86" s="2">
        <f t="shared" si="1"/>
        <v>300</v>
      </c>
      <c r="G86" s="2" t="s">
        <v>119</v>
      </c>
      <c r="H86" s="2" t="s">
        <v>121</v>
      </c>
      <c r="I86" s="2">
        <f t="shared" si="34"/>
        <v>49</v>
      </c>
      <c r="J86" s="2">
        <f t="shared" si="35"/>
        <v>67</v>
      </c>
      <c r="K86" s="2">
        <f t="shared" si="36"/>
        <v>240</v>
      </c>
      <c r="L86" s="2">
        <v>10</v>
      </c>
      <c r="M86" s="2">
        <v>0</v>
      </c>
      <c r="N86" s="2">
        <v>2</v>
      </c>
      <c r="O86" s="2">
        <v>500</v>
      </c>
      <c r="P86" s="2">
        <v>42</v>
      </c>
      <c r="Q86" s="2">
        <f t="shared" si="25"/>
        <v>16</v>
      </c>
      <c r="R86" s="2" t="s">
        <v>211</v>
      </c>
      <c r="S86" s="2">
        <v>3</v>
      </c>
      <c r="T86" s="2" t="s">
        <v>213</v>
      </c>
      <c r="U86" s="2">
        <v>3</v>
      </c>
      <c r="V86" s="2" t="s">
        <v>215</v>
      </c>
      <c r="W86" s="2">
        <v>2</v>
      </c>
      <c r="X86" s="2" t="s">
        <v>217</v>
      </c>
      <c r="Y86" s="2">
        <v>0</v>
      </c>
      <c r="Z86" s="2" t="s">
        <v>219</v>
      </c>
      <c r="AA86" s="2">
        <v>0</v>
      </c>
      <c r="AB86" s="2"/>
      <c r="AC86" s="2"/>
      <c r="AD86" s="2"/>
    </row>
    <row r="87" spans="1:30" x14ac:dyDescent="0.35">
      <c r="A87" s="2">
        <v>86</v>
      </c>
      <c r="B87" s="2" t="s">
        <v>365</v>
      </c>
      <c r="C87" s="2" t="s">
        <v>104</v>
      </c>
      <c r="D87" s="2" t="s">
        <v>111</v>
      </c>
      <c r="E87" s="2">
        <v>6</v>
      </c>
      <c r="F87" s="2">
        <f t="shared" si="1"/>
        <v>350</v>
      </c>
      <c r="G87" s="2" t="s">
        <v>119</v>
      </c>
      <c r="H87" s="2" t="s">
        <v>121</v>
      </c>
      <c r="I87" s="2">
        <f t="shared" si="34"/>
        <v>50</v>
      </c>
      <c r="J87" s="2">
        <f t="shared" si="35"/>
        <v>70</v>
      </c>
      <c r="K87" s="2">
        <f>K86+10</f>
        <v>250</v>
      </c>
      <c r="L87" s="2">
        <v>40</v>
      </c>
      <c r="M87" s="2">
        <v>0</v>
      </c>
      <c r="N87" s="2">
        <v>2</v>
      </c>
      <c r="O87" s="2">
        <v>500</v>
      </c>
      <c r="P87" s="2">
        <v>42</v>
      </c>
      <c r="Q87" s="2">
        <f t="shared" si="25"/>
        <v>20</v>
      </c>
      <c r="R87" s="2" t="s">
        <v>211</v>
      </c>
      <c r="S87" s="2">
        <v>3</v>
      </c>
      <c r="T87" s="2" t="s">
        <v>213</v>
      </c>
      <c r="U87" s="2">
        <v>3</v>
      </c>
      <c r="V87" s="2" t="s">
        <v>215</v>
      </c>
      <c r="W87" s="2">
        <v>3</v>
      </c>
      <c r="X87" s="2" t="s">
        <v>217</v>
      </c>
      <c r="Y87" s="2">
        <v>1</v>
      </c>
      <c r="Z87" s="2" t="s">
        <v>219</v>
      </c>
      <c r="AA87" s="2">
        <v>0</v>
      </c>
      <c r="AB87" s="2"/>
      <c r="AC87" s="2"/>
      <c r="AD87" s="2"/>
    </row>
    <row r="88" spans="1:30" x14ac:dyDescent="0.35">
      <c r="A88" s="2">
        <v>87</v>
      </c>
      <c r="B88" s="2" t="s">
        <v>365</v>
      </c>
      <c r="C88" s="2" t="s">
        <v>104</v>
      </c>
      <c r="D88" s="2" t="s">
        <v>111</v>
      </c>
      <c r="E88" s="2">
        <v>7</v>
      </c>
      <c r="F88" s="2">
        <f t="shared" si="1"/>
        <v>400</v>
      </c>
      <c r="G88" s="2" t="s">
        <v>119</v>
      </c>
      <c r="H88" s="2" t="s">
        <v>121</v>
      </c>
      <c r="I88" s="2">
        <f t="shared" si="34"/>
        <v>51</v>
      </c>
      <c r="J88" s="2">
        <f t="shared" si="35"/>
        <v>73</v>
      </c>
      <c r="K88" s="2">
        <f t="shared" ref="K88:K91" si="37">K87+10</f>
        <v>260</v>
      </c>
      <c r="L88" s="2">
        <v>46</v>
      </c>
      <c r="M88" s="2">
        <v>0</v>
      </c>
      <c r="N88" s="2">
        <v>2</v>
      </c>
      <c r="O88" s="2">
        <v>500</v>
      </c>
      <c r="P88" s="2">
        <v>42</v>
      </c>
      <c r="Q88" s="2">
        <f t="shared" si="25"/>
        <v>24</v>
      </c>
      <c r="R88" s="2" t="s">
        <v>211</v>
      </c>
      <c r="S88" s="2">
        <v>3</v>
      </c>
      <c r="T88" s="2" t="s">
        <v>213</v>
      </c>
      <c r="U88" s="2">
        <v>3</v>
      </c>
      <c r="V88" s="2" t="s">
        <v>215</v>
      </c>
      <c r="W88" s="2">
        <v>3</v>
      </c>
      <c r="X88" s="2" t="s">
        <v>217</v>
      </c>
      <c r="Y88" s="2">
        <v>3</v>
      </c>
      <c r="Z88" s="2" t="s">
        <v>219</v>
      </c>
      <c r="AA88" s="2">
        <v>0</v>
      </c>
      <c r="AB88" s="2"/>
      <c r="AC88" s="2"/>
      <c r="AD88" s="2"/>
    </row>
    <row r="89" spans="1:30" x14ac:dyDescent="0.35">
      <c r="A89" s="2">
        <v>88</v>
      </c>
      <c r="B89" s="2" t="s">
        <v>365</v>
      </c>
      <c r="C89" s="2" t="s">
        <v>104</v>
      </c>
      <c r="D89" s="2" t="s">
        <v>111</v>
      </c>
      <c r="E89" s="2">
        <v>8</v>
      </c>
      <c r="F89" s="2">
        <f t="shared" si="1"/>
        <v>450</v>
      </c>
      <c r="G89" s="2" t="s">
        <v>119</v>
      </c>
      <c r="H89" s="2" t="s">
        <v>121</v>
      </c>
      <c r="I89" s="2">
        <f t="shared" si="34"/>
        <v>52</v>
      </c>
      <c r="J89" s="2">
        <f t="shared" si="35"/>
        <v>76</v>
      </c>
      <c r="K89" s="2">
        <f t="shared" si="37"/>
        <v>270</v>
      </c>
      <c r="L89" s="2">
        <v>52</v>
      </c>
      <c r="M89" s="2">
        <v>0</v>
      </c>
      <c r="N89" s="2">
        <v>2</v>
      </c>
      <c r="O89" s="2">
        <v>500</v>
      </c>
      <c r="P89" s="2">
        <v>42</v>
      </c>
      <c r="Q89" s="2">
        <f t="shared" si="25"/>
        <v>28</v>
      </c>
      <c r="R89" s="2" t="s">
        <v>211</v>
      </c>
      <c r="S89" s="2">
        <v>3</v>
      </c>
      <c r="T89" s="2" t="s">
        <v>213</v>
      </c>
      <c r="U89" s="2">
        <v>3</v>
      </c>
      <c r="V89" s="2" t="s">
        <v>215</v>
      </c>
      <c r="W89" s="2">
        <v>3</v>
      </c>
      <c r="X89" s="2" t="s">
        <v>217</v>
      </c>
      <c r="Y89" s="2">
        <v>3</v>
      </c>
      <c r="Z89" s="2" t="s">
        <v>219</v>
      </c>
      <c r="AA89" s="2">
        <v>1</v>
      </c>
      <c r="AB89" s="2"/>
      <c r="AC89" s="2"/>
      <c r="AD89" s="2"/>
    </row>
    <row r="90" spans="1:30" x14ac:dyDescent="0.35">
      <c r="A90" s="2">
        <v>89</v>
      </c>
      <c r="B90" s="2" t="s">
        <v>365</v>
      </c>
      <c r="C90" s="2" t="s">
        <v>104</v>
      </c>
      <c r="D90" s="2" t="s">
        <v>111</v>
      </c>
      <c r="E90" s="2">
        <v>9</v>
      </c>
      <c r="F90" s="2">
        <f t="shared" si="1"/>
        <v>500</v>
      </c>
      <c r="G90" s="2" t="s">
        <v>119</v>
      </c>
      <c r="H90" s="2" t="s">
        <v>121</v>
      </c>
      <c r="I90" s="2">
        <f t="shared" si="34"/>
        <v>53</v>
      </c>
      <c r="J90" s="2">
        <f t="shared" si="35"/>
        <v>79</v>
      </c>
      <c r="K90" s="2">
        <f t="shared" si="37"/>
        <v>280</v>
      </c>
      <c r="L90" s="2">
        <v>58</v>
      </c>
      <c r="M90" s="2">
        <v>0</v>
      </c>
      <c r="N90" s="2">
        <v>2</v>
      </c>
      <c r="O90" s="2">
        <v>500</v>
      </c>
      <c r="P90" s="2">
        <v>42</v>
      </c>
      <c r="Q90" s="2">
        <f t="shared" si="25"/>
        <v>32</v>
      </c>
      <c r="R90" s="2" t="s">
        <v>211</v>
      </c>
      <c r="S90" s="2">
        <v>3</v>
      </c>
      <c r="T90" s="2" t="s">
        <v>213</v>
      </c>
      <c r="U90" s="2">
        <v>3</v>
      </c>
      <c r="V90" s="2" t="s">
        <v>215</v>
      </c>
      <c r="W90" s="2">
        <v>3</v>
      </c>
      <c r="X90" s="2" t="s">
        <v>217</v>
      </c>
      <c r="Y90" s="2">
        <v>3</v>
      </c>
      <c r="Z90" s="2" t="s">
        <v>219</v>
      </c>
      <c r="AA90" s="2">
        <v>2</v>
      </c>
      <c r="AB90" s="2"/>
      <c r="AC90" s="2"/>
      <c r="AD90" s="2"/>
    </row>
    <row r="91" spans="1:30" x14ac:dyDescent="0.35">
      <c r="A91" s="2">
        <v>90</v>
      </c>
      <c r="B91" s="2" t="s">
        <v>365</v>
      </c>
      <c r="C91" s="2" t="s">
        <v>104</v>
      </c>
      <c r="D91" s="2" t="s">
        <v>111</v>
      </c>
      <c r="E91" s="2">
        <v>10</v>
      </c>
      <c r="F91" s="2">
        <f t="shared" si="1"/>
        <v>550</v>
      </c>
      <c r="G91" s="2" t="s">
        <v>119</v>
      </c>
      <c r="H91" s="2" t="s">
        <v>121</v>
      </c>
      <c r="I91" s="2">
        <f t="shared" ref="I91" si="38">I90+1</f>
        <v>54</v>
      </c>
      <c r="J91" s="2">
        <f t="shared" ref="J91" si="39">J90+3</f>
        <v>82</v>
      </c>
      <c r="K91" s="2">
        <f t="shared" si="37"/>
        <v>290</v>
      </c>
      <c r="L91" s="2">
        <v>64</v>
      </c>
      <c r="M91" s="2">
        <v>0</v>
      </c>
      <c r="N91" s="2">
        <v>2</v>
      </c>
      <c r="O91" s="2">
        <v>500</v>
      </c>
      <c r="P91" s="2">
        <v>42</v>
      </c>
      <c r="Q91" s="2">
        <f t="shared" si="25"/>
        <v>36</v>
      </c>
      <c r="R91" s="2" t="s">
        <v>211</v>
      </c>
      <c r="S91" s="2">
        <v>3</v>
      </c>
      <c r="T91" s="2" t="s">
        <v>213</v>
      </c>
      <c r="U91" s="2">
        <v>3</v>
      </c>
      <c r="V91" s="2" t="s">
        <v>215</v>
      </c>
      <c r="W91" s="2">
        <v>3</v>
      </c>
      <c r="X91" s="2" t="s">
        <v>217</v>
      </c>
      <c r="Y91" s="2">
        <v>3</v>
      </c>
      <c r="Z91" s="2" t="s">
        <v>219</v>
      </c>
      <c r="AA91" s="2">
        <v>3</v>
      </c>
      <c r="AB91" s="2"/>
      <c r="AC91" s="2"/>
      <c r="AD91" s="2"/>
    </row>
    <row r="92" spans="1:30" x14ac:dyDescent="0.35">
      <c r="A92" s="2">
        <v>91</v>
      </c>
      <c r="B92" s="2" t="s">
        <v>365</v>
      </c>
      <c r="C92" s="2" t="s">
        <v>105</v>
      </c>
      <c r="D92" s="2" t="s">
        <v>111</v>
      </c>
      <c r="E92" s="2">
        <v>1</v>
      </c>
      <c r="F92" s="2">
        <f t="shared" si="1"/>
        <v>100</v>
      </c>
      <c r="G92" s="2" t="s">
        <v>119</v>
      </c>
      <c r="H92" s="2" t="s">
        <v>118</v>
      </c>
      <c r="I92" s="2">
        <v>6</v>
      </c>
      <c r="J92" s="2">
        <f>10+ROUND(1.3*(E92-1),0)</f>
        <v>10</v>
      </c>
      <c r="K92" s="2">
        <f>K91+15</f>
        <v>305</v>
      </c>
      <c r="L92" s="2">
        <v>17</v>
      </c>
      <c r="M92" s="2">
        <v>0</v>
      </c>
      <c r="N92" s="2">
        <v>1</v>
      </c>
      <c r="O92" s="2">
        <v>10</v>
      </c>
      <c r="P92" s="2">
        <v>50</v>
      </c>
      <c r="Q92" s="2">
        <f t="shared" si="25"/>
        <v>0</v>
      </c>
      <c r="R92" s="2" t="s">
        <v>221</v>
      </c>
      <c r="S92" s="2">
        <v>0</v>
      </c>
      <c r="T92" s="2" t="s">
        <v>223</v>
      </c>
      <c r="U92" s="2">
        <v>0</v>
      </c>
      <c r="V92" s="2" t="s">
        <v>225</v>
      </c>
      <c r="W92" s="2">
        <v>0</v>
      </c>
      <c r="X92" s="2" t="s">
        <v>227</v>
      </c>
      <c r="Y92" s="2">
        <v>0</v>
      </c>
      <c r="Z92" s="2" t="s">
        <v>229</v>
      </c>
      <c r="AA92" s="2">
        <v>0</v>
      </c>
      <c r="AB92" s="2"/>
      <c r="AC92" s="2"/>
      <c r="AD92" s="2"/>
    </row>
    <row r="93" spans="1:30" x14ac:dyDescent="0.35">
      <c r="A93" s="2">
        <v>92</v>
      </c>
      <c r="B93" s="2" t="s">
        <v>365</v>
      </c>
      <c r="C93" s="2" t="s">
        <v>105</v>
      </c>
      <c r="D93" s="2" t="s">
        <v>111</v>
      </c>
      <c r="E93" s="2">
        <v>2</v>
      </c>
      <c r="F93" s="2">
        <f t="shared" si="1"/>
        <v>150</v>
      </c>
      <c r="G93" s="2" t="s">
        <v>119</v>
      </c>
      <c r="H93" s="2" t="s">
        <v>118</v>
      </c>
      <c r="I93" s="2">
        <f t="shared" ref="I93:I96" si="40">I92+1</f>
        <v>7</v>
      </c>
      <c r="J93" s="2">
        <f t="shared" ref="J93:J101" si="41">10+ROUND(1.3*(E93-1),0)</f>
        <v>11</v>
      </c>
      <c r="K93" s="2">
        <f t="shared" ref="K93:K96" si="42">K92+15</f>
        <v>320</v>
      </c>
      <c r="L93" s="2">
        <v>21</v>
      </c>
      <c r="M93" s="2">
        <v>0</v>
      </c>
      <c r="N93" s="2">
        <v>1</v>
      </c>
      <c r="O93" s="2">
        <v>10</v>
      </c>
      <c r="P93" s="2">
        <v>50</v>
      </c>
      <c r="Q93" s="2">
        <f t="shared" si="25"/>
        <v>4</v>
      </c>
      <c r="R93" s="2" t="s">
        <v>221</v>
      </c>
      <c r="S93" s="2">
        <v>3</v>
      </c>
      <c r="T93" s="2" t="s">
        <v>223</v>
      </c>
      <c r="U93" s="2">
        <v>0</v>
      </c>
      <c r="V93" s="2" t="s">
        <v>225</v>
      </c>
      <c r="W93" s="2">
        <v>0</v>
      </c>
      <c r="X93" s="2" t="s">
        <v>227</v>
      </c>
      <c r="Y93" s="2">
        <v>0</v>
      </c>
      <c r="Z93" s="2" t="s">
        <v>229</v>
      </c>
      <c r="AA93" s="2">
        <v>0</v>
      </c>
      <c r="AB93" s="2"/>
      <c r="AC93" s="2"/>
      <c r="AD93" s="2"/>
    </row>
    <row r="94" spans="1:30" x14ac:dyDescent="0.35">
      <c r="A94" s="2">
        <v>93</v>
      </c>
      <c r="B94" s="2" t="s">
        <v>365</v>
      </c>
      <c r="C94" s="2" t="s">
        <v>105</v>
      </c>
      <c r="D94" s="2" t="s">
        <v>111</v>
      </c>
      <c r="E94" s="2">
        <v>3</v>
      </c>
      <c r="F94" s="2">
        <f t="shared" si="1"/>
        <v>200</v>
      </c>
      <c r="G94" s="2" t="s">
        <v>119</v>
      </c>
      <c r="H94" s="2" t="s">
        <v>118</v>
      </c>
      <c r="I94" s="2">
        <f t="shared" si="40"/>
        <v>8</v>
      </c>
      <c r="J94" s="2">
        <f t="shared" si="41"/>
        <v>13</v>
      </c>
      <c r="K94" s="2">
        <f t="shared" si="42"/>
        <v>335</v>
      </c>
      <c r="L94" s="2">
        <v>26</v>
      </c>
      <c r="M94" s="2">
        <v>0</v>
      </c>
      <c r="N94" s="2">
        <v>1</v>
      </c>
      <c r="O94" s="2">
        <v>10</v>
      </c>
      <c r="P94" s="2">
        <v>50</v>
      </c>
      <c r="Q94" s="2">
        <f t="shared" si="25"/>
        <v>8</v>
      </c>
      <c r="R94" s="2" t="s">
        <v>221</v>
      </c>
      <c r="S94" s="2">
        <v>3</v>
      </c>
      <c r="T94" s="2" t="s">
        <v>223</v>
      </c>
      <c r="U94" s="2">
        <v>2</v>
      </c>
      <c r="V94" s="2" t="s">
        <v>225</v>
      </c>
      <c r="W94" s="2">
        <v>0</v>
      </c>
      <c r="X94" s="2" t="s">
        <v>227</v>
      </c>
      <c r="Y94" s="2">
        <v>0</v>
      </c>
      <c r="Z94" s="2" t="s">
        <v>229</v>
      </c>
      <c r="AA94" s="2">
        <v>0</v>
      </c>
      <c r="AB94" s="2"/>
      <c r="AC94" s="2"/>
      <c r="AD94" s="2"/>
    </row>
    <row r="95" spans="1:30" x14ac:dyDescent="0.35">
      <c r="A95" s="2">
        <v>94</v>
      </c>
      <c r="B95" s="2" t="s">
        <v>365</v>
      </c>
      <c r="C95" s="2" t="s">
        <v>105</v>
      </c>
      <c r="D95" s="2" t="s">
        <v>111</v>
      </c>
      <c r="E95" s="2">
        <v>4</v>
      </c>
      <c r="F95" s="2">
        <f t="shared" si="1"/>
        <v>250</v>
      </c>
      <c r="G95" s="2" t="s">
        <v>119</v>
      </c>
      <c r="H95" s="2" t="s">
        <v>118</v>
      </c>
      <c r="I95" s="2">
        <f t="shared" si="40"/>
        <v>9</v>
      </c>
      <c r="J95" s="2">
        <f t="shared" si="41"/>
        <v>14</v>
      </c>
      <c r="K95" s="2">
        <f t="shared" si="42"/>
        <v>350</v>
      </c>
      <c r="L95" s="2">
        <v>30</v>
      </c>
      <c r="M95" s="2">
        <v>0</v>
      </c>
      <c r="N95" s="2">
        <v>1</v>
      </c>
      <c r="O95" s="2">
        <v>10</v>
      </c>
      <c r="P95" s="2">
        <v>50</v>
      </c>
      <c r="Q95" s="2">
        <f t="shared" si="25"/>
        <v>12</v>
      </c>
      <c r="R95" s="2" t="s">
        <v>221</v>
      </c>
      <c r="S95" s="2">
        <v>3</v>
      </c>
      <c r="T95" s="2" t="s">
        <v>223</v>
      </c>
      <c r="U95" s="2">
        <v>3</v>
      </c>
      <c r="V95" s="2" t="s">
        <v>225</v>
      </c>
      <c r="W95" s="2">
        <v>0</v>
      </c>
      <c r="X95" s="2" t="s">
        <v>227</v>
      </c>
      <c r="Y95" s="2">
        <v>0</v>
      </c>
      <c r="Z95" s="2" t="s">
        <v>229</v>
      </c>
      <c r="AA95" s="2">
        <v>0</v>
      </c>
      <c r="AB95" s="2"/>
      <c r="AC95" s="2"/>
      <c r="AD95" s="2"/>
    </row>
    <row r="96" spans="1:30" x14ac:dyDescent="0.35">
      <c r="A96" s="2">
        <v>95</v>
      </c>
      <c r="B96" s="2" t="s">
        <v>365</v>
      </c>
      <c r="C96" s="2" t="s">
        <v>105</v>
      </c>
      <c r="D96" s="2" t="s">
        <v>111</v>
      </c>
      <c r="E96" s="2">
        <v>5</v>
      </c>
      <c r="F96" s="2">
        <f t="shared" si="1"/>
        <v>300</v>
      </c>
      <c r="G96" s="2" t="s">
        <v>119</v>
      </c>
      <c r="H96" s="2" t="s">
        <v>118</v>
      </c>
      <c r="I96" s="2">
        <f t="shared" si="40"/>
        <v>10</v>
      </c>
      <c r="J96" s="2">
        <f t="shared" si="41"/>
        <v>15</v>
      </c>
      <c r="K96" s="2">
        <f t="shared" si="42"/>
        <v>365</v>
      </c>
      <c r="L96" s="2">
        <v>39</v>
      </c>
      <c r="M96" s="2">
        <v>0</v>
      </c>
      <c r="N96" s="2">
        <v>1</v>
      </c>
      <c r="O96" s="2">
        <v>10</v>
      </c>
      <c r="P96" s="2">
        <v>50</v>
      </c>
      <c r="Q96" s="2">
        <f t="shared" si="25"/>
        <v>16</v>
      </c>
      <c r="R96" s="2" t="s">
        <v>221</v>
      </c>
      <c r="S96" s="2">
        <v>3</v>
      </c>
      <c r="T96" s="2" t="s">
        <v>223</v>
      </c>
      <c r="U96" s="2">
        <v>3</v>
      </c>
      <c r="V96" s="2" t="s">
        <v>225</v>
      </c>
      <c r="W96" s="2">
        <v>1</v>
      </c>
      <c r="X96" s="2" t="s">
        <v>227</v>
      </c>
      <c r="Y96" s="2">
        <v>0</v>
      </c>
      <c r="Z96" s="2" t="s">
        <v>229</v>
      </c>
      <c r="AA96" s="2">
        <v>0</v>
      </c>
      <c r="AB96" s="2"/>
      <c r="AC96" s="2"/>
      <c r="AD96" s="2"/>
    </row>
    <row r="97" spans="1:30" x14ac:dyDescent="0.35">
      <c r="A97" s="2">
        <v>96</v>
      </c>
      <c r="B97" s="2" t="s">
        <v>365</v>
      </c>
      <c r="C97" s="2" t="s">
        <v>105</v>
      </c>
      <c r="D97" s="2" t="s">
        <v>111</v>
      </c>
      <c r="E97" s="2">
        <v>6</v>
      </c>
      <c r="F97" s="2">
        <f t="shared" si="1"/>
        <v>350</v>
      </c>
      <c r="G97" s="2" t="s">
        <v>119</v>
      </c>
      <c r="H97" s="2" t="s">
        <v>118</v>
      </c>
      <c r="I97" s="2">
        <f>I96+1</f>
        <v>11</v>
      </c>
      <c r="J97" s="2">
        <f t="shared" si="41"/>
        <v>17</v>
      </c>
      <c r="K97" s="2">
        <f>K96+15</f>
        <v>380</v>
      </c>
      <c r="L97" s="2">
        <v>45</v>
      </c>
      <c r="M97" s="2">
        <v>0</v>
      </c>
      <c r="N97" s="2">
        <v>1</v>
      </c>
      <c r="O97" s="2">
        <v>10</v>
      </c>
      <c r="P97" s="2">
        <v>50</v>
      </c>
      <c r="Q97" s="2">
        <f t="shared" si="25"/>
        <v>20</v>
      </c>
      <c r="R97" s="2" t="s">
        <v>221</v>
      </c>
      <c r="S97" s="2">
        <v>3</v>
      </c>
      <c r="T97" s="2" t="s">
        <v>223</v>
      </c>
      <c r="U97" s="2">
        <v>3</v>
      </c>
      <c r="V97" s="2" t="s">
        <v>225</v>
      </c>
      <c r="W97" s="2">
        <v>2</v>
      </c>
      <c r="X97" s="2" t="s">
        <v>227</v>
      </c>
      <c r="Y97" s="2">
        <v>0</v>
      </c>
      <c r="Z97" s="2" t="s">
        <v>229</v>
      </c>
      <c r="AA97" s="2">
        <v>0</v>
      </c>
      <c r="AB97" s="2"/>
      <c r="AC97" s="2"/>
      <c r="AD97" s="2"/>
    </row>
    <row r="98" spans="1:30" x14ac:dyDescent="0.35">
      <c r="A98" s="2">
        <v>97</v>
      </c>
      <c r="B98" s="2" t="s">
        <v>365</v>
      </c>
      <c r="C98" s="2" t="s">
        <v>105</v>
      </c>
      <c r="D98" s="2" t="s">
        <v>111</v>
      </c>
      <c r="E98" s="2">
        <v>7</v>
      </c>
      <c r="F98" s="2">
        <f t="shared" si="1"/>
        <v>400</v>
      </c>
      <c r="G98" s="2" t="s">
        <v>119</v>
      </c>
      <c r="H98" s="2" t="s">
        <v>118</v>
      </c>
      <c r="I98" s="2">
        <f t="shared" ref="I98:I101" si="43">I97+1</f>
        <v>12</v>
      </c>
      <c r="J98" s="2">
        <f t="shared" si="41"/>
        <v>18</v>
      </c>
      <c r="K98" s="2">
        <f t="shared" ref="K98:K101" si="44">K97+15</f>
        <v>395</v>
      </c>
      <c r="L98" s="2">
        <v>51</v>
      </c>
      <c r="M98" s="2">
        <v>0</v>
      </c>
      <c r="N98" s="2">
        <v>1</v>
      </c>
      <c r="O98" s="2">
        <v>10</v>
      </c>
      <c r="P98" s="2">
        <v>50</v>
      </c>
      <c r="Q98" s="2">
        <f t="shared" si="25"/>
        <v>24</v>
      </c>
      <c r="R98" s="2" t="s">
        <v>221</v>
      </c>
      <c r="S98" s="2">
        <v>3</v>
      </c>
      <c r="T98" s="2" t="s">
        <v>223</v>
      </c>
      <c r="U98" s="2">
        <v>3</v>
      </c>
      <c r="V98" s="2" t="s">
        <v>225</v>
      </c>
      <c r="W98" s="2">
        <v>3</v>
      </c>
      <c r="X98" s="2" t="s">
        <v>227</v>
      </c>
      <c r="Y98" s="2">
        <v>1</v>
      </c>
      <c r="Z98" s="2" t="s">
        <v>229</v>
      </c>
      <c r="AA98" s="2">
        <v>0</v>
      </c>
      <c r="AB98" s="2"/>
      <c r="AC98" s="2"/>
      <c r="AD98" s="2"/>
    </row>
    <row r="99" spans="1:30" x14ac:dyDescent="0.35">
      <c r="A99" s="2">
        <v>98</v>
      </c>
      <c r="B99" s="2" t="s">
        <v>365</v>
      </c>
      <c r="C99" s="2" t="s">
        <v>105</v>
      </c>
      <c r="D99" s="2" t="s">
        <v>111</v>
      </c>
      <c r="E99" s="2">
        <v>8</v>
      </c>
      <c r="F99" s="2">
        <f t="shared" si="1"/>
        <v>450</v>
      </c>
      <c r="G99" s="2" t="s">
        <v>119</v>
      </c>
      <c r="H99" s="2" t="s">
        <v>118</v>
      </c>
      <c r="I99" s="2">
        <f t="shared" si="43"/>
        <v>13</v>
      </c>
      <c r="J99" s="2">
        <f t="shared" si="41"/>
        <v>19</v>
      </c>
      <c r="K99" s="2">
        <f t="shared" si="44"/>
        <v>410</v>
      </c>
      <c r="L99" s="2">
        <v>57</v>
      </c>
      <c r="M99" s="2">
        <v>0</v>
      </c>
      <c r="N99" s="2">
        <v>1</v>
      </c>
      <c r="O99" s="2">
        <v>10</v>
      </c>
      <c r="P99" s="2">
        <v>50</v>
      </c>
      <c r="Q99" s="2">
        <f t="shared" si="25"/>
        <v>28</v>
      </c>
      <c r="R99" s="2" t="s">
        <v>221</v>
      </c>
      <c r="S99" s="2">
        <v>3</v>
      </c>
      <c r="T99" s="2" t="s">
        <v>223</v>
      </c>
      <c r="U99" s="2">
        <v>3</v>
      </c>
      <c r="V99" s="2" t="s">
        <v>225</v>
      </c>
      <c r="W99" s="2">
        <v>3</v>
      </c>
      <c r="X99" s="2" t="s">
        <v>227</v>
      </c>
      <c r="Y99" s="2">
        <v>2</v>
      </c>
      <c r="Z99" s="2" t="s">
        <v>229</v>
      </c>
      <c r="AA99" s="2">
        <v>0</v>
      </c>
      <c r="AB99" s="2"/>
      <c r="AC99" s="2"/>
      <c r="AD99" s="2"/>
    </row>
    <row r="100" spans="1:30" x14ac:dyDescent="0.35">
      <c r="A100" s="2">
        <v>99</v>
      </c>
      <c r="B100" s="2" t="s">
        <v>365</v>
      </c>
      <c r="C100" s="2" t="s">
        <v>105</v>
      </c>
      <c r="D100" s="2" t="s">
        <v>111</v>
      </c>
      <c r="E100" s="2">
        <v>9</v>
      </c>
      <c r="F100" s="2">
        <f t="shared" si="1"/>
        <v>500</v>
      </c>
      <c r="G100" s="2" t="s">
        <v>119</v>
      </c>
      <c r="H100" s="2" t="s">
        <v>118</v>
      </c>
      <c r="I100" s="2">
        <f t="shared" si="43"/>
        <v>14</v>
      </c>
      <c r="J100" s="2">
        <f t="shared" si="41"/>
        <v>20</v>
      </c>
      <c r="K100" s="2">
        <f t="shared" si="44"/>
        <v>425</v>
      </c>
      <c r="L100" s="2">
        <v>63</v>
      </c>
      <c r="M100" s="2">
        <v>0</v>
      </c>
      <c r="N100" s="2">
        <v>1</v>
      </c>
      <c r="O100" s="2">
        <v>10</v>
      </c>
      <c r="P100" s="2">
        <v>50</v>
      </c>
      <c r="Q100" s="2">
        <f t="shared" si="25"/>
        <v>32</v>
      </c>
      <c r="R100" s="2" t="s">
        <v>221</v>
      </c>
      <c r="S100" s="2">
        <v>3</v>
      </c>
      <c r="T100" s="2" t="s">
        <v>223</v>
      </c>
      <c r="U100" s="2">
        <v>3</v>
      </c>
      <c r="V100" s="2" t="s">
        <v>225</v>
      </c>
      <c r="W100" s="2">
        <v>3</v>
      </c>
      <c r="X100" s="2" t="s">
        <v>227</v>
      </c>
      <c r="Y100" s="2">
        <v>3</v>
      </c>
      <c r="Z100" s="2" t="s">
        <v>229</v>
      </c>
      <c r="AA100" s="2">
        <v>0</v>
      </c>
      <c r="AB100" s="2"/>
      <c r="AC100" s="2"/>
      <c r="AD100" s="2"/>
    </row>
    <row r="101" spans="1:30" x14ac:dyDescent="0.35">
      <c r="A101" s="2">
        <v>100</v>
      </c>
      <c r="B101" s="2" t="s">
        <v>365</v>
      </c>
      <c r="C101" s="2" t="s">
        <v>105</v>
      </c>
      <c r="D101" s="2" t="s">
        <v>111</v>
      </c>
      <c r="E101" s="2">
        <v>10</v>
      </c>
      <c r="F101" s="2">
        <f t="shared" si="1"/>
        <v>550</v>
      </c>
      <c r="G101" s="2" t="s">
        <v>119</v>
      </c>
      <c r="H101" s="2" t="s">
        <v>118</v>
      </c>
      <c r="I101" s="2">
        <f t="shared" si="43"/>
        <v>15</v>
      </c>
      <c r="J101" s="2">
        <f t="shared" si="41"/>
        <v>22</v>
      </c>
      <c r="K101" s="2">
        <f t="shared" si="44"/>
        <v>440</v>
      </c>
      <c r="L101" s="2">
        <v>69</v>
      </c>
      <c r="M101" s="2">
        <v>0</v>
      </c>
      <c r="N101" s="2">
        <v>1</v>
      </c>
      <c r="O101" s="2">
        <v>10</v>
      </c>
      <c r="P101" s="2">
        <v>50</v>
      </c>
      <c r="Q101" s="2">
        <f t="shared" si="25"/>
        <v>36</v>
      </c>
      <c r="R101" s="2" t="s">
        <v>221</v>
      </c>
      <c r="S101" s="2">
        <v>3</v>
      </c>
      <c r="T101" s="2" t="s">
        <v>223</v>
      </c>
      <c r="U101" s="2">
        <v>3</v>
      </c>
      <c r="V101" s="2" t="s">
        <v>225</v>
      </c>
      <c r="W101" s="2">
        <v>3</v>
      </c>
      <c r="X101" s="2" t="s">
        <v>227</v>
      </c>
      <c r="Y101" s="2">
        <v>3</v>
      </c>
      <c r="Z101" s="2" t="s">
        <v>229</v>
      </c>
      <c r="AA101" s="2">
        <v>2</v>
      </c>
      <c r="AB101" s="2"/>
      <c r="AC101" s="2"/>
      <c r="AD101" s="2"/>
    </row>
    <row r="102" spans="1:30" x14ac:dyDescent="0.35">
      <c r="A102" s="2">
        <v>101</v>
      </c>
      <c r="B102" s="2" t="s">
        <v>365</v>
      </c>
      <c r="C102" s="2" t="s">
        <v>106</v>
      </c>
      <c r="D102" s="2" t="s">
        <v>110</v>
      </c>
      <c r="E102" s="2">
        <v>1</v>
      </c>
      <c r="F102" s="2">
        <f t="shared" si="1"/>
        <v>100</v>
      </c>
      <c r="G102" s="2" t="s">
        <v>274</v>
      </c>
      <c r="H102" s="2" t="s">
        <v>121</v>
      </c>
      <c r="I102" s="2">
        <v>11</v>
      </c>
      <c r="J102" s="2">
        <v>29</v>
      </c>
      <c r="K102" s="2">
        <v>275</v>
      </c>
      <c r="L102" s="2">
        <v>0</v>
      </c>
      <c r="M102" s="2">
        <v>0</v>
      </c>
      <c r="N102" s="2">
        <v>2</v>
      </c>
      <c r="O102" s="2">
        <v>480</v>
      </c>
      <c r="P102" s="2">
        <v>120</v>
      </c>
      <c r="Q102" s="2">
        <f t="shared" si="25"/>
        <v>0</v>
      </c>
      <c r="R102" s="2" t="s">
        <v>231</v>
      </c>
      <c r="S102" s="2">
        <v>0</v>
      </c>
      <c r="T102" s="2" t="s">
        <v>233</v>
      </c>
      <c r="U102" s="2">
        <v>0</v>
      </c>
      <c r="V102" s="2" t="s">
        <v>235</v>
      </c>
      <c r="W102" s="2">
        <v>0</v>
      </c>
      <c r="X102" s="2" t="s">
        <v>237</v>
      </c>
      <c r="Y102" s="2">
        <v>0</v>
      </c>
      <c r="Z102" s="2" t="s">
        <v>239</v>
      </c>
      <c r="AA102" s="2">
        <v>0</v>
      </c>
      <c r="AB102" s="2"/>
      <c r="AC102" s="2"/>
      <c r="AD102" s="2"/>
    </row>
    <row r="103" spans="1:30" x14ac:dyDescent="0.35">
      <c r="A103" s="2">
        <v>102</v>
      </c>
      <c r="B103" s="2" t="s">
        <v>365</v>
      </c>
      <c r="C103" s="2" t="s">
        <v>106</v>
      </c>
      <c r="D103" s="2" t="s">
        <v>110</v>
      </c>
      <c r="E103" s="2">
        <v>2</v>
      </c>
      <c r="F103" s="2">
        <f t="shared" si="1"/>
        <v>150</v>
      </c>
      <c r="G103" s="2" t="s">
        <v>274</v>
      </c>
      <c r="H103" s="2" t="s">
        <v>121</v>
      </c>
      <c r="I103" s="2">
        <f t="shared" ref="I103:I106" si="45">I102+3</f>
        <v>14</v>
      </c>
      <c r="J103" s="2">
        <f t="shared" ref="J103:J106" si="46">J102+5</f>
        <v>34</v>
      </c>
      <c r="K103" s="2">
        <f t="shared" ref="K103:K106" si="47">K102+25</f>
        <v>300</v>
      </c>
      <c r="L103" s="2">
        <f t="shared" ref="L103:L106" si="48">L102+4</f>
        <v>4</v>
      </c>
      <c r="M103" s="2">
        <v>0</v>
      </c>
      <c r="N103" s="2">
        <v>2</v>
      </c>
      <c r="O103" s="2">
        <v>480</v>
      </c>
      <c r="P103" s="2">
        <v>120</v>
      </c>
      <c r="Q103" s="2">
        <f t="shared" si="25"/>
        <v>4</v>
      </c>
      <c r="R103" s="2" t="s">
        <v>231</v>
      </c>
      <c r="S103" s="2">
        <v>2</v>
      </c>
      <c r="T103" s="2" t="s">
        <v>233</v>
      </c>
      <c r="U103" s="2">
        <v>0</v>
      </c>
      <c r="V103" s="2" t="s">
        <v>235</v>
      </c>
      <c r="W103" s="2">
        <v>1</v>
      </c>
      <c r="X103" s="2" t="s">
        <v>237</v>
      </c>
      <c r="Y103" s="2">
        <v>0</v>
      </c>
      <c r="Z103" s="2" t="s">
        <v>239</v>
      </c>
      <c r="AA103" s="2">
        <v>0</v>
      </c>
      <c r="AB103" s="2"/>
      <c r="AC103" s="2"/>
      <c r="AD103" s="2"/>
    </row>
    <row r="104" spans="1:30" x14ac:dyDescent="0.35">
      <c r="A104" s="2">
        <v>103</v>
      </c>
      <c r="B104" s="2" t="s">
        <v>365</v>
      </c>
      <c r="C104" s="2" t="s">
        <v>106</v>
      </c>
      <c r="D104" s="2" t="s">
        <v>110</v>
      </c>
      <c r="E104" s="2">
        <v>3</v>
      </c>
      <c r="F104" s="2">
        <f t="shared" si="1"/>
        <v>200</v>
      </c>
      <c r="G104" s="2" t="s">
        <v>274</v>
      </c>
      <c r="H104" s="2" t="s">
        <v>121</v>
      </c>
      <c r="I104" s="2">
        <f t="shared" si="45"/>
        <v>17</v>
      </c>
      <c r="J104" s="2">
        <f t="shared" si="46"/>
        <v>39</v>
      </c>
      <c r="K104" s="2">
        <f t="shared" si="47"/>
        <v>325</v>
      </c>
      <c r="L104" s="2">
        <f t="shared" si="48"/>
        <v>8</v>
      </c>
      <c r="M104" s="2">
        <v>0</v>
      </c>
      <c r="N104" s="2">
        <v>2</v>
      </c>
      <c r="O104" s="2">
        <v>480</v>
      </c>
      <c r="P104" s="2">
        <v>120</v>
      </c>
      <c r="Q104" s="2">
        <f t="shared" si="25"/>
        <v>8</v>
      </c>
      <c r="R104" s="2" t="s">
        <v>231</v>
      </c>
      <c r="S104" s="2">
        <v>3</v>
      </c>
      <c r="T104" s="2" t="s">
        <v>233</v>
      </c>
      <c r="U104" s="2">
        <v>1</v>
      </c>
      <c r="V104" s="2" t="s">
        <v>235</v>
      </c>
      <c r="W104" s="2">
        <v>1</v>
      </c>
      <c r="X104" s="2" t="s">
        <v>237</v>
      </c>
      <c r="Y104" s="2">
        <v>0</v>
      </c>
      <c r="Z104" s="2" t="s">
        <v>239</v>
      </c>
      <c r="AA104" s="2">
        <v>0</v>
      </c>
      <c r="AB104" s="2"/>
      <c r="AC104" s="2"/>
      <c r="AD104" s="2"/>
    </row>
    <row r="105" spans="1:30" x14ac:dyDescent="0.35">
      <c r="A105" s="2">
        <v>104</v>
      </c>
      <c r="B105" s="2" t="s">
        <v>365</v>
      </c>
      <c r="C105" s="2" t="s">
        <v>106</v>
      </c>
      <c r="D105" s="2" t="s">
        <v>110</v>
      </c>
      <c r="E105" s="2">
        <v>4</v>
      </c>
      <c r="F105" s="2">
        <f t="shared" si="1"/>
        <v>250</v>
      </c>
      <c r="G105" s="2" t="s">
        <v>274</v>
      </c>
      <c r="H105" s="2" t="s">
        <v>121</v>
      </c>
      <c r="I105" s="2">
        <f t="shared" si="45"/>
        <v>20</v>
      </c>
      <c r="J105" s="2">
        <f t="shared" si="46"/>
        <v>44</v>
      </c>
      <c r="K105" s="2">
        <f t="shared" si="47"/>
        <v>350</v>
      </c>
      <c r="L105" s="2">
        <f t="shared" si="48"/>
        <v>12</v>
      </c>
      <c r="M105" s="2">
        <v>0</v>
      </c>
      <c r="N105" s="2">
        <v>2</v>
      </c>
      <c r="O105" s="2">
        <v>480</v>
      </c>
      <c r="P105" s="2">
        <v>120</v>
      </c>
      <c r="Q105" s="2">
        <f t="shared" si="25"/>
        <v>12</v>
      </c>
      <c r="R105" s="2" t="s">
        <v>231</v>
      </c>
      <c r="S105" s="2">
        <v>3</v>
      </c>
      <c r="T105" s="2" t="s">
        <v>233</v>
      </c>
      <c r="U105" s="2">
        <v>3</v>
      </c>
      <c r="V105" s="2" t="s">
        <v>235</v>
      </c>
      <c r="W105" s="2">
        <v>3</v>
      </c>
      <c r="X105" s="2" t="s">
        <v>237</v>
      </c>
      <c r="Y105" s="2">
        <v>0</v>
      </c>
      <c r="Z105" s="2" t="s">
        <v>239</v>
      </c>
      <c r="AA105" s="2">
        <v>0</v>
      </c>
      <c r="AB105" s="2"/>
      <c r="AC105" s="2"/>
      <c r="AD105" s="2"/>
    </row>
    <row r="106" spans="1:30" x14ac:dyDescent="0.35">
      <c r="A106" s="2">
        <v>105</v>
      </c>
      <c r="B106" s="2" t="s">
        <v>365</v>
      </c>
      <c r="C106" s="2" t="s">
        <v>106</v>
      </c>
      <c r="D106" s="2" t="s">
        <v>110</v>
      </c>
      <c r="E106" s="2">
        <v>5</v>
      </c>
      <c r="F106" s="2">
        <f t="shared" si="1"/>
        <v>300</v>
      </c>
      <c r="G106" s="2" t="s">
        <v>274</v>
      </c>
      <c r="H106" s="2" t="s">
        <v>121</v>
      </c>
      <c r="I106" s="2">
        <f t="shared" si="45"/>
        <v>23</v>
      </c>
      <c r="J106" s="2">
        <f t="shared" si="46"/>
        <v>49</v>
      </c>
      <c r="K106" s="2">
        <f t="shared" si="47"/>
        <v>375</v>
      </c>
      <c r="L106" s="2">
        <f t="shared" si="48"/>
        <v>16</v>
      </c>
      <c r="M106" s="2">
        <v>0</v>
      </c>
      <c r="N106" s="2">
        <v>2</v>
      </c>
      <c r="O106" s="2">
        <v>480</v>
      </c>
      <c r="P106" s="2">
        <v>120</v>
      </c>
      <c r="Q106" s="2">
        <f t="shared" si="25"/>
        <v>16</v>
      </c>
      <c r="R106" s="2" t="s">
        <v>231</v>
      </c>
      <c r="S106" s="2">
        <v>3</v>
      </c>
      <c r="T106" s="2" t="s">
        <v>233</v>
      </c>
      <c r="U106" s="2">
        <v>3</v>
      </c>
      <c r="V106" s="2" t="s">
        <v>235</v>
      </c>
      <c r="W106" s="2">
        <v>3</v>
      </c>
      <c r="X106" s="2" t="s">
        <v>237</v>
      </c>
      <c r="Y106" s="2">
        <v>1</v>
      </c>
      <c r="Z106" s="2" t="s">
        <v>239</v>
      </c>
      <c r="AA106" s="2">
        <v>0</v>
      </c>
      <c r="AB106" s="2"/>
      <c r="AC106" s="2"/>
      <c r="AD106" s="2"/>
    </row>
    <row r="107" spans="1:30" x14ac:dyDescent="0.35">
      <c r="A107" s="2">
        <v>106</v>
      </c>
      <c r="B107" s="2" t="s">
        <v>365</v>
      </c>
      <c r="C107" s="2" t="s">
        <v>106</v>
      </c>
      <c r="D107" s="2" t="s">
        <v>110</v>
      </c>
      <c r="E107" s="2">
        <v>6</v>
      </c>
      <c r="F107" s="2">
        <f t="shared" si="1"/>
        <v>350</v>
      </c>
      <c r="G107" s="2" t="s">
        <v>274</v>
      </c>
      <c r="H107" s="2" t="s">
        <v>121</v>
      </c>
      <c r="I107" s="2">
        <f>I106+3</f>
        <v>26</v>
      </c>
      <c r="J107" s="2">
        <f>J106+5</f>
        <v>54</v>
      </c>
      <c r="K107" s="2">
        <f>K106+25</f>
        <v>400</v>
      </c>
      <c r="L107" s="2">
        <f>L106+4</f>
        <v>20</v>
      </c>
      <c r="M107" s="2">
        <v>0</v>
      </c>
      <c r="N107" s="2">
        <v>2</v>
      </c>
      <c r="O107" s="2">
        <v>480</v>
      </c>
      <c r="P107" s="2">
        <v>120</v>
      </c>
      <c r="Q107" s="2">
        <f t="shared" si="25"/>
        <v>20</v>
      </c>
      <c r="R107" s="2" t="s">
        <v>231</v>
      </c>
      <c r="S107" s="2">
        <v>3</v>
      </c>
      <c r="T107" s="2" t="s">
        <v>233</v>
      </c>
      <c r="U107" s="2">
        <v>3</v>
      </c>
      <c r="V107" s="2" t="s">
        <v>235</v>
      </c>
      <c r="W107" s="2">
        <v>3</v>
      </c>
      <c r="X107" s="2" t="s">
        <v>237</v>
      </c>
      <c r="Y107" s="2">
        <v>2</v>
      </c>
      <c r="Z107" s="2" t="s">
        <v>239</v>
      </c>
      <c r="AA107" s="2">
        <v>0</v>
      </c>
      <c r="AB107" s="2"/>
      <c r="AC107" s="2"/>
      <c r="AD107" s="2"/>
    </row>
    <row r="108" spans="1:30" x14ac:dyDescent="0.35">
      <c r="A108" s="2">
        <v>107</v>
      </c>
      <c r="B108" s="2" t="s">
        <v>365</v>
      </c>
      <c r="C108" s="2" t="s">
        <v>106</v>
      </c>
      <c r="D108" s="2" t="s">
        <v>110</v>
      </c>
      <c r="E108" s="2">
        <v>7</v>
      </c>
      <c r="F108" s="2">
        <f t="shared" si="1"/>
        <v>400</v>
      </c>
      <c r="G108" s="2" t="s">
        <v>274</v>
      </c>
      <c r="H108" s="2" t="s">
        <v>121</v>
      </c>
      <c r="I108" s="2">
        <f t="shared" ref="I108:I111" si="49">I107+3</f>
        <v>29</v>
      </c>
      <c r="J108" s="2">
        <f t="shared" ref="J108:J111" si="50">J107+5</f>
        <v>59</v>
      </c>
      <c r="K108" s="2">
        <f t="shared" ref="K108:K111" si="51">K107+25</f>
        <v>425</v>
      </c>
      <c r="L108" s="2">
        <f t="shared" ref="L108:L111" si="52">L107+4</f>
        <v>24</v>
      </c>
      <c r="M108" s="2">
        <v>0</v>
      </c>
      <c r="N108" s="2">
        <v>2</v>
      </c>
      <c r="O108" s="2">
        <v>480</v>
      </c>
      <c r="P108" s="2">
        <v>120</v>
      </c>
      <c r="Q108" s="2">
        <f t="shared" si="25"/>
        <v>24</v>
      </c>
      <c r="R108" s="2" t="s">
        <v>231</v>
      </c>
      <c r="S108" s="2">
        <v>3</v>
      </c>
      <c r="T108" s="2" t="s">
        <v>233</v>
      </c>
      <c r="U108" s="2">
        <v>3</v>
      </c>
      <c r="V108" s="2" t="s">
        <v>235</v>
      </c>
      <c r="W108" s="2">
        <v>3</v>
      </c>
      <c r="X108" s="2" t="s">
        <v>237</v>
      </c>
      <c r="Y108" s="2">
        <v>3</v>
      </c>
      <c r="Z108" s="2" t="s">
        <v>239</v>
      </c>
      <c r="AA108" s="2">
        <v>0</v>
      </c>
      <c r="AB108" s="2"/>
      <c r="AC108" s="2"/>
      <c r="AD108" s="2"/>
    </row>
    <row r="109" spans="1:30" x14ac:dyDescent="0.35">
      <c r="A109" s="2">
        <v>108</v>
      </c>
      <c r="B109" s="2" t="s">
        <v>365</v>
      </c>
      <c r="C109" s="2" t="s">
        <v>106</v>
      </c>
      <c r="D109" s="2" t="s">
        <v>110</v>
      </c>
      <c r="E109" s="2">
        <v>8</v>
      </c>
      <c r="F109" s="2">
        <f t="shared" si="1"/>
        <v>450</v>
      </c>
      <c r="G109" s="2" t="s">
        <v>274</v>
      </c>
      <c r="H109" s="2" t="s">
        <v>121</v>
      </c>
      <c r="I109" s="2">
        <f t="shared" si="49"/>
        <v>32</v>
      </c>
      <c r="J109" s="2">
        <f t="shared" si="50"/>
        <v>64</v>
      </c>
      <c r="K109" s="2">
        <f t="shared" si="51"/>
        <v>450</v>
      </c>
      <c r="L109" s="2">
        <f t="shared" si="52"/>
        <v>28</v>
      </c>
      <c r="M109" s="2">
        <v>0</v>
      </c>
      <c r="N109" s="2">
        <v>2</v>
      </c>
      <c r="O109" s="2">
        <v>480</v>
      </c>
      <c r="P109" s="2">
        <v>120</v>
      </c>
      <c r="Q109" s="2">
        <f t="shared" si="25"/>
        <v>28</v>
      </c>
      <c r="R109" s="2" t="s">
        <v>231</v>
      </c>
      <c r="S109" s="2">
        <v>3</v>
      </c>
      <c r="T109" s="2" t="s">
        <v>233</v>
      </c>
      <c r="U109" s="2">
        <v>3</v>
      </c>
      <c r="V109" s="2" t="s">
        <v>235</v>
      </c>
      <c r="W109" s="2">
        <v>3</v>
      </c>
      <c r="X109" s="2" t="s">
        <v>237</v>
      </c>
      <c r="Y109" s="2">
        <v>3</v>
      </c>
      <c r="Z109" s="2" t="s">
        <v>239</v>
      </c>
      <c r="AA109" s="2">
        <v>1</v>
      </c>
      <c r="AB109" s="2"/>
      <c r="AC109" s="2"/>
      <c r="AD109" s="2"/>
    </row>
    <row r="110" spans="1:30" x14ac:dyDescent="0.35">
      <c r="A110" s="2">
        <v>109</v>
      </c>
      <c r="B110" s="2" t="s">
        <v>365</v>
      </c>
      <c r="C110" s="2" t="s">
        <v>106</v>
      </c>
      <c r="D110" s="2" t="s">
        <v>110</v>
      </c>
      <c r="E110" s="2">
        <v>9</v>
      </c>
      <c r="F110" s="2">
        <f t="shared" si="1"/>
        <v>500</v>
      </c>
      <c r="G110" s="2" t="s">
        <v>274</v>
      </c>
      <c r="H110" s="2" t="s">
        <v>121</v>
      </c>
      <c r="I110" s="2">
        <f t="shared" si="49"/>
        <v>35</v>
      </c>
      <c r="J110" s="2">
        <f t="shared" si="50"/>
        <v>69</v>
      </c>
      <c r="K110" s="2">
        <f t="shared" si="51"/>
        <v>475</v>
      </c>
      <c r="L110" s="2">
        <f t="shared" si="52"/>
        <v>32</v>
      </c>
      <c r="M110" s="2">
        <v>0</v>
      </c>
      <c r="N110" s="2">
        <v>2</v>
      </c>
      <c r="O110" s="2">
        <v>480</v>
      </c>
      <c r="P110" s="2">
        <v>120</v>
      </c>
      <c r="Q110" s="2">
        <f t="shared" si="25"/>
        <v>32</v>
      </c>
      <c r="R110" s="2" t="s">
        <v>231</v>
      </c>
      <c r="S110" s="2">
        <v>3</v>
      </c>
      <c r="T110" s="2" t="s">
        <v>233</v>
      </c>
      <c r="U110" s="2">
        <v>3</v>
      </c>
      <c r="V110" s="2" t="s">
        <v>235</v>
      </c>
      <c r="W110" s="2">
        <v>3</v>
      </c>
      <c r="X110" s="2" t="s">
        <v>237</v>
      </c>
      <c r="Y110" s="2">
        <v>3</v>
      </c>
      <c r="Z110" s="2" t="s">
        <v>239</v>
      </c>
      <c r="AA110" s="2">
        <v>2</v>
      </c>
      <c r="AB110" s="2"/>
      <c r="AC110" s="2"/>
      <c r="AD110" s="2"/>
    </row>
    <row r="111" spans="1:30" x14ac:dyDescent="0.35">
      <c r="A111" s="2">
        <v>110</v>
      </c>
      <c r="B111" s="2" t="s">
        <v>365</v>
      </c>
      <c r="C111" s="2" t="s">
        <v>106</v>
      </c>
      <c r="D111" s="2" t="s">
        <v>110</v>
      </c>
      <c r="E111" s="2">
        <v>10</v>
      </c>
      <c r="F111" s="2">
        <f t="shared" si="1"/>
        <v>550</v>
      </c>
      <c r="G111" s="2" t="s">
        <v>274</v>
      </c>
      <c r="H111" s="2" t="s">
        <v>121</v>
      </c>
      <c r="I111" s="2">
        <f t="shared" si="49"/>
        <v>38</v>
      </c>
      <c r="J111" s="2">
        <f t="shared" si="50"/>
        <v>74</v>
      </c>
      <c r="K111" s="2">
        <f t="shared" si="51"/>
        <v>500</v>
      </c>
      <c r="L111" s="2">
        <f t="shared" si="52"/>
        <v>36</v>
      </c>
      <c r="M111" s="2">
        <v>0</v>
      </c>
      <c r="N111" s="2">
        <v>2</v>
      </c>
      <c r="O111" s="2">
        <v>480</v>
      </c>
      <c r="P111" s="2">
        <v>120</v>
      </c>
      <c r="Q111" s="2">
        <f t="shared" si="25"/>
        <v>36</v>
      </c>
      <c r="R111" s="2" t="s">
        <v>231</v>
      </c>
      <c r="S111" s="2">
        <v>3</v>
      </c>
      <c r="T111" s="2" t="s">
        <v>233</v>
      </c>
      <c r="U111" s="2">
        <v>3</v>
      </c>
      <c r="V111" s="2" t="s">
        <v>235</v>
      </c>
      <c r="W111" s="2">
        <v>3</v>
      </c>
      <c r="X111" s="2" t="s">
        <v>237</v>
      </c>
      <c r="Y111" s="2">
        <v>3</v>
      </c>
      <c r="Z111" s="2" t="s">
        <v>239</v>
      </c>
      <c r="AA111" s="2">
        <v>3</v>
      </c>
      <c r="AB111" s="2"/>
      <c r="AC111" s="2"/>
      <c r="AD111" s="2"/>
    </row>
    <row r="112" spans="1:30" x14ac:dyDescent="0.35">
      <c r="A112" s="2">
        <v>111</v>
      </c>
      <c r="B112" s="2" t="s">
        <v>365</v>
      </c>
      <c r="C112" s="2" t="s">
        <v>107</v>
      </c>
      <c r="D112" s="2" t="s">
        <v>111</v>
      </c>
      <c r="E112" s="2">
        <v>1</v>
      </c>
      <c r="F112" s="2">
        <f t="shared" si="1"/>
        <v>100</v>
      </c>
      <c r="G112" s="2" t="s">
        <v>119</v>
      </c>
      <c r="H112" s="2" t="s">
        <v>121</v>
      </c>
      <c r="I112" s="2">
        <v>8</v>
      </c>
      <c r="J112" s="2">
        <v>10</v>
      </c>
      <c r="K112" s="2">
        <v>310</v>
      </c>
      <c r="L112" s="2">
        <v>0</v>
      </c>
      <c r="M112" s="2">
        <v>0</v>
      </c>
      <c r="N112" s="2">
        <v>2</v>
      </c>
      <c r="O112" s="2">
        <v>440</v>
      </c>
      <c r="P112" s="2">
        <v>100</v>
      </c>
      <c r="Q112" s="2">
        <f t="shared" si="25"/>
        <v>0</v>
      </c>
      <c r="R112" s="2" t="s">
        <v>241</v>
      </c>
      <c r="S112" s="2">
        <v>0</v>
      </c>
      <c r="T112" s="2" t="s">
        <v>243</v>
      </c>
      <c r="U112" s="2">
        <v>0</v>
      </c>
      <c r="V112" s="2" t="s">
        <v>245</v>
      </c>
      <c r="W112" s="2">
        <v>0</v>
      </c>
      <c r="X112" s="2" t="s">
        <v>247</v>
      </c>
      <c r="Y112" s="2">
        <v>0</v>
      </c>
      <c r="Z112" s="2" t="s">
        <v>249</v>
      </c>
      <c r="AA112" s="2">
        <v>0</v>
      </c>
      <c r="AB112" s="2"/>
      <c r="AC112" s="2"/>
      <c r="AD112" s="2"/>
    </row>
    <row r="113" spans="1:30" x14ac:dyDescent="0.35">
      <c r="A113" s="2">
        <v>112</v>
      </c>
      <c r="B113" s="2" t="s">
        <v>365</v>
      </c>
      <c r="C113" s="2" t="s">
        <v>107</v>
      </c>
      <c r="D113" s="2" t="s">
        <v>111</v>
      </c>
      <c r="E113" s="2">
        <v>2</v>
      </c>
      <c r="F113" s="2">
        <f t="shared" ref="F113:F141" si="53">100+50*(E113-1)</f>
        <v>150</v>
      </c>
      <c r="G113" s="2" t="s">
        <v>119</v>
      </c>
      <c r="H113" s="2" t="s">
        <v>121</v>
      </c>
      <c r="I113" s="2">
        <f t="shared" ref="I113:I121" si="54">I112+3</f>
        <v>11</v>
      </c>
      <c r="J113" s="2">
        <f t="shared" ref="J113:J121" si="55">J112+5</f>
        <v>15</v>
      </c>
      <c r="K113" s="2">
        <f t="shared" ref="K113:K121" si="56">K112+30</f>
        <v>340</v>
      </c>
      <c r="L113" s="2">
        <v>0</v>
      </c>
      <c r="M113" s="2">
        <v>0</v>
      </c>
      <c r="N113" s="2">
        <v>2</v>
      </c>
      <c r="O113" s="2">
        <v>440</v>
      </c>
      <c r="P113" s="2">
        <v>100</v>
      </c>
      <c r="Q113" s="2">
        <f t="shared" si="25"/>
        <v>4</v>
      </c>
      <c r="R113" s="2" t="s">
        <v>241</v>
      </c>
      <c r="S113" s="2">
        <v>1</v>
      </c>
      <c r="T113" s="2" t="s">
        <v>243</v>
      </c>
      <c r="U113" s="2">
        <v>0</v>
      </c>
      <c r="V113" s="2" t="s">
        <v>245</v>
      </c>
      <c r="W113" s="2">
        <v>0</v>
      </c>
      <c r="X113" s="2" t="s">
        <v>247</v>
      </c>
      <c r="Y113" s="2">
        <v>1</v>
      </c>
      <c r="Z113" s="2" t="s">
        <v>249</v>
      </c>
      <c r="AA113" s="2">
        <v>0</v>
      </c>
      <c r="AB113" s="2"/>
      <c r="AC113" s="2"/>
      <c r="AD113" s="2"/>
    </row>
    <row r="114" spans="1:30" x14ac:dyDescent="0.35">
      <c r="A114" s="2">
        <v>113</v>
      </c>
      <c r="B114" s="2" t="s">
        <v>365</v>
      </c>
      <c r="C114" s="2" t="s">
        <v>107</v>
      </c>
      <c r="D114" s="2" t="s">
        <v>111</v>
      </c>
      <c r="E114" s="2">
        <v>3</v>
      </c>
      <c r="F114" s="2">
        <f t="shared" si="53"/>
        <v>200</v>
      </c>
      <c r="G114" s="2" t="s">
        <v>119</v>
      </c>
      <c r="H114" s="2" t="s">
        <v>121</v>
      </c>
      <c r="I114" s="2">
        <f t="shared" si="54"/>
        <v>14</v>
      </c>
      <c r="J114" s="2">
        <f t="shared" si="55"/>
        <v>20</v>
      </c>
      <c r="K114" s="2">
        <f t="shared" si="56"/>
        <v>370</v>
      </c>
      <c r="L114" s="2">
        <v>0</v>
      </c>
      <c r="M114" s="2">
        <v>0</v>
      </c>
      <c r="N114" s="2">
        <v>2</v>
      </c>
      <c r="O114" s="2">
        <v>440</v>
      </c>
      <c r="P114" s="2">
        <v>100</v>
      </c>
      <c r="Q114" s="2">
        <f t="shared" si="25"/>
        <v>8</v>
      </c>
      <c r="R114" s="2" t="s">
        <v>241</v>
      </c>
      <c r="S114" s="2">
        <v>2</v>
      </c>
      <c r="T114" s="2" t="s">
        <v>243</v>
      </c>
      <c r="U114" s="2">
        <v>0</v>
      </c>
      <c r="V114" s="2" t="s">
        <v>245</v>
      </c>
      <c r="W114" s="2">
        <v>0</v>
      </c>
      <c r="X114" s="2" t="s">
        <v>247</v>
      </c>
      <c r="Y114" s="2">
        <v>2</v>
      </c>
      <c r="Z114" s="2" t="s">
        <v>249</v>
      </c>
      <c r="AA114" s="2">
        <v>0</v>
      </c>
      <c r="AB114" s="2"/>
      <c r="AC114" s="2"/>
      <c r="AD114" s="2"/>
    </row>
    <row r="115" spans="1:30" x14ac:dyDescent="0.35">
      <c r="A115" s="2">
        <v>114</v>
      </c>
      <c r="B115" s="2" t="s">
        <v>365</v>
      </c>
      <c r="C115" s="2" t="s">
        <v>107</v>
      </c>
      <c r="D115" s="2" t="s">
        <v>111</v>
      </c>
      <c r="E115" s="2">
        <v>4</v>
      </c>
      <c r="F115" s="2">
        <f t="shared" si="53"/>
        <v>250</v>
      </c>
      <c r="G115" s="2" t="s">
        <v>119</v>
      </c>
      <c r="H115" s="2" t="s">
        <v>121</v>
      </c>
      <c r="I115" s="2">
        <f t="shared" si="54"/>
        <v>17</v>
      </c>
      <c r="J115" s="2">
        <f t="shared" si="55"/>
        <v>25</v>
      </c>
      <c r="K115" s="2">
        <f t="shared" si="56"/>
        <v>400</v>
      </c>
      <c r="L115" s="2">
        <v>0</v>
      </c>
      <c r="M115" s="2">
        <v>0</v>
      </c>
      <c r="N115" s="2">
        <v>2</v>
      </c>
      <c r="O115" s="2">
        <v>440</v>
      </c>
      <c r="P115" s="2">
        <v>100</v>
      </c>
      <c r="Q115" s="2">
        <f t="shared" si="25"/>
        <v>12</v>
      </c>
      <c r="R115" s="2" t="s">
        <v>241</v>
      </c>
      <c r="S115" s="2">
        <v>3</v>
      </c>
      <c r="T115" s="2" t="s">
        <v>243</v>
      </c>
      <c r="U115" s="2">
        <v>0</v>
      </c>
      <c r="V115" s="2" t="s">
        <v>245</v>
      </c>
      <c r="W115" s="2">
        <v>0</v>
      </c>
      <c r="X115" s="2" t="s">
        <v>247</v>
      </c>
      <c r="Y115" s="2">
        <v>3</v>
      </c>
      <c r="Z115" s="2" t="s">
        <v>249</v>
      </c>
      <c r="AA115" s="2">
        <v>0</v>
      </c>
      <c r="AB115" s="2"/>
      <c r="AC115" s="2"/>
      <c r="AD115" s="2"/>
    </row>
    <row r="116" spans="1:30" x14ac:dyDescent="0.35">
      <c r="A116" s="2">
        <v>115</v>
      </c>
      <c r="B116" s="2" t="s">
        <v>365</v>
      </c>
      <c r="C116" s="2" t="s">
        <v>107</v>
      </c>
      <c r="D116" s="2" t="s">
        <v>111</v>
      </c>
      <c r="E116" s="2">
        <v>5</v>
      </c>
      <c r="F116" s="2">
        <f t="shared" si="53"/>
        <v>300</v>
      </c>
      <c r="G116" s="2" t="s">
        <v>119</v>
      </c>
      <c r="H116" s="2" t="s">
        <v>121</v>
      </c>
      <c r="I116" s="2">
        <f t="shared" si="54"/>
        <v>20</v>
      </c>
      <c r="J116" s="2">
        <f t="shared" si="55"/>
        <v>30</v>
      </c>
      <c r="K116" s="2">
        <f t="shared" si="56"/>
        <v>430</v>
      </c>
      <c r="L116" s="2">
        <v>0</v>
      </c>
      <c r="M116" s="2">
        <v>0</v>
      </c>
      <c r="N116" s="2">
        <v>2</v>
      </c>
      <c r="O116" s="2">
        <v>440</v>
      </c>
      <c r="P116" s="2">
        <v>100</v>
      </c>
      <c r="Q116" s="2">
        <f t="shared" si="25"/>
        <v>16</v>
      </c>
      <c r="R116" s="2" t="s">
        <v>241</v>
      </c>
      <c r="S116" s="2">
        <v>3</v>
      </c>
      <c r="T116" s="2" t="s">
        <v>243</v>
      </c>
      <c r="U116" s="2">
        <v>3</v>
      </c>
      <c r="V116" s="2" t="s">
        <v>245</v>
      </c>
      <c r="W116" s="2">
        <v>0</v>
      </c>
      <c r="X116" s="2" t="s">
        <v>247</v>
      </c>
      <c r="Y116" s="2">
        <v>3</v>
      </c>
      <c r="Z116" s="2" t="s">
        <v>249</v>
      </c>
      <c r="AA116" s="2">
        <v>0</v>
      </c>
      <c r="AB116" s="2"/>
      <c r="AC116" s="2"/>
      <c r="AD116" s="2"/>
    </row>
    <row r="117" spans="1:30" x14ac:dyDescent="0.35">
      <c r="A117" s="2">
        <v>116</v>
      </c>
      <c r="B117" s="2" t="s">
        <v>365</v>
      </c>
      <c r="C117" s="2" t="s">
        <v>107</v>
      </c>
      <c r="D117" s="2" t="s">
        <v>111</v>
      </c>
      <c r="E117" s="2">
        <v>6</v>
      </c>
      <c r="F117" s="2">
        <f t="shared" si="53"/>
        <v>350</v>
      </c>
      <c r="G117" s="2" t="s">
        <v>119</v>
      </c>
      <c r="H117" s="2" t="s">
        <v>121</v>
      </c>
      <c r="I117" s="2">
        <f t="shared" si="54"/>
        <v>23</v>
      </c>
      <c r="J117" s="2">
        <f t="shared" si="55"/>
        <v>35</v>
      </c>
      <c r="K117" s="2">
        <f t="shared" si="56"/>
        <v>460</v>
      </c>
      <c r="L117" s="2">
        <v>0</v>
      </c>
      <c r="M117" s="2">
        <v>0</v>
      </c>
      <c r="N117" s="2">
        <v>2</v>
      </c>
      <c r="O117" s="2">
        <v>440</v>
      </c>
      <c r="P117" s="2">
        <v>100</v>
      </c>
      <c r="Q117" s="2">
        <f t="shared" si="25"/>
        <v>20</v>
      </c>
      <c r="R117" s="2" t="s">
        <v>241</v>
      </c>
      <c r="S117" s="2">
        <v>3</v>
      </c>
      <c r="T117" s="2" t="s">
        <v>243</v>
      </c>
      <c r="U117" s="2">
        <v>3</v>
      </c>
      <c r="V117" s="2" t="s">
        <v>245</v>
      </c>
      <c r="W117" s="2">
        <v>2</v>
      </c>
      <c r="X117" s="2" t="s">
        <v>247</v>
      </c>
      <c r="Y117" s="2">
        <v>3</v>
      </c>
      <c r="Z117" s="2" t="s">
        <v>249</v>
      </c>
      <c r="AA117" s="2">
        <v>0</v>
      </c>
      <c r="AB117" s="2"/>
      <c r="AC117" s="2"/>
      <c r="AD117" s="2"/>
    </row>
    <row r="118" spans="1:30" x14ac:dyDescent="0.35">
      <c r="A118" s="2">
        <v>117</v>
      </c>
      <c r="B118" s="2" t="s">
        <v>365</v>
      </c>
      <c r="C118" s="2" t="s">
        <v>107</v>
      </c>
      <c r="D118" s="2" t="s">
        <v>111</v>
      </c>
      <c r="E118" s="2">
        <v>7</v>
      </c>
      <c r="F118" s="2">
        <f t="shared" si="53"/>
        <v>400</v>
      </c>
      <c r="G118" s="2" t="s">
        <v>119</v>
      </c>
      <c r="H118" s="2" t="s">
        <v>121</v>
      </c>
      <c r="I118" s="2">
        <f t="shared" si="54"/>
        <v>26</v>
      </c>
      <c r="J118" s="2">
        <f t="shared" si="55"/>
        <v>40</v>
      </c>
      <c r="K118" s="2">
        <f t="shared" si="56"/>
        <v>490</v>
      </c>
      <c r="L118" s="2">
        <v>0</v>
      </c>
      <c r="M118" s="2">
        <v>0</v>
      </c>
      <c r="N118" s="2">
        <v>2</v>
      </c>
      <c r="O118" s="2">
        <v>440</v>
      </c>
      <c r="P118" s="2">
        <v>100</v>
      </c>
      <c r="Q118" s="2">
        <f t="shared" si="25"/>
        <v>24</v>
      </c>
      <c r="R118" s="2" t="s">
        <v>241</v>
      </c>
      <c r="S118" s="2">
        <v>3</v>
      </c>
      <c r="T118" s="2" t="s">
        <v>243</v>
      </c>
      <c r="U118" s="2">
        <v>3</v>
      </c>
      <c r="V118" s="2" t="s">
        <v>245</v>
      </c>
      <c r="W118" s="2">
        <v>3</v>
      </c>
      <c r="X118" s="2" t="s">
        <v>247</v>
      </c>
      <c r="Y118" s="2">
        <v>3</v>
      </c>
      <c r="Z118" s="2" t="s">
        <v>249</v>
      </c>
      <c r="AA118" s="2">
        <v>0</v>
      </c>
      <c r="AB118" s="2"/>
      <c r="AC118" s="2"/>
      <c r="AD118" s="2"/>
    </row>
    <row r="119" spans="1:30" x14ac:dyDescent="0.35">
      <c r="A119" s="2">
        <v>118</v>
      </c>
      <c r="B119" s="2" t="s">
        <v>365</v>
      </c>
      <c r="C119" s="2" t="s">
        <v>107</v>
      </c>
      <c r="D119" s="2" t="s">
        <v>111</v>
      </c>
      <c r="E119" s="2">
        <v>8</v>
      </c>
      <c r="F119" s="2">
        <f t="shared" si="53"/>
        <v>450</v>
      </c>
      <c r="G119" s="2" t="s">
        <v>119</v>
      </c>
      <c r="H119" s="2" t="s">
        <v>121</v>
      </c>
      <c r="I119" s="2">
        <f t="shared" si="54"/>
        <v>29</v>
      </c>
      <c r="J119" s="2">
        <f t="shared" si="55"/>
        <v>45</v>
      </c>
      <c r="K119" s="2">
        <f t="shared" si="56"/>
        <v>520</v>
      </c>
      <c r="L119" s="2">
        <v>0</v>
      </c>
      <c r="M119" s="2">
        <v>0</v>
      </c>
      <c r="N119" s="2">
        <v>2</v>
      </c>
      <c r="O119" s="2">
        <v>440</v>
      </c>
      <c r="P119" s="2">
        <v>100</v>
      </c>
      <c r="Q119" s="2">
        <f t="shared" si="25"/>
        <v>28</v>
      </c>
      <c r="R119" s="2" t="s">
        <v>241</v>
      </c>
      <c r="S119" s="2">
        <v>3</v>
      </c>
      <c r="T119" s="2" t="s">
        <v>243</v>
      </c>
      <c r="U119" s="2">
        <v>3</v>
      </c>
      <c r="V119" s="2" t="s">
        <v>245</v>
      </c>
      <c r="W119" s="2">
        <v>3</v>
      </c>
      <c r="X119" s="2" t="s">
        <v>247</v>
      </c>
      <c r="Y119" s="2">
        <v>3</v>
      </c>
      <c r="Z119" s="2" t="s">
        <v>249</v>
      </c>
      <c r="AA119" s="2">
        <v>1</v>
      </c>
      <c r="AB119" s="2"/>
      <c r="AC119" s="2"/>
      <c r="AD119" s="2"/>
    </row>
    <row r="120" spans="1:30" x14ac:dyDescent="0.35">
      <c r="A120" s="2">
        <v>119</v>
      </c>
      <c r="B120" s="2" t="s">
        <v>365</v>
      </c>
      <c r="C120" s="2" t="s">
        <v>107</v>
      </c>
      <c r="D120" s="2" t="s">
        <v>111</v>
      </c>
      <c r="E120" s="2">
        <v>9</v>
      </c>
      <c r="F120" s="2">
        <f t="shared" si="53"/>
        <v>500</v>
      </c>
      <c r="G120" s="2" t="s">
        <v>119</v>
      </c>
      <c r="H120" s="2" t="s">
        <v>121</v>
      </c>
      <c r="I120" s="2">
        <f t="shared" si="54"/>
        <v>32</v>
      </c>
      <c r="J120" s="2">
        <f t="shared" si="55"/>
        <v>50</v>
      </c>
      <c r="K120" s="2">
        <f t="shared" si="56"/>
        <v>550</v>
      </c>
      <c r="L120" s="2">
        <v>0</v>
      </c>
      <c r="M120" s="2">
        <v>0</v>
      </c>
      <c r="N120" s="2">
        <v>2</v>
      </c>
      <c r="O120" s="2">
        <v>440</v>
      </c>
      <c r="P120" s="2">
        <v>100</v>
      </c>
      <c r="Q120" s="2">
        <f t="shared" si="25"/>
        <v>32</v>
      </c>
      <c r="R120" s="2" t="s">
        <v>241</v>
      </c>
      <c r="S120" s="2">
        <v>3</v>
      </c>
      <c r="T120" s="2" t="s">
        <v>243</v>
      </c>
      <c r="U120" s="2">
        <v>3</v>
      </c>
      <c r="V120" s="2" t="s">
        <v>245</v>
      </c>
      <c r="W120" s="2">
        <v>3</v>
      </c>
      <c r="X120" s="2" t="s">
        <v>247</v>
      </c>
      <c r="Y120" s="2">
        <v>3</v>
      </c>
      <c r="Z120" s="2" t="s">
        <v>249</v>
      </c>
      <c r="AA120" s="2">
        <v>2</v>
      </c>
      <c r="AB120" s="2"/>
      <c r="AC120" s="2"/>
      <c r="AD120" s="2"/>
    </row>
    <row r="121" spans="1:30" x14ac:dyDescent="0.35">
      <c r="A121" s="2">
        <v>120</v>
      </c>
      <c r="B121" s="2" t="s">
        <v>365</v>
      </c>
      <c r="C121" s="2" t="s">
        <v>107</v>
      </c>
      <c r="D121" s="2" t="s">
        <v>111</v>
      </c>
      <c r="E121" s="2">
        <v>10</v>
      </c>
      <c r="F121" s="2">
        <f t="shared" si="53"/>
        <v>550</v>
      </c>
      <c r="G121" s="2" t="s">
        <v>119</v>
      </c>
      <c r="H121" s="2" t="s">
        <v>121</v>
      </c>
      <c r="I121" s="2">
        <f t="shared" si="54"/>
        <v>35</v>
      </c>
      <c r="J121" s="2">
        <f t="shared" si="55"/>
        <v>55</v>
      </c>
      <c r="K121" s="2">
        <f t="shared" si="56"/>
        <v>580</v>
      </c>
      <c r="L121" s="2">
        <v>0</v>
      </c>
      <c r="M121" s="2">
        <v>0</v>
      </c>
      <c r="N121" s="2">
        <v>2</v>
      </c>
      <c r="O121" s="2">
        <v>440</v>
      </c>
      <c r="P121" s="2">
        <v>100</v>
      </c>
      <c r="Q121" s="2">
        <f t="shared" si="25"/>
        <v>36</v>
      </c>
      <c r="R121" s="2" t="s">
        <v>241</v>
      </c>
      <c r="S121" s="2">
        <v>3</v>
      </c>
      <c r="T121" s="2" t="s">
        <v>243</v>
      </c>
      <c r="U121" s="2">
        <v>3</v>
      </c>
      <c r="V121" s="2" t="s">
        <v>245</v>
      </c>
      <c r="W121" s="2">
        <v>3</v>
      </c>
      <c r="X121" s="2" t="s">
        <v>247</v>
      </c>
      <c r="Y121" s="2">
        <v>3</v>
      </c>
      <c r="Z121" s="2" t="s">
        <v>249</v>
      </c>
      <c r="AA121" s="2">
        <v>3</v>
      </c>
      <c r="AB121" s="2"/>
      <c r="AC121" s="2"/>
      <c r="AD121" s="2"/>
    </row>
    <row r="122" spans="1:30" x14ac:dyDescent="0.35">
      <c r="A122" s="2">
        <v>121</v>
      </c>
      <c r="B122" s="2" t="s">
        <v>365</v>
      </c>
      <c r="C122" s="2" t="s">
        <v>108</v>
      </c>
      <c r="D122" s="2" t="s">
        <v>110</v>
      </c>
      <c r="E122" s="2">
        <v>1</v>
      </c>
      <c r="F122" s="2">
        <f t="shared" si="53"/>
        <v>100</v>
      </c>
      <c r="G122" s="2" t="s">
        <v>126</v>
      </c>
      <c r="H122" s="2" t="s">
        <v>121</v>
      </c>
      <c r="I122" s="2">
        <v>4</v>
      </c>
      <c r="J122" s="2">
        <v>10</v>
      </c>
      <c r="K122" s="2">
        <v>150</v>
      </c>
      <c r="L122" s="2">
        <v>0</v>
      </c>
      <c r="M122" s="2">
        <v>0</v>
      </c>
      <c r="N122" s="2">
        <v>1</v>
      </c>
      <c r="O122" s="2">
        <v>400</v>
      </c>
      <c r="P122" s="2">
        <v>120</v>
      </c>
      <c r="Q122" s="2">
        <f t="shared" si="25"/>
        <v>0</v>
      </c>
      <c r="R122" s="2" t="s">
        <v>251</v>
      </c>
      <c r="S122" s="2">
        <v>0</v>
      </c>
      <c r="T122" s="2" t="s">
        <v>253</v>
      </c>
      <c r="U122" s="2">
        <v>0</v>
      </c>
      <c r="V122" s="2" t="s">
        <v>255</v>
      </c>
      <c r="W122" s="2">
        <v>0</v>
      </c>
      <c r="X122" s="2" t="s">
        <v>257</v>
      </c>
      <c r="Y122" s="2">
        <v>0</v>
      </c>
      <c r="Z122" s="2" t="s">
        <v>259</v>
      </c>
      <c r="AA122" s="2">
        <v>0</v>
      </c>
      <c r="AB122" s="2"/>
      <c r="AC122" s="2"/>
      <c r="AD122" s="2"/>
    </row>
    <row r="123" spans="1:30" x14ac:dyDescent="0.35">
      <c r="A123" s="2">
        <v>122</v>
      </c>
      <c r="B123" s="2" t="s">
        <v>365</v>
      </c>
      <c r="C123" s="2" t="s">
        <v>108</v>
      </c>
      <c r="D123" s="2" t="s">
        <v>110</v>
      </c>
      <c r="E123" s="2">
        <v>2</v>
      </c>
      <c r="F123" s="2">
        <f t="shared" si="53"/>
        <v>150</v>
      </c>
      <c r="G123" s="2" t="s">
        <v>126</v>
      </c>
      <c r="H123" s="2" t="s">
        <v>121</v>
      </c>
      <c r="I123" s="2">
        <f t="shared" ref="I123:I131" si="57">I122+1</f>
        <v>5</v>
      </c>
      <c r="J123" s="2">
        <f t="shared" ref="J123:J131" si="58">J122+1</f>
        <v>11</v>
      </c>
      <c r="K123" s="2">
        <f t="shared" ref="K123:K131" si="59">K122+10</f>
        <v>160</v>
      </c>
      <c r="L123" s="2">
        <v>0</v>
      </c>
      <c r="M123" s="2">
        <v>0</v>
      </c>
      <c r="N123" s="2">
        <v>1</v>
      </c>
      <c r="O123" s="2">
        <v>400</v>
      </c>
      <c r="P123" s="2">
        <v>120</v>
      </c>
      <c r="Q123" s="2">
        <f t="shared" si="25"/>
        <v>4</v>
      </c>
      <c r="R123" s="2" t="s">
        <v>251</v>
      </c>
      <c r="S123" s="2">
        <v>2</v>
      </c>
      <c r="T123" s="2" t="s">
        <v>253</v>
      </c>
      <c r="U123" s="2">
        <v>0</v>
      </c>
      <c r="V123" s="2" t="s">
        <v>255</v>
      </c>
      <c r="W123" s="2">
        <v>0</v>
      </c>
      <c r="X123" s="2" t="s">
        <v>257</v>
      </c>
      <c r="Y123" s="2">
        <v>0</v>
      </c>
      <c r="Z123" s="2" t="s">
        <v>259</v>
      </c>
      <c r="AA123" s="2">
        <v>0</v>
      </c>
      <c r="AB123" s="2"/>
      <c r="AC123" s="2"/>
      <c r="AD123" s="2"/>
    </row>
    <row r="124" spans="1:30" x14ac:dyDescent="0.35">
      <c r="A124" s="2">
        <v>123</v>
      </c>
      <c r="B124" s="2" t="s">
        <v>365</v>
      </c>
      <c r="C124" s="2" t="s">
        <v>108</v>
      </c>
      <c r="D124" s="2" t="s">
        <v>110</v>
      </c>
      <c r="E124" s="2">
        <v>3</v>
      </c>
      <c r="F124" s="2">
        <f t="shared" si="53"/>
        <v>200</v>
      </c>
      <c r="G124" s="2" t="s">
        <v>126</v>
      </c>
      <c r="H124" s="2" t="s">
        <v>121</v>
      </c>
      <c r="I124" s="2">
        <f t="shared" si="57"/>
        <v>6</v>
      </c>
      <c r="J124" s="2">
        <f t="shared" si="58"/>
        <v>12</v>
      </c>
      <c r="K124" s="2">
        <f t="shared" si="59"/>
        <v>170</v>
      </c>
      <c r="L124" s="2">
        <v>0</v>
      </c>
      <c r="M124" s="2">
        <v>0</v>
      </c>
      <c r="N124" s="2">
        <v>1</v>
      </c>
      <c r="O124" s="2">
        <v>400</v>
      </c>
      <c r="P124" s="2">
        <v>120</v>
      </c>
      <c r="Q124" s="2">
        <f t="shared" si="25"/>
        <v>8</v>
      </c>
      <c r="R124" s="2" t="s">
        <v>251</v>
      </c>
      <c r="S124" s="2">
        <v>3</v>
      </c>
      <c r="T124" s="2" t="s">
        <v>253</v>
      </c>
      <c r="U124" s="2">
        <v>2</v>
      </c>
      <c r="V124" s="2" t="s">
        <v>255</v>
      </c>
      <c r="W124" s="2">
        <v>0</v>
      </c>
      <c r="X124" s="2" t="s">
        <v>257</v>
      </c>
      <c r="Y124" s="2">
        <v>0</v>
      </c>
      <c r="Z124" s="2" t="s">
        <v>259</v>
      </c>
      <c r="AA124" s="2">
        <v>0</v>
      </c>
      <c r="AB124" s="2"/>
      <c r="AC124" s="2"/>
      <c r="AD124" s="2"/>
    </row>
    <row r="125" spans="1:30" x14ac:dyDescent="0.35">
      <c r="A125" s="2">
        <v>124</v>
      </c>
      <c r="B125" s="2" t="s">
        <v>365</v>
      </c>
      <c r="C125" s="2" t="s">
        <v>108</v>
      </c>
      <c r="D125" s="2" t="s">
        <v>110</v>
      </c>
      <c r="E125" s="2">
        <v>4</v>
      </c>
      <c r="F125" s="2">
        <f t="shared" si="53"/>
        <v>250</v>
      </c>
      <c r="G125" s="2" t="s">
        <v>126</v>
      </c>
      <c r="H125" s="2" t="s">
        <v>121</v>
      </c>
      <c r="I125" s="2">
        <f t="shared" si="57"/>
        <v>7</v>
      </c>
      <c r="J125" s="2">
        <f t="shared" si="58"/>
        <v>13</v>
      </c>
      <c r="K125" s="2">
        <f t="shared" si="59"/>
        <v>180</v>
      </c>
      <c r="L125" s="2">
        <v>0</v>
      </c>
      <c r="M125" s="2">
        <v>0</v>
      </c>
      <c r="N125" s="2">
        <v>1</v>
      </c>
      <c r="O125" s="2">
        <v>400</v>
      </c>
      <c r="P125" s="2">
        <v>120</v>
      </c>
      <c r="Q125" s="2">
        <f t="shared" si="25"/>
        <v>12</v>
      </c>
      <c r="R125" s="2" t="s">
        <v>251</v>
      </c>
      <c r="S125" s="2">
        <v>3</v>
      </c>
      <c r="T125" s="2" t="s">
        <v>253</v>
      </c>
      <c r="U125" s="2">
        <v>3</v>
      </c>
      <c r="V125" s="2" t="s">
        <v>255</v>
      </c>
      <c r="W125" s="2">
        <v>3</v>
      </c>
      <c r="X125" s="2" t="s">
        <v>257</v>
      </c>
      <c r="Y125" s="2">
        <v>0</v>
      </c>
      <c r="Z125" s="2" t="s">
        <v>259</v>
      </c>
      <c r="AA125" s="2">
        <v>0</v>
      </c>
      <c r="AB125" s="2"/>
      <c r="AC125" s="2"/>
      <c r="AD125" s="2"/>
    </row>
    <row r="126" spans="1:30" x14ac:dyDescent="0.35">
      <c r="A126" s="2">
        <v>125</v>
      </c>
      <c r="B126" s="2" t="s">
        <v>365</v>
      </c>
      <c r="C126" s="2" t="s">
        <v>108</v>
      </c>
      <c r="D126" s="2" t="s">
        <v>110</v>
      </c>
      <c r="E126" s="2">
        <v>5</v>
      </c>
      <c r="F126" s="2">
        <f t="shared" si="53"/>
        <v>300</v>
      </c>
      <c r="G126" s="2" t="s">
        <v>126</v>
      </c>
      <c r="H126" s="2" t="s">
        <v>121</v>
      </c>
      <c r="I126" s="2">
        <f t="shared" si="57"/>
        <v>8</v>
      </c>
      <c r="J126" s="2">
        <f t="shared" si="58"/>
        <v>14</v>
      </c>
      <c r="K126" s="2">
        <f t="shared" si="59"/>
        <v>190</v>
      </c>
      <c r="L126" s="2">
        <v>0</v>
      </c>
      <c r="M126" s="2">
        <v>0</v>
      </c>
      <c r="N126" s="2">
        <v>1</v>
      </c>
      <c r="O126" s="2">
        <v>400</v>
      </c>
      <c r="P126" s="2">
        <v>120</v>
      </c>
      <c r="Q126" s="2">
        <f t="shared" si="25"/>
        <v>16</v>
      </c>
      <c r="R126" s="2" t="s">
        <v>251</v>
      </c>
      <c r="S126" s="2">
        <v>3</v>
      </c>
      <c r="T126" s="2" t="s">
        <v>253</v>
      </c>
      <c r="U126" s="2">
        <v>3</v>
      </c>
      <c r="V126" s="2" t="s">
        <v>255</v>
      </c>
      <c r="W126" s="2">
        <v>3</v>
      </c>
      <c r="X126" s="2" t="s">
        <v>257</v>
      </c>
      <c r="Y126" s="2">
        <v>1</v>
      </c>
      <c r="Z126" s="2" t="s">
        <v>259</v>
      </c>
      <c r="AA126" s="2">
        <v>0</v>
      </c>
      <c r="AB126" s="2"/>
      <c r="AC126" s="2"/>
      <c r="AD126" s="2"/>
    </row>
    <row r="127" spans="1:30" x14ac:dyDescent="0.35">
      <c r="A127" s="2">
        <v>126</v>
      </c>
      <c r="B127" s="2" t="s">
        <v>365</v>
      </c>
      <c r="C127" s="2" t="s">
        <v>108</v>
      </c>
      <c r="D127" s="2" t="s">
        <v>110</v>
      </c>
      <c r="E127" s="2">
        <v>6</v>
      </c>
      <c r="F127" s="2">
        <f t="shared" si="53"/>
        <v>350</v>
      </c>
      <c r="G127" s="2" t="s">
        <v>126</v>
      </c>
      <c r="H127" s="2" t="s">
        <v>121</v>
      </c>
      <c r="I127" s="2">
        <f t="shared" si="57"/>
        <v>9</v>
      </c>
      <c r="J127" s="2">
        <f t="shared" si="58"/>
        <v>15</v>
      </c>
      <c r="K127" s="2">
        <f t="shared" si="59"/>
        <v>200</v>
      </c>
      <c r="L127" s="2">
        <v>0</v>
      </c>
      <c r="M127" s="2">
        <v>0</v>
      </c>
      <c r="N127" s="2">
        <v>1</v>
      </c>
      <c r="O127" s="2">
        <v>400</v>
      </c>
      <c r="P127" s="2">
        <v>120</v>
      </c>
      <c r="Q127" s="2">
        <f t="shared" si="25"/>
        <v>20</v>
      </c>
      <c r="R127" s="2" t="s">
        <v>251</v>
      </c>
      <c r="S127" s="2">
        <v>3</v>
      </c>
      <c r="T127" s="2" t="s">
        <v>253</v>
      </c>
      <c r="U127" s="2">
        <v>3</v>
      </c>
      <c r="V127" s="2" t="s">
        <v>255</v>
      </c>
      <c r="W127" s="2">
        <v>3</v>
      </c>
      <c r="X127" s="2" t="s">
        <v>257</v>
      </c>
      <c r="Y127" s="2">
        <v>2</v>
      </c>
      <c r="Z127" s="2" t="s">
        <v>259</v>
      </c>
      <c r="AA127" s="2">
        <v>0</v>
      </c>
      <c r="AB127" s="2"/>
      <c r="AC127" s="2"/>
      <c r="AD127" s="2"/>
    </row>
    <row r="128" spans="1:30" x14ac:dyDescent="0.35">
      <c r="A128" s="2">
        <v>127</v>
      </c>
      <c r="B128" s="2" t="s">
        <v>365</v>
      </c>
      <c r="C128" s="2" t="s">
        <v>108</v>
      </c>
      <c r="D128" s="2" t="s">
        <v>110</v>
      </c>
      <c r="E128" s="2">
        <v>7</v>
      </c>
      <c r="F128" s="2">
        <f t="shared" si="53"/>
        <v>400</v>
      </c>
      <c r="G128" s="2" t="s">
        <v>126</v>
      </c>
      <c r="H128" s="2" t="s">
        <v>121</v>
      </c>
      <c r="I128" s="2">
        <f t="shared" si="57"/>
        <v>10</v>
      </c>
      <c r="J128" s="2">
        <f t="shared" si="58"/>
        <v>16</v>
      </c>
      <c r="K128" s="2">
        <f t="shared" si="59"/>
        <v>210</v>
      </c>
      <c r="L128" s="2">
        <v>0</v>
      </c>
      <c r="M128" s="2">
        <v>0</v>
      </c>
      <c r="N128" s="2">
        <v>1</v>
      </c>
      <c r="O128" s="2">
        <v>400</v>
      </c>
      <c r="P128" s="2">
        <v>120</v>
      </c>
      <c r="Q128" s="2">
        <f t="shared" si="25"/>
        <v>24</v>
      </c>
      <c r="R128" s="2" t="s">
        <v>251</v>
      </c>
      <c r="S128" s="2">
        <v>3</v>
      </c>
      <c r="T128" s="2" t="s">
        <v>253</v>
      </c>
      <c r="U128" s="2">
        <v>3</v>
      </c>
      <c r="V128" s="2" t="s">
        <v>255</v>
      </c>
      <c r="W128" s="2">
        <v>3</v>
      </c>
      <c r="X128" s="2" t="s">
        <v>257</v>
      </c>
      <c r="Y128" s="2">
        <v>3</v>
      </c>
      <c r="Z128" s="2" t="s">
        <v>259</v>
      </c>
      <c r="AA128" s="2">
        <v>0</v>
      </c>
      <c r="AB128" s="2"/>
      <c r="AC128" s="2"/>
      <c r="AD128" s="2"/>
    </row>
    <row r="129" spans="1:30" x14ac:dyDescent="0.35">
      <c r="A129" s="2">
        <v>128</v>
      </c>
      <c r="B129" s="2" t="s">
        <v>365</v>
      </c>
      <c r="C129" s="2" t="s">
        <v>108</v>
      </c>
      <c r="D129" s="2" t="s">
        <v>110</v>
      </c>
      <c r="E129" s="2">
        <v>8</v>
      </c>
      <c r="F129" s="2">
        <f t="shared" si="53"/>
        <v>450</v>
      </c>
      <c r="G129" s="2" t="s">
        <v>126</v>
      </c>
      <c r="H129" s="2" t="s">
        <v>121</v>
      </c>
      <c r="I129" s="2">
        <f t="shared" si="57"/>
        <v>11</v>
      </c>
      <c r="J129" s="2">
        <f t="shared" si="58"/>
        <v>17</v>
      </c>
      <c r="K129" s="2">
        <f t="shared" si="59"/>
        <v>220</v>
      </c>
      <c r="L129" s="2">
        <v>0</v>
      </c>
      <c r="M129" s="2">
        <v>0</v>
      </c>
      <c r="N129" s="2">
        <v>1</v>
      </c>
      <c r="O129" s="2">
        <v>400</v>
      </c>
      <c r="P129" s="2">
        <v>120</v>
      </c>
      <c r="Q129" s="2">
        <f t="shared" si="25"/>
        <v>28</v>
      </c>
      <c r="R129" s="2" t="s">
        <v>251</v>
      </c>
      <c r="S129" s="2">
        <v>3</v>
      </c>
      <c r="T129" s="2" t="s">
        <v>253</v>
      </c>
      <c r="U129" s="2">
        <v>3</v>
      </c>
      <c r="V129" s="2" t="s">
        <v>255</v>
      </c>
      <c r="W129" s="2">
        <v>3</v>
      </c>
      <c r="X129" s="2" t="s">
        <v>257</v>
      </c>
      <c r="Y129" s="2">
        <v>3</v>
      </c>
      <c r="Z129" s="2" t="s">
        <v>259</v>
      </c>
      <c r="AA129" s="2">
        <v>1</v>
      </c>
      <c r="AB129" s="2"/>
      <c r="AC129" s="2"/>
      <c r="AD129" s="2"/>
    </row>
    <row r="130" spans="1:30" x14ac:dyDescent="0.35">
      <c r="A130" s="2">
        <v>129</v>
      </c>
      <c r="B130" s="2" t="s">
        <v>365</v>
      </c>
      <c r="C130" s="2" t="s">
        <v>108</v>
      </c>
      <c r="D130" s="2" t="s">
        <v>110</v>
      </c>
      <c r="E130" s="2">
        <v>9</v>
      </c>
      <c r="F130" s="2">
        <f t="shared" si="53"/>
        <v>500</v>
      </c>
      <c r="G130" s="2" t="s">
        <v>126</v>
      </c>
      <c r="H130" s="2" t="s">
        <v>121</v>
      </c>
      <c r="I130" s="2">
        <f t="shared" si="57"/>
        <v>12</v>
      </c>
      <c r="J130" s="2">
        <f t="shared" si="58"/>
        <v>18</v>
      </c>
      <c r="K130" s="2">
        <f t="shared" si="59"/>
        <v>230</v>
      </c>
      <c r="L130" s="2">
        <v>0</v>
      </c>
      <c r="M130" s="2">
        <v>0</v>
      </c>
      <c r="N130" s="2">
        <v>1</v>
      </c>
      <c r="O130" s="2">
        <v>400</v>
      </c>
      <c r="P130" s="2">
        <v>120</v>
      </c>
      <c r="Q130" s="2">
        <f t="shared" si="25"/>
        <v>32</v>
      </c>
      <c r="R130" s="2" t="s">
        <v>251</v>
      </c>
      <c r="S130" s="2">
        <v>3</v>
      </c>
      <c r="T130" s="2" t="s">
        <v>253</v>
      </c>
      <c r="U130" s="2">
        <v>3</v>
      </c>
      <c r="V130" s="2" t="s">
        <v>255</v>
      </c>
      <c r="W130" s="2">
        <v>3</v>
      </c>
      <c r="X130" s="2" t="s">
        <v>257</v>
      </c>
      <c r="Y130" s="2">
        <v>3</v>
      </c>
      <c r="Z130" s="2" t="s">
        <v>259</v>
      </c>
      <c r="AA130" s="2">
        <v>2</v>
      </c>
      <c r="AB130" s="2"/>
      <c r="AC130" s="2"/>
      <c r="AD130" s="2"/>
    </row>
    <row r="131" spans="1:30" x14ac:dyDescent="0.35">
      <c r="A131" s="2">
        <v>130</v>
      </c>
      <c r="B131" s="2" t="s">
        <v>365</v>
      </c>
      <c r="C131" s="2" t="s">
        <v>108</v>
      </c>
      <c r="D131" s="2" t="s">
        <v>110</v>
      </c>
      <c r="E131" s="2">
        <v>10</v>
      </c>
      <c r="F131" s="2">
        <f t="shared" si="53"/>
        <v>550</v>
      </c>
      <c r="G131" s="2" t="s">
        <v>126</v>
      </c>
      <c r="H131" s="2" t="s">
        <v>121</v>
      </c>
      <c r="I131" s="2">
        <f t="shared" si="57"/>
        <v>13</v>
      </c>
      <c r="J131" s="2">
        <f t="shared" si="58"/>
        <v>19</v>
      </c>
      <c r="K131" s="2">
        <f t="shared" si="59"/>
        <v>240</v>
      </c>
      <c r="L131" s="2">
        <v>0</v>
      </c>
      <c r="M131" s="2">
        <v>0</v>
      </c>
      <c r="N131" s="2">
        <v>1</v>
      </c>
      <c r="O131" s="2">
        <v>400</v>
      </c>
      <c r="P131" s="2">
        <v>120</v>
      </c>
      <c r="Q131" s="2">
        <f t="shared" ref="Q131:Q141" si="60">4*(E131-1)</f>
        <v>36</v>
      </c>
      <c r="R131" s="2" t="s">
        <v>251</v>
      </c>
      <c r="S131" s="2">
        <v>3</v>
      </c>
      <c r="T131" s="2" t="s">
        <v>253</v>
      </c>
      <c r="U131" s="2">
        <v>3</v>
      </c>
      <c r="V131" s="2" t="s">
        <v>255</v>
      </c>
      <c r="W131" s="2">
        <v>3</v>
      </c>
      <c r="X131" s="2" t="s">
        <v>257</v>
      </c>
      <c r="Y131" s="2">
        <v>3</v>
      </c>
      <c r="Z131" s="2" t="s">
        <v>259</v>
      </c>
      <c r="AA131" s="2">
        <v>3</v>
      </c>
      <c r="AB131" s="2"/>
      <c r="AC131" s="2"/>
      <c r="AD131" s="2"/>
    </row>
    <row r="132" spans="1:30" x14ac:dyDescent="0.35">
      <c r="A132" s="2">
        <v>131</v>
      </c>
      <c r="B132" s="2" t="s">
        <v>365</v>
      </c>
      <c r="C132" s="2" t="s">
        <v>109</v>
      </c>
      <c r="D132" s="2" t="s">
        <v>111</v>
      </c>
      <c r="E132" s="2">
        <v>1</v>
      </c>
      <c r="F132" s="2">
        <f t="shared" si="53"/>
        <v>100</v>
      </c>
      <c r="G132" s="2" t="s">
        <v>274</v>
      </c>
      <c r="H132" s="2" t="s">
        <v>121</v>
      </c>
      <c r="I132" s="2">
        <v>14</v>
      </c>
      <c r="J132" s="2">
        <v>19</v>
      </c>
      <c r="K132" s="2">
        <v>315</v>
      </c>
      <c r="L132" s="2">
        <v>0</v>
      </c>
      <c r="M132" s="2">
        <v>0</v>
      </c>
      <c r="N132" s="2">
        <v>2</v>
      </c>
      <c r="O132" s="2">
        <v>440</v>
      </c>
      <c r="P132" s="2">
        <v>130</v>
      </c>
      <c r="Q132" s="2">
        <f t="shared" si="60"/>
        <v>0</v>
      </c>
      <c r="R132" s="2" t="s">
        <v>261</v>
      </c>
      <c r="S132" s="2">
        <v>0</v>
      </c>
      <c r="T132" s="2" t="s">
        <v>263</v>
      </c>
      <c r="U132" s="2">
        <v>0</v>
      </c>
      <c r="V132" s="2" t="s">
        <v>265</v>
      </c>
      <c r="W132" s="2">
        <v>0</v>
      </c>
      <c r="X132" s="2" t="s">
        <v>267</v>
      </c>
      <c r="Y132" s="2">
        <v>0</v>
      </c>
      <c r="Z132" s="2" t="s">
        <v>269</v>
      </c>
      <c r="AA132" s="2">
        <v>0</v>
      </c>
      <c r="AB132" s="2"/>
      <c r="AC132" s="2"/>
      <c r="AD132" s="2"/>
    </row>
    <row r="133" spans="1:30" x14ac:dyDescent="0.35">
      <c r="A133" s="2">
        <v>132</v>
      </c>
      <c r="B133" s="2" t="s">
        <v>365</v>
      </c>
      <c r="C133" s="2" t="s">
        <v>109</v>
      </c>
      <c r="D133" s="2" t="s">
        <v>111</v>
      </c>
      <c r="E133" s="2">
        <v>2</v>
      </c>
      <c r="F133" s="2">
        <f t="shared" si="53"/>
        <v>150</v>
      </c>
      <c r="G133" s="2" t="s">
        <v>274</v>
      </c>
      <c r="H133" s="2" t="s">
        <v>121</v>
      </c>
      <c r="I133" s="2">
        <f t="shared" ref="I133:I141" si="61">I132+2</f>
        <v>16</v>
      </c>
      <c r="J133" s="2">
        <f t="shared" ref="J133:J141" si="62">J132+3</f>
        <v>22</v>
      </c>
      <c r="K133" s="2">
        <f t="shared" ref="K133:K141" si="63">K132+25</f>
        <v>340</v>
      </c>
      <c r="L133" s="2">
        <v>0</v>
      </c>
      <c r="M133" s="2">
        <v>0</v>
      </c>
      <c r="N133" s="2">
        <v>2</v>
      </c>
      <c r="O133" s="2">
        <v>440</v>
      </c>
      <c r="P133" s="2">
        <v>130</v>
      </c>
      <c r="Q133" s="2">
        <f t="shared" si="60"/>
        <v>4</v>
      </c>
      <c r="R133" s="2" t="s">
        <v>261</v>
      </c>
      <c r="S133" s="2">
        <v>1</v>
      </c>
      <c r="T133" s="2" t="s">
        <v>263</v>
      </c>
      <c r="U133" s="2">
        <v>0</v>
      </c>
      <c r="V133" s="2" t="s">
        <v>265</v>
      </c>
      <c r="W133" s="2">
        <v>1</v>
      </c>
      <c r="X133" s="2" t="s">
        <v>267</v>
      </c>
      <c r="Y133" s="2">
        <v>0</v>
      </c>
      <c r="Z133" s="2" t="s">
        <v>269</v>
      </c>
      <c r="AA133" s="2">
        <v>0</v>
      </c>
      <c r="AB133" s="2"/>
      <c r="AC133" s="2"/>
      <c r="AD133" s="2"/>
    </row>
    <row r="134" spans="1:30" x14ac:dyDescent="0.35">
      <c r="A134" s="2">
        <v>133</v>
      </c>
      <c r="B134" s="2" t="s">
        <v>365</v>
      </c>
      <c r="C134" s="2" t="s">
        <v>109</v>
      </c>
      <c r="D134" s="2" t="s">
        <v>111</v>
      </c>
      <c r="E134" s="2">
        <v>3</v>
      </c>
      <c r="F134" s="2">
        <f t="shared" si="53"/>
        <v>200</v>
      </c>
      <c r="G134" s="2" t="s">
        <v>274</v>
      </c>
      <c r="H134" s="2" t="s">
        <v>121</v>
      </c>
      <c r="I134" s="2">
        <f t="shared" si="61"/>
        <v>18</v>
      </c>
      <c r="J134" s="2">
        <f t="shared" si="62"/>
        <v>25</v>
      </c>
      <c r="K134" s="2">
        <f t="shared" si="63"/>
        <v>365</v>
      </c>
      <c r="L134" s="2">
        <v>0</v>
      </c>
      <c r="M134" s="2">
        <v>0</v>
      </c>
      <c r="N134" s="2">
        <v>2</v>
      </c>
      <c r="O134" s="2">
        <v>440</v>
      </c>
      <c r="P134" s="2">
        <v>130</v>
      </c>
      <c r="Q134" s="2">
        <f t="shared" si="60"/>
        <v>8</v>
      </c>
      <c r="R134" s="2" t="s">
        <v>261</v>
      </c>
      <c r="S134" s="2">
        <v>2</v>
      </c>
      <c r="T134" s="2" t="s">
        <v>263</v>
      </c>
      <c r="U134" s="2">
        <v>0</v>
      </c>
      <c r="V134" s="2" t="s">
        <v>265</v>
      </c>
      <c r="W134" s="2">
        <v>2</v>
      </c>
      <c r="X134" s="2" t="s">
        <v>267</v>
      </c>
      <c r="Y134" s="2">
        <v>0</v>
      </c>
      <c r="Z134" s="2" t="s">
        <v>269</v>
      </c>
      <c r="AA134" s="2">
        <v>0</v>
      </c>
      <c r="AB134" s="2"/>
      <c r="AC134" s="2"/>
      <c r="AD134" s="2"/>
    </row>
    <row r="135" spans="1:30" x14ac:dyDescent="0.35">
      <c r="A135" s="2">
        <v>134</v>
      </c>
      <c r="B135" s="2" t="s">
        <v>365</v>
      </c>
      <c r="C135" s="2" t="s">
        <v>109</v>
      </c>
      <c r="D135" s="2" t="s">
        <v>111</v>
      </c>
      <c r="E135" s="2">
        <v>4</v>
      </c>
      <c r="F135" s="2">
        <f t="shared" si="53"/>
        <v>250</v>
      </c>
      <c r="G135" s="2" t="s">
        <v>274</v>
      </c>
      <c r="H135" s="2" t="s">
        <v>121</v>
      </c>
      <c r="I135" s="2">
        <f t="shared" si="61"/>
        <v>20</v>
      </c>
      <c r="J135" s="2">
        <f t="shared" si="62"/>
        <v>28</v>
      </c>
      <c r="K135" s="2">
        <f t="shared" si="63"/>
        <v>390</v>
      </c>
      <c r="L135" s="2">
        <v>0</v>
      </c>
      <c r="M135" s="2">
        <v>0</v>
      </c>
      <c r="N135" s="2">
        <v>2</v>
      </c>
      <c r="O135" s="2">
        <v>440</v>
      </c>
      <c r="P135" s="2">
        <v>130</v>
      </c>
      <c r="Q135" s="2">
        <f t="shared" si="60"/>
        <v>12</v>
      </c>
      <c r="R135" s="2" t="s">
        <v>261</v>
      </c>
      <c r="S135" s="2">
        <v>3</v>
      </c>
      <c r="T135" s="2" t="s">
        <v>263</v>
      </c>
      <c r="U135" s="2">
        <v>0</v>
      </c>
      <c r="V135" s="2" t="s">
        <v>265</v>
      </c>
      <c r="W135" s="2">
        <v>3</v>
      </c>
      <c r="X135" s="2" t="s">
        <v>267</v>
      </c>
      <c r="Y135" s="2">
        <v>0</v>
      </c>
      <c r="Z135" s="2" t="s">
        <v>269</v>
      </c>
      <c r="AA135" s="2">
        <v>0</v>
      </c>
      <c r="AB135" s="2"/>
      <c r="AC135" s="2"/>
      <c r="AD135" s="2"/>
    </row>
    <row r="136" spans="1:30" x14ac:dyDescent="0.35">
      <c r="A136" s="2">
        <v>135</v>
      </c>
      <c r="B136" s="2" t="s">
        <v>365</v>
      </c>
      <c r="C136" s="2" t="s">
        <v>109</v>
      </c>
      <c r="D136" s="2" t="s">
        <v>111</v>
      </c>
      <c r="E136" s="2">
        <v>5</v>
      </c>
      <c r="F136" s="2">
        <f t="shared" si="53"/>
        <v>300</v>
      </c>
      <c r="G136" s="2" t="s">
        <v>274</v>
      </c>
      <c r="H136" s="2" t="s">
        <v>121</v>
      </c>
      <c r="I136" s="2">
        <f t="shared" si="61"/>
        <v>22</v>
      </c>
      <c r="J136" s="2">
        <f t="shared" si="62"/>
        <v>31</v>
      </c>
      <c r="K136" s="2">
        <f t="shared" si="63"/>
        <v>415</v>
      </c>
      <c r="L136" s="2">
        <v>0</v>
      </c>
      <c r="M136" s="2">
        <v>0</v>
      </c>
      <c r="N136" s="2">
        <v>2</v>
      </c>
      <c r="O136" s="2">
        <v>440</v>
      </c>
      <c r="P136" s="2">
        <v>130</v>
      </c>
      <c r="Q136" s="2">
        <f t="shared" si="60"/>
        <v>16</v>
      </c>
      <c r="R136" s="2" t="s">
        <v>261</v>
      </c>
      <c r="S136" s="2">
        <v>3</v>
      </c>
      <c r="T136" s="2" t="s">
        <v>263</v>
      </c>
      <c r="U136" s="2">
        <v>2</v>
      </c>
      <c r="V136" s="2" t="s">
        <v>265</v>
      </c>
      <c r="W136" s="2">
        <v>3</v>
      </c>
      <c r="X136" s="2" t="s">
        <v>267</v>
      </c>
      <c r="Y136" s="2">
        <v>0</v>
      </c>
      <c r="Z136" s="2" t="s">
        <v>269</v>
      </c>
      <c r="AA136" s="2">
        <v>0</v>
      </c>
      <c r="AB136" s="2"/>
      <c r="AC136" s="2"/>
      <c r="AD136" s="2"/>
    </row>
    <row r="137" spans="1:30" x14ac:dyDescent="0.35">
      <c r="A137" s="2">
        <v>136</v>
      </c>
      <c r="B137" s="2" t="s">
        <v>365</v>
      </c>
      <c r="C137" s="2" t="s">
        <v>109</v>
      </c>
      <c r="D137" s="2" t="s">
        <v>111</v>
      </c>
      <c r="E137" s="2">
        <v>6</v>
      </c>
      <c r="F137" s="2">
        <f t="shared" si="53"/>
        <v>350</v>
      </c>
      <c r="G137" s="2" t="s">
        <v>274</v>
      </c>
      <c r="H137" s="2" t="s">
        <v>121</v>
      </c>
      <c r="I137" s="2">
        <f t="shared" si="61"/>
        <v>24</v>
      </c>
      <c r="J137" s="2">
        <f t="shared" si="62"/>
        <v>34</v>
      </c>
      <c r="K137" s="2">
        <f t="shared" si="63"/>
        <v>440</v>
      </c>
      <c r="L137" s="2">
        <v>0</v>
      </c>
      <c r="M137" s="2">
        <v>0</v>
      </c>
      <c r="N137" s="2">
        <v>2</v>
      </c>
      <c r="O137" s="2">
        <v>440</v>
      </c>
      <c r="P137" s="2">
        <v>130</v>
      </c>
      <c r="Q137" s="2">
        <f t="shared" si="60"/>
        <v>20</v>
      </c>
      <c r="R137" s="2" t="s">
        <v>261</v>
      </c>
      <c r="S137" s="2">
        <v>3</v>
      </c>
      <c r="T137" s="2" t="s">
        <v>263</v>
      </c>
      <c r="U137" s="2">
        <v>3</v>
      </c>
      <c r="V137" s="2" t="s">
        <v>265</v>
      </c>
      <c r="W137" s="2">
        <v>3</v>
      </c>
      <c r="X137" s="2" t="s">
        <v>267</v>
      </c>
      <c r="Y137" s="2">
        <v>1</v>
      </c>
      <c r="Z137" s="2" t="s">
        <v>269</v>
      </c>
      <c r="AA137" s="2">
        <v>0</v>
      </c>
      <c r="AB137" s="2"/>
      <c r="AC137" s="2"/>
      <c r="AD137" s="2"/>
    </row>
    <row r="138" spans="1:30" x14ac:dyDescent="0.35">
      <c r="A138" s="2">
        <v>137</v>
      </c>
      <c r="B138" s="2" t="s">
        <v>365</v>
      </c>
      <c r="C138" s="2" t="s">
        <v>109</v>
      </c>
      <c r="D138" s="2" t="s">
        <v>111</v>
      </c>
      <c r="E138" s="2">
        <v>7</v>
      </c>
      <c r="F138" s="2">
        <f t="shared" si="53"/>
        <v>400</v>
      </c>
      <c r="G138" s="2" t="s">
        <v>274</v>
      </c>
      <c r="H138" s="2" t="s">
        <v>121</v>
      </c>
      <c r="I138" s="2">
        <f t="shared" si="61"/>
        <v>26</v>
      </c>
      <c r="J138" s="2">
        <f t="shared" si="62"/>
        <v>37</v>
      </c>
      <c r="K138" s="2">
        <f t="shared" si="63"/>
        <v>465</v>
      </c>
      <c r="L138" s="2">
        <v>0</v>
      </c>
      <c r="M138" s="2">
        <v>0</v>
      </c>
      <c r="N138" s="2">
        <v>2</v>
      </c>
      <c r="O138" s="2">
        <v>440</v>
      </c>
      <c r="P138" s="2">
        <v>130</v>
      </c>
      <c r="Q138" s="2">
        <f t="shared" si="60"/>
        <v>24</v>
      </c>
      <c r="R138" s="2" t="s">
        <v>261</v>
      </c>
      <c r="S138" s="2">
        <v>3</v>
      </c>
      <c r="T138" s="2" t="s">
        <v>263</v>
      </c>
      <c r="U138" s="2">
        <v>3</v>
      </c>
      <c r="V138" s="2" t="s">
        <v>265</v>
      </c>
      <c r="W138" s="2">
        <v>3</v>
      </c>
      <c r="X138" s="2" t="s">
        <v>267</v>
      </c>
      <c r="Y138" s="2">
        <v>3</v>
      </c>
      <c r="Z138" s="2" t="s">
        <v>269</v>
      </c>
      <c r="AA138" s="2">
        <v>0</v>
      </c>
      <c r="AB138" s="2"/>
      <c r="AC138" s="2"/>
      <c r="AD138" s="2"/>
    </row>
    <row r="139" spans="1:30" x14ac:dyDescent="0.35">
      <c r="A139" s="2">
        <v>138</v>
      </c>
      <c r="B139" s="2" t="s">
        <v>365</v>
      </c>
      <c r="C139" s="2" t="s">
        <v>109</v>
      </c>
      <c r="D139" s="2" t="s">
        <v>111</v>
      </c>
      <c r="E139" s="2">
        <v>8</v>
      </c>
      <c r="F139" s="2">
        <f t="shared" si="53"/>
        <v>450</v>
      </c>
      <c r="G139" s="2" t="s">
        <v>274</v>
      </c>
      <c r="H139" s="2" t="s">
        <v>121</v>
      </c>
      <c r="I139" s="2">
        <f t="shared" si="61"/>
        <v>28</v>
      </c>
      <c r="J139" s="2">
        <f t="shared" si="62"/>
        <v>40</v>
      </c>
      <c r="K139" s="2">
        <f t="shared" si="63"/>
        <v>490</v>
      </c>
      <c r="L139" s="2">
        <v>0</v>
      </c>
      <c r="M139" s="2">
        <v>0</v>
      </c>
      <c r="N139" s="2">
        <v>2</v>
      </c>
      <c r="O139" s="2">
        <v>440</v>
      </c>
      <c r="P139" s="2">
        <v>130</v>
      </c>
      <c r="Q139" s="2">
        <f t="shared" si="60"/>
        <v>28</v>
      </c>
      <c r="R139" s="2" t="s">
        <v>261</v>
      </c>
      <c r="S139" s="2">
        <v>3</v>
      </c>
      <c r="T139" s="2" t="s">
        <v>263</v>
      </c>
      <c r="U139" s="2">
        <v>3</v>
      </c>
      <c r="V139" s="2" t="s">
        <v>265</v>
      </c>
      <c r="W139" s="2">
        <v>3</v>
      </c>
      <c r="X139" s="2" t="s">
        <v>267</v>
      </c>
      <c r="Y139" s="2">
        <v>3</v>
      </c>
      <c r="Z139" s="2" t="s">
        <v>269</v>
      </c>
      <c r="AA139" s="2">
        <v>2</v>
      </c>
      <c r="AB139" s="2"/>
      <c r="AC139" s="2"/>
      <c r="AD139" s="2"/>
    </row>
    <row r="140" spans="1:30" x14ac:dyDescent="0.35">
      <c r="A140" s="2">
        <v>139</v>
      </c>
      <c r="B140" s="2" t="s">
        <v>365</v>
      </c>
      <c r="C140" s="2" t="s">
        <v>109</v>
      </c>
      <c r="D140" s="2" t="s">
        <v>111</v>
      </c>
      <c r="E140" s="2">
        <v>9</v>
      </c>
      <c r="F140" s="2">
        <f t="shared" si="53"/>
        <v>500</v>
      </c>
      <c r="G140" s="2" t="s">
        <v>274</v>
      </c>
      <c r="H140" s="2" t="s">
        <v>121</v>
      </c>
      <c r="I140" s="2">
        <f t="shared" si="61"/>
        <v>30</v>
      </c>
      <c r="J140" s="2">
        <f t="shared" si="62"/>
        <v>43</v>
      </c>
      <c r="K140" s="2">
        <f t="shared" si="63"/>
        <v>515</v>
      </c>
      <c r="L140" s="2">
        <v>0</v>
      </c>
      <c r="M140" s="2">
        <v>0</v>
      </c>
      <c r="N140" s="2">
        <v>2</v>
      </c>
      <c r="O140" s="2">
        <v>440</v>
      </c>
      <c r="P140" s="2">
        <v>130</v>
      </c>
      <c r="Q140" s="2">
        <f t="shared" si="60"/>
        <v>32</v>
      </c>
      <c r="R140" s="2" t="s">
        <v>261</v>
      </c>
      <c r="S140" s="2">
        <v>3</v>
      </c>
      <c r="T140" s="2" t="s">
        <v>263</v>
      </c>
      <c r="U140" s="2">
        <v>3</v>
      </c>
      <c r="V140" s="2" t="s">
        <v>265</v>
      </c>
      <c r="W140" s="2">
        <v>3</v>
      </c>
      <c r="X140" s="2" t="s">
        <v>267</v>
      </c>
      <c r="Y140" s="2">
        <v>3</v>
      </c>
      <c r="Z140" s="2" t="s">
        <v>269</v>
      </c>
      <c r="AA140" s="2">
        <v>3</v>
      </c>
      <c r="AB140" s="2"/>
      <c r="AC140" s="2"/>
      <c r="AD140" s="2"/>
    </row>
    <row r="141" spans="1:30" x14ac:dyDescent="0.35">
      <c r="A141" s="2">
        <v>140</v>
      </c>
      <c r="B141" s="2" t="s">
        <v>365</v>
      </c>
      <c r="C141" s="2" t="s">
        <v>109</v>
      </c>
      <c r="D141" s="2" t="s">
        <v>111</v>
      </c>
      <c r="E141" s="2">
        <v>10</v>
      </c>
      <c r="F141" s="2">
        <f t="shared" si="53"/>
        <v>550</v>
      </c>
      <c r="G141" s="2" t="s">
        <v>274</v>
      </c>
      <c r="H141" s="2" t="s">
        <v>121</v>
      </c>
      <c r="I141" s="2">
        <f t="shared" si="61"/>
        <v>32</v>
      </c>
      <c r="J141" s="2">
        <f t="shared" si="62"/>
        <v>46</v>
      </c>
      <c r="K141" s="2">
        <f t="shared" si="63"/>
        <v>540</v>
      </c>
      <c r="L141" s="2">
        <v>0</v>
      </c>
      <c r="M141" s="2">
        <v>0</v>
      </c>
      <c r="N141" s="2">
        <v>2</v>
      </c>
      <c r="O141" s="2">
        <v>440</v>
      </c>
      <c r="P141" s="2">
        <v>130</v>
      </c>
      <c r="Q141" s="2">
        <f t="shared" si="60"/>
        <v>36</v>
      </c>
      <c r="R141" s="2" t="s">
        <v>261</v>
      </c>
      <c r="S141" s="2">
        <v>3</v>
      </c>
      <c r="T141" s="2" t="s">
        <v>263</v>
      </c>
      <c r="U141" s="2">
        <v>3</v>
      </c>
      <c r="V141" s="2" t="s">
        <v>265</v>
      </c>
      <c r="W141" s="2">
        <v>3</v>
      </c>
      <c r="X141" s="2" t="s">
        <v>267</v>
      </c>
      <c r="Y141" s="2">
        <v>3</v>
      </c>
      <c r="Z141" s="2" t="s">
        <v>269</v>
      </c>
      <c r="AA141" s="2">
        <v>3</v>
      </c>
      <c r="AB141" s="2"/>
      <c r="AC141" s="2"/>
      <c r="AD141" s="2"/>
    </row>
    <row r="142" spans="1:30" x14ac:dyDescent="0.35">
      <c r="A142" s="2">
        <v>141</v>
      </c>
      <c r="B142" s="2" t="s">
        <v>123</v>
      </c>
      <c r="C142" s="2" t="s">
        <v>123</v>
      </c>
      <c r="D142" s="2" t="s">
        <v>24</v>
      </c>
      <c r="E142" s="2" t="s">
        <v>24</v>
      </c>
      <c r="F142" s="2" t="s">
        <v>24</v>
      </c>
      <c r="G142" s="2" t="s">
        <v>119</v>
      </c>
      <c r="H142" s="2" t="s">
        <v>118</v>
      </c>
      <c r="I142" s="2">
        <v>1</v>
      </c>
      <c r="J142" s="2">
        <v>2</v>
      </c>
      <c r="K142" s="2">
        <v>40</v>
      </c>
      <c r="L142" s="2">
        <v>0</v>
      </c>
      <c r="M142" s="2">
        <v>0</v>
      </c>
      <c r="N142" s="2">
        <v>1</v>
      </c>
      <c r="O142" s="2">
        <v>10</v>
      </c>
      <c r="P142" s="2">
        <v>50</v>
      </c>
      <c r="Q142" s="2" t="s">
        <v>24</v>
      </c>
      <c r="R142" s="2" t="s">
        <v>24</v>
      </c>
      <c r="S142" s="2" t="s">
        <v>24</v>
      </c>
      <c r="T142" s="2" t="s">
        <v>24</v>
      </c>
      <c r="U142" s="2" t="s">
        <v>24</v>
      </c>
      <c r="V142" s="2" t="s">
        <v>24</v>
      </c>
      <c r="W142" s="2" t="s">
        <v>24</v>
      </c>
      <c r="X142" s="2" t="s">
        <v>24</v>
      </c>
      <c r="Y142" s="2" t="s">
        <v>24</v>
      </c>
      <c r="Z142" s="2" t="s">
        <v>24</v>
      </c>
      <c r="AA142" s="2" t="s">
        <v>24</v>
      </c>
      <c r="AB142" s="2"/>
      <c r="AC142" s="2"/>
      <c r="AD142" s="2"/>
    </row>
    <row r="143" spans="1:30" x14ac:dyDescent="0.35">
      <c r="A143" s="2">
        <v>142</v>
      </c>
      <c r="B143" s="2" t="s">
        <v>123</v>
      </c>
      <c r="C143" s="2" t="s">
        <v>371</v>
      </c>
      <c r="D143" s="2" t="s">
        <v>24</v>
      </c>
      <c r="E143" s="2" t="s">
        <v>24</v>
      </c>
      <c r="F143" s="2" t="s">
        <v>24</v>
      </c>
      <c r="G143" s="2" t="s">
        <v>119</v>
      </c>
      <c r="H143" s="2" t="s">
        <v>121</v>
      </c>
      <c r="I143" s="2">
        <v>8</v>
      </c>
      <c r="J143" s="2">
        <v>12</v>
      </c>
      <c r="K143" s="2">
        <v>60</v>
      </c>
      <c r="L143" s="2">
        <v>0</v>
      </c>
      <c r="M143" s="2">
        <v>0</v>
      </c>
      <c r="N143" s="2">
        <v>1</v>
      </c>
      <c r="O143" s="2">
        <v>400</v>
      </c>
      <c r="P143" s="2">
        <v>75</v>
      </c>
      <c r="Q143" s="2" t="s">
        <v>24</v>
      </c>
      <c r="R143" s="2" t="s">
        <v>24</v>
      </c>
      <c r="S143" s="2" t="s">
        <v>24</v>
      </c>
      <c r="T143" s="2" t="s">
        <v>24</v>
      </c>
      <c r="U143" s="2" t="s">
        <v>24</v>
      </c>
      <c r="V143" s="2" t="s">
        <v>24</v>
      </c>
      <c r="W143" s="2" t="s">
        <v>24</v>
      </c>
      <c r="X143" s="2" t="s">
        <v>24</v>
      </c>
      <c r="Y143" s="2" t="s">
        <v>24</v>
      </c>
      <c r="Z143" s="2" t="s">
        <v>24</v>
      </c>
      <c r="AA143" s="2" t="s">
        <v>24</v>
      </c>
      <c r="AB143" s="2"/>
      <c r="AC143" s="2"/>
      <c r="AD143" s="2"/>
    </row>
    <row r="144" spans="1:30" x14ac:dyDescent="0.35">
      <c r="A144" s="2">
        <v>143</v>
      </c>
      <c r="B144" s="2" t="s">
        <v>123</v>
      </c>
      <c r="C144" s="2" t="s">
        <v>51</v>
      </c>
      <c r="D144" s="2" t="s">
        <v>24</v>
      </c>
      <c r="E144" s="2" t="s">
        <v>24</v>
      </c>
      <c r="F144" s="2" t="s">
        <v>24</v>
      </c>
      <c r="G144" s="2" t="s">
        <v>119</v>
      </c>
      <c r="H144" s="2" t="s">
        <v>121</v>
      </c>
      <c r="I144" s="2">
        <v>8</v>
      </c>
      <c r="J144" s="2">
        <v>12</v>
      </c>
      <c r="K144" s="2">
        <v>60</v>
      </c>
      <c r="L144" s="2">
        <v>0</v>
      </c>
      <c r="M144" s="2">
        <v>0</v>
      </c>
      <c r="N144" s="2">
        <v>1</v>
      </c>
      <c r="O144" s="2">
        <v>400</v>
      </c>
      <c r="P144" s="2">
        <v>75</v>
      </c>
      <c r="Q144" s="2" t="s">
        <v>24</v>
      </c>
      <c r="R144" s="2" t="s">
        <v>24</v>
      </c>
      <c r="S144" s="2" t="s">
        <v>24</v>
      </c>
      <c r="T144" s="2" t="s">
        <v>24</v>
      </c>
      <c r="U144" s="2" t="s">
        <v>24</v>
      </c>
      <c r="V144" s="2" t="s">
        <v>24</v>
      </c>
      <c r="W144" s="2" t="s">
        <v>24</v>
      </c>
      <c r="X144" s="2" t="s">
        <v>24</v>
      </c>
      <c r="Y144" s="2" t="s">
        <v>24</v>
      </c>
      <c r="Z144" s="2" t="s">
        <v>24</v>
      </c>
      <c r="AA144" s="2" t="s">
        <v>24</v>
      </c>
      <c r="AB144" s="2"/>
      <c r="AC144" s="2"/>
      <c r="AD144" s="2"/>
    </row>
    <row r="145" spans="1:30" x14ac:dyDescent="0.35">
      <c r="A145" s="2">
        <v>144</v>
      </c>
      <c r="B145" s="2" t="s">
        <v>123</v>
      </c>
      <c r="C145" s="2" t="s">
        <v>372</v>
      </c>
      <c r="D145" s="2" t="s">
        <v>24</v>
      </c>
      <c r="E145" s="2" t="s">
        <v>24</v>
      </c>
      <c r="F145" s="2" t="s">
        <v>24</v>
      </c>
      <c r="G145" s="2" t="s">
        <v>119</v>
      </c>
      <c r="H145" s="2" t="s">
        <v>118</v>
      </c>
      <c r="I145" s="2">
        <v>4</v>
      </c>
      <c r="J145" s="2">
        <v>8</v>
      </c>
      <c r="K145" s="2">
        <v>100</v>
      </c>
      <c r="L145" s="2">
        <v>40</v>
      </c>
      <c r="M145" s="2">
        <v>0</v>
      </c>
      <c r="N145" s="2">
        <v>1</v>
      </c>
      <c r="O145" s="2">
        <v>10</v>
      </c>
      <c r="P145" s="2">
        <v>50</v>
      </c>
      <c r="Q145" s="2" t="s">
        <v>24</v>
      </c>
      <c r="R145" s="2" t="s">
        <v>24</v>
      </c>
      <c r="S145" s="2" t="s">
        <v>24</v>
      </c>
      <c r="T145" s="2" t="s">
        <v>24</v>
      </c>
      <c r="U145" s="2" t="s">
        <v>24</v>
      </c>
      <c r="V145" s="2" t="s">
        <v>24</v>
      </c>
      <c r="W145" s="2" t="s">
        <v>24</v>
      </c>
      <c r="X145" s="2" t="s">
        <v>24</v>
      </c>
      <c r="Y145" s="2" t="s">
        <v>24</v>
      </c>
      <c r="Z145" s="2" t="s">
        <v>24</v>
      </c>
      <c r="AA145" s="2" t="s">
        <v>24</v>
      </c>
      <c r="AB145" s="2"/>
      <c r="AC145" s="2"/>
      <c r="AD145" s="2"/>
    </row>
    <row r="146" spans="1:30" x14ac:dyDescent="0.35">
      <c r="A146" s="2">
        <v>145</v>
      </c>
      <c r="B146" s="2" t="s">
        <v>123</v>
      </c>
      <c r="C146" s="2" t="s">
        <v>373</v>
      </c>
      <c r="D146" s="2" t="s">
        <v>24</v>
      </c>
      <c r="E146" s="2" t="s">
        <v>24</v>
      </c>
      <c r="F146" s="2" t="s">
        <v>24</v>
      </c>
      <c r="G146" s="2" t="s">
        <v>119</v>
      </c>
      <c r="H146" s="2" t="s">
        <v>118</v>
      </c>
      <c r="I146" s="2">
        <v>10</v>
      </c>
      <c r="J146" s="2">
        <v>14</v>
      </c>
      <c r="K146" s="2">
        <v>140</v>
      </c>
      <c r="L146" s="2">
        <v>60</v>
      </c>
      <c r="M146" s="2">
        <v>0</v>
      </c>
      <c r="N146" s="2">
        <v>1</v>
      </c>
      <c r="O146" s="2">
        <v>10</v>
      </c>
      <c r="P146" s="2">
        <v>50</v>
      </c>
      <c r="Q146" s="2" t="s">
        <v>24</v>
      </c>
      <c r="R146" s="2" t="s">
        <v>24</v>
      </c>
      <c r="S146" s="2" t="s">
        <v>24</v>
      </c>
      <c r="T146" s="2" t="s">
        <v>24</v>
      </c>
      <c r="U146" s="2" t="s">
        <v>24</v>
      </c>
      <c r="V146" s="2" t="s">
        <v>24</v>
      </c>
      <c r="W146" s="2" t="s">
        <v>24</v>
      </c>
      <c r="X146" s="2" t="s">
        <v>24</v>
      </c>
      <c r="Y146" s="2" t="s">
        <v>24</v>
      </c>
      <c r="Z146" s="2" t="s">
        <v>24</v>
      </c>
      <c r="AA146" s="2" t="s">
        <v>24</v>
      </c>
      <c r="AB146" s="2"/>
      <c r="AC146" s="2"/>
      <c r="AD146" s="2"/>
    </row>
    <row r="147" spans="1:30" x14ac:dyDescent="0.35">
      <c r="A147" s="2">
        <v>146</v>
      </c>
      <c r="B147" s="2" t="s">
        <v>366</v>
      </c>
      <c r="C147" s="2" t="s">
        <v>362</v>
      </c>
      <c r="D147" s="2" t="s">
        <v>24</v>
      </c>
      <c r="E147" s="2" t="s">
        <v>24</v>
      </c>
      <c r="F147" s="2" t="s">
        <v>24</v>
      </c>
      <c r="G147" s="2" t="s">
        <v>119</v>
      </c>
      <c r="H147" s="2" t="s">
        <v>118</v>
      </c>
      <c r="I147" s="2">
        <v>12</v>
      </c>
      <c r="J147" s="2">
        <v>18</v>
      </c>
      <c r="K147" s="2">
        <v>200</v>
      </c>
      <c r="L147" s="2">
        <v>20</v>
      </c>
      <c r="M147" s="2">
        <v>0</v>
      </c>
      <c r="N147" s="2">
        <v>1</v>
      </c>
      <c r="O147" s="2">
        <v>10</v>
      </c>
      <c r="P147" s="2">
        <v>50</v>
      </c>
      <c r="Q147" s="2" t="s">
        <v>24</v>
      </c>
      <c r="R147" s="2" t="s">
        <v>24</v>
      </c>
      <c r="S147" s="2" t="s">
        <v>24</v>
      </c>
      <c r="T147" s="2" t="s">
        <v>24</v>
      </c>
      <c r="U147" s="2" t="s">
        <v>24</v>
      </c>
      <c r="V147" s="2" t="s">
        <v>24</v>
      </c>
      <c r="W147" s="2" t="s">
        <v>24</v>
      </c>
      <c r="X147" s="2" t="s">
        <v>24</v>
      </c>
      <c r="Y147" s="2" t="s">
        <v>24</v>
      </c>
      <c r="Z147" s="2" t="s">
        <v>24</v>
      </c>
      <c r="AA147" s="2" t="s">
        <v>24</v>
      </c>
      <c r="AB147" s="2"/>
      <c r="AC147" s="2"/>
      <c r="AD147" s="2"/>
    </row>
    <row r="148" spans="1:30" x14ac:dyDescent="0.35">
      <c r="A148" s="2">
        <v>147</v>
      </c>
      <c r="B148" s="2" t="s">
        <v>366</v>
      </c>
      <c r="C148" s="2" t="s">
        <v>369</v>
      </c>
      <c r="D148" s="2" t="s">
        <v>24</v>
      </c>
      <c r="E148" s="2" t="s">
        <v>24</v>
      </c>
      <c r="F148" s="2" t="s">
        <v>24</v>
      </c>
      <c r="G148" s="2" t="s">
        <v>274</v>
      </c>
      <c r="H148" s="2" t="s">
        <v>121</v>
      </c>
      <c r="I148" s="2">
        <v>11</v>
      </c>
      <c r="J148" s="2">
        <v>17</v>
      </c>
      <c r="K148" s="2">
        <v>120</v>
      </c>
      <c r="L148" s="2">
        <v>0</v>
      </c>
      <c r="M148" s="2">
        <v>0</v>
      </c>
      <c r="N148" s="2">
        <v>1</v>
      </c>
      <c r="O148" s="2">
        <v>400</v>
      </c>
      <c r="P148" s="2">
        <v>90</v>
      </c>
      <c r="Q148" s="2" t="s">
        <v>24</v>
      </c>
      <c r="R148" s="2" t="s">
        <v>24</v>
      </c>
      <c r="S148" s="2" t="s">
        <v>24</v>
      </c>
      <c r="T148" s="2" t="s">
        <v>24</v>
      </c>
      <c r="U148" s="2" t="s">
        <v>24</v>
      </c>
      <c r="V148" s="2" t="s">
        <v>24</v>
      </c>
      <c r="W148" s="2" t="s">
        <v>24</v>
      </c>
      <c r="X148" s="2" t="s">
        <v>24</v>
      </c>
      <c r="Y148" s="2" t="s">
        <v>24</v>
      </c>
      <c r="Z148" s="2" t="s">
        <v>24</v>
      </c>
      <c r="AA148" s="2" t="s">
        <v>24</v>
      </c>
      <c r="AB148" s="2"/>
      <c r="AC148" s="2"/>
      <c r="AD148" s="2"/>
    </row>
    <row r="149" spans="1:30" x14ac:dyDescent="0.35">
      <c r="A149" s="2">
        <v>148</v>
      </c>
      <c r="B149" s="2" t="s">
        <v>367</v>
      </c>
      <c r="C149" s="2" t="s">
        <v>370</v>
      </c>
      <c r="D149" s="2" t="s">
        <v>24</v>
      </c>
      <c r="E149" s="2" t="s">
        <v>24</v>
      </c>
      <c r="F149" s="2" t="s">
        <v>24</v>
      </c>
      <c r="G149" s="2" t="s">
        <v>119</v>
      </c>
      <c r="H149" s="2" t="s">
        <v>121</v>
      </c>
      <c r="I149" s="2">
        <v>12</v>
      </c>
      <c r="J149" s="2">
        <v>18</v>
      </c>
      <c r="K149" s="2">
        <v>92</v>
      </c>
      <c r="L149" s="2">
        <v>10</v>
      </c>
      <c r="M149" s="2">
        <v>0</v>
      </c>
      <c r="N149" s="2">
        <v>1</v>
      </c>
      <c r="O149" s="2">
        <v>400</v>
      </c>
      <c r="P149" s="2">
        <v>75</v>
      </c>
      <c r="Q149" s="2" t="s">
        <v>24</v>
      </c>
      <c r="R149" s="2" t="s">
        <v>24</v>
      </c>
      <c r="S149" s="2" t="s">
        <v>24</v>
      </c>
      <c r="T149" s="2" t="s">
        <v>24</v>
      </c>
      <c r="U149" s="2" t="s">
        <v>24</v>
      </c>
      <c r="V149" s="2" t="s">
        <v>24</v>
      </c>
      <c r="W149" s="2" t="s">
        <v>24</v>
      </c>
      <c r="X149" s="2" t="s">
        <v>24</v>
      </c>
      <c r="Y149" s="2" t="s">
        <v>24</v>
      </c>
      <c r="Z149" s="2" t="s">
        <v>24</v>
      </c>
      <c r="AA149" s="2" t="s">
        <v>24</v>
      </c>
      <c r="AB149" s="2"/>
      <c r="AC149" s="2"/>
      <c r="AD149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626C-E393-4698-B4B8-28C37DD8239E}">
  <sheetPr codeName="Sheet4"/>
  <dimension ref="A1:R20"/>
  <sheetViews>
    <sheetView workbookViewId="0">
      <selection activeCell="Q4" sqref="Q4"/>
    </sheetView>
  </sheetViews>
  <sheetFormatPr defaultColWidth="12.77734375" defaultRowHeight="15.6" x14ac:dyDescent="0.35"/>
  <cols>
    <col min="1" max="14" width="12.77734375" style="1"/>
    <col min="15" max="15" width="12.77734375" style="1" customWidth="1"/>
    <col min="16" max="16" width="12.77734375" style="1"/>
    <col min="17" max="17" width="20.77734375" style="1" customWidth="1"/>
    <col min="18" max="16384" width="12.77734375" style="1"/>
  </cols>
  <sheetData>
    <row r="1" spans="1:18" x14ac:dyDescent="0.35">
      <c r="A1" s="2" t="s">
        <v>2</v>
      </c>
      <c r="B1" s="2" t="s">
        <v>3</v>
      </c>
      <c r="C1" s="2" t="s">
        <v>4</v>
      </c>
      <c r="D1" s="2" t="s">
        <v>8</v>
      </c>
      <c r="E1" s="2" t="s">
        <v>84</v>
      </c>
      <c r="F1" s="2" t="s">
        <v>85</v>
      </c>
      <c r="G1" s="2" t="s">
        <v>6</v>
      </c>
      <c r="H1" s="2" t="s">
        <v>5</v>
      </c>
      <c r="I1" s="2" t="s">
        <v>11</v>
      </c>
      <c r="J1" s="2" t="s">
        <v>10</v>
      </c>
      <c r="K1" s="2" t="s">
        <v>124</v>
      </c>
      <c r="L1" s="2" t="s">
        <v>354</v>
      </c>
      <c r="M1" s="2" t="s">
        <v>355</v>
      </c>
      <c r="N1" s="2" t="s">
        <v>7</v>
      </c>
      <c r="O1" s="2" t="s">
        <v>12</v>
      </c>
      <c r="P1" s="2" t="s">
        <v>13</v>
      </c>
      <c r="Q1" s="2" t="s">
        <v>383</v>
      </c>
      <c r="R1" s="2" t="s">
        <v>356</v>
      </c>
    </row>
    <row r="2" spans="1:18" x14ac:dyDescent="0.35">
      <c r="A2" s="2">
        <v>1</v>
      </c>
      <c r="B2" s="2" t="s">
        <v>9</v>
      </c>
      <c r="C2" s="2">
        <v>1</v>
      </c>
      <c r="D2" s="2">
        <v>70</v>
      </c>
      <c r="E2" s="2" t="s">
        <v>119</v>
      </c>
      <c r="F2" s="2" t="s">
        <v>121</v>
      </c>
      <c r="G2" s="2">
        <v>3</v>
      </c>
      <c r="H2" s="2">
        <v>5</v>
      </c>
      <c r="I2" s="2" t="s">
        <v>17</v>
      </c>
      <c r="J2" s="2" t="s">
        <v>17</v>
      </c>
      <c r="K2" s="2" t="s">
        <v>17</v>
      </c>
      <c r="L2" s="2">
        <v>0.8</v>
      </c>
      <c r="M2" s="2">
        <v>1</v>
      </c>
      <c r="N2" s="2">
        <v>375</v>
      </c>
      <c r="O2" s="2" t="s">
        <v>17</v>
      </c>
      <c r="P2" s="2" t="s">
        <v>17</v>
      </c>
      <c r="Q2" s="2">
        <f>ROUND((G2+H2)/2*M2/L2+IFERROR(_xlfn.XLOOKUP(O2,'01技能表'!$B:$B,'01技能表'!$F:$F),0)+IFERROR(_xlfn.XLOOKUP(P2,'01技能表'!$B:$B,'01技能表'!$F:$F),0),1)</f>
        <v>5</v>
      </c>
      <c r="R2" s="2">
        <f t="shared" ref="R2:R9" si="0">ROUND(Q2/D2,2)</f>
        <v>7.0000000000000007E-2</v>
      </c>
    </row>
    <row r="3" spans="1:18" x14ac:dyDescent="0.35">
      <c r="A3" s="2">
        <v>2</v>
      </c>
      <c r="B3" s="2" t="s">
        <v>9</v>
      </c>
      <c r="C3" s="2">
        <v>2</v>
      </c>
      <c r="D3" s="2">
        <v>100</v>
      </c>
      <c r="E3" s="2" t="s">
        <v>119</v>
      </c>
      <c r="F3" s="2" t="s">
        <v>121</v>
      </c>
      <c r="G3" s="2">
        <v>8</v>
      </c>
      <c r="H3" s="2">
        <v>11</v>
      </c>
      <c r="I3" s="2" t="s">
        <v>17</v>
      </c>
      <c r="J3" s="2" t="s">
        <v>17</v>
      </c>
      <c r="K3" s="2" t="s">
        <v>17</v>
      </c>
      <c r="L3" s="2">
        <v>0.8</v>
      </c>
      <c r="M3" s="2">
        <v>1</v>
      </c>
      <c r="N3" s="2">
        <f>ROUND(N2*1.1,0)</f>
        <v>413</v>
      </c>
      <c r="O3" s="2" t="s">
        <v>17</v>
      </c>
      <c r="P3" s="2" t="s">
        <v>17</v>
      </c>
      <c r="Q3" s="2">
        <f>ROUND((G3+H3)/2*M3/L3+IFERROR(_xlfn.XLOOKUP(O3,'01技能表'!$B:$B,'01技能表'!$F:$F),0)+IFERROR(_xlfn.XLOOKUP(P3,'01技能表'!$B:$B,'01技能表'!$F:$F),0),1)</f>
        <v>11.9</v>
      </c>
      <c r="R3" s="2">
        <f t="shared" si="0"/>
        <v>0.12</v>
      </c>
    </row>
    <row r="4" spans="1:18" x14ac:dyDescent="0.35">
      <c r="A4" s="2">
        <v>3</v>
      </c>
      <c r="B4" s="2" t="s">
        <v>9</v>
      </c>
      <c r="C4" s="2">
        <v>3</v>
      </c>
      <c r="D4" s="2">
        <v>160</v>
      </c>
      <c r="E4" s="2" t="s">
        <v>119</v>
      </c>
      <c r="F4" s="2" t="s">
        <v>121</v>
      </c>
      <c r="G4" s="2">
        <v>15</v>
      </c>
      <c r="H4" s="2">
        <v>23</v>
      </c>
      <c r="I4" s="2" t="s">
        <v>17</v>
      </c>
      <c r="J4" s="2" t="s">
        <v>17</v>
      </c>
      <c r="K4" s="2" t="s">
        <v>17</v>
      </c>
      <c r="L4" s="2">
        <v>0.8</v>
      </c>
      <c r="M4" s="2">
        <v>1</v>
      </c>
      <c r="N4" s="2">
        <f t="shared" ref="N4:N5" si="1">ROUND(N3*1.1,0)</f>
        <v>454</v>
      </c>
      <c r="O4" s="2" t="s">
        <v>17</v>
      </c>
      <c r="P4" s="2" t="s">
        <v>17</v>
      </c>
      <c r="Q4" s="2">
        <f>ROUND((G4+H4)/2*M4/L4+IFERROR(_xlfn.XLOOKUP(O4,'01技能表'!$B:$B,'01技能表'!$F:$F),0)+IFERROR(_xlfn.XLOOKUP(P4,'01技能表'!$B:$B,'01技能表'!$F:$F),0),1)</f>
        <v>23.8</v>
      </c>
      <c r="R4" s="2">
        <f t="shared" si="0"/>
        <v>0.15</v>
      </c>
    </row>
    <row r="5" spans="1:18" x14ac:dyDescent="0.35">
      <c r="A5" s="2">
        <v>4</v>
      </c>
      <c r="B5" s="2" t="s">
        <v>9</v>
      </c>
      <c r="C5" s="2">
        <v>4</v>
      </c>
      <c r="D5" s="2">
        <v>250</v>
      </c>
      <c r="E5" s="2" t="s">
        <v>119</v>
      </c>
      <c r="F5" s="2" t="s">
        <v>121</v>
      </c>
      <c r="G5" s="2">
        <v>26</v>
      </c>
      <c r="H5" s="2">
        <v>38</v>
      </c>
      <c r="I5" s="2" t="s">
        <v>17</v>
      </c>
      <c r="J5" s="2" t="s">
        <v>17</v>
      </c>
      <c r="K5" s="2" t="s">
        <v>17</v>
      </c>
      <c r="L5" s="2">
        <v>0.8</v>
      </c>
      <c r="M5" s="2">
        <v>1</v>
      </c>
      <c r="N5" s="2">
        <f t="shared" si="1"/>
        <v>499</v>
      </c>
      <c r="O5" s="2" t="s">
        <v>313</v>
      </c>
      <c r="P5" s="2" t="s">
        <v>314</v>
      </c>
      <c r="Q5" s="2">
        <f>ROUND((G5+H5)/2*M5/L5+IFERROR(_xlfn.XLOOKUP(O5,'01技能表'!$B:$B,'01技能表'!$F:$F),0)+IFERROR(_xlfn.XLOOKUP(P5,'01技能表'!$B:$B,'01技能表'!$F:$F),0),1)</f>
        <v>40</v>
      </c>
      <c r="R5" s="2">
        <f t="shared" si="0"/>
        <v>0.16</v>
      </c>
    </row>
    <row r="6" spans="1:18" x14ac:dyDescent="0.35">
      <c r="A6" s="2">
        <v>5</v>
      </c>
      <c r="B6" s="2" t="s">
        <v>16</v>
      </c>
      <c r="C6" s="2">
        <v>1</v>
      </c>
      <c r="D6" s="2">
        <v>70</v>
      </c>
      <c r="E6" s="2" t="s">
        <v>119</v>
      </c>
      <c r="F6" s="2" t="s">
        <v>118</v>
      </c>
      <c r="G6" s="2">
        <v>1</v>
      </c>
      <c r="H6" s="2">
        <v>3</v>
      </c>
      <c r="I6" s="2">
        <v>0</v>
      </c>
      <c r="J6" s="2">
        <v>0</v>
      </c>
      <c r="K6" s="2">
        <v>44</v>
      </c>
      <c r="L6" s="2">
        <v>1</v>
      </c>
      <c r="M6" s="2">
        <v>3</v>
      </c>
      <c r="N6" s="2">
        <v>10</v>
      </c>
      <c r="O6" s="2" t="s">
        <v>17</v>
      </c>
      <c r="P6" s="2" t="s">
        <v>17</v>
      </c>
      <c r="Q6" s="2">
        <f>ROUND((G6+H6)/2*M6/L6+IFERROR(_xlfn.XLOOKUP(O6,'01技能表'!$B:$B,'01技能表'!$F:$F),0)+IFERROR(_xlfn.XLOOKUP(P6,'01技能表'!$B:$B,'01技能表'!$F:$F),0),1)</f>
        <v>6</v>
      </c>
      <c r="R6" s="2">
        <f t="shared" si="0"/>
        <v>0.09</v>
      </c>
    </row>
    <row r="7" spans="1:18" x14ac:dyDescent="0.35">
      <c r="A7" s="2">
        <v>6</v>
      </c>
      <c r="B7" s="2" t="s">
        <v>125</v>
      </c>
      <c r="C7" s="2">
        <v>1</v>
      </c>
      <c r="D7" s="2">
        <v>110</v>
      </c>
      <c r="E7" s="2" t="s">
        <v>126</v>
      </c>
      <c r="F7" s="2" t="s">
        <v>121</v>
      </c>
      <c r="G7" s="2">
        <v>12</v>
      </c>
      <c r="H7" s="2">
        <v>18</v>
      </c>
      <c r="I7" s="2" t="s">
        <v>17</v>
      </c>
      <c r="J7" s="2" t="s">
        <v>17</v>
      </c>
      <c r="K7" s="2" t="s">
        <v>17</v>
      </c>
      <c r="L7" s="2">
        <v>2</v>
      </c>
      <c r="M7" s="2">
        <v>1</v>
      </c>
      <c r="N7" s="2">
        <v>375</v>
      </c>
      <c r="O7" s="2" t="s">
        <v>17</v>
      </c>
      <c r="P7" s="2" t="s">
        <v>17</v>
      </c>
      <c r="Q7" s="2">
        <f>ROUND((G7+H7)/2*M7/L7+IFERROR(_xlfn.XLOOKUP(O7,'01技能表'!$B:$B,'01技能表'!$F:$F),0)+IFERROR(_xlfn.XLOOKUP(P7,'01技能表'!$B:$B,'01技能表'!$F:$F),0),1)</f>
        <v>7.5</v>
      </c>
      <c r="R7" s="2">
        <f t="shared" si="0"/>
        <v>7.0000000000000007E-2</v>
      </c>
    </row>
    <row r="8" spans="1:18" x14ac:dyDescent="0.35">
      <c r="A8" s="2">
        <v>7</v>
      </c>
      <c r="B8" s="2" t="s">
        <v>300</v>
      </c>
      <c r="C8" s="2">
        <v>1</v>
      </c>
      <c r="D8" s="2">
        <v>140</v>
      </c>
      <c r="E8" s="2" t="s">
        <v>119</v>
      </c>
      <c r="F8" s="2" t="s">
        <v>121</v>
      </c>
      <c r="G8" s="2">
        <v>3</v>
      </c>
      <c r="H8" s="2">
        <v>5</v>
      </c>
      <c r="I8" s="2" t="s">
        <v>17</v>
      </c>
      <c r="J8" s="2" t="s">
        <v>17</v>
      </c>
      <c r="K8" s="2" t="s">
        <v>17</v>
      </c>
      <c r="L8" s="2">
        <v>3</v>
      </c>
      <c r="M8" s="2">
        <v>6</v>
      </c>
      <c r="N8" s="2">
        <v>375</v>
      </c>
      <c r="O8" s="2" t="s">
        <v>17</v>
      </c>
      <c r="P8" s="2" t="s">
        <v>17</v>
      </c>
      <c r="Q8" s="2">
        <f>ROUND((G8+H8)/2*M8/L8+IFERROR(_xlfn.XLOOKUP(O8,'01技能表'!$B:$B,'01技能表'!$F:$F),0)+IFERROR(_xlfn.XLOOKUP(P8,'01技能表'!$B:$B,'01技能表'!$F:$F),0),1)</f>
        <v>8</v>
      </c>
      <c r="R8" s="2">
        <f t="shared" si="0"/>
        <v>0.06</v>
      </c>
    </row>
    <row r="9" spans="1:18" x14ac:dyDescent="0.35">
      <c r="A9" s="2">
        <v>8</v>
      </c>
      <c r="B9" s="2" t="s">
        <v>301</v>
      </c>
      <c r="C9" s="2">
        <v>1</v>
      </c>
      <c r="D9" s="2">
        <v>90</v>
      </c>
      <c r="E9" s="2" t="s">
        <v>119</v>
      </c>
      <c r="F9" s="2" t="s">
        <v>121</v>
      </c>
      <c r="G9" s="1">
        <v>3</v>
      </c>
      <c r="H9" s="2">
        <v>5</v>
      </c>
      <c r="I9" s="2" t="s">
        <v>17</v>
      </c>
      <c r="J9" s="2" t="s">
        <v>17</v>
      </c>
      <c r="K9" s="2" t="s">
        <v>17</v>
      </c>
      <c r="L9" s="2">
        <v>4</v>
      </c>
      <c r="M9" s="2">
        <v>5</v>
      </c>
      <c r="N9" s="2">
        <v>375</v>
      </c>
      <c r="O9" s="2" t="s">
        <v>17</v>
      </c>
      <c r="P9" s="2" t="s">
        <v>17</v>
      </c>
      <c r="Q9" s="2">
        <f>ROUND((G9+H9)/2*M9/L9+IFERROR(_xlfn.XLOOKUP(O9,'01技能表'!$B:$B,'01技能表'!$F:$F),0)+IFERROR(_xlfn.XLOOKUP(P9,'01技能表'!$B:$B,'01技能表'!$F:$F),0),1)</f>
        <v>5</v>
      </c>
      <c r="R9" s="2">
        <f t="shared" si="0"/>
        <v>0.06</v>
      </c>
    </row>
    <row r="10" spans="1:18" x14ac:dyDescent="0.35">
      <c r="A10" s="2">
        <v>9</v>
      </c>
      <c r="B10" s="2" t="s">
        <v>302</v>
      </c>
      <c r="C10" s="2">
        <v>1</v>
      </c>
      <c r="D10" s="2"/>
      <c r="E10" s="2"/>
      <c r="F10" s="2"/>
      <c r="G10" s="2"/>
      <c r="H10" s="2"/>
      <c r="I10" s="2"/>
      <c r="J10" s="2"/>
      <c r="K10" s="2"/>
      <c r="L10" s="2">
        <v>2</v>
      </c>
      <c r="M10" s="2"/>
      <c r="N10" s="2"/>
      <c r="O10" s="2"/>
      <c r="P10" s="2"/>
      <c r="Q10" s="2"/>
      <c r="R10" s="2"/>
    </row>
    <row r="11" spans="1:18" x14ac:dyDescent="0.35">
      <c r="A11" s="2">
        <v>10</v>
      </c>
      <c r="B11" s="2" t="s">
        <v>303</v>
      </c>
      <c r="C11" s="2">
        <v>1</v>
      </c>
      <c r="D11" s="2"/>
      <c r="E11" s="2"/>
      <c r="F11" s="2"/>
      <c r="G11" s="2"/>
      <c r="H11" s="2"/>
      <c r="I11" s="2"/>
      <c r="J11" s="2"/>
      <c r="K11" s="2"/>
      <c r="L11" s="2">
        <v>1</v>
      </c>
      <c r="M11" s="2"/>
      <c r="N11" s="2"/>
      <c r="O11" s="2"/>
      <c r="P11" s="2"/>
      <c r="Q11" s="2"/>
      <c r="R11" s="2"/>
    </row>
    <row r="12" spans="1:18" x14ac:dyDescent="0.35">
      <c r="A12" s="2">
        <v>11</v>
      </c>
      <c r="B12" s="2" t="s">
        <v>304</v>
      </c>
      <c r="C12" s="2">
        <v>1</v>
      </c>
      <c r="D12" s="2"/>
      <c r="E12" s="2"/>
      <c r="F12" s="2"/>
      <c r="G12" s="2"/>
      <c r="H12" s="2"/>
      <c r="I12" s="2"/>
      <c r="J12" s="2"/>
      <c r="K12" s="2"/>
      <c r="L12" s="2">
        <v>2.5</v>
      </c>
      <c r="M12" s="2"/>
      <c r="N12" s="2"/>
      <c r="O12" s="2"/>
      <c r="P12" s="2"/>
      <c r="Q12" s="2"/>
      <c r="R12" s="2"/>
    </row>
    <row r="13" spans="1:18" x14ac:dyDescent="0.35">
      <c r="A13" s="2">
        <v>12</v>
      </c>
      <c r="B13" s="2" t="s">
        <v>305</v>
      </c>
      <c r="C13" s="2">
        <v>1</v>
      </c>
      <c r="D13" s="2"/>
      <c r="E13" s="2"/>
      <c r="F13" s="2"/>
      <c r="G13" s="2"/>
      <c r="H13" s="2"/>
      <c r="I13" s="2"/>
      <c r="J13" s="2"/>
      <c r="K13" s="2"/>
      <c r="L13" s="2">
        <v>1.5</v>
      </c>
      <c r="M13" s="2"/>
      <c r="N13" s="2"/>
      <c r="O13" s="2"/>
      <c r="P13" s="2"/>
      <c r="Q13" s="2"/>
      <c r="R13" s="2"/>
    </row>
    <row r="14" spans="1:18" x14ac:dyDescent="0.35">
      <c r="A14" s="2">
        <v>13</v>
      </c>
      <c r="B14" s="2" t="s">
        <v>306</v>
      </c>
      <c r="C14" s="2">
        <v>1</v>
      </c>
      <c r="D14" s="2"/>
      <c r="E14" s="2"/>
      <c r="F14" s="2"/>
      <c r="G14" s="2"/>
      <c r="H14" s="2"/>
      <c r="I14" s="2"/>
      <c r="J14" s="2"/>
      <c r="K14" s="2"/>
      <c r="L14" s="2">
        <v>3</v>
      </c>
      <c r="M14" s="2"/>
      <c r="N14" s="2"/>
      <c r="O14" s="2"/>
      <c r="P14" s="2"/>
      <c r="Q14" s="2"/>
      <c r="R14" s="2"/>
    </row>
    <row r="15" spans="1:18" x14ac:dyDescent="0.35">
      <c r="A15" s="2">
        <v>14</v>
      </c>
      <c r="B15" s="2" t="s">
        <v>307</v>
      </c>
      <c r="C15" s="2">
        <v>1</v>
      </c>
      <c r="D15" s="2"/>
      <c r="E15" s="2"/>
      <c r="F15" s="2"/>
      <c r="G15" s="2"/>
      <c r="H15" s="2"/>
      <c r="I15" s="2"/>
      <c r="J15" s="2"/>
      <c r="K15" s="2"/>
      <c r="L15" s="2">
        <v>3.5</v>
      </c>
      <c r="M15" s="2"/>
      <c r="N15" s="2"/>
      <c r="O15" s="2"/>
      <c r="P15" s="2"/>
      <c r="Q15" s="2"/>
      <c r="R15" s="2"/>
    </row>
    <row r="16" spans="1:18" x14ac:dyDescent="0.35">
      <c r="A16" s="2">
        <v>15</v>
      </c>
      <c r="B16" s="2" t="s">
        <v>308</v>
      </c>
      <c r="C16" s="2">
        <v>1</v>
      </c>
      <c r="D16" s="2"/>
      <c r="E16" s="2"/>
      <c r="F16" s="2"/>
      <c r="G16" s="2"/>
      <c r="H16" s="2"/>
      <c r="I16" s="2"/>
      <c r="J16" s="2"/>
      <c r="K16" s="2"/>
      <c r="L16" s="2">
        <v>0.8</v>
      </c>
      <c r="M16" s="2"/>
      <c r="N16" s="2"/>
      <c r="O16" s="2"/>
      <c r="P16" s="2"/>
      <c r="Q16" s="2"/>
      <c r="R16" s="2"/>
    </row>
    <row r="17" spans="1:18" x14ac:dyDescent="0.35">
      <c r="A17" s="2">
        <v>16</v>
      </c>
      <c r="B17" s="2" t="s">
        <v>309</v>
      </c>
      <c r="C17" s="2">
        <v>1</v>
      </c>
      <c r="D17" s="2"/>
      <c r="E17" s="2"/>
      <c r="F17" s="2"/>
      <c r="G17" s="2"/>
      <c r="H17" s="2"/>
      <c r="I17" s="2"/>
      <c r="J17" s="2"/>
      <c r="K17" s="2"/>
      <c r="L17" s="2">
        <v>2</v>
      </c>
      <c r="M17" s="2"/>
      <c r="N17" s="2"/>
      <c r="O17" s="2"/>
      <c r="P17" s="2"/>
      <c r="Q17" s="2"/>
      <c r="R17" s="2"/>
    </row>
    <row r="18" spans="1:18" x14ac:dyDescent="0.35">
      <c r="A18" s="2">
        <v>17</v>
      </c>
      <c r="B18" s="2" t="s">
        <v>310</v>
      </c>
      <c r="C18" s="2">
        <v>1</v>
      </c>
      <c r="D18" s="2"/>
      <c r="E18" s="2"/>
      <c r="F18" s="2"/>
      <c r="G18" s="2"/>
      <c r="H18" s="2"/>
      <c r="I18" s="2"/>
      <c r="J18" s="2"/>
      <c r="K18" s="2"/>
      <c r="L18" s="2">
        <v>4.75</v>
      </c>
      <c r="M18" s="2"/>
      <c r="N18" s="2"/>
      <c r="O18" s="2"/>
      <c r="P18" s="2"/>
      <c r="Q18" s="2"/>
      <c r="R18" s="2"/>
    </row>
    <row r="19" spans="1:18" x14ac:dyDescent="0.35">
      <c r="A19" s="2">
        <v>18</v>
      </c>
      <c r="B19" s="2" t="s">
        <v>311</v>
      </c>
      <c r="C19" s="2">
        <v>1</v>
      </c>
      <c r="D19" s="2"/>
      <c r="E19" s="2"/>
      <c r="F19" s="2"/>
      <c r="G19" s="2"/>
      <c r="H19" s="2"/>
      <c r="I19" s="2"/>
      <c r="J19" s="2"/>
      <c r="K19" s="2"/>
      <c r="L19" s="2">
        <v>1</v>
      </c>
      <c r="M19" s="2"/>
      <c r="N19" s="2"/>
      <c r="O19" s="2"/>
      <c r="P19" s="2"/>
      <c r="Q19" s="2"/>
      <c r="R19" s="2"/>
    </row>
    <row r="20" spans="1:18" x14ac:dyDescent="0.35">
      <c r="A20" s="2">
        <v>19</v>
      </c>
      <c r="B20" s="2" t="s">
        <v>312</v>
      </c>
      <c r="C20" s="2">
        <v>1</v>
      </c>
      <c r="D20" s="2"/>
      <c r="E20" s="2"/>
      <c r="F20" s="2"/>
      <c r="G20" s="2"/>
      <c r="H20" s="2"/>
      <c r="I20" s="2"/>
      <c r="J20" s="2"/>
      <c r="K20" s="2"/>
      <c r="L20" s="2">
        <v>3.25</v>
      </c>
      <c r="M20" s="2"/>
      <c r="N20" s="2"/>
      <c r="O20" s="2"/>
      <c r="P20" s="2"/>
      <c r="Q20" s="2"/>
      <c r="R20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65038-F13A-436C-B530-1F2C7B29DC76}">
  <sheetPr codeName="Sheet3"/>
  <dimension ref="A1:U26"/>
  <sheetViews>
    <sheetView workbookViewId="0">
      <selection activeCell="C21" sqref="C21"/>
    </sheetView>
  </sheetViews>
  <sheetFormatPr defaultColWidth="12.77734375" defaultRowHeight="15.6" x14ac:dyDescent="0.35"/>
  <cols>
    <col min="1" max="1" width="12.77734375" style="1"/>
    <col min="2" max="3" width="18.5546875" style="1" customWidth="1"/>
    <col min="4" max="18" width="12.77734375" style="1"/>
    <col min="19" max="21" width="20.77734375" style="1" customWidth="1"/>
    <col min="22" max="16384" width="12.77734375" style="1"/>
  </cols>
  <sheetData>
    <row r="1" spans="1:21" x14ac:dyDescent="0.35">
      <c r="A1" s="2" t="s">
        <v>19</v>
      </c>
      <c r="B1" s="2" t="s">
        <v>117</v>
      </c>
      <c r="C1" s="2" t="s">
        <v>400</v>
      </c>
      <c r="D1" s="2" t="s">
        <v>115</v>
      </c>
      <c r="E1" s="2" t="s">
        <v>116</v>
      </c>
      <c r="F1" s="2" t="s">
        <v>84</v>
      </c>
      <c r="G1" s="2" t="s">
        <v>85</v>
      </c>
      <c r="H1" s="2" t="s">
        <v>87</v>
      </c>
      <c r="I1" s="2" t="s">
        <v>86</v>
      </c>
      <c r="J1" s="2" t="s">
        <v>88</v>
      </c>
      <c r="K1" s="2" t="s">
        <v>89</v>
      </c>
      <c r="L1" s="2" t="s">
        <v>120</v>
      </c>
      <c r="M1" s="2" t="s">
        <v>90</v>
      </c>
      <c r="N1" s="2" t="s">
        <v>355</v>
      </c>
      <c r="O1" s="2" t="s">
        <v>112</v>
      </c>
      <c r="P1" s="2" t="s">
        <v>91</v>
      </c>
      <c r="Q1" s="2" t="s">
        <v>12</v>
      </c>
      <c r="R1" s="2" t="s">
        <v>13</v>
      </c>
      <c r="S1" s="2" t="s">
        <v>383</v>
      </c>
      <c r="T1" s="2" t="s">
        <v>377</v>
      </c>
      <c r="U1" s="2" t="s">
        <v>378</v>
      </c>
    </row>
    <row r="2" spans="1:21" x14ac:dyDescent="0.35">
      <c r="A2" s="2">
        <v>1</v>
      </c>
      <c r="B2" s="2" t="s">
        <v>18</v>
      </c>
      <c r="C2" s="2" t="s">
        <v>401</v>
      </c>
      <c r="D2" s="2">
        <v>5</v>
      </c>
      <c r="E2" s="2">
        <v>5</v>
      </c>
      <c r="F2" s="2" t="s">
        <v>119</v>
      </c>
      <c r="G2" s="2" t="s">
        <v>118</v>
      </c>
      <c r="H2" s="2">
        <v>2</v>
      </c>
      <c r="I2" s="2">
        <v>4</v>
      </c>
      <c r="J2" s="2">
        <v>0</v>
      </c>
      <c r="K2" s="2">
        <v>0</v>
      </c>
      <c r="L2" s="2">
        <v>48</v>
      </c>
      <c r="M2" s="2">
        <v>1</v>
      </c>
      <c r="N2" s="2">
        <v>1</v>
      </c>
      <c r="O2" s="2">
        <v>10</v>
      </c>
      <c r="P2" s="2">
        <v>75</v>
      </c>
      <c r="Q2" s="2" t="s">
        <v>17</v>
      </c>
      <c r="R2" s="2" t="s">
        <v>17</v>
      </c>
      <c r="S2" s="2">
        <f>ROUND((H2+I2)/2*N2/M2+IFERROR(_xlfn.XLOOKUP(Q2,'01技能表'!$B:$B,'01技能表'!$F:$F),0)+IFERROR(_xlfn.XLOOKUP(R2,'01技能表'!$B:$B,'01技能表'!$F:$F),0),1)</f>
        <v>3</v>
      </c>
      <c r="T2" s="2">
        <f>ROUND(L2/(0.2*'01设定表'!$C$13+'01设定表'!$C$16+'01设定表'!$C$17)/((100-K2)/100),0)</f>
        <v>3</v>
      </c>
      <c r="U2" s="2">
        <f>ROUND((S2*T2)/('01设定表'!$C$18)/((100-'01设定表'!$C$19)/100),2)</f>
        <v>0.2</v>
      </c>
    </row>
    <row r="3" spans="1:21" x14ac:dyDescent="0.35">
      <c r="A3" s="2">
        <v>2</v>
      </c>
      <c r="B3" s="2" t="s">
        <v>122</v>
      </c>
      <c r="C3" s="2" t="s">
        <v>401</v>
      </c>
      <c r="D3" s="2">
        <v>10</v>
      </c>
      <c r="E3" s="2">
        <v>5</v>
      </c>
      <c r="F3" s="2" t="s">
        <v>119</v>
      </c>
      <c r="G3" s="2" t="s">
        <v>118</v>
      </c>
      <c r="H3" s="2">
        <v>4</v>
      </c>
      <c r="I3" s="2">
        <v>6</v>
      </c>
      <c r="J3" s="2">
        <v>0</v>
      </c>
      <c r="K3" s="2">
        <v>5</v>
      </c>
      <c r="L3" s="2">
        <v>80</v>
      </c>
      <c r="M3" s="2">
        <v>1</v>
      </c>
      <c r="N3" s="2">
        <v>1</v>
      </c>
      <c r="O3" s="2">
        <v>10</v>
      </c>
      <c r="P3" s="2">
        <v>60</v>
      </c>
      <c r="Q3" s="2" t="s">
        <v>17</v>
      </c>
      <c r="R3" s="2" t="s">
        <v>17</v>
      </c>
      <c r="S3" s="2">
        <f>ROUND((H3+I3)/2*N3/M3+IFERROR(_xlfn.XLOOKUP(Q3,'01技能表'!$B:$B,'01技能表'!$F:$F),0)+IFERROR(_xlfn.XLOOKUP(R3,'01技能表'!$B:$B,'01技能表'!$F:$F),0),1)</f>
        <v>5</v>
      </c>
      <c r="T3" s="2">
        <f>ROUND(L3/(0.2*'01设定表'!$C$13+'01设定表'!$C$16+'01设定表'!$C$17)/((100-K3)/100),0)</f>
        <v>6</v>
      </c>
      <c r="U3" s="2">
        <f>ROUND((S3*T3)/('01设定表'!$C$18)/((100-'01设定表'!$C$19)/100),2)</f>
        <v>0.68</v>
      </c>
    </row>
    <row r="4" spans="1:21" x14ac:dyDescent="0.35">
      <c r="A4" s="2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35">
      <c r="A5" s="2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x14ac:dyDescent="0.35">
      <c r="A6" s="2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35">
      <c r="A7" s="2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35">
      <c r="A8" s="2">
        <v>7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35">
      <c r="A9" s="2">
        <v>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x14ac:dyDescent="0.35">
      <c r="A10" s="2">
        <v>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35">
      <c r="A11" s="2">
        <v>10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35">
      <c r="A12" s="2">
        <v>11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35">
      <c r="A13" s="2">
        <v>12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35">
      <c r="A14" s="2">
        <v>13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35">
      <c r="A15" s="2">
        <v>14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35">
      <c r="A16" s="2">
        <v>15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35">
      <c r="A17" s="2">
        <v>16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742A-D7AB-4ABF-B4B5-AF8BBF644155}">
  <sheetPr codeName="Sheet5"/>
  <dimension ref="A1:K151"/>
  <sheetViews>
    <sheetView workbookViewId="0">
      <selection activeCell="F22" sqref="F22"/>
    </sheetView>
  </sheetViews>
  <sheetFormatPr defaultColWidth="12.77734375" defaultRowHeight="15.6" x14ac:dyDescent="0.35"/>
  <cols>
    <col min="1" max="10" width="12.77734375" style="1"/>
    <col min="11" max="11" width="72.6640625" style="3" customWidth="1"/>
    <col min="12" max="16384" width="12.77734375" style="1"/>
  </cols>
  <sheetData>
    <row r="1" spans="1:11" x14ac:dyDescent="0.35">
      <c r="A1" s="2" t="s">
        <v>19</v>
      </c>
      <c r="B1" s="2" t="s">
        <v>347</v>
      </c>
      <c r="C1" s="2" t="s">
        <v>284</v>
      </c>
      <c r="D1" s="2" t="s">
        <v>279</v>
      </c>
      <c r="E1" s="2" t="s">
        <v>272</v>
      </c>
      <c r="F1" s="2" t="s">
        <v>357</v>
      </c>
      <c r="G1" s="2" t="s">
        <v>271</v>
      </c>
      <c r="H1" s="2" t="s">
        <v>20</v>
      </c>
      <c r="I1" s="2" t="s">
        <v>384</v>
      </c>
      <c r="J1" s="2" t="s">
        <v>283</v>
      </c>
      <c r="K1" s="2" t="s">
        <v>21</v>
      </c>
    </row>
    <row r="2" spans="1:11" x14ac:dyDescent="0.35">
      <c r="A2" s="2">
        <v>1</v>
      </c>
      <c r="B2" s="2" t="s">
        <v>22</v>
      </c>
      <c r="C2" s="2">
        <v>1</v>
      </c>
      <c r="D2" s="2" t="s">
        <v>280</v>
      </c>
      <c r="E2" s="2" t="s">
        <v>275</v>
      </c>
      <c r="F2" s="2"/>
      <c r="G2" s="2" t="s">
        <v>276</v>
      </c>
      <c r="H2" s="2">
        <v>1</v>
      </c>
      <c r="I2" s="2"/>
      <c r="J2" s="2">
        <v>0</v>
      </c>
      <c r="K2" s="5" t="s">
        <v>23</v>
      </c>
    </row>
    <row r="3" spans="1:11" x14ac:dyDescent="0.35">
      <c r="A3" s="2">
        <v>2</v>
      </c>
      <c r="B3" s="2" t="s">
        <v>25</v>
      </c>
      <c r="C3" s="2">
        <v>1</v>
      </c>
      <c r="D3" s="2" t="s">
        <v>280</v>
      </c>
      <c r="E3" s="2" t="s">
        <v>275</v>
      </c>
      <c r="F3" s="2"/>
      <c r="G3" s="2" t="s">
        <v>276</v>
      </c>
      <c r="H3" s="2">
        <v>2</v>
      </c>
      <c r="I3" s="2"/>
      <c r="J3" s="2">
        <v>0</v>
      </c>
      <c r="K3" s="5" t="s">
        <v>29</v>
      </c>
    </row>
    <row r="4" spans="1:11" x14ac:dyDescent="0.35">
      <c r="A4" s="2">
        <v>3</v>
      </c>
      <c r="B4" s="2" t="s">
        <v>26</v>
      </c>
      <c r="C4" s="2">
        <v>1</v>
      </c>
      <c r="D4" s="2" t="s">
        <v>280</v>
      </c>
      <c r="E4" s="2" t="s">
        <v>275</v>
      </c>
      <c r="F4" s="2"/>
      <c r="G4" s="2" t="s">
        <v>276</v>
      </c>
      <c r="H4" s="2">
        <v>2</v>
      </c>
      <c r="I4" s="2"/>
      <c r="J4" s="2">
        <v>0</v>
      </c>
      <c r="K4" s="5" t="s">
        <v>30</v>
      </c>
    </row>
    <row r="5" spans="1:11" x14ac:dyDescent="0.35">
      <c r="A5" s="2">
        <v>4</v>
      </c>
      <c r="B5" s="2" t="s">
        <v>27</v>
      </c>
      <c r="C5" s="2">
        <v>1</v>
      </c>
      <c r="D5" s="2" t="s">
        <v>280</v>
      </c>
      <c r="E5" s="2" t="s">
        <v>275</v>
      </c>
      <c r="F5" s="2"/>
      <c r="G5" s="2" t="s">
        <v>276</v>
      </c>
      <c r="H5" s="2">
        <v>3</v>
      </c>
      <c r="I5" s="2"/>
      <c r="J5" s="2">
        <v>0</v>
      </c>
      <c r="K5" s="5" t="s">
        <v>31</v>
      </c>
    </row>
    <row r="6" spans="1:11" x14ac:dyDescent="0.35">
      <c r="A6" s="2">
        <v>5</v>
      </c>
      <c r="B6" s="2" t="s">
        <v>28</v>
      </c>
      <c r="C6" s="2">
        <v>1</v>
      </c>
      <c r="D6" s="2" t="s">
        <v>280</v>
      </c>
      <c r="E6" s="2" t="s">
        <v>275</v>
      </c>
      <c r="F6" s="2"/>
      <c r="G6" s="2" t="s">
        <v>276</v>
      </c>
      <c r="H6" s="2">
        <v>4</v>
      </c>
      <c r="I6" s="2"/>
      <c r="J6" s="2">
        <v>0</v>
      </c>
      <c r="K6" s="5" t="s">
        <v>32</v>
      </c>
    </row>
    <row r="7" spans="1:11" x14ac:dyDescent="0.35">
      <c r="A7" s="2">
        <v>6</v>
      </c>
      <c r="B7" s="2" t="s">
        <v>33</v>
      </c>
      <c r="C7" s="2">
        <v>1</v>
      </c>
      <c r="D7" s="2" t="s">
        <v>280</v>
      </c>
      <c r="E7" s="2" t="s">
        <v>275</v>
      </c>
      <c r="F7" s="2"/>
      <c r="G7" s="2" t="s">
        <v>276</v>
      </c>
      <c r="H7" s="2">
        <v>1</v>
      </c>
      <c r="I7" s="2"/>
      <c r="J7" s="2">
        <v>0</v>
      </c>
      <c r="K7" s="6" t="s">
        <v>36</v>
      </c>
    </row>
    <row r="8" spans="1:11" x14ac:dyDescent="0.35">
      <c r="A8" s="2">
        <v>7</v>
      </c>
      <c r="B8" s="2" t="s">
        <v>34</v>
      </c>
      <c r="C8" s="2">
        <v>1</v>
      </c>
      <c r="D8" s="2" t="s">
        <v>280</v>
      </c>
      <c r="E8" s="2" t="s">
        <v>275</v>
      </c>
      <c r="F8" s="2"/>
      <c r="G8" s="2" t="s">
        <v>276</v>
      </c>
      <c r="H8" s="2">
        <v>2</v>
      </c>
      <c r="I8" s="2"/>
      <c r="J8" s="2">
        <v>0</v>
      </c>
      <c r="K8" s="6" t="s">
        <v>37</v>
      </c>
    </row>
    <row r="9" spans="1:11" x14ac:dyDescent="0.35">
      <c r="A9" s="2">
        <v>8</v>
      </c>
      <c r="B9" s="2" t="s">
        <v>35</v>
      </c>
      <c r="C9" s="2">
        <v>1</v>
      </c>
      <c r="D9" s="2" t="s">
        <v>280</v>
      </c>
      <c r="E9" s="2" t="s">
        <v>275</v>
      </c>
      <c r="F9" s="2"/>
      <c r="G9" s="2" t="s">
        <v>276</v>
      </c>
      <c r="H9" s="2">
        <v>3</v>
      </c>
      <c r="I9" s="2"/>
      <c r="J9" s="2">
        <v>0</v>
      </c>
      <c r="K9" s="6" t="s">
        <v>38</v>
      </c>
    </row>
    <row r="10" spans="1:11" x14ac:dyDescent="0.35">
      <c r="A10" s="2">
        <v>9</v>
      </c>
      <c r="B10" s="2" t="s">
        <v>39</v>
      </c>
      <c r="C10" s="2">
        <v>1</v>
      </c>
      <c r="D10" s="2" t="s">
        <v>280</v>
      </c>
      <c r="E10" s="2" t="s">
        <v>275</v>
      </c>
      <c r="F10" s="2"/>
      <c r="G10" s="2" t="s">
        <v>276</v>
      </c>
      <c r="H10" s="2">
        <v>1</v>
      </c>
      <c r="I10" s="2"/>
      <c r="J10" s="2">
        <v>0</v>
      </c>
      <c r="K10" s="6" t="s">
        <v>64</v>
      </c>
    </row>
    <row r="11" spans="1:11" x14ac:dyDescent="0.35">
      <c r="A11" s="2">
        <v>10</v>
      </c>
      <c r="B11" s="2" t="s">
        <v>40</v>
      </c>
      <c r="C11" s="2">
        <v>1</v>
      </c>
      <c r="D11" s="2" t="s">
        <v>280</v>
      </c>
      <c r="E11" s="2" t="s">
        <v>275</v>
      </c>
      <c r="F11" s="2"/>
      <c r="G11" s="2" t="s">
        <v>276</v>
      </c>
      <c r="H11" s="2">
        <v>1</v>
      </c>
      <c r="I11" s="2"/>
      <c r="J11" s="2">
        <v>0</v>
      </c>
      <c r="K11" s="6" t="s">
        <v>65</v>
      </c>
    </row>
    <row r="12" spans="1:11" x14ac:dyDescent="0.35">
      <c r="A12" s="2">
        <v>11</v>
      </c>
      <c r="B12" s="2" t="s">
        <v>41</v>
      </c>
      <c r="C12" s="2">
        <v>1</v>
      </c>
      <c r="D12" s="2" t="s">
        <v>280</v>
      </c>
      <c r="E12" s="2" t="s">
        <v>275</v>
      </c>
      <c r="F12" s="2"/>
      <c r="G12" s="2" t="s">
        <v>276</v>
      </c>
      <c r="H12" s="2">
        <v>2</v>
      </c>
      <c r="I12" s="2"/>
      <c r="J12" s="2">
        <v>0</v>
      </c>
      <c r="K12" s="6" t="s">
        <v>66</v>
      </c>
    </row>
    <row r="13" spans="1:11" x14ac:dyDescent="0.35">
      <c r="A13" s="2">
        <v>12</v>
      </c>
      <c r="B13" s="2" t="s">
        <v>42</v>
      </c>
      <c r="C13" s="2">
        <v>1</v>
      </c>
      <c r="D13" s="2" t="s">
        <v>280</v>
      </c>
      <c r="E13" s="2" t="s">
        <v>275</v>
      </c>
      <c r="F13" s="2"/>
      <c r="G13" s="2" t="s">
        <v>276</v>
      </c>
      <c r="H13" s="2">
        <v>2</v>
      </c>
      <c r="I13" s="2"/>
      <c r="J13" s="2">
        <v>0</v>
      </c>
      <c r="K13" s="6" t="s">
        <v>67</v>
      </c>
    </row>
    <row r="14" spans="1:11" x14ac:dyDescent="0.35">
      <c r="A14" s="2">
        <v>13</v>
      </c>
      <c r="B14" s="2" t="s">
        <v>43</v>
      </c>
      <c r="C14" s="2">
        <v>1</v>
      </c>
      <c r="D14" s="2" t="s">
        <v>280</v>
      </c>
      <c r="E14" s="2" t="s">
        <v>275</v>
      </c>
      <c r="F14" s="2"/>
      <c r="G14" s="2" t="s">
        <v>276</v>
      </c>
      <c r="H14" s="2">
        <v>3</v>
      </c>
      <c r="I14" s="2"/>
      <c r="J14" s="2">
        <v>0</v>
      </c>
      <c r="K14" s="6" t="s">
        <v>68</v>
      </c>
    </row>
    <row r="15" spans="1:11" x14ac:dyDescent="0.35">
      <c r="A15" s="2">
        <v>14</v>
      </c>
      <c r="B15" s="2" t="s">
        <v>44</v>
      </c>
      <c r="C15" s="2">
        <v>1</v>
      </c>
      <c r="D15" s="2" t="s">
        <v>280</v>
      </c>
      <c r="E15" s="2" t="s">
        <v>275</v>
      </c>
      <c r="F15" s="2"/>
      <c r="G15" s="2" t="s">
        <v>276</v>
      </c>
      <c r="H15" s="2">
        <v>1</v>
      </c>
      <c r="I15" s="2"/>
      <c r="J15" s="2">
        <v>0</v>
      </c>
      <c r="K15" s="5" t="s">
        <v>281</v>
      </c>
    </row>
    <row r="16" spans="1:11" x14ac:dyDescent="0.35">
      <c r="A16" s="2">
        <v>15</v>
      </c>
      <c r="B16" s="2" t="s">
        <v>45</v>
      </c>
      <c r="C16" s="2">
        <v>1</v>
      </c>
      <c r="D16" s="2" t="s">
        <v>280</v>
      </c>
      <c r="E16" s="2" t="s">
        <v>275</v>
      </c>
      <c r="F16" s="2"/>
      <c r="G16" s="2" t="s">
        <v>276</v>
      </c>
      <c r="H16" s="2">
        <v>2</v>
      </c>
      <c r="I16" s="2"/>
      <c r="J16" s="2">
        <v>0</v>
      </c>
      <c r="K16" s="5" t="s">
        <v>282</v>
      </c>
    </row>
    <row r="17" spans="1:11" x14ac:dyDescent="0.35">
      <c r="A17" s="2">
        <v>16</v>
      </c>
      <c r="B17" s="2" t="s">
        <v>46</v>
      </c>
      <c r="C17" s="2">
        <v>1</v>
      </c>
      <c r="D17" s="2" t="s">
        <v>280</v>
      </c>
      <c r="E17" s="2" t="s">
        <v>275</v>
      </c>
      <c r="F17" s="2"/>
      <c r="G17" s="2" t="s">
        <v>276</v>
      </c>
      <c r="H17" s="2">
        <v>1</v>
      </c>
      <c r="I17" s="2"/>
      <c r="J17" s="2">
        <v>0</v>
      </c>
      <c r="K17" s="6" t="s">
        <v>69</v>
      </c>
    </row>
    <row r="18" spans="1:11" x14ac:dyDescent="0.35">
      <c r="A18" s="2">
        <v>17</v>
      </c>
      <c r="B18" s="2" t="s">
        <v>49</v>
      </c>
      <c r="C18" s="2">
        <v>1</v>
      </c>
      <c r="D18" s="2" t="s">
        <v>280</v>
      </c>
      <c r="E18" s="2" t="s">
        <v>275</v>
      </c>
      <c r="F18" s="2"/>
      <c r="G18" s="2" t="s">
        <v>276</v>
      </c>
      <c r="H18" s="2">
        <v>1</v>
      </c>
      <c r="I18" s="2"/>
      <c r="J18" s="2">
        <v>0</v>
      </c>
      <c r="K18" s="6" t="s">
        <v>47</v>
      </c>
    </row>
    <row r="19" spans="1:11" x14ac:dyDescent="0.35">
      <c r="A19" s="2">
        <v>18</v>
      </c>
      <c r="B19" s="2" t="s">
        <v>48</v>
      </c>
      <c r="C19" s="2">
        <v>1</v>
      </c>
      <c r="D19" s="2" t="s">
        <v>280</v>
      </c>
      <c r="E19" s="2" t="s">
        <v>275</v>
      </c>
      <c r="F19" s="2"/>
      <c r="G19" s="2" t="s">
        <v>276</v>
      </c>
      <c r="H19" s="2">
        <v>2</v>
      </c>
      <c r="I19" s="2"/>
      <c r="J19" s="2">
        <v>0</v>
      </c>
      <c r="K19" s="6" t="s">
        <v>70</v>
      </c>
    </row>
    <row r="20" spans="1:11" x14ac:dyDescent="0.35">
      <c r="A20" s="2">
        <v>19</v>
      </c>
      <c r="B20" s="2" t="s">
        <v>50</v>
      </c>
      <c r="C20" s="2">
        <v>1</v>
      </c>
      <c r="D20" s="2" t="s">
        <v>280</v>
      </c>
      <c r="E20" s="2" t="s">
        <v>275</v>
      </c>
      <c r="F20" s="2"/>
      <c r="G20" s="2" t="s">
        <v>276</v>
      </c>
      <c r="H20" s="2">
        <v>2</v>
      </c>
      <c r="I20" s="2"/>
      <c r="J20" s="2">
        <v>0</v>
      </c>
      <c r="K20" s="6" t="s">
        <v>71</v>
      </c>
    </row>
    <row r="21" spans="1:11" x14ac:dyDescent="0.35">
      <c r="A21" s="2">
        <v>20</v>
      </c>
      <c r="B21" s="2" t="s">
        <v>51</v>
      </c>
      <c r="C21" s="2">
        <v>1</v>
      </c>
      <c r="D21" s="2" t="s">
        <v>280</v>
      </c>
      <c r="E21" s="2" t="s">
        <v>275</v>
      </c>
      <c r="F21" s="2"/>
      <c r="G21" s="2" t="s">
        <v>276</v>
      </c>
      <c r="H21" s="2">
        <v>4</v>
      </c>
      <c r="I21" s="2"/>
      <c r="J21" s="2">
        <v>0</v>
      </c>
      <c r="K21" s="6" t="s">
        <v>72</v>
      </c>
    </row>
    <row r="22" spans="1:11" x14ac:dyDescent="0.35">
      <c r="A22" s="2">
        <v>21</v>
      </c>
      <c r="B22" s="2" t="s">
        <v>52</v>
      </c>
      <c r="C22" s="2">
        <v>1</v>
      </c>
      <c r="D22" s="2" t="s">
        <v>280</v>
      </c>
      <c r="E22" s="2" t="s">
        <v>275</v>
      </c>
      <c r="F22" s="2"/>
      <c r="G22" s="2" t="s">
        <v>276</v>
      </c>
      <c r="H22" s="2">
        <v>2</v>
      </c>
      <c r="I22" s="2"/>
      <c r="J22" s="2">
        <v>0</v>
      </c>
      <c r="K22" s="6" t="s">
        <v>73</v>
      </c>
    </row>
    <row r="23" spans="1:11" x14ac:dyDescent="0.35">
      <c r="A23" s="2">
        <v>22</v>
      </c>
      <c r="B23" s="2" t="s">
        <v>53</v>
      </c>
      <c r="C23" s="2">
        <v>1</v>
      </c>
      <c r="D23" s="2" t="s">
        <v>280</v>
      </c>
      <c r="E23" s="2" t="s">
        <v>275</v>
      </c>
      <c r="F23" s="2"/>
      <c r="G23" s="2" t="s">
        <v>276</v>
      </c>
      <c r="H23" s="2">
        <v>2</v>
      </c>
      <c r="I23" s="2"/>
      <c r="J23" s="2">
        <v>0</v>
      </c>
      <c r="K23" s="6" t="s">
        <v>74</v>
      </c>
    </row>
    <row r="24" spans="1:11" x14ac:dyDescent="0.35">
      <c r="A24" s="2">
        <v>23</v>
      </c>
      <c r="B24" s="2" t="s">
        <v>54</v>
      </c>
      <c r="C24" s="2">
        <v>1</v>
      </c>
      <c r="D24" s="2" t="s">
        <v>280</v>
      </c>
      <c r="E24" s="2" t="s">
        <v>275</v>
      </c>
      <c r="F24" s="2"/>
      <c r="G24" s="2" t="s">
        <v>276</v>
      </c>
      <c r="H24" s="2">
        <v>4</v>
      </c>
      <c r="I24" s="2"/>
      <c r="J24" s="2">
        <v>0</v>
      </c>
      <c r="K24" s="6" t="s">
        <v>75</v>
      </c>
    </row>
    <row r="25" spans="1:11" x14ac:dyDescent="0.35">
      <c r="A25" s="2">
        <v>24</v>
      </c>
      <c r="B25" s="2" t="s">
        <v>55</v>
      </c>
      <c r="C25" s="2">
        <v>1</v>
      </c>
      <c r="D25" s="2" t="s">
        <v>280</v>
      </c>
      <c r="E25" s="2" t="s">
        <v>275</v>
      </c>
      <c r="F25" s="2"/>
      <c r="G25" s="2" t="s">
        <v>276</v>
      </c>
      <c r="H25" s="2">
        <v>1</v>
      </c>
      <c r="I25" s="2"/>
      <c r="J25" s="2">
        <v>0</v>
      </c>
      <c r="K25" s="6" t="s">
        <v>76</v>
      </c>
    </row>
    <row r="26" spans="1:11" x14ac:dyDescent="0.35">
      <c r="A26" s="2">
        <v>25</v>
      </c>
      <c r="B26" s="2" t="s">
        <v>56</v>
      </c>
      <c r="C26" s="2">
        <v>1</v>
      </c>
      <c r="D26" s="2" t="s">
        <v>280</v>
      </c>
      <c r="E26" s="2" t="s">
        <v>275</v>
      </c>
      <c r="F26" s="2"/>
      <c r="G26" s="2" t="s">
        <v>276</v>
      </c>
      <c r="H26" s="2">
        <v>2</v>
      </c>
      <c r="I26" s="2"/>
      <c r="J26" s="2">
        <v>0</v>
      </c>
      <c r="K26" s="6" t="s">
        <v>78</v>
      </c>
    </row>
    <row r="27" spans="1:11" x14ac:dyDescent="0.35">
      <c r="A27" s="2">
        <v>26</v>
      </c>
      <c r="B27" s="2" t="s">
        <v>57</v>
      </c>
      <c r="C27" s="2">
        <v>1</v>
      </c>
      <c r="D27" s="2" t="s">
        <v>280</v>
      </c>
      <c r="E27" s="2" t="s">
        <v>275</v>
      </c>
      <c r="F27" s="2"/>
      <c r="G27" s="2" t="s">
        <v>276</v>
      </c>
      <c r="H27" s="2">
        <v>2</v>
      </c>
      <c r="I27" s="2"/>
      <c r="J27" s="2">
        <v>0</v>
      </c>
      <c r="K27" s="6" t="s">
        <v>79</v>
      </c>
    </row>
    <row r="28" spans="1:11" x14ac:dyDescent="0.35">
      <c r="A28" s="2">
        <v>27</v>
      </c>
      <c r="B28" s="2" t="s">
        <v>58</v>
      </c>
      <c r="C28" s="2">
        <v>1</v>
      </c>
      <c r="D28" s="2" t="s">
        <v>280</v>
      </c>
      <c r="E28" s="2" t="s">
        <v>275</v>
      </c>
      <c r="F28" s="2"/>
      <c r="G28" s="2" t="s">
        <v>276</v>
      </c>
      <c r="H28" s="2">
        <v>3</v>
      </c>
      <c r="I28" s="2"/>
      <c r="J28" s="2">
        <v>0</v>
      </c>
      <c r="K28" s="6" t="s">
        <v>80</v>
      </c>
    </row>
    <row r="29" spans="1:11" x14ac:dyDescent="0.35">
      <c r="A29" s="2">
        <v>28</v>
      </c>
      <c r="B29" s="2" t="s">
        <v>59</v>
      </c>
      <c r="C29" s="2">
        <v>1</v>
      </c>
      <c r="D29" s="2" t="s">
        <v>280</v>
      </c>
      <c r="E29" s="2" t="s">
        <v>275</v>
      </c>
      <c r="F29" s="2"/>
      <c r="G29" s="2" t="s">
        <v>276</v>
      </c>
      <c r="H29" s="2">
        <v>3</v>
      </c>
      <c r="I29" s="2"/>
      <c r="J29" s="2">
        <v>0</v>
      </c>
      <c r="K29" s="6" t="s">
        <v>81</v>
      </c>
    </row>
    <row r="30" spans="1:11" x14ac:dyDescent="0.35">
      <c r="A30" s="2">
        <v>29</v>
      </c>
      <c r="B30" s="2" t="s">
        <v>60</v>
      </c>
      <c r="C30" s="2">
        <v>1</v>
      </c>
      <c r="D30" s="2" t="s">
        <v>280</v>
      </c>
      <c r="E30" s="2" t="s">
        <v>275</v>
      </c>
      <c r="F30" s="2"/>
      <c r="G30" s="2" t="s">
        <v>276</v>
      </c>
      <c r="H30" s="2">
        <v>1</v>
      </c>
      <c r="I30" s="2"/>
      <c r="J30" s="2">
        <v>0</v>
      </c>
      <c r="K30" s="6" t="s">
        <v>77</v>
      </c>
    </row>
    <row r="31" spans="1:11" x14ac:dyDescent="0.35">
      <c r="A31" s="2">
        <v>30</v>
      </c>
      <c r="B31" s="2" t="s">
        <v>61</v>
      </c>
      <c r="C31" s="2">
        <v>1</v>
      </c>
      <c r="D31" s="2" t="s">
        <v>280</v>
      </c>
      <c r="E31" s="2" t="s">
        <v>275</v>
      </c>
      <c r="F31" s="2"/>
      <c r="G31" s="2" t="s">
        <v>276</v>
      </c>
      <c r="H31" s="2">
        <v>2</v>
      </c>
      <c r="I31" s="2"/>
      <c r="J31" s="2">
        <v>0</v>
      </c>
      <c r="K31" s="6" t="s">
        <v>92</v>
      </c>
    </row>
    <row r="32" spans="1:11" x14ac:dyDescent="0.35">
      <c r="A32" s="2">
        <v>31</v>
      </c>
      <c r="B32" s="2" t="s">
        <v>62</v>
      </c>
      <c r="C32" s="2">
        <v>1</v>
      </c>
      <c r="D32" s="2" t="s">
        <v>280</v>
      </c>
      <c r="E32" s="2" t="s">
        <v>275</v>
      </c>
      <c r="F32" s="2"/>
      <c r="G32" s="2" t="s">
        <v>276</v>
      </c>
      <c r="H32" s="2">
        <v>3</v>
      </c>
      <c r="I32" s="2"/>
      <c r="J32" s="2">
        <v>0</v>
      </c>
      <c r="K32" s="6" t="s">
        <v>93</v>
      </c>
    </row>
    <row r="33" spans="1:11" x14ac:dyDescent="0.35">
      <c r="A33" s="2">
        <v>32</v>
      </c>
      <c r="B33" s="2" t="s">
        <v>63</v>
      </c>
      <c r="C33" s="2">
        <v>1</v>
      </c>
      <c r="D33" s="2" t="s">
        <v>280</v>
      </c>
      <c r="E33" s="2" t="s">
        <v>275</v>
      </c>
      <c r="F33" s="2"/>
      <c r="G33" s="2" t="s">
        <v>276</v>
      </c>
      <c r="H33" s="2">
        <v>3</v>
      </c>
      <c r="I33" s="2"/>
      <c r="J33" s="2">
        <v>0</v>
      </c>
      <c r="K33" s="6" t="s">
        <v>94</v>
      </c>
    </row>
    <row r="34" spans="1:11" x14ac:dyDescent="0.35">
      <c r="A34" s="2">
        <v>33</v>
      </c>
      <c r="B34" s="2" t="s">
        <v>130</v>
      </c>
      <c r="C34" s="2">
        <v>1</v>
      </c>
      <c r="D34" s="2" t="s">
        <v>95</v>
      </c>
      <c r="E34" s="2" t="s">
        <v>273</v>
      </c>
      <c r="F34" s="2">
        <f>ROUND(I34/J34,1)</f>
        <v>2.9</v>
      </c>
      <c r="G34" s="2" t="s">
        <v>127</v>
      </c>
      <c r="H34" s="2">
        <v>2</v>
      </c>
      <c r="I34" s="2">
        <v>40</v>
      </c>
      <c r="J34" s="2">
        <v>14</v>
      </c>
      <c r="K34" s="5" t="s">
        <v>285</v>
      </c>
    </row>
    <row r="35" spans="1:11" x14ac:dyDescent="0.35">
      <c r="A35" s="2">
        <v>33</v>
      </c>
      <c r="B35" s="2" t="s">
        <v>130</v>
      </c>
      <c r="C35" s="2">
        <v>2</v>
      </c>
      <c r="D35" s="2" t="s">
        <v>95</v>
      </c>
      <c r="E35" s="2" t="s">
        <v>273</v>
      </c>
      <c r="F35" s="2">
        <f t="shared" ref="F35:F48" si="0">ROUND(I35/J35,1)</f>
        <v>5.8</v>
      </c>
      <c r="G35" s="2" t="s">
        <v>127</v>
      </c>
      <c r="H35" s="2">
        <v>2</v>
      </c>
      <c r="I35" s="2">
        <v>70</v>
      </c>
      <c r="J35" s="2">
        <v>12</v>
      </c>
      <c r="K35" s="5" t="s">
        <v>289</v>
      </c>
    </row>
    <row r="36" spans="1:11" x14ac:dyDescent="0.35">
      <c r="A36" s="2">
        <v>33</v>
      </c>
      <c r="B36" s="2" t="s">
        <v>130</v>
      </c>
      <c r="C36" s="2">
        <v>3</v>
      </c>
      <c r="D36" s="2" t="s">
        <v>95</v>
      </c>
      <c r="E36" s="2" t="s">
        <v>273</v>
      </c>
      <c r="F36" s="2">
        <f t="shared" si="0"/>
        <v>9</v>
      </c>
      <c r="G36" s="2" t="s">
        <v>127</v>
      </c>
      <c r="H36" s="2">
        <v>2</v>
      </c>
      <c r="I36" s="2">
        <v>90</v>
      </c>
      <c r="J36" s="2">
        <v>10</v>
      </c>
      <c r="K36" s="5" t="s">
        <v>290</v>
      </c>
    </row>
    <row r="37" spans="1:11" x14ac:dyDescent="0.35">
      <c r="A37" s="2">
        <v>34</v>
      </c>
      <c r="B37" s="2" t="s">
        <v>132</v>
      </c>
      <c r="C37" s="2">
        <v>1</v>
      </c>
      <c r="D37" s="2" t="s">
        <v>95</v>
      </c>
      <c r="E37" s="2" t="s">
        <v>273</v>
      </c>
      <c r="F37" s="2">
        <f t="shared" si="0"/>
        <v>5.3</v>
      </c>
      <c r="G37" s="2" t="s">
        <v>127</v>
      </c>
      <c r="H37" s="2">
        <v>3</v>
      </c>
      <c r="I37" s="2">
        <v>105</v>
      </c>
      <c r="J37" s="2">
        <v>20</v>
      </c>
      <c r="K37" s="5" t="s">
        <v>286</v>
      </c>
    </row>
    <row r="38" spans="1:11" x14ac:dyDescent="0.35">
      <c r="A38" s="2">
        <v>34</v>
      </c>
      <c r="B38" s="2" t="s">
        <v>132</v>
      </c>
      <c r="C38" s="2">
        <v>2</v>
      </c>
      <c r="D38" s="2" t="s">
        <v>95</v>
      </c>
      <c r="E38" s="2" t="s">
        <v>273</v>
      </c>
      <c r="F38" s="2">
        <f t="shared" si="0"/>
        <v>8.8000000000000007</v>
      </c>
      <c r="G38" s="2" t="s">
        <v>127</v>
      </c>
      <c r="H38" s="2">
        <v>3</v>
      </c>
      <c r="I38" s="2">
        <v>175</v>
      </c>
      <c r="J38" s="2">
        <v>20</v>
      </c>
      <c r="K38" s="5" t="s">
        <v>291</v>
      </c>
    </row>
    <row r="39" spans="1:11" x14ac:dyDescent="0.35">
      <c r="A39" s="2">
        <v>34</v>
      </c>
      <c r="B39" s="2" t="s">
        <v>132</v>
      </c>
      <c r="C39" s="2">
        <v>3</v>
      </c>
      <c r="D39" s="2" t="s">
        <v>95</v>
      </c>
      <c r="E39" s="2" t="s">
        <v>273</v>
      </c>
      <c r="F39" s="2">
        <f t="shared" si="0"/>
        <v>14</v>
      </c>
      <c r="G39" s="2" t="s">
        <v>127</v>
      </c>
      <c r="H39" s="2">
        <v>3</v>
      </c>
      <c r="I39" s="2">
        <v>280</v>
      </c>
      <c r="J39" s="2">
        <v>20</v>
      </c>
      <c r="K39" s="5" t="s">
        <v>292</v>
      </c>
    </row>
    <row r="40" spans="1:11" x14ac:dyDescent="0.35">
      <c r="A40" s="2">
        <v>35</v>
      </c>
      <c r="B40" s="2" t="s">
        <v>134</v>
      </c>
      <c r="C40" s="2">
        <v>1</v>
      </c>
      <c r="D40" s="2" t="s">
        <v>95</v>
      </c>
      <c r="E40" s="2" t="s">
        <v>273</v>
      </c>
      <c r="F40" s="2">
        <f t="shared" si="0"/>
        <v>5.6</v>
      </c>
      <c r="G40" s="2" t="s">
        <v>127</v>
      </c>
      <c r="H40" s="2">
        <v>2</v>
      </c>
      <c r="I40" s="2">
        <v>90</v>
      </c>
      <c r="J40" s="2">
        <v>16</v>
      </c>
      <c r="K40" s="5" t="s">
        <v>293</v>
      </c>
    </row>
    <row r="41" spans="1:11" x14ac:dyDescent="0.35">
      <c r="A41" s="2">
        <v>35</v>
      </c>
      <c r="B41" s="2" t="s">
        <v>134</v>
      </c>
      <c r="C41" s="2">
        <v>2</v>
      </c>
      <c r="D41" s="2" t="s">
        <v>95</v>
      </c>
      <c r="E41" s="2" t="s">
        <v>273</v>
      </c>
      <c r="F41" s="2">
        <f t="shared" si="0"/>
        <v>11.3</v>
      </c>
      <c r="G41" s="2" t="s">
        <v>127</v>
      </c>
      <c r="H41" s="2">
        <v>2</v>
      </c>
      <c r="I41" s="2">
        <v>180</v>
      </c>
      <c r="J41" s="2">
        <v>16</v>
      </c>
      <c r="K41" s="5" t="s">
        <v>294</v>
      </c>
    </row>
    <row r="42" spans="1:11" x14ac:dyDescent="0.35">
      <c r="A42" s="2">
        <v>35</v>
      </c>
      <c r="B42" s="2" t="s">
        <v>134</v>
      </c>
      <c r="C42" s="2">
        <v>3</v>
      </c>
      <c r="D42" s="2" t="s">
        <v>95</v>
      </c>
      <c r="E42" s="2" t="s">
        <v>273</v>
      </c>
      <c r="F42" s="2">
        <f t="shared" si="0"/>
        <v>16.899999999999999</v>
      </c>
      <c r="G42" s="2" t="s">
        <v>127</v>
      </c>
      <c r="H42" s="2">
        <v>2</v>
      </c>
      <c r="I42" s="2">
        <v>270</v>
      </c>
      <c r="J42" s="2">
        <v>16</v>
      </c>
      <c r="K42" s="5" t="s">
        <v>295</v>
      </c>
    </row>
    <row r="43" spans="1:11" x14ac:dyDescent="0.35">
      <c r="A43" s="2">
        <v>36</v>
      </c>
      <c r="B43" s="2" t="s">
        <v>136</v>
      </c>
      <c r="C43" s="2">
        <v>1</v>
      </c>
      <c r="D43" s="2" t="s">
        <v>95</v>
      </c>
      <c r="E43" s="2" t="s">
        <v>273</v>
      </c>
      <c r="F43" s="2">
        <f t="shared" si="0"/>
        <v>6</v>
      </c>
      <c r="G43" s="2" t="s">
        <v>127</v>
      </c>
      <c r="H43" s="2">
        <v>1</v>
      </c>
      <c r="I43" s="2">
        <v>120</v>
      </c>
      <c r="J43" s="2">
        <v>20</v>
      </c>
      <c r="K43" s="5" t="s">
        <v>287</v>
      </c>
    </row>
    <row r="44" spans="1:11" x14ac:dyDescent="0.35">
      <c r="A44" s="2">
        <v>36</v>
      </c>
      <c r="B44" s="2" t="s">
        <v>136</v>
      </c>
      <c r="C44" s="2">
        <v>2</v>
      </c>
      <c r="D44" s="2" t="s">
        <v>95</v>
      </c>
      <c r="E44" s="2" t="s">
        <v>273</v>
      </c>
      <c r="F44" s="2">
        <f t="shared" si="0"/>
        <v>12</v>
      </c>
      <c r="G44" s="2" t="s">
        <v>127</v>
      </c>
      <c r="H44" s="2">
        <v>1</v>
      </c>
      <c r="I44" s="2">
        <v>240</v>
      </c>
      <c r="J44" s="2">
        <v>20</v>
      </c>
      <c r="K44" s="5" t="s">
        <v>296</v>
      </c>
    </row>
    <row r="45" spans="1:11" x14ac:dyDescent="0.35">
      <c r="A45" s="2">
        <v>36</v>
      </c>
      <c r="B45" s="2" t="s">
        <v>136</v>
      </c>
      <c r="C45" s="2">
        <v>3</v>
      </c>
      <c r="D45" s="2" t="s">
        <v>95</v>
      </c>
      <c r="E45" s="2" t="s">
        <v>273</v>
      </c>
      <c r="F45" s="2">
        <f t="shared" si="0"/>
        <v>18</v>
      </c>
      <c r="G45" s="2" t="s">
        <v>127</v>
      </c>
      <c r="H45" s="2">
        <v>1</v>
      </c>
      <c r="I45" s="2">
        <v>360</v>
      </c>
      <c r="J45" s="2">
        <v>20</v>
      </c>
      <c r="K45" s="5" t="s">
        <v>297</v>
      </c>
    </row>
    <row r="46" spans="1:11" x14ac:dyDescent="0.35">
      <c r="A46" s="2">
        <v>37</v>
      </c>
      <c r="B46" s="2" t="s">
        <v>138</v>
      </c>
      <c r="C46" s="2">
        <v>1</v>
      </c>
      <c r="D46" s="2" t="s">
        <v>95</v>
      </c>
      <c r="E46" s="2" t="s">
        <v>273</v>
      </c>
      <c r="F46" s="2">
        <f t="shared" si="0"/>
        <v>10</v>
      </c>
      <c r="G46" s="2" t="s">
        <v>127</v>
      </c>
      <c r="H46" s="2">
        <v>4</v>
      </c>
      <c r="I46" s="2">
        <v>500</v>
      </c>
      <c r="J46" s="2">
        <v>50</v>
      </c>
      <c r="K46" s="5" t="s">
        <v>288</v>
      </c>
    </row>
    <row r="47" spans="1:11" x14ac:dyDescent="0.35">
      <c r="A47" s="2">
        <v>37</v>
      </c>
      <c r="B47" s="2" t="s">
        <v>138</v>
      </c>
      <c r="C47" s="2">
        <v>2</v>
      </c>
      <c r="D47" s="2" t="s">
        <v>95</v>
      </c>
      <c r="E47" s="2" t="s">
        <v>273</v>
      </c>
      <c r="F47" s="2">
        <f t="shared" si="0"/>
        <v>14.4</v>
      </c>
      <c r="G47" s="2" t="s">
        <v>127</v>
      </c>
      <c r="H47" s="2">
        <v>4</v>
      </c>
      <c r="I47" s="2">
        <v>720</v>
      </c>
      <c r="J47" s="2">
        <v>50</v>
      </c>
      <c r="K47" s="5" t="s">
        <v>298</v>
      </c>
    </row>
    <row r="48" spans="1:11" x14ac:dyDescent="0.35">
      <c r="A48" s="2">
        <v>37</v>
      </c>
      <c r="B48" s="2" t="s">
        <v>138</v>
      </c>
      <c r="C48" s="2">
        <v>3</v>
      </c>
      <c r="D48" s="2" t="s">
        <v>95</v>
      </c>
      <c r="E48" s="2" t="s">
        <v>273</v>
      </c>
      <c r="F48" s="2">
        <f t="shared" si="0"/>
        <v>19.600000000000001</v>
      </c>
      <c r="G48" s="2" t="s">
        <v>127</v>
      </c>
      <c r="H48" s="2">
        <v>4</v>
      </c>
      <c r="I48" s="2">
        <v>980</v>
      </c>
      <c r="J48" s="2">
        <v>50</v>
      </c>
      <c r="K48" s="5" t="s">
        <v>299</v>
      </c>
    </row>
    <row r="49" spans="1:11" ht="16.2" customHeight="1" x14ac:dyDescent="0.35">
      <c r="A49" s="2">
        <v>38</v>
      </c>
      <c r="B49" s="2" t="s">
        <v>140</v>
      </c>
      <c r="C49" s="2">
        <v>1</v>
      </c>
      <c r="D49" s="2" t="s">
        <v>96</v>
      </c>
      <c r="E49" s="2" t="s">
        <v>273</v>
      </c>
      <c r="F49" s="2"/>
      <c r="G49" s="2" t="s">
        <v>127</v>
      </c>
      <c r="H49" s="2">
        <v>3</v>
      </c>
      <c r="I49" s="2"/>
      <c r="J49" s="2"/>
      <c r="K49" s="5"/>
    </row>
    <row r="50" spans="1:11" x14ac:dyDescent="0.35">
      <c r="A50" s="2">
        <v>39</v>
      </c>
      <c r="B50" s="2" t="s">
        <v>142</v>
      </c>
      <c r="C50" s="2">
        <v>1</v>
      </c>
      <c r="D50" s="2" t="s">
        <v>96</v>
      </c>
      <c r="E50" s="2" t="s">
        <v>273</v>
      </c>
      <c r="F50" s="2"/>
      <c r="G50" s="2" t="s">
        <v>127</v>
      </c>
      <c r="H50" s="2">
        <v>3</v>
      </c>
      <c r="I50" s="2"/>
      <c r="J50" s="2"/>
      <c r="K50" s="5"/>
    </row>
    <row r="51" spans="1:11" x14ac:dyDescent="0.35">
      <c r="A51" s="2">
        <v>40</v>
      </c>
      <c r="B51" s="2" t="s">
        <v>144</v>
      </c>
      <c r="C51" s="2">
        <v>1</v>
      </c>
      <c r="D51" s="2" t="s">
        <v>96</v>
      </c>
      <c r="E51" s="2" t="s">
        <v>273</v>
      </c>
      <c r="F51" s="2"/>
      <c r="G51" s="2" t="s">
        <v>127</v>
      </c>
      <c r="H51" s="2">
        <v>2</v>
      </c>
      <c r="I51" s="2"/>
      <c r="J51" s="2"/>
      <c r="K51" s="5"/>
    </row>
    <row r="52" spans="1:11" x14ac:dyDescent="0.35">
      <c r="A52" s="2">
        <v>41</v>
      </c>
      <c r="B52" s="2" t="s">
        <v>146</v>
      </c>
      <c r="C52" s="2">
        <v>1</v>
      </c>
      <c r="D52" s="2" t="s">
        <v>96</v>
      </c>
      <c r="E52" s="2" t="s">
        <v>273</v>
      </c>
      <c r="F52" s="2"/>
      <c r="G52" s="2" t="s">
        <v>127</v>
      </c>
      <c r="H52" s="2">
        <v>1</v>
      </c>
      <c r="I52" s="2"/>
      <c r="J52" s="2"/>
      <c r="K52" s="5"/>
    </row>
    <row r="53" spans="1:11" x14ac:dyDescent="0.35">
      <c r="A53" s="2">
        <v>42</v>
      </c>
      <c r="B53" s="2" t="s">
        <v>148</v>
      </c>
      <c r="C53" s="2">
        <v>1</v>
      </c>
      <c r="D53" s="2" t="s">
        <v>96</v>
      </c>
      <c r="E53" s="2" t="s">
        <v>273</v>
      </c>
      <c r="F53" s="2"/>
      <c r="G53" s="2" t="s">
        <v>127</v>
      </c>
      <c r="H53" s="2">
        <v>3</v>
      </c>
      <c r="I53" s="2"/>
      <c r="J53" s="2"/>
      <c r="K53" s="5"/>
    </row>
    <row r="54" spans="1:11" x14ac:dyDescent="0.35">
      <c r="A54" s="2">
        <v>43</v>
      </c>
      <c r="B54" s="2" t="s">
        <v>150</v>
      </c>
      <c r="C54" s="2">
        <v>1</v>
      </c>
      <c r="D54" s="2" t="s">
        <v>98</v>
      </c>
      <c r="E54" s="2" t="s">
        <v>273</v>
      </c>
      <c r="F54" s="2"/>
      <c r="G54" s="2" t="s">
        <v>127</v>
      </c>
      <c r="H54" s="2">
        <v>2</v>
      </c>
      <c r="I54" s="2"/>
      <c r="J54" s="2"/>
      <c r="K54" s="5"/>
    </row>
    <row r="55" spans="1:11" x14ac:dyDescent="0.35">
      <c r="A55" s="2">
        <v>44</v>
      </c>
      <c r="B55" s="2" t="s">
        <v>152</v>
      </c>
      <c r="C55" s="2">
        <v>1</v>
      </c>
      <c r="D55" s="2" t="s">
        <v>98</v>
      </c>
      <c r="E55" s="2" t="s">
        <v>273</v>
      </c>
      <c r="F55" s="2"/>
      <c r="G55" s="2" t="s">
        <v>127</v>
      </c>
      <c r="H55" s="2">
        <v>3</v>
      </c>
      <c r="I55" s="2"/>
      <c r="J55" s="2"/>
      <c r="K55" s="5"/>
    </row>
    <row r="56" spans="1:11" x14ac:dyDescent="0.35">
      <c r="A56" s="2">
        <v>45</v>
      </c>
      <c r="B56" s="2" t="s">
        <v>154</v>
      </c>
      <c r="C56" s="2">
        <v>1</v>
      </c>
      <c r="D56" s="2" t="s">
        <v>98</v>
      </c>
      <c r="E56" s="2" t="s">
        <v>273</v>
      </c>
      <c r="F56" s="2"/>
      <c r="G56" s="2" t="s">
        <v>127</v>
      </c>
      <c r="H56" s="2">
        <v>2</v>
      </c>
      <c r="I56" s="2"/>
      <c r="J56" s="2"/>
      <c r="K56" s="5"/>
    </row>
    <row r="57" spans="1:11" x14ac:dyDescent="0.35">
      <c r="A57" s="2">
        <v>46</v>
      </c>
      <c r="B57" s="2" t="s">
        <v>156</v>
      </c>
      <c r="C57" s="2">
        <v>1</v>
      </c>
      <c r="D57" s="2" t="s">
        <v>98</v>
      </c>
      <c r="E57" s="2" t="s">
        <v>273</v>
      </c>
      <c r="F57" s="2"/>
      <c r="G57" s="2" t="s">
        <v>127</v>
      </c>
      <c r="H57" s="2">
        <v>1</v>
      </c>
      <c r="I57" s="2"/>
      <c r="J57" s="2"/>
      <c r="K57" s="5"/>
    </row>
    <row r="58" spans="1:11" x14ac:dyDescent="0.35">
      <c r="A58" s="2">
        <v>47</v>
      </c>
      <c r="B58" s="2" t="s">
        <v>158</v>
      </c>
      <c r="C58" s="2">
        <v>1</v>
      </c>
      <c r="D58" s="2" t="s">
        <v>98</v>
      </c>
      <c r="E58" s="2" t="s">
        <v>273</v>
      </c>
      <c r="F58" s="2"/>
      <c r="G58" s="2" t="s">
        <v>127</v>
      </c>
      <c r="H58" s="2">
        <v>4</v>
      </c>
      <c r="I58" s="2"/>
      <c r="J58" s="2"/>
      <c r="K58" s="5"/>
    </row>
    <row r="59" spans="1:11" x14ac:dyDescent="0.35">
      <c r="A59" s="2">
        <v>48</v>
      </c>
      <c r="B59" s="2" t="s">
        <v>160</v>
      </c>
      <c r="C59" s="2">
        <v>1</v>
      </c>
      <c r="D59" s="2" t="s">
        <v>99</v>
      </c>
      <c r="E59" s="2" t="s">
        <v>273</v>
      </c>
      <c r="F59" s="2"/>
      <c r="G59" s="2" t="s">
        <v>127</v>
      </c>
      <c r="H59" s="2">
        <v>3</v>
      </c>
      <c r="I59" s="2"/>
      <c r="J59" s="2"/>
      <c r="K59" s="5"/>
    </row>
    <row r="60" spans="1:11" x14ac:dyDescent="0.35">
      <c r="A60" s="2">
        <v>49</v>
      </c>
      <c r="B60" s="2" t="s">
        <v>162</v>
      </c>
      <c r="C60" s="2">
        <v>1</v>
      </c>
      <c r="D60" s="2" t="s">
        <v>99</v>
      </c>
      <c r="E60" s="2" t="s">
        <v>273</v>
      </c>
      <c r="F60" s="2"/>
      <c r="G60" s="2" t="s">
        <v>127</v>
      </c>
      <c r="H60" s="2">
        <v>1</v>
      </c>
      <c r="I60" s="2"/>
      <c r="J60" s="2"/>
      <c r="K60" s="5"/>
    </row>
    <row r="61" spans="1:11" x14ac:dyDescent="0.35">
      <c r="A61" s="2">
        <v>50</v>
      </c>
      <c r="B61" s="2" t="s">
        <v>164</v>
      </c>
      <c r="C61" s="2">
        <v>1</v>
      </c>
      <c r="D61" s="2" t="s">
        <v>99</v>
      </c>
      <c r="E61" s="2" t="s">
        <v>273</v>
      </c>
      <c r="F61" s="2"/>
      <c r="G61" s="2" t="s">
        <v>127</v>
      </c>
      <c r="H61" s="2">
        <v>2</v>
      </c>
      <c r="I61" s="2"/>
      <c r="J61" s="2"/>
      <c r="K61" s="5"/>
    </row>
    <row r="62" spans="1:11" x14ac:dyDescent="0.35">
      <c r="A62" s="2">
        <v>51</v>
      </c>
      <c r="B62" s="2" t="s">
        <v>166</v>
      </c>
      <c r="C62" s="2">
        <v>1</v>
      </c>
      <c r="D62" s="2" t="s">
        <v>99</v>
      </c>
      <c r="E62" s="2" t="s">
        <v>273</v>
      </c>
      <c r="F62" s="2"/>
      <c r="G62" s="2" t="s">
        <v>127</v>
      </c>
      <c r="H62" s="2">
        <v>2</v>
      </c>
      <c r="I62" s="2"/>
      <c r="J62" s="2"/>
      <c r="K62" s="5"/>
    </row>
    <row r="63" spans="1:11" x14ac:dyDescent="0.35">
      <c r="A63" s="2">
        <v>52</v>
      </c>
      <c r="B63" s="2" t="s">
        <v>168</v>
      </c>
      <c r="C63" s="2">
        <v>1</v>
      </c>
      <c r="D63" s="2" t="s">
        <v>99</v>
      </c>
      <c r="E63" s="2" t="s">
        <v>273</v>
      </c>
      <c r="F63" s="2"/>
      <c r="G63" s="2" t="s">
        <v>127</v>
      </c>
      <c r="H63" s="2">
        <v>4</v>
      </c>
      <c r="I63" s="2"/>
      <c r="J63" s="2"/>
      <c r="K63" s="5"/>
    </row>
    <row r="64" spans="1:11" x14ac:dyDescent="0.35">
      <c r="A64" s="2">
        <v>53</v>
      </c>
      <c r="B64" s="2" t="s">
        <v>170</v>
      </c>
      <c r="C64" s="2">
        <v>1</v>
      </c>
      <c r="D64" s="2" t="s">
        <v>100</v>
      </c>
      <c r="E64" s="2" t="s">
        <v>273</v>
      </c>
      <c r="F64" s="2"/>
      <c r="G64" s="2" t="s">
        <v>127</v>
      </c>
      <c r="H64" s="2">
        <v>2</v>
      </c>
      <c r="I64" s="2"/>
      <c r="J64" s="2"/>
      <c r="K64" s="5"/>
    </row>
    <row r="65" spans="1:11" x14ac:dyDescent="0.35">
      <c r="A65" s="2">
        <v>54</v>
      </c>
      <c r="B65" s="2" t="s">
        <v>172</v>
      </c>
      <c r="C65" s="2">
        <v>1</v>
      </c>
      <c r="D65" s="2" t="s">
        <v>100</v>
      </c>
      <c r="E65" s="2" t="s">
        <v>273</v>
      </c>
      <c r="F65" s="2"/>
      <c r="G65" s="2" t="s">
        <v>127</v>
      </c>
      <c r="H65" s="2">
        <v>2</v>
      </c>
      <c r="I65" s="2"/>
      <c r="J65" s="2"/>
      <c r="K65" s="5"/>
    </row>
    <row r="66" spans="1:11" x14ac:dyDescent="0.35">
      <c r="A66" s="2">
        <v>55</v>
      </c>
      <c r="B66" s="2" t="s">
        <v>174</v>
      </c>
      <c r="C66" s="2">
        <v>1</v>
      </c>
      <c r="D66" s="2" t="s">
        <v>100</v>
      </c>
      <c r="E66" s="2" t="s">
        <v>273</v>
      </c>
      <c r="F66" s="2"/>
      <c r="G66" s="2" t="s">
        <v>127</v>
      </c>
      <c r="H66" s="2">
        <v>3</v>
      </c>
      <c r="I66" s="2"/>
      <c r="J66" s="2"/>
      <c r="K66" s="5"/>
    </row>
    <row r="67" spans="1:11" x14ac:dyDescent="0.35">
      <c r="A67" s="2">
        <v>56</v>
      </c>
      <c r="B67" s="2" t="s">
        <v>176</v>
      </c>
      <c r="C67" s="2">
        <v>1</v>
      </c>
      <c r="D67" s="2" t="s">
        <v>100</v>
      </c>
      <c r="E67" s="2" t="s">
        <v>273</v>
      </c>
      <c r="F67" s="2"/>
      <c r="G67" s="2" t="s">
        <v>127</v>
      </c>
      <c r="H67" s="2">
        <v>1</v>
      </c>
      <c r="I67" s="2"/>
      <c r="J67" s="2"/>
      <c r="K67" s="5"/>
    </row>
    <row r="68" spans="1:11" x14ac:dyDescent="0.35">
      <c r="A68" s="2">
        <v>57</v>
      </c>
      <c r="B68" s="2" t="s">
        <v>178</v>
      </c>
      <c r="C68" s="2">
        <v>1</v>
      </c>
      <c r="D68" s="2" t="s">
        <v>100</v>
      </c>
      <c r="E68" s="2" t="s">
        <v>273</v>
      </c>
      <c r="F68" s="2"/>
      <c r="G68" s="2" t="s">
        <v>127</v>
      </c>
      <c r="H68" s="2">
        <v>4</v>
      </c>
      <c r="I68" s="2"/>
      <c r="J68" s="2"/>
      <c r="K68" s="5"/>
    </row>
    <row r="69" spans="1:11" x14ac:dyDescent="0.35">
      <c r="A69" s="2">
        <v>58</v>
      </c>
      <c r="B69" s="2" t="s">
        <v>180</v>
      </c>
      <c r="C69" s="2">
        <v>1</v>
      </c>
      <c r="D69" s="2" t="s">
        <v>101</v>
      </c>
      <c r="E69" s="2" t="s">
        <v>273</v>
      </c>
      <c r="F69" s="2"/>
      <c r="G69" s="2" t="s">
        <v>127</v>
      </c>
      <c r="H69" s="2">
        <v>1</v>
      </c>
      <c r="I69" s="2"/>
      <c r="J69" s="2"/>
      <c r="K69" s="5"/>
    </row>
    <row r="70" spans="1:11" x14ac:dyDescent="0.35">
      <c r="A70" s="2">
        <v>59</v>
      </c>
      <c r="B70" s="2" t="s">
        <v>182</v>
      </c>
      <c r="C70" s="2">
        <v>1</v>
      </c>
      <c r="D70" s="2" t="s">
        <v>101</v>
      </c>
      <c r="E70" s="2" t="s">
        <v>273</v>
      </c>
      <c r="F70" s="2"/>
      <c r="G70" s="2" t="s">
        <v>127</v>
      </c>
      <c r="H70" s="2">
        <v>3</v>
      </c>
      <c r="I70" s="2"/>
      <c r="J70" s="2"/>
      <c r="K70" s="5"/>
    </row>
    <row r="71" spans="1:11" x14ac:dyDescent="0.35">
      <c r="A71" s="2">
        <v>60</v>
      </c>
      <c r="B71" s="2" t="s">
        <v>184</v>
      </c>
      <c r="C71" s="2">
        <v>1</v>
      </c>
      <c r="D71" s="2" t="s">
        <v>101</v>
      </c>
      <c r="E71" s="2" t="s">
        <v>273</v>
      </c>
      <c r="F71" s="2"/>
      <c r="G71" s="2" t="s">
        <v>127</v>
      </c>
      <c r="H71" s="2">
        <v>2</v>
      </c>
      <c r="I71" s="2"/>
      <c r="J71" s="2"/>
      <c r="K71" s="5"/>
    </row>
    <row r="72" spans="1:11" x14ac:dyDescent="0.35">
      <c r="A72" s="2">
        <v>61</v>
      </c>
      <c r="B72" s="2" t="s">
        <v>186</v>
      </c>
      <c r="C72" s="2">
        <v>1</v>
      </c>
      <c r="D72" s="2" t="s">
        <v>101</v>
      </c>
      <c r="E72" s="2" t="s">
        <v>273</v>
      </c>
      <c r="F72" s="2"/>
      <c r="G72" s="2" t="s">
        <v>127</v>
      </c>
      <c r="H72" s="2">
        <v>3</v>
      </c>
      <c r="I72" s="2"/>
      <c r="J72" s="2"/>
      <c r="K72" s="5"/>
    </row>
    <row r="73" spans="1:11" x14ac:dyDescent="0.35">
      <c r="A73" s="2">
        <v>62</v>
      </c>
      <c r="B73" s="2" t="s">
        <v>188</v>
      </c>
      <c r="C73" s="2">
        <v>1</v>
      </c>
      <c r="D73" s="2" t="s">
        <v>101</v>
      </c>
      <c r="E73" s="2" t="s">
        <v>273</v>
      </c>
      <c r="F73" s="2"/>
      <c r="G73" s="2" t="s">
        <v>127</v>
      </c>
      <c r="H73" s="2">
        <v>4</v>
      </c>
      <c r="I73" s="2"/>
      <c r="J73" s="2"/>
      <c r="K73" s="5"/>
    </row>
    <row r="74" spans="1:11" x14ac:dyDescent="0.35">
      <c r="A74" s="2">
        <v>63</v>
      </c>
      <c r="B74" s="2" t="s">
        <v>190</v>
      </c>
      <c r="C74" s="2">
        <v>1</v>
      </c>
      <c r="D74" s="2" t="s">
        <v>102</v>
      </c>
      <c r="E74" s="2" t="s">
        <v>273</v>
      </c>
      <c r="F74" s="2"/>
      <c r="G74" s="2" t="s">
        <v>127</v>
      </c>
      <c r="H74" s="2">
        <v>3</v>
      </c>
      <c r="I74" s="2"/>
      <c r="J74" s="2"/>
      <c r="K74" s="5"/>
    </row>
    <row r="75" spans="1:11" x14ac:dyDescent="0.35">
      <c r="A75" s="2">
        <v>64</v>
      </c>
      <c r="B75" s="2" t="s">
        <v>192</v>
      </c>
      <c r="C75" s="2">
        <v>1</v>
      </c>
      <c r="D75" s="2" t="s">
        <v>102</v>
      </c>
      <c r="E75" s="2" t="s">
        <v>273</v>
      </c>
      <c r="F75" s="2"/>
      <c r="G75" s="2" t="s">
        <v>127</v>
      </c>
      <c r="H75" s="2">
        <v>2</v>
      </c>
      <c r="I75" s="2"/>
      <c r="J75" s="2"/>
      <c r="K75" s="5"/>
    </row>
    <row r="76" spans="1:11" x14ac:dyDescent="0.35">
      <c r="A76" s="2">
        <v>65</v>
      </c>
      <c r="B76" s="2" t="s">
        <v>194</v>
      </c>
      <c r="C76" s="2">
        <v>1</v>
      </c>
      <c r="D76" s="2" t="s">
        <v>102</v>
      </c>
      <c r="E76" s="2" t="s">
        <v>273</v>
      </c>
      <c r="F76" s="2"/>
      <c r="G76" s="2" t="s">
        <v>127</v>
      </c>
      <c r="H76" s="2">
        <v>1</v>
      </c>
      <c r="I76" s="2"/>
      <c r="J76" s="2"/>
      <c r="K76" s="5"/>
    </row>
    <row r="77" spans="1:11" x14ac:dyDescent="0.35">
      <c r="A77" s="2">
        <v>66</v>
      </c>
      <c r="B77" s="2" t="s">
        <v>196</v>
      </c>
      <c r="C77" s="2">
        <v>1</v>
      </c>
      <c r="D77" s="2" t="s">
        <v>102</v>
      </c>
      <c r="E77" s="2" t="s">
        <v>273</v>
      </c>
      <c r="F77" s="2"/>
      <c r="G77" s="2" t="s">
        <v>127</v>
      </c>
      <c r="H77" s="2">
        <v>3</v>
      </c>
      <c r="I77" s="2"/>
      <c r="J77" s="2"/>
      <c r="K77" s="5"/>
    </row>
    <row r="78" spans="1:11" x14ac:dyDescent="0.35">
      <c r="A78" s="2">
        <v>67</v>
      </c>
      <c r="B78" s="2" t="s">
        <v>198</v>
      </c>
      <c r="C78" s="2">
        <v>1</v>
      </c>
      <c r="D78" s="2" t="s">
        <v>102</v>
      </c>
      <c r="E78" s="2" t="s">
        <v>273</v>
      </c>
      <c r="F78" s="2"/>
      <c r="G78" s="2" t="s">
        <v>127</v>
      </c>
      <c r="H78" s="2">
        <v>3</v>
      </c>
      <c r="I78" s="2"/>
      <c r="J78" s="2"/>
      <c r="K78" s="5"/>
    </row>
    <row r="79" spans="1:11" x14ac:dyDescent="0.35">
      <c r="A79" s="2">
        <v>68</v>
      </c>
      <c r="B79" s="2" t="s">
        <v>200</v>
      </c>
      <c r="C79" s="2">
        <v>1</v>
      </c>
      <c r="D79" s="2" t="s">
        <v>103</v>
      </c>
      <c r="E79" s="2" t="s">
        <v>273</v>
      </c>
      <c r="F79" s="2"/>
      <c r="G79" s="2" t="s">
        <v>127</v>
      </c>
      <c r="H79" s="2">
        <v>3</v>
      </c>
      <c r="I79" s="2"/>
      <c r="J79" s="2"/>
      <c r="K79" s="5"/>
    </row>
    <row r="80" spans="1:11" x14ac:dyDescent="0.35">
      <c r="A80" s="2">
        <v>69</v>
      </c>
      <c r="B80" s="2" t="s">
        <v>202</v>
      </c>
      <c r="C80" s="2">
        <v>1</v>
      </c>
      <c r="D80" s="2" t="s">
        <v>103</v>
      </c>
      <c r="E80" s="2" t="s">
        <v>273</v>
      </c>
      <c r="F80" s="2"/>
      <c r="G80" s="2" t="s">
        <v>127</v>
      </c>
      <c r="H80" s="2">
        <v>1</v>
      </c>
      <c r="I80" s="2"/>
      <c r="J80" s="2"/>
      <c r="K80" s="5"/>
    </row>
    <row r="81" spans="1:11" x14ac:dyDescent="0.35">
      <c r="A81" s="2">
        <v>70</v>
      </c>
      <c r="B81" s="2" t="s">
        <v>204</v>
      </c>
      <c r="C81" s="2">
        <v>1</v>
      </c>
      <c r="D81" s="2" t="s">
        <v>103</v>
      </c>
      <c r="E81" s="2" t="s">
        <v>273</v>
      </c>
      <c r="F81" s="2"/>
      <c r="G81" s="2" t="s">
        <v>127</v>
      </c>
      <c r="H81" s="2">
        <v>3</v>
      </c>
      <c r="I81" s="2"/>
      <c r="J81" s="2"/>
      <c r="K81" s="5"/>
    </row>
    <row r="82" spans="1:11" x14ac:dyDescent="0.35">
      <c r="A82" s="2">
        <v>71</v>
      </c>
      <c r="B82" s="2" t="s">
        <v>206</v>
      </c>
      <c r="C82" s="2">
        <v>1</v>
      </c>
      <c r="D82" s="2" t="s">
        <v>103</v>
      </c>
      <c r="E82" s="2" t="s">
        <v>273</v>
      </c>
      <c r="F82" s="2"/>
      <c r="G82" s="2" t="s">
        <v>127</v>
      </c>
      <c r="H82" s="2">
        <v>2</v>
      </c>
      <c r="I82" s="2"/>
      <c r="J82" s="2"/>
      <c r="K82" s="5"/>
    </row>
    <row r="83" spans="1:11" x14ac:dyDescent="0.35">
      <c r="A83" s="2">
        <v>72</v>
      </c>
      <c r="B83" s="2" t="s">
        <v>208</v>
      </c>
      <c r="C83" s="2">
        <v>1</v>
      </c>
      <c r="D83" s="2" t="s">
        <v>103</v>
      </c>
      <c r="E83" s="2" t="s">
        <v>273</v>
      </c>
      <c r="F83" s="2"/>
      <c r="G83" s="2" t="s">
        <v>127</v>
      </c>
      <c r="H83" s="2">
        <v>4</v>
      </c>
      <c r="I83" s="2"/>
      <c r="J83" s="2"/>
      <c r="K83" s="5"/>
    </row>
    <row r="84" spans="1:11" x14ac:dyDescent="0.35">
      <c r="A84" s="2">
        <v>73</v>
      </c>
      <c r="B84" s="2" t="s">
        <v>210</v>
      </c>
      <c r="C84" s="2">
        <v>1</v>
      </c>
      <c r="D84" s="2" t="s">
        <v>104</v>
      </c>
      <c r="E84" s="2" t="s">
        <v>273</v>
      </c>
      <c r="F84" s="2"/>
      <c r="G84" s="2" t="s">
        <v>127</v>
      </c>
      <c r="H84" s="2">
        <v>3</v>
      </c>
      <c r="I84" s="2"/>
      <c r="J84" s="2"/>
      <c r="K84" s="5"/>
    </row>
    <row r="85" spans="1:11" x14ac:dyDescent="0.35">
      <c r="A85" s="2">
        <v>74</v>
      </c>
      <c r="B85" s="2" t="s">
        <v>212</v>
      </c>
      <c r="C85" s="2">
        <v>1</v>
      </c>
      <c r="D85" s="2" t="s">
        <v>104</v>
      </c>
      <c r="E85" s="2" t="s">
        <v>273</v>
      </c>
      <c r="F85" s="2"/>
      <c r="G85" s="2" t="s">
        <v>127</v>
      </c>
      <c r="H85" s="2">
        <v>1</v>
      </c>
      <c r="I85" s="2"/>
      <c r="J85" s="2"/>
      <c r="K85" s="5"/>
    </row>
    <row r="86" spans="1:11" x14ac:dyDescent="0.35">
      <c r="A86" s="2">
        <v>75</v>
      </c>
      <c r="B86" s="2" t="s">
        <v>214</v>
      </c>
      <c r="C86" s="2">
        <v>1</v>
      </c>
      <c r="D86" s="2" t="s">
        <v>104</v>
      </c>
      <c r="E86" s="2" t="s">
        <v>273</v>
      </c>
      <c r="F86" s="2"/>
      <c r="G86" s="2" t="s">
        <v>127</v>
      </c>
      <c r="H86" s="2">
        <v>2</v>
      </c>
      <c r="I86" s="2"/>
      <c r="J86" s="2"/>
      <c r="K86" s="5"/>
    </row>
    <row r="87" spans="1:11" x14ac:dyDescent="0.35">
      <c r="A87" s="2">
        <v>76</v>
      </c>
      <c r="B87" s="2" t="s">
        <v>216</v>
      </c>
      <c r="C87" s="2">
        <v>1</v>
      </c>
      <c r="D87" s="2" t="s">
        <v>104</v>
      </c>
      <c r="E87" s="2" t="s">
        <v>273</v>
      </c>
      <c r="F87" s="2"/>
      <c r="G87" s="2" t="s">
        <v>127</v>
      </c>
      <c r="H87" s="2">
        <v>2</v>
      </c>
      <c r="I87" s="2"/>
      <c r="J87" s="2"/>
      <c r="K87" s="5"/>
    </row>
    <row r="88" spans="1:11" x14ac:dyDescent="0.35">
      <c r="A88" s="2">
        <v>77</v>
      </c>
      <c r="B88" s="2" t="s">
        <v>218</v>
      </c>
      <c r="C88" s="2">
        <v>1</v>
      </c>
      <c r="D88" s="2" t="s">
        <v>104</v>
      </c>
      <c r="E88" s="2" t="s">
        <v>273</v>
      </c>
      <c r="F88" s="2"/>
      <c r="G88" s="2" t="s">
        <v>127</v>
      </c>
      <c r="H88" s="2">
        <v>4</v>
      </c>
      <c r="I88" s="2"/>
      <c r="J88" s="2"/>
      <c r="K88" s="5"/>
    </row>
    <row r="89" spans="1:11" x14ac:dyDescent="0.35">
      <c r="A89" s="2">
        <v>78</v>
      </c>
      <c r="B89" s="2" t="s">
        <v>220</v>
      </c>
      <c r="C89" s="2">
        <v>1</v>
      </c>
      <c r="D89" s="2" t="s">
        <v>105</v>
      </c>
      <c r="E89" s="2" t="s">
        <v>273</v>
      </c>
      <c r="F89" s="2"/>
      <c r="G89" s="2" t="s">
        <v>127</v>
      </c>
      <c r="H89" s="2">
        <v>1</v>
      </c>
      <c r="I89" s="2"/>
      <c r="J89" s="2"/>
      <c r="K89" s="5"/>
    </row>
    <row r="90" spans="1:11" x14ac:dyDescent="0.35">
      <c r="A90" s="2">
        <v>79</v>
      </c>
      <c r="B90" s="2" t="s">
        <v>222</v>
      </c>
      <c r="C90" s="2">
        <v>1</v>
      </c>
      <c r="D90" s="2" t="s">
        <v>105</v>
      </c>
      <c r="E90" s="2" t="s">
        <v>273</v>
      </c>
      <c r="F90" s="2"/>
      <c r="G90" s="2" t="s">
        <v>127</v>
      </c>
      <c r="H90" s="2">
        <v>2</v>
      </c>
      <c r="I90" s="2"/>
      <c r="J90" s="2"/>
      <c r="K90" s="5"/>
    </row>
    <row r="91" spans="1:11" x14ac:dyDescent="0.35">
      <c r="A91" s="2">
        <v>80</v>
      </c>
      <c r="B91" s="2" t="s">
        <v>224</v>
      </c>
      <c r="C91" s="2">
        <v>1</v>
      </c>
      <c r="D91" s="2" t="s">
        <v>105</v>
      </c>
      <c r="E91" s="2" t="s">
        <v>273</v>
      </c>
      <c r="F91" s="2"/>
      <c r="G91" s="2" t="s">
        <v>127</v>
      </c>
      <c r="H91" s="2">
        <v>3</v>
      </c>
      <c r="I91" s="2"/>
      <c r="J91" s="2"/>
      <c r="K91" s="5"/>
    </row>
    <row r="92" spans="1:11" x14ac:dyDescent="0.35">
      <c r="A92" s="2">
        <v>81</v>
      </c>
      <c r="B92" s="2" t="s">
        <v>226</v>
      </c>
      <c r="C92" s="2">
        <v>1</v>
      </c>
      <c r="D92" s="2" t="s">
        <v>105</v>
      </c>
      <c r="E92" s="2" t="s">
        <v>273</v>
      </c>
      <c r="F92" s="2"/>
      <c r="G92" s="2" t="s">
        <v>127</v>
      </c>
      <c r="H92" s="2">
        <v>3</v>
      </c>
      <c r="I92" s="2"/>
      <c r="J92" s="2"/>
      <c r="K92" s="5"/>
    </row>
    <row r="93" spans="1:11" x14ac:dyDescent="0.35">
      <c r="A93" s="2">
        <v>82</v>
      </c>
      <c r="B93" s="2" t="s">
        <v>228</v>
      </c>
      <c r="C93" s="2">
        <v>1</v>
      </c>
      <c r="D93" s="2" t="s">
        <v>105</v>
      </c>
      <c r="E93" s="2" t="s">
        <v>273</v>
      </c>
      <c r="F93" s="2"/>
      <c r="G93" s="2" t="s">
        <v>127</v>
      </c>
      <c r="H93" s="2">
        <v>4</v>
      </c>
      <c r="I93" s="2"/>
      <c r="J93" s="2"/>
      <c r="K93" s="5"/>
    </row>
    <row r="94" spans="1:11" x14ac:dyDescent="0.35">
      <c r="A94" s="2">
        <v>83</v>
      </c>
      <c r="B94" s="2" t="s">
        <v>230</v>
      </c>
      <c r="C94" s="2">
        <v>1</v>
      </c>
      <c r="D94" s="2" t="s">
        <v>106</v>
      </c>
      <c r="E94" s="2" t="s">
        <v>273</v>
      </c>
      <c r="F94" s="2"/>
      <c r="G94" s="2" t="s">
        <v>127</v>
      </c>
      <c r="H94" s="2">
        <v>2</v>
      </c>
      <c r="I94" s="2"/>
      <c r="J94" s="2"/>
      <c r="K94" s="5"/>
    </row>
    <row r="95" spans="1:11" x14ac:dyDescent="0.35">
      <c r="A95" s="2">
        <v>84</v>
      </c>
      <c r="B95" s="2" t="s">
        <v>232</v>
      </c>
      <c r="C95" s="2">
        <v>1</v>
      </c>
      <c r="D95" s="2" t="s">
        <v>106</v>
      </c>
      <c r="E95" s="2" t="s">
        <v>273</v>
      </c>
      <c r="F95" s="2"/>
      <c r="G95" s="2" t="s">
        <v>127</v>
      </c>
      <c r="H95" s="2">
        <v>2</v>
      </c>
      <c r="I95" s="2"/>
      <c r="J95" s="2"/>
      <c r="K95" s="5"/>
    </row>
    <row r="96" spans="1:11" x14ac:dyDescent="0.35">
      <c r="A96" s="2">
        <v>85</v>
      </c>
      <c r="B96" s="2" t="s">
        <v>234</v>
      </c>
      <c r="C96" s="2">
        <v>1</v>
      </c>
      <c r="D96" s="2" t="s">
        <v>106</v>
      </c>
      <c r="E96" s="2" t="s">
        <v>273</v>
      </c>
      <c r="F96" s="2"/>
      <c r="G96" s="2" t="s">
        <v>127</v>
      </c>
      <c r="H96" s="2">
        <v>1</v>
      </c>
      <c r="I96" s="2"/>
      <c r="J96" s="2"/>
      <c r="K96" s="5"/>
    </row>
    <row r="97" spans="1:11" x14ac:dyDescent="0.35">
      <c r="A97" s="2">
        <v>86</v>
      </c>
      <c r="B97" s="2" t="s">
        <v>236</v>
      </c>
      <c r="C97" s="2">
        <v>1</v>
      </c>
      <c r="D97" s="2" t="s">
        <v>106</v>
      </c>
      <c r="E97" s="2" t="s">
        <v>273</v>
      </c>
      <c r="F97" s="2"/>
      <c r="G97" s="2" t="s">
        <v>127</v>
      </c>
      <c r="H97" s="2">
        <v>3</v>
      </c>
      <c r="I97" s="2"/>
      <c r="J97" s="2"/>
      <c r="K97" s="5"/>
    </row>
    <row r="98" spans="1:11" x14ac:dyDescent="0.35">
      <c r="A98" s="2">
        <v>87</v>
      </c>
      <c r="B98" s="2" t="s">
        <v>238</v>
      </c>
      <c r="C98" s="2">
        <v>1</v>
      </c>
      <c r="D98" s="2" t="s">
        <v>106</v>
      </c>
      <c r="E98" s="2" t="s">
        <v>273</v>
      </c>
      <c r="F98" s="2"/>
      <c r="G98" s="2" t="s">
        <v>127</v>
      </c>
      <c r="H98" s="2">
        <v>4</v>
      </c>
      <c r="I98" s="2"/>
      <c r="J98" s="2"/>
      <c r="K98" s="5"/>
    </row>
    <row r="99" spans="1:11" x14ac:dyDescent="0.35">
      <c r="A99" s="2">
        <v>88</v>
      </c>
      <c r="B99" s="2" t="s">
        <v>240</v>
      </c>
      <c r="C99" s="2">
        <v>1</v>
      </c>
      <c r="D99" s="2" t="s">
        <v>107</v>
      </c>
      <c r="E99" s="2" t="s">
        <v>273</v>
      </c>
      <c r="F99" s="2"/>
      <c r="G99" s="2" t="s">
        <v>127</v>
      </c>
      <c r="H99" s="2">
        <v>3</v>
      </c>
      <c r="I99" s="2"/>
      <c r="J99" s="2"/>
      <c r="K99" s="5"/>
    </row>
    <row r="100" spans="1:11" x14ac:dyDescent="0.35">
      <c r="A100" s="2">
        <v>89</v>
      </c>
      <c r="B100" s="2" t="s">
        <v>242</v>
      </c>
      <c r="C100" s="2">
        <v>1</v>
      </c>
      <c r="D100" s="2" t="s">
        <v>107</v>
      </c>
      <c r="E100" s="2" t="s">
        <v>273</v>
      </c>
      <c r="F100" s="2"/>
      <c r="G100" s="2" t="s">
        <v>127</v>
      </c>
      <c r="H100" s="2">
        <v>2</v>
      </c>
      <c r="I100" s="2"/>
      <c r="J100" s="2"/>
      <c r="K100" s="5"/>
    </row>
    <row r="101" spans="1:11" x14ac:dyDescent="0.35">
      <c r="A101" s="2">
        <v>90</v>
      </c>
      <c r="B101" s="2" t="s">
        <v>244</v>
      </c>
      <c r="C101" s="2">
        <v>1</v>
      </c>
      <c r="D101" s="2" t="s">
        <v>107</v>
      </c>
      <c r="E101" s="2" t="s">
        <v>273</v>
      </c>
      <c r="F101" s="2"/>
      <c r="G101" s="2" t="s">
        <v>127</v>
      </c>
      <c r="H101" s="2">
        <v>3</v>
      </c>
      <c r="I101" s="2"/>
      <c r="J101" s="2"/>
      <c r="K101" s="5"/>
    </row>
    <row r="102" spans="1:11" x14ac:dyDescent="0.35">
      <c r="A102" s="2">
        <v>91</v>
      </c>
      <c r="B102" s="2" t="s">
        <v>246</v>
      </c>
      <c r="C102" s="2">
        <v>1</v>
      </c>
      <c r="D102" s="2" t="s">
        <v>107</v>
      </c>
      <c r="E102" s="2" t="s">
        <v>273</v>
      </c>
      <c r="F102" s="2"/>
      <c r="G102" s="2" t="s">
        <v>127</v>
      </c>
      <c r="H102" s="2">
        <v>1</v>
      </c>
      <c r="I102" s="2"/>
      <c r="J102" s="2"/>
      <c r="K102" s="5"/>
    </row>
    <row r="103" spans="1:11" x14ac:dyDescent="0.35">
      <c r="A103" s="2">
        <v>92</v>
      </c>
      <c r="B103" s="2" t="s">
        <v>248</v>
      </c>
      <c r="C103" s="2">
        <v>1</v>
      </c>
      <c r="D103" s="2" t="s">
        <v>107</v>
      </c>
      <c r="E103" s="2" t="s">
        <v>273</v>
      </c>
      <c r="F103" s="2"/>
      <c r="G103" s="2" t="s">
        <v>127</v>
      </c>
      <c r="H103" s="2">
        <v>3</v>
      </c>
      <c r="I103" s="2"/>
      <c r="J103" s="2"/>
      <c r="K103" s="5"/>
    </row>
    <row r="104" spans="1:11" x14ac:dyDescent="0.35">
      <c r="A104" s="2">
        <v>93</v>
      </c>
      <c r="B104" s="2" t="s">
        <v>250</v>
      </c>
      <c r="C104" s="2">
        <v>1</v>
      </c>
      <c r="D104" s="2" t="s">
        <v>108</v>
      </c>
      <c r="E104" s="2" t="s">
        <v>273</v>
      </c>
      <c r="F104" s="2"/>
      <c r="G104" s="2" t="s">
        <v>127</v>
      </c>
      <c r="H104" s="2">
        <v>2</v>
      </c>
      <c r="I104" s="2"/>
      <c r="J104" s="2"/>
      <c r="K104" s="5"/>
    </row>
    <row r="105" spans="1:11" x14ac:dyDescent="0.35">
      <c r="A105" s="2">
        <v>94</v>
      </c>
      <c r="B105" s="2" t="s">
        <v>252</v>
      </c>
      <c r="C105" s="2">
        <v>1</v>
      </c>
      <c r="D105" s="2" t="s">
        <v>108</v>
      </c>
      <c r="E105" s="2" t="s">
        <v>273</v>
      </c>
      <c r="F105" s="2"/>
      <c r="G105" s="2" t="s">
        <v>127</v>
      </c>
      <c r="H105" s="2">
        <v>1</v>
      </c>
      <c r="I105" s="2"/>
      <c r="J105" s="2"/>
      <c r="K105" s="5"/>
    </row>
    <row r="106" spans="1:11" x14ac:dyDescent="0.35">
      <c r="A106" s="2">
        <v>95</v>
      </c>
      <c r="B106" s="2" t="s">
        <v>254</v>
      </c>
      <c r="C106" s="2">
        <v>1</v>
      </c>
      <c r="D106" s="2" t="s">
        <v>108</v>
      </c>
      <c r="E106" s="2" t="s">
        <v>273</v>
      </c>
      <c r="F106" s="2"/>
      <c r="G106" s="2" t="s">
        <v>127</v>
      </c>
      <c r="H106" s="2">
        <v>1</v>
      </c>
      <c r="I106" s="2"/>
      <c r="J106" s="2"/>
      <c r="K106" s="5"/>
    </row>
    <row r="107" spans="1:11" x14ac:dyDescent="0.35">
      <c r="A107" s="2">
        <v>96</v>
      </c>
      <c r="B107" s="2" t="s">
        <v>256</v>
      </c>
      <c r="C107" s="2">
        <v>1</v>
      </c>
      <c r="D107" s="2" t="s">
        <v>108</v>
      </c>
      <c r="E107" s="2" t="s">
        <v>273</v>
      </c>
      <c r="F107" s="2"/>
      <c r="G107" s="2" t="s">
        <v>127</v>
      </c>
      <c r="H107" s="2">
        <v>3</v>
      </c>
      <c r="I107" s="2"/>
      <c r="J107" s="2"/>
      <c r="K107" s="5"/>
    </row>
    <row r="108" spans="1:11" x14ac:dyDescent="0.35">
      <c r="A108" s="2">
        <v>97</v>
      </c>
      <c r="B108" s="2" t="s">
        <v>258</v>
      </c>
      <c r="C108" s="2">
        <v>1</v>
      </c>
      <c r="D108" s="2" t="s">
        <v>108</v>
      </c>
      <c r="E108" s="2" t="s">
        <v>273</v>
      </c>
      <c r="F108" s="2"/>
      <c r="G108" s="2" t="s">
        <v>127</v>
      </c>
      <c r="H108" s="2">
        <v>4</v>
      </c>
      <c r="I108" s="2"/>
      <c r="J108" s="2"/>
      <c r="K108" s="5"/>
    </row>
    <row r="109" spans="1:11" x14ac:dyDescent="0.35">
      <c r="A109" s="2">
        <v>98</v>
      </c>
      <c r="B109" s="2" t="s">
        <v>260</v>
      </c>
      <c r="C109" s="2">
        <v>1</v>
      </c>
      <c r="D109" s="2" t="s">
        <v>109</v>
      </c>
      <c r="E109" s="2" t="s">
        <v>273</v>
      </c>
      <c r="F109" s="2"/>
      <c r="G109" s="2" t="s">
        <v>127</v>
      </c>
      <c r="H109" s="2">
        <v>3</v>
      </c>
      <c r="I109" s="2"/>
      <c r="J109" s="2"/>
      <c r="K109" s="5"/>
    </row>
    <row r="110" spans="1:11" x14ac:dyDescent="0.35">
      <c r="A110" s="2">
        <v>99</v>
      </c>
      <c r="B110" s="2" t="s">
        <v>262</v>
      </c>
      <c r="C110" s="2">
        <v>1</v>
      </c>
      <c r="D110" s="2" t="s">
        <v>109</v>
      </c>
      <c r="E110" s="2" t="s">
        <v>273</v>
      </c>
      <c r="F110" s="2"/>
      <c r="G110" s="2" t="s">
        <v>127</v>
      </c>
      <c r="H110" s="2">
        <v>2</v>
      </c>
      <c r="I110" s="2"/>
      <c r="J110" s="2"/>
      <c r="K110" s="5"/>
    </row>
    <row r="111" spans="1:11" x14ac:dyDescent="0.35">
      <c r="A111" s="2">
        <v>100</v>
      </c>
      <c r="B111" s="2" t="s">
        <v>264</v>
      </c>
      <c r="C111" s="2">
        <v>1</v>
      </c>
      <c r="D111" s="2" t="s">
        <v>109</v>
      </c>
      <c r="E111" s="2" t="s">
        <v>273</v>
      </c>
      <c r="F111" s="2"/>
      <c r="G111" s="2" t="s">
        <v>127</v>
      </c>
      <c r="H111" s="2">
        <v>1</v>
      </c>
      <c r="I111" s="2"/>
      <c r="J111" s="2"/>
      <c r="K111" s="5"/>
    </row>
    <row r="112" spans="1:11" x14ac:dyDescent="0.35">
      <c r="A112" s="2">
        <v>101</v>
      </c>
      <c r="B112" s="2" t="s">
        <v>266</v>
      </c>
      <c r="C112" s="2">
        <v>1</v>
      </c>
      <c r="D112" s="2" t="s">
        <v>109</v>
      </c>
      <c r="E112" s="2" t="s">
        <v>273</v>
      </c>
      <c r="F112" s="2"/>
      <c r="G112" s="2" t="s">
        <v>127</v>
      </c>
      <c r="H112" s="2">
        <v>3</v>
      </c>
      <c r="I112" s="2"/>
      <c r="J112" s="2"/>
      <c r="K112" s="5"/>
    </row>
    <row r="113" spans="1:11" x14ac:dyDescent="0.35">
      <c r="A113" s="2">
        <v>102</v>
      </c>
      <c r="B113" s="2" t="s">
        <v>268</v>
      </c>
      <c r="C113" s="2">
        <v>1</v>
      </c>
      <c r="D113" s="2" t="s">
        <v>109</v>
      </c>
      <c r="E113" s="2" t="s">
        <v>273</v>
      </c>
      <c r="F113" s="2"/>
      <c r="G113" s="2" t="s">
        <v>127</v>
      </c>
      <c r="H113" s="2">
        <v>3</v>
      </c>
      <c r="I113" s="2"/>
      <c r="J113" s="2"/>
      <c r="K113" s="5"/>
    </row>
    <row r="114" spans="1:11" x14ac:dyDescent="0.35">
      <c r="A114" s="2">
        <v>103</v>
      </c>
      <c r="B114" s="4" t="s">
        <v>313</v>
      </c>
      <c r="C114" s="1">
        <v>1</v>
      </c>
      <c r="D114" s="4" t="s">
        <v>345</v>
      </c>
      <c r="E114" s="4" t="s">
        <v>277</v>
      </c>
      <c r="F114" s="4"/>
      <c r="G114" s="4" t="s">
        <v>278</v>
      </c>
      <c r="H114" s="4"/>
      <c r="I114" s="4"/>
      <c r="J114" s="4"/>
      <c r="K114" s="7" t="s">
        <v>348</v>
      </c>
    </row>
    <row r="115" spans="1:11" x14ac:dyDescent="0.35">
      <c r="A115" s="2">
        <v>104</v>
      </c>
      <c r="B115" s="4" t="s">
        <v>313</v>
      </c>
      <c r="C115" s="2">
        <v>2</v>
      </c>
      <c r="D115" s="4" t="s">
        <v>345</v>
      </c>
      <c r="E115" s="4" t="s">
        <v>277</v>
      </c>
      <c r="F115" s="2"/>
      <c r="G115" s="4" t="s">
        <v>278</v>
      </c>
      <c r="H115" s="2"/>
      <c r="I115" s="2"/>
      <c r="J115" s="2"/>
      <c r="K115" s="7" t="s">
        <v>350</v>
      </c>
    </row>
    <row r="116" spans="1:11" x14ac:dyDescent="0.35">
      <c r="A116" s="2">
        <v>105</v>
      </c>
      <c r="B116" s="4" t="s">
        <v>313</v>
      </c>
      <c r="C116" s="2">
        <v>3</v>
      </c>
      <c r="D116" s="4" t="s">
        <v>345</v>
      </c>
      <c r="E116" s="4" t="s">
        <v>277</v>
      </c>
      <c r="F116" s="2"/>
      <c r="G116" s="4" t="s">
        <v>278</v>
      </c>
      <c r="H116" s="2"/>
      <c r="I116" s="2"/>
      <c r="J116" s="2"/>
      <c r="K116" s="7" t="s">
        <v>351</v>
      </c>
    </row>
    <row r="117" spans="1:11" x14ac:dyDescent="0.35">
      <c r="A117" s="2">
        <v>106</v>
      </c>
      <c r="B117" s="2" t="s">
        <v>314</v>
      </c>
      <c r="C117" s="2">
        <v>1</v>
      </c>
      <c r="D117" s="4" t="s">
        <v>345</v>
      </c>
      <c r="E117" s="4" t="s">
        <v>277</v>
      </c>
      <c r="F117" s="2"/>
      <c r="G117" s="4" t="s">
        <v>278</v>
      </c>
      <c r="H117" s="2"/>
      <c r="I117" s="2"/>
      <c r="J117" s="2"/>
      <c r="K117" s="5" t="s">
        <v>349</v>
      </c>
    </row>
    <row r="118" spans="1:11" x14ac:dyDescent="0.35">
      <c r="A118" s="2">
        <v>107</v>
      </c>
      <c r="B118" s="2" t="s">
        <v>314</v>
      </c>
      <c r="C118" s="2">
        <v>2</v>
      </c>
      <c r="D118" s="4" t="s">
        <v>345</v>
      </c>
      <c r="E118" s="4" t="s">
        <v>277</v>
      </c>
      <c r="F118" s="2"/>
      <c r="G118" s="4" t="s">
        <v>278</v>
      </c>
      <c r="H118" s="2"/>
      <c r="I118" s="2"/>
      <c r="J118" s="2"/>
      <c r="K118" s="5" t="s">
        <v>352</v>
      </c>
    </row>
    <row r="119" spans="1:11" x14ac:dyDescent="0.35">
      <c r="A119" s="2">
        <v>108</v>
      </c>
      <c r="B119" s="2" t="s">
        <v>314</v>
      </c>
      <c r="C119" s="2">
        <v>3</v>
      </c>
      <c r="D119" s="4" t="s">
        <v>345</v>
      </c>
      <c r="E119" s="4" t="s">
        <v>277</v>
      </c>
      <c r="F119" s="2"/>
      <c r="G119" s="4" t="s">
        <v>278</v>
      </c>
      <c r="H119" s="2"/>
      <c r="I119" s="2"/>
      <c r="J119" s="2"/>
      <c r="K119" s="5" t="s">
        <v>353</v>
      </c>
    </row>
    <row r="120" spans="1:11" x14ac:dyDescent="0.35">
      <c r="A120" s="2">
        <v>109</v>
      </c>
      <c r="B120" s="2" t="s">
        <v>315</v>
      </c>
      <c r="C120" s="2">
        <v>1</v>
      </c>
      <c r="D120" s="2" t="s">
        <v>346</v>
      </c>
      <c r="E120" s="4" t="s">
        <v>277</v>
      </c>
      <c r="F120" s="2"/>
      <c r="G120" s="4" t="s">
        <v>278</v>
      </c>
      <c r="H120" s="2"/>
      <c r="I120" s="2"/>
      <c r="J120" s="2"/>
      <c r="K120" s="5"/>
    </row>
    <row r="121" spans="1:11" x14ac:dyDescent="0.35">
      <c r="A121" s="2">
        <v>110</v>
      </c>
      <c r="B121" s="2" t="s">
        <v>316</v>
      </c>
      <c r="C121" s="2">
        <v>1</v>
      </c>
      <c r="D121" s="2" t="s">
        <v>346</v>
      </c>
      <c r="E121" s="4" t="s">
        <v>277</v>
      </c>
      <c r="F121" s="2"/>
      <c r="G121" s="4" t="s">
        <v>278</v>
      </c>
      <c r="H121" s="2"/>
      <c r="I121" s="2"/>
      <c r="J121" s="2"/>
      <c r="K121" s="5"/>
    </row>
    <row r="122" spans="1:11" x14ac:dyDescent="0.35">
      <c r="A122" s="2">
        <v>111</v>
      </c>
      <c r="B122" s="2" t="s">
        <v>317</v>
      </c>
      <c r="C122" s="2">
        <v>1</v>
      </c>
      <c r="D122" s="2" t="s">
        <v>125</v>
      </c>
      <c r="E122" s="4" t="s">
        <v>277</v>
      </c>
      <c r="F122" s="2"/>
      <c r="G122" s="4" t="s">
        <v>278</v>
      </c>
      <c r="H122" s="2"/>
      <c r="I122" s="2"/>
      <c r="J122" s="2"/>
      <c r="K122" s="5"/>
    </row>
    <row r="123" spans="1:11" x14ac:dyDescent="0.35">
      <c r="A123" s="2">
        <v>112</v>
      </c>
      <c r="B123" s="2" t="s">
        <v>318</v>
      </c>
      <c r="C123" s="2">
        <v>1</v>
      </c>
      <c r="D123" s="2" t="s">
        <v>125</v>
      </c>
      <c r="E123" s="4" t="s">
        <v>277</v>
      </c>
      <c r="F123" s="2"/>
      <c r="G123" s="4" t="s">
        <v>278</v>
      </c>
      <c r="H123" s="2"/>
      <c r="I123" s="2"/>
      <c r="J123" s="2"/>
      <c r="K123" s="5"/>
    </row>
    <row r="124" spans="1:11" x14ac:dyDescent="0.35">
      <c r="A124" s="2">
        <v>113</v>
      </c>
      <c r="B124" s="2" t="s">
        <v>319</v>
      </c>
      <c r="C124" s="2">
        <v>1</v>
      </c>
      <c r="D124" s="2" t="s">
        <v>300</v>
      </c>
      <c r="E124" s="4" t="s">
        <v>277</v>
      </c>
      <c r="F124" s="2"/>
      <c r="G124" s="4" t="s">
        <v>278</v>
      </c>
      <c r="H124" s="2"/>
      <c r="I124" s="2"/>
      <c r="J124" s="2"/>
      <c r="K124" s="5"/>
    </row>
    <row r="125" spans="1:11" x14ac:dyDescent="0.35">
      <c r="A125" s="2">
        <v>114</v>
      </c>
      <c r="B125" s="2" t="s">
        <v>320</v>
      </c>
      <c r="C125" s="2">
        <v>1</v>
      </c>
      <c r="D125" s="2" t="s">
        <v>300</v>
      </c>
      <c r="E125" s="4" t="s">
        <v>277</v>
      </c>
      <c r="F125" s="2"/>
      <c r="G125" s="4" t="s">
        <v>278</v>
      </c>
      <c r="H125" s="2"/>
      <c r="I125" s="2"/>
      <c r="J125" s="2"/>
      <c r="K125" s="5"/>
    </row>
    <row r="126" spans="1:11" x14ac:dyDescent="0.35">
      <c r="A126" s="2">
        <v>115</v>
      </c>
      <c r="B126" s="2" t="s">
        <v>321</v>
      </c>
      <c r="C126" s="2">
        <v>1</v>
      </c>
      <c r="D126" s="2" t="s">
        <v>301</v>
      </c>
      <c r="E126" s="4" t="s">
        <v>277</v>
      </c>
      <c r="F126" s="2"/>
      <c r="G126" s="4" t="s">
        <v>278</v>
      </c>
      <c r="H126" s="2"/>
      <c r="I126" s="2"/>
      <c r="J126" s="2"/>
      <c r="K126" s="5"/>
    </row>
    <row r="127" spans="1:11" x14ac:dyDescent="0.35">
      <c r="A127" s="2">
        <v>116</v>
      </c>
      <c r="B127" s="2" t="s">
        <v>322</v>
      </c>
      <c r="C127" s="2">
        <v>1</v>
      </c>
      <c r="D127" s="2" t="s">
        <v>301</v>
      </c>
      <c r="E127" s="4" t="s">
        <v>277</v>
      </c>
      <c r="F127" s="2"/>
      <c r="G127" s="4" t="s">
        <v>278</v>
      </c>
      <c r="H127" s="2"/>
      <c r="I127" s="2"/>
      <c r="J127" s="2"/>
      <c r="K127" s="5"/>
    </row>
    <row r="128" spans="1:11" x14ac:dyDescent="0.35">
      <c r="A128" s="2">
        <v>117</v>
      </c>
      <c r="B128" s="2" t="s">
        <v>323</v>
      </c>
      <c r="C128" s="2">
        <v>1</v>
      </c>
      <c r="D128" s="2" t="s">
        <v>302</v>
      </c>
      <c r="E128" s="4" t="s">
        <v>277</v>
      </c>
      <c r="F128" s="2"/>
      <c r="G128" s="4" t="s">
        <v>278</v>
      </c>
      <c r="H128" s="2"/>
      <c r="I128" s="2"/>
      <c r="J128" s="2"/>
      <c r="K128" s="5"/>
    </row>
    <row r="129" spans="1:11" x14ac:dyDescent="0.35">
      <c r="A129" s="2">
        <v>118</v>
      </c>
      <c r="B129" s="2" t="s">
        <v>324</v>
      </c>
      <c r="C129" s="2">
        <v>1</v>
      </c>
      <c r="D129" s="2" t="s">
        <v>302</v>
      </c>
      <c r="E129" s="4" t="s">
        <v>277</v>
      </c>
      <c r="F129" s="2"/>
      <c r="G129" s="4" t="s">
        <v>278</v>
      </c>
      <c r="H129" s="2"/>
      <c r="I129" s="2"/>
      <c r="J129" s="2"/>
      <c r="K129" s="5"/>
    </row>
    <row r="130" spans="1:11" x14ac:dyDescent="0.35">
      <c r="A130" s="2">
        <v>119</v>
      </c>
      <c r="B130" s="2" t="s">
        <v>325</v>
      </c>
      <c r="C130" s="2">
        <v>1</v>
      </c>
      <c r="D130" s="2" t="s">
        <v>303</v>
      </c>
      <c r="E130" s="4" t="s">
        <v>277</v>
      </c>
      <c r="F130" s="2"/>
      <c r="G130" s="4" t="s">
        <v>278</v>
      </c>
      <c r="H130" s="2"/>
      <c r="I130" s="2"/>
      <c r="J130" s="2"/>
      <c r="K130" s="5"/>
    </row>
    <row r="131" spans="1:11" x14ac:dyDescent="0.35">
      <c r="A131" s="2">
        <v>120</v>
      </c>
      <c r="B131" s="2" t="s">
        <v>326</v>
      </c>
      <c r="C131" s="2">
        <v>1</v>
      </c>
      <c r="D131" s="2" t="s">
        <v>303</v>
      </c>
      <c r="E131" s="4" t="s">
        <v>277</v>
      </c>
      <c r="F131" s="2"/>
      <c r="G131" s="4" t="s">
        <v>278</v>
      </c>
      <c r="H131" s="2"/>
      <c r="I131" s="2"/>
      <c r="J131" s="2"/>
      <c r="K131" s="5"/>
    </row>
    <row r="132" spans="1:11" x14ac:dyDescent="0.35">
      <c r="A132" s="2">
        <v>121</v>
      </c>
      <c r="B132" s="2" t="s">
        <v>327</v>
      </c>
      <c r="C132" s="2">
        <v>1</v>
      </c>
      <c r="D132" s="2" t="s">
        <v>304</v>
      </c>
      <c r="E132" s="4" t="s">
        <v>277</v>
      </c>
      <c r="F132" s="2"/>
      <c r="G132" s="4" t="s">
        <v>278</v>
      </c>
      <c r="H132" s="2"/>
      <c r="I132" s="2"/>
      <c r="J132" s="2"/>
      <c r="K132" s="5"/>
    </row>
    <row r="133" spans="1:11" x14ac:dyDescent="0.35">
      <c r="A133" s="2">
        <v>122</v>
      </c>
      <c r="B133" s="2" t="s">
        <v>328</v>
      </c>
      <c r="C133" s="2">
        <v>1</v>
      </c>
      <c r="D133" s="2" t="s">
        <v>304</v>
      </c>
      <c r="E133" s="4" t="s">
        <v>277</v>
      </c>
      <c r="F133" s="2"/>
      <c r="G133" s="4" t="s">
        <v>278</v>
      </c>
      <c r="H133" s="2"/>
      <c r="I133" s="2"/>
      <c r="J133" s="2"/>
      <c r="K133" s="5"/>
    </row>
    <row r="134" spans="1:11" x14ac:dyDescent="0.35">
      <c r="A134" s="2">
        <v>123</v>
      </c>
      <c r="B134" s="2" t="s">
        <v>329</v>
      </c>
      <c r="C134" s="2">
        <v>1</v>
      </c>
      <c r="D134" s="2" t="s">
        <v>305</v>
      </c>
      <c r="E134" s="4" t="s">
        <v>277</v>
      </c>
      <c r="F134" s="2"/>
      <c r="G134" s="4" t="s">
        <v>278</v>
      </c>
      <c r="H134" s="2"/>
      <c r="I134" s="2"/>
      <c r="J134" s="2"/>
      <c r="K134" s="5"/>
    </row>
    <row r="135" spans="1:11" x14ac:dyDescent="0.35">
      <c r="A135" s="2">
        <v>124</v>
      </c>
      <c r="B135" s="2" t="s">
        <v>330</v>
      </c>
      <c r="C135" s="2">
        <v>1</v>
      </c>
      <c r="D135" s="2" t="s">
        <v>305</v>
      </c>
      <c r="E135" s="4" t="s">
        <v>277</v>
      </c>
      <c r="F135" s="2"/>
      <c r="G135" s="4" t="s">
        <v>278</v>
      </c>
      <c r="H135" s="2"/>
      <c r="I135" s="2"/>
      <c r="J135" s="2"/>
      <c r="K135" s="5"/>
    </row>
    <row r="136" spans="1:11" x14ac:dyDescent="0.35">
      <c r="A136" s="2">
        <v>125</v>
      </c>
      <c r="B136" s="2" t="s">
        <v>331</v>
      </c>
      <c r="C136" s="2">
        <v>1</v>
      </c>
      <c r="D136" s="2" t="s">
        <v>306</v>
      </c>
      <c r="E136" s="4" t="s">
        <v>277</v>
      </c>
      <c r="F136" s="2"/>
      <c r="G136" s="4" t="s">
        <v>278</v>
      </c>
      <c r="H136" s="2"/>
      <c r="I136" s="2"/>
      <c r="J136" s="2"/>
      <c r="K136" s="5"/>
    </row>
    <row r="137" spans="1:11" x14ac:dyDescent="0.35">
      <c r="A137" s="2">
        <v>126</v>
      </c>
      <c r="B137" s="2" t="s">
        <v>332</v>
      </c>
      <c r="C137" s="2">
        <v>1</v>
      </c>
      <c r="D137" s="2" t="s">
        <v>306</v>
      </c>
      <c r="E137" s="4" t="s">
        <v>277</v>
      </c>
      <c r="F137" s="2"/>
      <c r="G137" s="4" t="s">
        <v>278</v>
      </c>
      <c r="H137" s="2"/>
      <c r="I137" s="2"/>
      <c r="J137" s="2"/>
      <c r="K137" s="5"/>
    </row>
    <row r="138" spans="1:11" x14ac:dyDescent="0.35">
      <c r="A138" s="2">
        <v>127</v>
      </c>
      <c r="B138" s="2" t="s">
        <v>333</v>
      </c>
      <c r="C138" s="2">
        <v>1</v>
      </c>
      <c r="D138" s="2" t="s">
        <v>307</v>
      </c>
      <c r="E138" s="4" t="s">
        <v>277</v>
      </c>
      <c r="F138" s="2"/>
      <c r="G138" s="4" t="s">
        <v>278</v>
      </c>
      <c r="H138" s="2"/>
      <c r="I138" s="2"/>
      <c r="J138" s="2"/>
      <c r="K138" s="5"/>
    </row>
    <row r="139" spans="1:11" x14ac:dyDescent="0.35">
      <c r="A139" s="2">
        <v>128</v>
      </c>
      <c r="B139" s="2" t="s">
        <v>334</v>
      </c>
      <c r="C139" s="2">
        <v>1</v>
      </c>
      <c r="D139" s="2" t="s">
        <v>307</v>
      </c>
      <c r="E139" s="4" t="s">
        <v>277</v>
      </c>
      <c r="F139" s="2"/>
      <c r="G139" s="4" t="s">
        <v>278</v>
      </c>
      <c r="H139" s="2"/>
      <c r="I139" s="2"/>
      <c r="J139" s="2"/>
      <c r="K139" s="5"/>
    </row>
    <row r="140" spans="1:11" x14ac:dyDescent="0.35">
      <c r="A140" s="2">
        <v>129</v>
      </c>
      <c r="B140" s="2" t="s">
        <v>335</v>
      </c>
      <c r="C140" s="2">
        <v>1</v>
      </c>
      <c r="D140" s="2" t="s">
        <v>308</v>
      </c>
      <c r="E140" s="4" t="s">
        <v>277</v>
      </c>
      <c r="F140" s="2"/>
      <c r="G140" s="4" t="s">
        <v>278</v>
      </c>
      <c r="H140" s="2"/>
      <c r="I140" s="2"/>
      <c r="J140" s="2"/>
      <c r="K140" s="5"/>
    </row>
    <row r="141" spans="1:11" x14ac:dyDescent="0.35">
      <c r="A141" s="2">
        <v>130</v>
      </c>
      <c r="B141" s="2" t="s">
        <v>336</v>
      </c>
      <c r="C141" s="2">
        <v>1</v>
      </c>
      <c r="D141" s="2" t="s">
        <v>308</v>
      </c>
      <c r="E141" s="4" t="s">
        <v>277</v>
      </c>
      <c r="F141" s="2"/>
      <c r="G141" s="4" t="s">
        <v>278</v>
      </c>
      <c r="H141" s="2"/>
      <c r="I141" s="2"/>
      <c r="J141" s="2"/>
      <c r="K141" s="5"/>
    </row>
    <row r="142" spans="1:11" x14ac:dyDescent="0.35">
      <c r="A142" s="2">
        <v>131</v>
      </c>
      <c r="B142" s="2" t="s">
        <v>337</v>
      </c>
      <c r="C142" s="2">
        <v>1</v>
      </c>
      <c r="D142" s="2" t="s">
        <v>309</v>
      </c>
      <c r="E142" s="4" t="s">
        <v>277</v>
      </c>
      <c r="F142" s="2"/>
      <c r="G142" s="4" t="s">
        <v>278</v>
      </c>
      <c r="H142" s="2"/>
      <c r="I142" s="2"/>
      <c r="J142" s="2"/>
      <c r="K142" s="5"/>
    </row>
    <row r="143" spans="1:11" x14ac:dyDescent="0.35">
      <c r="A143" s="2">
        <v>132</v>
      </c>
      <c r="B143" s="2" t="s">
        <v>338</v>
      </c>
      <c r="C143" s="2">
        <v>1</v>
      </c>
      <c r="D143" s="2" t="s">
        <v>309</v>
      </c>
      <c r="E143" s="4" t="s">
        <v>277</v>
      </c>
      <c r="F143" s="2"/>
      <c r="G143" s="4" t="s">
        <v>278</v>
      </c>
      <c r="H143" s="2"/>
      <c r="I143" s="2"/>
      <c r="J143" s="2"/>
      <c r="K143" s="5"/>
    </row>
    <row r="144" spans="1:11" x14ac:dyDescent="0.35">
      <c r="A144" s="2">
        <v>133</v>
      </c>
      <c r="B144" s="2" t="s">
        <v>339</v>
      </c>
      <c r="C144" s="2">
        <v>1</v>
      </c>
      <c r="D144" s="2" t="s">
        <v>310</v>
      </c>
      <c r="E144" s="4" t="s">
        <v>277</v>
      </c>
      <c r="F144" s="2"/>
      <c r="G144" s="4" t="s">
        <v>278</v>
      </c>
      <c r="H144" s="2"/>
      <c r="I144" s="2"/>
      <c r="J144" s="2"/>
      <c r="K144" s="5"/>
    </row>
    <row r="145" spans="1:11" x14ac:dyDescent="0.35">
      <c r="A145" s="2">
        <v>134</v>
      </c>
      <c r="B145" s="2" t="s">
        <v>340</v>
      </c>
      <c r="C145" s="2">
        <v>1</v>
      </c>
      <c r="D145" s="2" t="s">
        <v>310</v>
      </c>
      <c r="E145" s="4" t="s">
        <v>277</v>
      </c>
      <c r="F145" s="2"/>
      <c r="G145" s="4" t="s">
        <v>278</v>
      </c>
      <c r="H145" s="2"/>
      <c r="I145" s="2"/>
      <c r="J145" s="2"/>
      <c r="K145" s="5"/>
    </row>
    <row r="146" spans="1:11" x14ac:dyDescent="0.35">
      <c r="A146" s="2">
        <v>135</v>
      </c>
      <c r="B146" s="2" t="s">
        <v>341</v>
      </c>
      <c r="C146" s="2">
        <v>1</v>
      </c>
      <c r="D146" s="2" t="s">
        <v>311</v>
      </c>
      <c r="E146" s="4" t="s">
        <v>277</v>
      </c>
      <c r="F146" s="2"/>
      <c r="G146" s="4" t="s">
        <v>278</v>
      </c>
      <c r="H146" s="2"/>
      <c r="I146" s="2"/>
      <c r="J146" s="2"/>
      <c r="K146" s="5"/>
    </row>
    <row r="147" spans="1:11" x14ac:dyDescent="0.35">
      <c r="A147" s="2">
        <v>136</v>
      </c>
      <c r="B147" s="2" t="s">
        <v>342</v>
      </c>
      <c r="C147" s="2">
        <v>1</v>
      </c>
      <c r="D147" s="2" t="s">
        <v>311</v>
      </c>
      <c r="E147" s="4" t="s">
        <v>277</v>
      </c>
      <c r="F147" s="2"/>
      <c r="G147" s="4" t="s">
        <v>278</v>
      </c>
      <c r="H147" s="2"/>
      <c r="I147" s="2"/>
      <c r="J147" s="2"/>
      <c r="K147" s="5"/>
    </row>
    <row r="148" spans="1:11" x14ac:dyDescent="0.35">
      <c r="A148" s="2">
        <v>137</v>
      </c>
      <c r="B148" s="2" t="s">
        <v>343</v>
      </c>
      <c r="C148" s="2">
        <v>1</v>
      </c>
      <c r="D148" s="2" t="s">
        <v>312</v>
      </c>
      <c r="E148" s="4" t="s">
        <v>277</v>
      </c>
      <c r="F148" s="2"/>
      <c r="G148" s="4" t="s">
        <v>278</v>
      </c>
      <c r="H148" s="2"/>
      <c r="I148" s="2"/>
      <c r="J148" s="2"/>
      <c r="K148" s="5"/>
    </row>
    <row r="149" spans="1:11" x14ac:dyDescent="0.35">
      <c r="A149" s="2">
        <v>138</v>
      </c>
      <c r="B149" s="2" t="s">
        <v>344</v>
      </c>
      <c r="C149" s="2">
        <v>1</v>
      </c>
      <c r="D149" s="2" t="s">
        <v>312</v>
      </c>
      <c r="E149" s="2" t="s">
        <v>277</v>
      </c>
      <c r="F149" s="2"/>
      <c r="G149" s="2" t="s">
        <v>278</v>
      </c>
      <c r="H149" s="2"/>
      <c r="I149" s="2"/>
      <c r="J149" s="2"/>
      <c r="K149" s="5"/>
    </row>
    <row r="150" spans="1:11" x14ac:dyDescent="0.35">
      <c r="A150" s="2">
        <v>139</v>
      </c>
      <c r="B150" s="2"/>
      <c r="C150" s="2"/>
      <c r="D150" s="2"/>
      <c r="E150" s="2" t="s">
        <v>385</v>
      </c>
      <c r="F150" s="2"/>
      <c r="G150" s="2"/>
      <c r="H150" s="2"/>
      <c r="I150" s="2"/>
      <c r="J150" s="2"/>
      <c r="K150" s="5"/>
    </row>
    <row r="151" spans="1:11" x14ac:dyDescent="0.35">
      <c r="A151" s="2">
        <v>140</v>
      </c>
      <c r="B151" s="2"/>
      <c r="C151" s="2"/>
      <c r="D151" s="2"/>
      <c r="E151" s="2" t="s">
        <v>385</v>
      </c>
      <c r="F151" s="2"/>
      <c r="G151" s="2"/>
      <c r="H151" s="2"/>
      <c r="I151" s="2"/>
      <c r="J151" s="2"/>
      <c r="K151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67DD0-40BD-4758-90F2-D80205F5A908}">
  <sheetPr codeName="Sheet6"/>
  <dimension ref="A1:Y31"/>
  <sheetViews>
    <sheetView topLeftCell="M1" workbookViewId="0">
      <selection activeCell="Q9" sqref="Q9"/>
    </sheetView>
  </sheetViews>
  <sheetFormatPr defaultColWidth="12.77734375" defaultRowHeight="15.6" x14ac:dyDescent="0.35"/>
  <cols>
    <col min="1" max="10" width="12.77734375" style="1"/>
    <col min="13" max="16" width="12.77734375" style="1"/>
    <col min="17" max="18" width="20.77734375" style="1" customWidth="1"/>
    <col min="19" max="19" width="13.77734375" style="1" customWidth="1"/>
    <col min="20" max="20" width="20.77734375" style="14" customWidth="1"/>
    <col min="21" max="21" width="20.77734375" style="14" hidden="1" customWidth="1"/>
    <col min="22" max="22" width="20.77734375" style="14" customWidth="1"/>
    <col min="23" max="23" width="20.77734375" style="14" hidden="1" customWidth="1"/>
    <col min="24" max="24" width="20.77734375" style="14" customWidth="1"/>
    <col min="25" max="25" width="15.77734375" style="14" hidden="1" customWidth="1"/>
    <col min="26" max="16384" width="12.77734375" style="1"/>
  </cols>
  <sheetData>
    <row r="1" spans="1:25" x14ac:dyDescent="0.35">
      <c r="A1" s="2" t="s">
        <v>19</v>
      </c>
      <c r="B1" s="2" t="s">
        <v>113</v>
      </c>
      <c r="C1" s="2" t="s">
        <v>358</v>
      </c>
      <c r="D1" s="2" t="s">
        <v>114</v>
      </c>
      <c r="E1" s="2" t="s">
        <v>359</v>
      </c>
      <c r="F1" s="2" t="s">
        <v>361</v>
      </c>
      <c r="G1" s="2" t="s">
        <v>360</v>
      </c>
      <c r="H1" s="2" t="s">
        <v>361</v>
      </c>
      <c r="I1" s="2" t="s">
        <v>397</v>
      </c>
      <c r="J1" s="2" t="s">
        <v>361</v>
      </c>
      <c r="K1" s="11" t="s">
        <v>402</v>
      </c>
      <c r="L1" s="11" t="s">
        <v>414</v>
      </c>
      <c r="M1" s="2" t="s">
        <v>408</v>
      </c>
      <c r="N1" s="12" t="s">
        <v>406</v>
      </c>
      <c r="O1" s="2" t="s">
        <v>407</v>
      </c>
      <c r="P1" s="2" t="s">
        <v>398</v>
      </c>
      <c r="Q1" s="2" t="s">
        <v>412</v>
      </c>
      <c r="R1" s="2" t="s">
        <v>413</v>
      </c>
      <c r="S1" s="11" t="s">
        <v>419</v>
      </c>
      <c r="T1" s="13" t="s">
        <v>420</v>
      </c>
      <c r="U1" s="13" t="s">
        <v>416</v>
      </c>
      <c r="V1" s="13" t="s">
        <v>421</v>
      </c>
      <c r="W1" s="13" t="s">
        <v>417</v>
      </c>
      <c r="X1" s="13" t="s">
        <v>422</v>
      </c>
      <c r="Y1" s="13" t="s">
        <v>418</v>
      </c>
    </row>
    <row r="2" spans="1:25" x14ac:dyDescent="0.35">
      <c r="A2" s="2">
        <v>1</v>
      </c>
      <c r="B2" s="2">
        <v>1</v>
      </c>
      <c r="C2" s="2">
        <v>1</v>
      </c>
      <c r="D2" s="2">
        <v>1</v>
      </c>
      <c r="E2" s="2" t="s">
        <v>18</v>
      </c>
      <c r="F2" s="2">
        <v>5</v>
      </c>
      <c r="G2" s="2" t="s">
        <v>122</v>
      </c>
      <c r="H2" s="2">
        <v>2</v>
      </c>
      <c r="I2" s="2"/>
      <c r="J2" s="2"/>
      <c r="K2" s="11"/>
      <c r="L2" s="11">
        <f>SUM($N$2:N2)</f>
        <v>245</v>
      </c>
      <c r="M2" s="2">
        <f>IFERROR(N2+O1,N2)</f>
        <v>245</v>
      </c>
      <c r="N2" s="12">
        <f>F2*_xlfn.XLOOKUP(E2,'01怪物表'!B:B,'01怪物表'!D:D)+H2*_xlfn.XLOOKUP(G2,'01怪物表'!B:B,'01怪物表'!D:D)+J2*_xlfn.XLOOKUP(I2,'01怪物表'!B:B,'01怪物表'!D:D)+_xlfn.XLOOKUP(K2,'01怪物表'!B:B,'01怪物表'!D:D)+IF(AND(C2=1,D2=1),_xlfn.XLOOKUP(B2,'01设定表'!E:E,'01设定表'!F:F),0)</f>
        <v>245</v>
      </c>
      <c r="O2" s="2">
        <f>M2-Q2*_xlfn.XLOOKUP(R2,'01设定表'!$L:$L,'01设定表'!$M:$M)-(P2-Q2)*IF(R2-1=0,0,_xlfn.XLOOKUP(R2-1,'01设定表'!$L:$L,'01设定表'!$M:$M))+IFERROR((Q1*_xlfn.XLOOKUP(R1,'01设定表'!$L:$L,'01设定表'!$M:$M)+(P1-Q1)*IF(R1-1=0,0,_xlfn.XLOOKUP(R1-1,'01设定表'!$L:$L,'01设定表'!$M:$M))),0)</f>
        <v>35</v>
      </c>
      <c r="P2" s="2">
        <f>MIN(ROUNDDOWN(L2/_xlfn.XLOOKUP(1,'01设定表'!L:L,'01设定表'!M:M),0),_xlfn.XLOOKUP(B2,'01设定表'!E:E,'01设定表'!G:G))</f>
        <v>3</v>
      </c>
      <c r="Q2" s="2">
        <f>MIN(IF(R2-1=0,ROUNDDOWN(SUM($N$2:N2)/_xlfn.XLOOKUP(R2,'01设定表'!L:L,'01设定表'!M:M),0),ROUNDDOWN((SUM($N$2:N2)-_xlfn.XLOOKUP(B2,'01设定表'!E:E,'01设定表'!G:G)*_xlfn.XLOOKUP(R2-1,'01设定表'!L:L,'01设定表'!M:M))/_xlfn.XLOOKUP(R2,'01设定表'!L:L,'01设定表'!M:M),0)),_xlfn.XLOOKUP(B2,'01设定表'!E:E,'01设定表'!G:G))</f>
        <v>3</v>
      </c>
      <c r="R2" s="2">
        <f>MIN(IF(AND(C2=1,D2=1),1,R1+ROUNDDOWN(L2/(_xlfn.XLOOKUP(B2,'01设定表'!E:E,'01设定表'!G:G)*_xlfn.XLOOKUP(R1,'01设定表'!L:L,'01设定表'!N:N)),0)),4)</f>
        <v>1</v>
      </c>
      <c r="S2" s="11" t="str">
        <f>IF(MIN((F2+H2+J2-6)/(F2+H2+J2),0.5)*T2-5*(V2+X2)&lt;0,"胜利","失败")</f>
        <v>胜利</v>
      </c>
      <c r="T2" s="13">
        <f>F2*_xlfn.XLOOKUP(E2,'01怪物表'!B:B,'01怪物表'!L:L)/(100-_xlfn.XLOOKUP(E2,'01怪物表'!B:B,'01怪物表'!K:K))*100+H2*_xlfn.XLOOKUP(G2,'01怪物表'!B:B,'01怪物表'!L:L)/(100-_xlfn.XLOOKUP(G2,'01怪物表'!B:B,'01怪物表'!K:K))*100+J2*_xlfn.XLOOKUP(I2,'01怪物表'!B:B,'01怪物表'!L:L)/(100-_xlfn.XLOOKUP(I2,'01怪物表'!B:B,'01怪物表'!K:K))*100+_xlfn.XLOOKUP(K2,'01怪物表'!B:B,'01怪物表'!L:L)/(100-_xlfn.XLOOKUP(K2,'01怪物表'!B:B,'01怪物表'!K:K))*100</f>
        <v>408.42105263157896</v>
      </c>
      <c r="U2" s="13"/>
      <c r="V2" s="13">
        <f>2*'01设定表'!$C$13/(100-'01设定表'!$C$15)*100</f>
        <v>22.222222222222221</v>
      </c>
      <c r="W2" s="13"/>
      <c r="X2" s="13">
        <f>(Q2*_xlfn.XLOOKUP(R2,'01设定表'!I:I,'01设定表'!J:J)+(P2-Q2)*_xlfn.IFNA(_xlfn.XLOOKUP(R2-1,'01设定表'!I:I,'01设定表'!J:J),0))</f>
        <v>15</v>
      </c>
      <c r="Y2" s="13"/>
    </row>
    <row r="3" spans="1:25" x14ac:dyDescent="0.35">
      <c r="A3" s="2">
        <v>2</v>
      </c>
      <c r="B3" s="2">
        <v>1</v>
      </c>
      <c r="C3" s="2">
        <v>1</v>
      </c>
      <c r="D3" s="2">
        <v>2</v>
      </c>
      <c r="E3" s="2" t="s">
        <v>18</v>
      </c>
      <c r="F3" s="2">
        <v>5</v>
      </c>
      <c r="G3" s="2" t="s">
        <v>122</v>
      </c>
      <c r="H3" s="2">
        <v>2</v>
      </c>
      <c r="I3" s="2"/>
      <c r="J3" s="2"/>
      <c r="K3" s="11"/>
      <c r="L3" s="11">
        <f>SUM($N$2:N3)</f>
        <v>290</v>
      </c>
      <c r="M3" s="2">
        <f t="shared" ref="M3:M31" si="0">IFERROR(N3+O2,N3)</f>
        <v>80</v>
      </c>
      <c r="N3" s="12">
        <f>F3*_xlfn.XLOOKUP(E3,'01怪物表'!B:B,'01怪物表'!D:D)+H3*_xlfn.XLOOKUP(G3,'01怪物表'!B:B,'01怪物表'!D:D)+J3*_xlfn.XLOOKUP(I3,'01怪物表'!B:B,'01怪物表'!D:D)+_xlfn.XLOOKUP(K3,'01怪物表'!B:B,'01怪物表'!D:D)+IF(AND(C3=1,D3=1),_xlfn.XLOOKUP(B3,'01设定表'!E:E,'01设定表'!F:F),0)</f>
        <v>45</v>
      </c>
      <c r="O3" s="2">
        <f>M3-Q3*_xlfn.XLOOKUP(R3,'01设定表'!$L:$L,'01设定表'!$M:$M)-(P3-Q3)*IF(R3-1=0,0,_xlfn.XLOOKUP(R3-1,'01设定表'!$L:$L,'01设定表'!$M:$M))+IFERROR((Q2*_xlfn.XLOOKUP(R2,'01设定表'!$L:$L,'01设定表'!$M:$M)+(P2-Q2)*IF(R2-1=0,0,_xlfn.XLOOKUP(R2-1,'01设定表'!$L:$L,'01设定表'!$M:$M))),0)</f>
        <v>10</v>
      </c>
      <c r="P3" s="2">
        <f>MIN(ROUNDDOWN(L3/_xlfn.XLOOKUP(1,'01设定表'!L:L,'01设定表'!M:M),0),_xlfn.XLOOKUP(B3,'01设定表'!E:E,'01设定表'!G:G))</f>
        <v>4</v>
      </c>
      <c r="Q3" s="2">
        <f>MIN(IF(R3-1=0,ROUNDDOWN(SUM($N$2:N3)/_xlfn.XLOOKUP(R3,'01设定表'!L:L,'01设定表'!M:M),0),ROUNDDOWN((SUM($N$2:N3)-_xlfn.XLOOKUP(B3,'01设定表'!E:E,'01设定表'!G:G)*_xlfn.XLOOKUP(R3-1,'01设定表'!L:L,'01设定表'!M:M))/_xlfn.XLOOKUP(R3,'01设定表'!L:L,'01设定表'!M:M),0)),_xlfn.XLOOKUP(B3,'01设定表'!E:E,'01设定表'!G:G))</f>
        <v>4</v>
      </c>
      <c r="R3" s="2">
        <f>MIN(IF(AND(C3=1,D3=1),1,R2+ROUNDDOWN(L3/(_xlfn.XLOOKUP(B3,'01设定表'!E:E,'01设定表'!G:G)*_xlfn.XLOOKUP(R2,'01设定表'!L:L,'01设定表'!N:N)),0)),4)</f>
        <v>1</v>
      </c>
      <c r="S3" s="11" t="str">
        <f t="shared" ref="S3:S31" si="1">IF(MIN((F3+H3+J3-6)/(F3+H3+J3),0.5)*T3-5*(V3+X3)&lt;0,"胜利","失败")</f>
        <v>胜利</v>
      </c>
      <c r="T3" s="13">
        <f>F3*_xlfn.XLOOKUP(E3,'01怪物表'!B:B,'01怪物表'!L:L)/(100-_xlfn.XLOOKUP(E3,'01怪物表'!B:B,'01怪物表'!K:K))*100+H3*_xlfn.XLOOKUP(G3,'01怪物表'!B:B,'01怪物表'!L:L)/(100-_xlfn.XLOOKUP(G3,'01怪物表'!B:B,'01怪物表'!K:K))*100+J3*_xlfn.XLOOKUP(I3,'01怪物表'!B:B,'01怪物表'!L:L)/(100-_xlfn.XLOOKUP(I3,'01怪物表'!B:B,'01怪物表'!K:K))*100+_xlfn.XLOOKUP(K3,'01怪物表'!B:B,'01怪物表'!L:L)/(100-_xlfn.XLOOKUP(K3,'01怪物表'!B:B,'01怪物表'!K:K))*100</f>
        <v>408.42105263157896</v>
      </c>
      <c r="U3" s="13"/>
      <c r="V3" s="13">
        <f>2*'01设定表'!$C$13/(100-'01设定表'!$C$15)*100</f>
        <v>22.222222222222221</v>
      </c>
      <c r="W3" s="13"/>
      <c r="X3" s="13">
        <f>(Q3*_xlfn.XLOOKUP(R3,'01设定表'!I:I,'01设定表'!J:J)+(P3-Q3)*_xlfn.IFNA(_xlfn.XLOOKUP(R3-1,'01设定表'!I:I,'01设定表'!J:J),0))</f>
        <v>20</v>
      </c>
      <c r="Y3" s="13"/>
    </row>
    <row r="4" spans="1:25" x14ac:dyDescent="0.35">
      <c r="A4" s="2">
        <v>3</v>
      </c>
      <c r="B4" s="2">
        <v>1</v>
      </c>
      <c r="C4" s="2">
        <v>1</v>
      </c>
      <c r="D4" s="2">
        <v>3</v>
      </c>
      <c r="E4" s="2" t="s">
        <v>18</v>
      </c>
      <c r="F4" s="2">
        <v>5</v>
      </c>
      <c r="G4" s="2" t="s">
        <v>122</v>
      </c>
      <c r="H4" s="2">
        <v>2</v>
      </c>
      <c r="I4" s="2"/>
      <c r="J4" s="2"/>
      <c r="K4" s="11"/>
      <c r="L4" s="11">
        <f>SUM($N$2:N4)</f>
        <v>335</v>
      </c>
      <c r="M4" s="2">
        <f t="shared" si="0"/>
        <v>55</v>
      </c>
      <c r="N4" s="12">
        <f>F4*_xlfn.XLOOKUP(E4,'01怪物表'!B:B,'01怪物表'!D:D)+H4*_xlfn.XLOOKUP(G4,'01怪物表'!B:B,'01怪物表'!D:D)+J4*_xlfn.XLOOKUP(I4,'01怪物表'!B:B,'01怪物表'!D:D)+_xlfn.XLOOKUP(K4,'01怪物表'!B:B,'01怪物表'!D:D)+IF(AND(C4=1,D4=1),_xlfn.XLOOKUP(B4,'01设定表'!E:E,'01设定表'!F:F),0)</f>
        <v>45</v>
      </c>
      <c r="O4" s="2">
        <f>M4-Q4*_xlfn.XLOOKUP(R4,'01设定表'!$L:$L,'01设定表'!$M:$M)-(P4-Q4)*IF(R4-1=0,0,_xlfn.XLOOKUP(R4-1,'01设定表'!$L:$L,'01设定表'!$M:$M))+IFERROR((Q3*_xlfn.XLOOKUP(R3,'01设定表'!$L:$L,'01设定表'!$M:$M)+(P3-Q3)*IF(R3-1=0,0,_xlfn.XLOOKUP(R3-1,'01设定表'!$L:$L,'01设定表'!$M:$M))),0)</f>
        <v>55</v>
      </c>
      <c r="P4" s="2">
        <f>MIN(ROUNDDOWN(L4/_xlfn.XLOOKUP(1,'01设定表'!L:L,'01设定表'!M:M),0),_xlfn.XLOOKUP(B4,'01设定表'!E:E,'01设定表'!G:G))</f>
        <v>4</v>
      </c>
      <c r="Q4" s="2">
        <f>MIN(IF(R4-1=0,ROUNDDOWN(SUM($N$2:N4)/_xlfn.XLOOKUP(R4,'01设定表'!L:L,'01设定表'!M:M),0),ROUNDDOWN((SUM($N$2:N4)-_xlfn.XLOOKUP(B4,'01设定表'!E:E,'01设定表'!G:G)*_xlfn.XLOOKUP(R4-1,'01设定表'!L:L,'01设定表'!M:M))/_xlfn.XLOOKUP(R4,'01设定表'!L:L,'01设定表'!M:M),0)),_xlfn.XLOOKUP(B4,'01设定表'!E:E,'01设定表'!G:G))</f>
        <v>4</v>
      </c>
      <c r="R4" s="2">
        <f>MIN(IF(AND(C4=1,D4=1),1,R3+ROUNDDOWN(L4/(_xlfn.XLOOKUP(B4,'01设定表'!E:E,'01设定表'!G:G)*_xlfn.XLOOKUP(R3,'01设定表'!L:L,'01设定表'!N:N)),0)),4)</f>
        <v>1</v>
      </c>
      <c r="S4" s="11" t="str">
        <f t="shared" si="1"/>
        <v>胜利</v>
      </c>
      <c r="T4" s="13">
        <f>F4*_xlfn.XLOOKUP(E4,'01怪物表'!B:B,'01怪物表'!L:L)/(100-_xlfn.XLOOKUP(E4,'01怪物表'!B:B,'01怪物表'!K:K))*100+H4*_xlfn.XLOOKUP(G4,'01怪物表'!B:B,'01怪物表'!L:L)/(100-_xlfn.XLOOKUP(G4,'01怪物表'!B:B,'01怪物表'!K:K))*100+J4*_xlfn.XLOOKUP(I4,'01怪物表'!B:B,'01怪物表'!L:L)/(100-_xlfn.XLOOKUP(I4,'01怪物表'!B:B,'01怪物表'!K:K))*100+_xlfn.XLOOKUP(K4,'01怪物表'!B:B,'01怪物表'!L:L)/(100-_xlfn.XLOOKUP(K4,'01怪物表'!B:B,'01怪物表'!K:K))*100</f>
        <v>408.42105263157896</v>
      </c>
      <c r="U4" s="13"/>
      <c r="V4" s="13">
        <f>2*'01设定表'!$C$13/(100-'01设定表'!$C$15)*100</f>
        <v>22.222222222222221</v>
      </c>
      <c r="W4" s="13"/>
      <c r="X4" s="13">
        <f>(Q4*_xlfn.XLOOKUP(R4,'01设定表'!I:I,'01设定表'!J:J)+(P4-Q4)*_xlfn.IFNA(_xlfn.XLOOKUP(R4-1,'01设定表'!I:I,'01设定表'!J:J),0))</f>
        <v>20</v>
      </c>
      <c r="Y4" s="13"/>
    </row>
    <row r="5" spans="1:25" x14ac:dyDescent="0.35">
      <c r="A5" s="2">
        <v>4</v>
      </c>
      <c r="B5" s="2">
        <v>1</v>
      </c>
      <c r="C5" s="2">
        <v>1</v>
      </c>
      <c r="D5" s="2">
        <v>4</v>
      </c>
      <c r="E5" s="2" t="s">
        <v>18</v>
      </c>
      <c r="F5" s="2">
        <v>5</v>
      </c>
      <c r="G5" s="2" t="s">
        <v>122</v>
      </c>
      <c r="H5" s="2">
        <v>2</v>
      </c>
      <c r="I5" s="2"/>
      <c r="J5" s="2"/>
      <c r="K5" s="11"/>
      <c r="L5" s="11">
        <f>SUM($N$2:N5)</f>
        <v>380</v>
      </c>
      <c r="M5" s="2">
        <f t="shared" si="0"/>
        <v>100</v>
      </c>
      <c r="N5" s="12">
        <f>F5*_xlfn.XLOOKUP(E5,'01怪物表'!B:B,'01怪物表'!D:D)+H5*_xlfn.XLOOKUP(G5,'01怪物表'!B:B,'01怪物表'!D:D)+J5*_xlfn.XLOOKUP(I5,'01怪物表'!B:B,'01怪物表'!D:D)+_xlfn.XLOOKUP(K5,'01怪物表'!B:B,'01怪物表'!D:D)+IF(AND(C5=1,D5=1),_xlfn.XLOOKUP(B5,'01设定表'!E:E,'01设定表'!F:F),0)</f>
        <v>45</v>
      </c>
      <c r="O5" s="2">
        <f>M5-Q5*_xlfn.XLOOKUP(R5,'01设定表'!$L:$L,'01设定表'!$M:$M)-(P5-Q5)*IF(R5-1=0,0,_xlfn.XLOOKUP(R5-1,'01设定表'!$L:$L,'01设定表'!$M:$M))+IFERROR((Q4*_xlfn.XLOOKUP(R4,'01设定表'!$L:$L,'01设定表'!$M:$M)+(P4-Q4)*IF(R4-1=0,0,_xlfn.XLOOKUP(R4-1,'01设定表'!$L:$L,'01设定表'!$M:$M))),0)</f>
        <v>30</v>
      </c>
      <c r="P5" s="2">
        <f>MIN(ROUNDDOWN(L5/_xlfn.XLOOKUP(1,'01设定表'!L:L,'01设定表'!M:M),0),_xlfn.XLOOKUP(B5,'01设定表'!E:E,'01设定表'!G:G))</f>
        <v>5</v>
      </c>
      <c r="Q5" s="2">
        <f>MIN(IF(R5-1=0,ROUNDDOWN(SUM($N$2:N5)/_xlfn.XLOOKUP(R5,'01设定表'!L:L,'01设定表'!M:M),0),ROUNDDOWN((SUM($N$2:N5)-_xlfn.XLOOKUP(B5,'01设定表'!E:E,'01设定表'!G:G)*_xlfn.XLOOKUP(R5-1,'01设定表'!L:L,'01设定表'!M:M))/_xlfn.XLOOKUP(R5,'01设定表'!L:L,'01设定表'!M:M),0)),_xlfn.XLOOKUP(B5,'01设定表'!E:E,'01设定表'!G:G))</f>
        <v>5</v>
      </c>
      <c r="R5" s="2">
        <f>MIN(IF(AND(C5=1,D5=1),1,R4+ROUNDDOWN(L5/(_xlfn.XLOOKUP(B5,'01设定表'!E:E,'01设定表'!G:G)*_xlfn.XLOOKUP(R4,'01设定表'!L:L,'01设定表'!N:N)),0)),4)</f>
        <v>1</v>
      </c>
      <c r="S5" s="11" t="str">
        <f t="shared" si="1"/>
        <v>胜利</v>
      </c>
      <c r="T5" s="13">
        <f>F5*_xlfn.XLOOKUP(E5,'01怪物表'!B:B,'01怪物表'!L:L)/(100-_xlfn.XLOOKUP(E5,'01怪物表'!B:B,'01怪物表'!K:K))*100+H5*_xlfn.XLOOKUP(G5,'01怪物表'!B:B,'01怪物表'!L:L)/(100-_xlfn.XLOOKUP(G5,'01怪物表'!B:B,'01怪物表'!K:K))*100+J5*_xlfn.XLOOKUP(I5,'01怪物表'!B:B,'01怪物表'!L:L)/(100-_xlfn.XLOOKUP(I5,'01怪物表'!B:B,'01怪物表'!K:K))*100+_xlfn.XLOOKUP(K5,'01怪物表'!B:B,'01怪物表'!L:L)/(100-_xlfn.XLOOKUP(K5,'01怪物表'!B:B,'01怪物表'!K:K))*100</f>
        <v>408.42105263157896</v>
      </c>
      <c r="U5" s="13"/>
      <c r="V5" s="13">
        <f>2*'01设定表'!$C$13/(100-'01设定表'!$C$15)*100</f>
        <v>22.222222222222221</v>
      </c>
      <c r="W5" s="13"/>
      <c r="X5" s="13">
        <f>(Q5*_xlfn.XLOOKUP(R5,'01设定表'!I:I,'01设定表'!J:J)+(P5-Q5)*_xlfn.IFNA(_xlfn.XLOOKUP(R5-1,'01设定表'!I:I,'01设定表'!J:J),0))</f>
        <v>25</v>
      </c>
      <c r="Y5" s="13"/>
    </row>
    <row r="6" spans="1:25" x14ac:dyDescent="0.35">
      <c r="A6" s="2">
        <v>5</v>
      </c>
      <c r="B6" s="2">
        <v>1</v>
      </c>
      <c r="C6" s="2">
        <v>1</v>
      </c>
      <c r="D6" s="2">
        <v>5</v>
      </c>
      <c r="E6" s="2" t="s">
        <v>18</v>
      </c>
      <c r="F6" s="2">
        <v>5</v>
      </c>
      <c r="G6" s="2" t="s">
        <v>122</v>
      </c>
      <c r="H6" s="2">
        <v>2</v>
      </c>
      <c r="I6" s="2"/>
      <c r="J6" s="2"/>
      <c r="K6" s="11"/>
      <c r="L6" s="11">
        <f>SUM($N$2:N6)</f>
        <v>425</v>
      </c>
      <c r="M6" s="2">
        <f t="shared" si="0"/>
        <v>75</v>
      </c>
      <c r="N6" s="12">
        <f>F6*_xlfn.XLOOKUP(E6,'01怪物表'!B:B,'01怪物表'!D:D)+H6*_xlfn.XLOOKUP(G6,'01怪物表'!B:B,'01怪物表'!D:D)+J6*_xlfn.XLOOKUP(I6,'01怪物表'!B:B,'01怪物表'!D:D)+_xlfn.XLOOKUP(K6,'01怪物表'!B:B,'01怪物表'!D:D)+IF(AND(C6=1,D6=1),_xlfn.XLOOKUP(B6,'01设定表'!E:E,'01设定表'!F:F),0)</f>
        <v>45</v>
      </c>
      <c r="O6" s="2">
        <f>M6-Q6*_xlfn.XLOOKUP(R6,'01设定表'!$L:$L,'01设定表'!$M:$M)-(P6-Q6)*IF(R6-1=0,0,_xlfn.XLOOKUP(R6-1,'01设定表'!$L:$L,'01设定表'!$M:$M))+IFERROR((Q5*_xlfn.XLOOKUP(R5,'01设定表'!$L:$L,'01设定表'!$M:$M)+(P5-Q5)*IF(R5-1=0,0,_xlfn.XLOOKUP(R5-1,'01设定表'!$L:$L,'01设定表'!$M:$M))),0)</f>
        <v>5</v>
      </c>
      <c r="P6" s="2">
        <f>MIN(ROUNDDOWN(L6/_xlfn.XLOOKUP(1,'01设定表'!L:L,'01设定表'!M:M),0),_xlfn.XLOOKUP(B6,'01设定表'!E:E,'01设定表'!G:G))</f>
        <v>6</v>
      </c>
      <c r="Q6" s="2">
        <f>MIN(IF(R6-1=0,ROUNDDOWN(SUM($N$2:N6)/_xlfn.XLOOKUP(R6,'01设定表'!L:L,'01设定表'!M:M),0),ROUNDDOWN((SUM($N$2:N6)-_xlfn.XLOOKUP(B6,'01设定表'!E:E,'01设定表'!G:G)*_xlfn.XLOOKUP(R6-1,'01设定表'!L:L,'01设定表'!M:M))/_xlfn.XLOOKUP(R6,'01设定表'!L:L,'01设定表'!M:M),0)),_xlfn.XLOOKUP(B6,'01设定表'!E:E,'01设定表'!G:G))</f>
        <v>6</v>
      </c>
      <c r="R6" s="2">
        <f>MIN(IF(AND(C6=1,D6=1),1,R5+ROUNDDOWN(L6/(_xlfn.XLOOKUP(B6,'01设定表'!E:E,'01设定表'!G:G)*_xlfn.XLOOKUP(R5,'01设定表'!L:L,'01设定表'!N:N)),0)),4)</f>
        <v>1</v>
      </c>
      <c r="S6" s="11" t="str">
        <f t="shared" si="1"/>
        <v>胜利</v>
      </c>
      <c r="T6" s="13">
        <f>F6*_xlfn.XLOOKUP(E6,'01怪物表'!B:B,'01怪物表'!L:L)/(100-_xlfn.XLOOKUP(E6,'01怪物表'!B:B,'01怪物表'!K:K))*100+H6*_xlfn.XLOOKUP(G6,'01怪物表'!B:B,'01怪物表'!L:L)/(100-_xlfn.XLOOKUP(G6,'01怪物表'!B:B,'01怪物表'!K:K))*100+J6*_xlfn.XLOOKUP(I6,'01怪物表'!B:B,'01怪物表'!L:L)/(100-_xlfn.XLOOKUP(I6,'01怪物表'!B:B,'01怪物表'!K:K))*100+_xlfn.XLOOKUP(K6,'01怪物表'!B:B,'01怪物表'!L:L)/(100-_xlfn.XLOOKUP(K6,'01怪物表'!B:B,'01怪物表'!K:K))*100</f>
        <v>408.42105263157896</v>
      </c>
      <c r="U6" s="13"/>
      <c r="V6" s="13">
        <f>2*'01设定表'!$C$13/(100-'01设定表'!$C$15)*100</f>
        <v>22.222222222222221</v>
      </c>
      <c r="W6" s="13"/>
      <c r="X6" s="13">
        <f>(Q6*_xlfn.XLOOKUP(R6,'01设定表'!I:I,'01设定表'!J:J)+(P6-Q6)*_xlfn.IFNA(_xlfn.XLOOKUP(R6-1,'01设定表'!I:I,'01设定表'!J:J),0))</f>
        <v>30</v>
      </c>
      <c r="Y6" s="13"/>
    </row>
    <row r="7" spans="1:25" x14ac:dyDescent="0.35">
      <c r="A7" s="2">
        <v>6</v>
      </c>
      <c r="B7" s="2">
        <v>1</v>
      </c>
      <c r="C7" s="2">
        <f>C2+1</f>
        <v>2</v>
      </c>
      <c r="D7" s="2">
        <v>6</v>
      </c>
      <c r="E7" s="2" t="s">
        <v>18</v>
      </c>
      <c r="F7" s="2">
        <f>F2+2</f>
        <v>7</v>
      </c>
      <c r="G7" s="2" t="s">
        <v>122</v>
      </c>
      <c r="H7" s="2">
        <f>H2+1</f>
        <v>3</v>
      </c>
      <c r="I7" s="2"/>
      <c r="J7" s="2"/>
      <c r="K7" s="11"/>
      <c r="L7" s="11">
        <f>SUM($N$2:N7)</f>
        <v>490</v>
      </c>
      <c r="M7" s="2">
        <f t="shared" si="0"/>
        <v>70</v>
      </c>
      <c r="N7" s="12">
        <f>F7*_xlfn.XLOOKUP(E7,'01怪物表'!B:B,'01怪物表'!D:D)+H7*_xlfn.XLOOKUP(G7,'01怪物表'!B:B,'01怪物表'!D:D)+J7*_xlfn.XLOOKUP(I7,'01怪物表'!B:B,'01怪物表'!D:D)+_xlfn.XLOOKUP(K7,'01怪物表'!B:B,'01怪物表'!D:D)+IF(AND(C7=1,D7=1),_xlfn.XLOOKUP(B7,'01设定表'!E:E,'01设定表'!F:F),0)</f>
        <v>65</v>
      </c>
      <c r="O7" s="2">
        <f>M7-Q7*_xlfn.XLOOKUP(R7,'01设定表'!$L:$L,'01设定表'!$M:$M)-(P7-Q7)*IF(R7-1=0,0,_xlfn.XLOOKUP(R7-1,'01设定表'!$L:$L,'01设定表'!$M:$M))+IFERROR((Q6*_xlfn.XLOOKUP(R6,'01设定表'!$L:$L,'01设定表'!$M:$M)+(P6-Q6)*IF(R6-1=0,0,_xlfn.XLOOKUP(R6-1,'01设定表'!$L:$L,'01设定表'!$M:$M))),0)</f>
        <v>0</v>
      </c>
      <c r="P7" s="2">
        <f>MIN(ROUNDDOWN(L7/_xlfn.XLOOKUP(1,'01设定表'!L:L,'01设定表'!M:M),0),_xlfn.XLOOKUP(B7,'01设定表'!E:E,'01设定表'!G:G))</f>
        <v>7</v>
      </c>
      <c r="Q7" s="2">
        <f>MIN(IF(R7-1=0,ROUNDDOWN(SUM($N$2:N7)/_xlfn.XLOOKUP(R7,'01设定表'!L:L,'01设定表'!M:M),0),ROUNDDOWN((SUM($N$2:N7)-_xlfn.XLOOKUP(B7,'01设定表'!E:E,'01设定表'!G:G)*_xlfn.XLOOKUP(R7-1,'01设定表'!L:L,'01设定表'!M:M))/_xlfn.XLOOKUP(R7,'01设定表'!L:L,'01设定表'!M:M),0)),_xlfn.XLOOKUP(B7,'01设定表'!E:E,'01设定表'!G:G))</f>
        <v>7</v>
      </c>
      <c r="R7" s="2">
        <f>MIN(IF(AND(C7=1,D7=1),1,R6+ROUNDDOWN(L7/(_xlfn.XLOOKUP(B7,'01设定表'!E:E,'01设定表'!G:G)*_xlfn.XLOOKUP(R6,'01设定表'!L:L,'01设定表'!N:N)),0)),4)</f>
        <v>1</v>
      </c>
      <c r="S7" s="11" t="str">
        <f t="shared" si="1"/>
        <v>胜利</v>
      </c>
      <c r="T7" s="13">
        <f>F7*_xlfn.XLOOKUP(E7,'01怪物表'!B:B,'01怪物表'!L:L)/(100-_xlfn.XLOOKUP(E7,'01怪物表'!B:B,'01怪物表'!K:K))*100+H7*_xlfn.XLOOKUP(G7,'01怪物表'!B:B,'01怪物表'!L:L)/(100-_xlfn.XLOOKUP(G7,'01怪物表'!B:B,'01怪物表'!K:K))*100+J7*_xlfn.XLOOKUP(I7,'01怪物表'!B:B,'01怪物表'!L:L)/(100-_xlfn.XLOOKUP(I7,'01怪物表'!B:B,'01怪物表'!K:K))*100+_xlfn.XLOOKUP(K7,'01怪物表'!B:B,'01怪物表'!L:L)/(100-_xlfn.XLOOKUP(K7,'01怪物表'!B:B,'01怪物表'!K:K))*100</f>
        <v>588.63157894736844</v>
      </c>
      <c r="U7" s="13"/>
      <c r="V7" s="13">
        <f>2*'01设定表'!$C$13/(100-'01设定表'!$C$15)*100</f>
        <v>22.222222222222221</v>
      </c>
      <c r="W7" s="13"/>
      <c r="X7" s="13">
        <f>(Q7*_xlfn.XLOOKUP(R7,'01设定表'!I:I,'01设定表'!J:J)+(P7-Q7)*_xlfn.IFNA(_xlfn.XLOOKUP(R7-1,'01设定表'!I:I,'01设定表'!J:J),0))</f>
        <v>35</v>
      </c>
      <c r="Y7" s="13"/>
    </row>
    <row r="8" spans="1:25" x14ac:dyDescent="0.35">
      <c r="A8" s="2">
        <v>7</v>
      </c>
      <c r="B8" s="2">
        <v>1</v>
      </c>
      <c r="C8" s="2">
        <f t="shared" ref="C8:C31" si="2">C3+1</f>
        <v>2</v>
      </c>
      <c r="D8" s="2">
        <v>7</v>
      </c>
      <c r="E8" s="2" t="s">
        <v>18</v>
      </c>
      <c r="F8" s="2">
        <f t="shared" ref="F8:F31" si="3">F3+2</f>
        <v>7</v>
      </c>
      <c r="G8" s="2" t="s">
        <v>122</v>
      </c>
      <c r="H8" s="2">
        <f t="shared" ref="H8:H31" si="4">H3+1</f>
        <v>3</v>
      </c>
      <c r="I8" s="2"/>
      <c r="J8" s="2"/>
      <c r="K8" s="11"/>
      <c r="L8" s="11">
        <f>SUM($N$2:N8)</f>
        <v>555</v>
      </c>
      <c r="M8" s="2">
        <f t="shared" si="0"/>
        <v>65</v>
      </c>
      <c r="N8" s="12">
        <f>F8*_xlfn.XLOOKUP(E8,'01怪物表'!B:B,'01怪物表'!D:D)+H8*_xlfn.XLOOKUP(G8,'01怪物表'!B:B,'01怪物表'!D:D)+J8*_xlfn.XLOOKUP(I8,'01怪物表'!B:B,'01怪物表'!D:D)+_xlfn.XLOOKUP(K8,'01怪物表'!B:B,'01怪物表'!D:D)+IF(AND(C8=1,D8=1),_xlfn.XLOOKUP(B8,'01设定表'!E:E,'01设定表'!F:F),0)</f>
        <v>65</v>
      </c>
      <c r="O8" s="2">
        <f>M8-Q8*_xlfn.XLOOKUP(R8,'01设定表'!$L:$L,'01设定表'!$M:$M)-(P8-Q8)*IF(R8-1=0,0,_xlfn.XLOOKUP(R8-1,'01设定表'!$L:$L,'01设定表'!$M:$M))+IFERROR((Q7*_xlfn.XLOOKUP(R7,'01设定表'!$L:$L,'01设定表'!$M:$M)+(P7-Q7)*IF(R7-1=0,0,_xlfn.XLOOKUP(R7-1,'01设定表'!$L:$L,'01设定表'!$M:$M))),0)</f>
        <v>65</v>
      </c>
      <c r="P8" s="2">
        <f>MIN(ROUNDDOWN(L8/_xlfn.XLOOKUP(1,'01设定表'!L:L,'01设定表'!M:M),0),_xlfn.XLOOKUP(B8,'01设定表'!E:E,'01设定表'!G:G))</f>
        <v>7</v>
      </c>
      <c r="Q8" s="2">
        <f>MIN(IF(R8-1=0,ROUNDDOWN(SUM($N$2:N8)/_xlfn.XLOOKUP(R8,'01设定表'!L:L,'01设定表'!M:M),0),ROUNDDOWN((SUM($N$2:N8)-_xlfn.XLOOKUP(B8,'01设定表'!E:E,'01设定表'!G:G)*_xlfn.XLOOKUP(R8-1,'01设定表'!L:L,'01设定表'!M:M))/_xlfn.XLOOKUP(R8,'01设定表'!L:L,'01设定表'!M:M),0)),_xlfn.XLOOKUP(B8,'01设定表'!E:E,'01设定表'!G:G))</f>
        <v>7</v>
      </c>
      <c r="R8" s="2">
        <f>MIN(IF(AND(C8=1,D8=1),1,R7+ROUNDDOWN(L8/(_xlfn.XLOOKUP(B8,'01设定表'!E:E,'01设定表'!G:G)*_xlfn.XLOOKUP(R7,'01设定表'!L:L,'01设定表'!N:N)),0)),4)</f>
        <v>1</v>
      </c>
      <c r="S8" s="11" t="str">
        <f t="shared" si="1"/>
        <v>胜利</v>
      </c>
      <c r="T8" s="13">
        <f>F8*_xlfn.XLOOKUP(E8,'01怪物表'!B:B,'01怪物表'!L:L)/(100-_xlfn.XLOOKUP(E8,'01怪物表'!B:B,'01怪物表'!K:K))*100+H8*_xlfn.XLOOKUP(G8,'01怪物表'!B:B,'01怪物表'!L:L)/(100-_xlfn.XLOOKUP(G8,'01怪物表'!B:B,'01怪物表'!K:K))*100+J8*_xlfn.XLOOKUP(I8,'01怪物表'!B:B,'01怪物表'!L:L)/(100-_xlfn.XLOOKUP(I8,'01怪物表'!B:B,'01怪物表'!K:K))*100+_xlfn.XLOOKUP(K8,'01怪物表'!B:B,'01怪物表'!L:L)/(100-_xlfn.XLOOKUP(K8,'01怪物表'!B:B,'01怪物表'!K:K))*100</f>
        <v>588.63157894736844</v>
      </c>
      <c r="U8" s="13"/>
      <c r="V8" s="13">
        <f>2*'01设定表'!$C$13/(100-'01设定表'!$C$15)*100</f>
        <v>22.222222222222221</v>
      </c>
      <c r="W8" s="13"/>
      <c r="X8" s="13">
        <f>(Q8*_xlfn.XLOOKUP(R8,'01设定表'!I:I,'01设定表'!J:J)+(P8-Q8)*_xlfn.IFNA(_xlfn.XLOOKUP(R8-1,'01设定表'!I:I,'01设定表'!J:J),0))</f>
        <v>35</v>
      </c>
      <c r="Y8" s="13"/>
    </row>
    <row r="9" spans="1:25" x14ac:dyDescent="0.35">
      <c r="A9" s="2">
        <v>8</v>
      </c>
      <c r="B9" s="2">
        <v>1</v>
      </c>
      <c r="C9" s="2">
        <f t="shared" si="2"/>
        <v>2</v>
      </c>
      <c r="D9" s="2">
        <v>8</v>
      </c>
      <c r="E9" s="2" t="s">
        <v>18</v>
      </c>
      <c r="F9" s="2">
        <f t="shared" si="3"/>
        <v>7</v>
      </c>
      <c r="G9" s="2" t="s">
        <v>122</v>
      </c>
      <c r="H9" s="2">
        <f t="shared" si="4"/>
        <v>3</v>
      </c>
      <c r="I9" s="2"/>
      <c r="J9" s="2"/>
      <c r="K9" s="11"/>
      <c r="L9" s="11">
        <f>SUM($N$2:N9)</f>
        <v>620</v>
      </c>
      <c r="M9" s="2">
        <f t="shared" si="0"/>
        <v>130</v>
      </c>
      <c r="N9" s="12">
        <f>F9*_xlfn.XLOOKUP(E9,'01怪物表'!B:B,'01怪物表'!D:D)+H9*_xlfn.XLOOKUP(G9,'01怪物表'!B:B,'01怪物表'!D:D)+J9*_xlfn.XLOOKUP(I9,'01怪物表'!B:B,'01怪物表'!D:D)+_xlfn.XLOOKUP(K9,'01怪物表'!B:B,'01怪物表'!D:D)+IF(AND(C9=1,D9=1),_xlfn.XLOOKUP(B9,'01设定表'!E:E,'01设定表'!F:F),0)</f>
        <v>65</v>
      </c>
      <c r="O9" s="2">
        <f>M9-Q9*_xlfn.XLOOKUP(R9,'01设定表'!$L:$L,'01设定表'!$M:$M)-(P9-Q9)*IF(R9-1=0,0,_xlfn.XLOOKUP(R9-1,'01设定表'!$L:$L,'01设定表'!$M:$M))+IFERROR((Q8*_xlfn.XLOOKUP(R8,'01设定表'!$L:$L,'01设定表'!$M:$M)+(P8-Q8)*IF(R8-1=0,0,_xlfn.XLOOKUP(R8-1,'01设定表'!$L:$L,'01设定表'!$M:$M))),0)</f>
        <v>60</v>
      </c>
      <c r="P9" s="2">
        <f>MIN(ROUNDDOWN(L9/_xlfn.XLOOKUP(1,'01设定表'!L:L,'01设定表'!M:M),0),_xlfn.XLOOKUP(B9,'01设定表'!E:E,'01设定表'!G:G))</f>
        <v>8</v>
      </c>
      <c r="Q9" s="2">
        <f>MIN(IF(R9-1=0,ROUNDDOWN(SUM($N$2:N9)/_xlfn.XLOOKUP(R9,'01设定表'!L:L,'01设定表'!M:M),0),ROUNDDOWN((SUM($N$2:N9)-_xlfn.XLOOKUP(B9,'01设定表'!E:E,'01设定表'!G:G)*_xlfn.XLOOKUP(R9-1,'01设定表'!L:L,'01设定表'!M:M))/_xlfn.XLOOKUP(R9,'01设定表'!L:L,'01设定表'!M:M),0)),_xlfn.XLOOKUP(B9,'01设定表'!E:E,'01设定表'!G:G))</f>
        <v>8</v>
      </c>
      <c r="R9" s="2">
        <f>MIN(IF(AND(C9=1,D9=1),1,R8+ROUNDDOWN(L9/(_xlfn.XLOOKUP(B9,'01设定表'!E:E,'01设定表'!G:G)*_xlfn.XLOOKUP(R8,'01设定表'!L:L,'01设定表'!N:N)),0)),4)</f>
        <v>1</v>
      </c>
      <c r="S9" s="11" t="str">
        <f t="shared" si="1"/>
        <v>胜利</v>
      </c>
      <c r="T9" s="13">
        <f>F9*_xlfn.XLOOKUP(E9,'01怪物表'!B:B,'01怪物表'!L:L)/(100-_xlfn.XLOOKUP(E9,'01怪物表'!B:B,'01怪物表'!K:K))*100+H9*_xlfn.XLOOKUP(G9,'01怪物表'!B:B,'01怪物表'!L:L)/(100-_xlfn.XLOOKUP(G9,'01怪物表'!B:B,'01怪物表'!K:K))*100+J9*_xlfn.XLOOKUP(I9,'01怪物表'!B:B,'01怪物表'!L:L)/(100-_xlfn.XLOOKUP(I9,'01怪物表'!B:B,'01怪物表'!K:K))*100+_xlfn.XLOOKUP(K9,'01怪物表'!B:B,'01怪物表'!L:L)/(100-_xlfn.XLOOKUP(K9,'01怪物表'!B:B,'01怪物表'!K:K))*100</f>
        <v>588.63157894736844</v>
      </c>
      <c r="U9" s="13"/>
      <c r="V9" s="13">
        <f>2*'01设定表'!$C$13/(100-'01设定表'!$C$15)*100</f>
        <v>22.222222222222221</v>
      </c>
      <c r="W9" s="13"/>
      <c r="X9" s="13">
        <f>(Q9*_xlfn.XLOOKUP(R9,'01设定表'!I:I,'01设定表'!J:J)+(P9-Q9)*_xlfn.IFNA(_xlfn.XLOOKUP(R9-1,'01设定表'!I:I,'01设定表'!J:J),0))</f>
        <v>40</v>
      </c>
      <c r="Y9" s="13"/>
    </row>
    <row r="10" spans="1:25" x14ac:dyDescent="0.35">
      <c r="A10" s="2">
        <v>9</v>
      </c>
      <c r="B10" s="2">
        <v>1</v>
      </c>
      <c r="C10" s="2">
        <f t="shared" si="2"/>
        <v>2</v>
      </c>
      <c r="D10" s="2">
        <v>9</v>
      </c>
      <c r="E10" s="2" t="s">
        <v>18</v>
      </c>
      <c r="F10" s="2">
        <f t="shared" si="3"/>
        <v>7</v>
      </c>
      <c r="G10" s="2" t="s">
        <v>122</v>
      </c>
      <c r="H10" s="2">
        <f t="shared" si="4"/>
        <v>3</v>
      </c>
      <c r="I10" s="2"/>
      <c r="J10" s="2"/>
      <c r="K10" s="11"/>
      <c r="L10" s="11">
        <f>SUM($N$2:N10)</f>
        <v>685</v>
      </c>
      <c r="M10" s="2">
        <f t="shared" si="0"/>
        <v>125</v>
      </c>
      <c r="N10" s="12">
        <f>F10*_xlfn.XLOOKUP(E10,'01怪物表'!B:B,'01怪物表'!D:D)+H10*_xlfn.XLOOKUP(G10,'01怪物表'!B:B,'01怪物表'!D:D)+J10*_xlfn.XLOOKUP(I10,'01怪物表'!B:B,'01怪物表'!D:D)+_xlfn.XLOOKUP(K10,'01怪物表'!B:B,'01怪物表'!D:D)+IF(AND(C10=1,D10=1),_xlfn.XLOOKUP(B10,'01设定表'!E:E,'01设定表'!F:F),0)</f>
        <v>65</v>
      </c>
      <c r="O10" s="2">
        <f>M10-Q10*_xlfn.XLOOKUP(R10,'01设定表'!$L:$L,'01设定表'!$M:$M)-(P10-Q10)*IF(R10-1=0,0,_xlfn.XLOOKUP(R10-1,'01设定表'!$L:$L,'01设定表'!$M:$M))+IFERROR((Q9*_xlfn.XLOOKUP(R9,'01设定表'!$L:$L,'01设定表'!$M:$M)+(P9-Q9)*IF(R9-1=0,0,_xlfn.XLOOKUP(R9-1,'01设定表'!$L:$L,'01设定表'!$M:$M))),0)</f>
        <v>55</v>
      </c>
      <c r="P10" s="2">
        <f>MIN(ROUNDDOWN(L10/_xlfn.XLOOKUP(1,'01设定表'!L:L,'01设定表'!M:M),0),_xlfn.XLOOKUP(B10,'01设定表'!E:E,'01设定表'!G:G))</f>
        <v>9</v>
      </c>
      <c r="Q10" s="2">
        <f>MIN(IF(R10-1=0,ROUNDDOWN(SUM($N$2:N10)/_xlfn.XLOOKUP(R10,'01设定表'!L:L,'01设定表'!M:M),0),ROUNDDOWN((SUM($N$2:N10)-_xlfn.XLOOKUP(B10,'01设定表'!E:E,'01设定表'!G:G)*_xlfn.XLOOKUP(R10-1,'01设定表'!L:L,'01设定表'!M:M))/_xlfn.XLOOKUP(R10,'01设定表'!L:L,'01设定表'!M:M),0)),_xlfn.XLOOKUP(B10,'01设定表'!E:E,'01设定表'!G:G))</f>
        <v>9</v>
      </c>
      <c r="R10" s="2">
        <f>MIN(IF(AND(C10=1,D10=1),1,R9+ROUNDDOWN(L10/(_xlfn.XLOOKUP(B10,'01设定表'!E:E,'01设定表'!G:G)*_xlfn.XLOOKUP(R9,'01设定表'!L:L,'01设定表'!N:N)),0)),4)</f>
        <v>1</v>
      </c>
      <c r="S10" s="11" t="str">
        <f t="shared" si="1"/>
        <v>胜利</v>
      </c>
      <c r="T10" s="13">
        <f>F10*_xlfn.XLOOKUP(E10,'01怪物表'!B:B,'01怪物表'!L:L)/(100-_xlfn.XLOOKUP(E10,'01怪物表'!B:B,'01怪物表'!K:K))*100+H10*_xlfn.XLOOKUP(G10,'01怪物表'!B:B,'01怪物表'!L:L)/(100-_xlfn.XLOOKUP(G10,'01怪物表'!B:B,'01怪物表'!K:K))*100+J10*_xlfn.XLOOKUP(I10,'01怪物表'!B:B,'01怪物表'!L:L)/(100-_xlfn.XLOOKUP(I10,'01怪物表'!B:B,'01怪物表'!K:K))*100+_xlfn.XLOOKUP(K10,'01怪物表'!B:B,'01怪物表'!L:L)/(100-_xlfn.XLOOKUP(K10,'01怪物表'!B:B,'01怪物表'!K:K))*100</f>
        <v>588.63157894736844</v>
      </c>
      <c r="U10" s="13"/>
      <c r="V10" s="13">
        <f>2*'01设定表'!$C$13/(100-'01设定表'!$C$15)*100</f>
        <v>22.222222222222221</v>
      </c>
      <c r="W10" s="13"/>
      <c r="X10" s="13">
        <f>(Q10*_xlfn.XLOOKUP(R10,'01设定表'!I:I,'01设定表'!J:J)+(P10-Q10)*_xlfn.IFNA(_xlfn.XLOOKUP(R10-1,'01设定表'!I:I,'01设定表'!J:J),0))</f>
        <v>45</v>
      </c>
      <c r="Y10" s="13"/>
    </row>
    <row r="11" spans="1:25" x14ac:dyDescent="0.35">
      <c r="A11" s="2">
        <v>10</v>
      </c>
      <c r="B11" s="2">
        <v>1</v>
      </c>
      <c r="C11" s="2">
        <f t="shared" si="2"/>
        <v>2</v>
      </c>
      <c r="D11" s="2">
        <v>10</v>
      </c>
      <c r="E11" s="2" t="s">
        <v>18</v>
      </c>
      <c r="F11" s="2">
        <f t="shared" si="3"/>
        <v>7</v>
      </c>
      <c r="G11" s="2" t="s">
        <v>122</v>
      </c>
      <c r="H11" s="2">
        <f t="shared" si="4"/>
        <v>3</v>
      </c>
      <c r="I11" s="2"/>
      <c r="J11" s="2"/>
      <c r="K11" s="11"/>
      <c r="L11" s="11">
        <f>SUM($N$2:N11)</f>
        <v>750</v>
      </c>
      <c r="M11" s="2">
        <f t="shared" si="0"/>
        <v>120</v>
      </c>
      <c r="N11" s="12">
        <f>F11*_xlfn.XLOOKUP(E11,'01怪物表'!B:B,'01怪物表'!D:D)+H11*_xlfn.XLOOKUP(G11,'01怪物表'!B:B,'01怪物表'!D:D)+J11*_xlfn.XLOOKUP(I11,'01怪物表'!B:B,'01怪物表'!D:D)+_xlfn.XLOOKUP(K11,'01怪物表'!B:B,'01怪物表'!D:D)+IF(AND(C11=1,D11=1),_xlfn.XLOOKUP(B11,'01设定表'!E:E,'01设定表'!F:F),0)</f>
        <v>65</v>
      </c>
      <c r="O11" s="2">
        <f>M11-Q11*_xlfn.XLOOKUP(R11,'01设定表'!$L:$L,'01设定表'!$M:$M)-(P11-Q11)*IF(R11-1=0,0,_xlfn.XLOOKUP(R11-1,'01设定表'!$L:$L,'01设定表'!$M:$M))+IFERROR((Q10*_xlfn.XLOOKUP(R10,'01设定表'!$L:$L,'01设定表'!$M:$M)+(P10-Q10)*IF(R10-1=0,0,_xlfn.XLOOKUP(R10-1,'01设定表'!$L:$L,'01设定表'!$M:$M))),0)</f>
        <v>50</v>
      </c>
      <c r="P11" s="2">
        <f>MIN(ROUNDDOWN(L11/_xlfn.XLOOKUP(1,'01设定表'!L:L,'01设定表'!M:M),0),_xlfn.XLOOKUP(B11,'01设定表'!E:E,'01设定表'!G:G))</f>
        <v>10</v>
      </c>
      <c r="Q11" s="2">
        <f>MIN(IF(R11-1=0,ROUNDDOWN(SUM($N$2:N11)/_xlfn.XLOOKUP(R11,'01设定表'!L:L,'01设定表'!M:M),0),ROUNDDOWN((SUM($N$2:N11)-_xlfn.XLOOKUP(B11,'01设定表'!E:E,'01设定表'!G:G)*_xlfn.XLOOKUP(R11-1,'01设定表'!L:L,'01设定表'!M:M))/_xlfn.XLOOKUP(R11,'01设定表'!L:L,'01设定表'!M:M),0)),_xlfn.XLOOKUP(B11,'01设定表'!E:E,'01设定表'!G:G))</f>
        <v>0</v>
      </c>
      <c r="R11" s="2">
        <f>MIN(IF(AND(C11=1,D11=1),1,R10+ROUNDDOWN(L11/(_xlfn.XLOOKUP(B11,'01设定表'!E:E,'01设定表'!G:G)*_xlfn.XLOOKUP(R10,'01设定表'!L:L,'01设定表'!N:N)),0)),4)</f>
        <v>2</v>
      </c>
      <c r="S11" s="11" t="str">
        <f t="shared" si="1"/>
        <v>胜利</v>
      </c>
      <c r="T11" s="13">
        <f>F11*_xlfn.XLOOKUP(E11,'01怪物表'!B:B,'01怪物表'!L:L)/(100-_xlfn.XLOOKUP(E11,'01怪物表'!B:B,'01怪物表'!K:K))*100+H11*_xlfn.XLOOKUP(G11,'01怪物表'!B:B,'01怪物表'!L:L)/(100-_xlfn.XLOOKUP(G11,'01怪物表'!B:B,'01怪物表'!K:K))*100+J11*_xlfn.XLOOKUP(I11,'01怪物表'!B:B,'01怪物表'!L:L)/(100-_xlfn.XLOOKUP(I11,'01怪物表'!B:B,'01怪物表'!K:K))*100+_xlfn.XLOOKUP(K11,'01怪物表'!B:B,'01怪物表'!L:L)/(100-_xlfn.XLOOKUP(K11,'01怪物表'!B:B,'01怪物表'!K:K))*100</f>
        <v>588.63157894736844</v>
      </c>
      <c r="U11" s="13"/>
      <c r="V11" s="13">
        <f>2*'01设定表'!$C$13/(100-'01设定表'!$C$15)*100</f>
        <v>22.222222222222221</v>
      </c>
      <c r="W11" s="13"/>
      <c r="X11" s="13">
        <f>(Q11*_xlfn.XLOOKUP(R11,'01设定表'!I:I,'01设定表'!J:J)+(P11-Q11)*_xlfn.IFNA(_xlfn.XLOOKUP(R11-1,'01设定表'!I:I,'01设定表'!J:J),0))</f>
        <v>50</v>
      </c>
      <c r="Y11" s="13"/>
    </row>
    <row r="12" spans="1:25" x14ac:dyDescent="0.35">
      <c r="A12" s="2">
        <v>11</v>
      </c>
      <c r="B12" s="2">
        <v>1</v>
      </c>
      <c r="C12" s="2">
        <f t="shared" si="2"/>
        <v>3</v>
      </c>
      <c r="D12" s="2">
        <v>11</v>
      </c>
      <c r="E12" s="2" t="s">
        <v>18</v>
      </c>
      <c r="F12" s="2">
        <f t="shared" si="3"/>
        <v>9</v>
      </c>
      <c r="G12" s="2" t="s">
        <v>122</v>
      </c>
      <c r="H12" s="2">
        <f t="shared" si="4"/>
        <v>4</v>
      </c>
      <c r="I12" s="2"/>
      <c r="J12" s="2"/>
      <c r="K12" s="11"/>
      <c r="L12" s="11">
        <f>SUM($N$2:N12)</f>
        <v>835</v>
      </c>
      <c r="M12" s="2">
        <f t="shared" si="0"/>
        <v>135</v>
      </c>
      <c r="N12" s="12">
        <f>F12*_xlfn.XLOOKUP(E12,'01怪物表'!B:B,'01怪物表'!D:D)+H12*_xlfn.XLOOKUP(G12,'01怪物表'!B:B,'01怪物表'!D:D)+J12*_xlfn.XLOOKUP(I12,'01怪物表'!B:B,'01怪物表'!D:D)+_xlfn.XLOOKUP(K12,'01怪物表'!B:B,'01怪物表'!D:D)+IF(AND(C12=1,D12=1),_xlfn.XLOOKUP(B12,'01设定表'!E:E,'01设定表'!F:F),0)</f>
        <v>85</v>
      </c>
      <c r="O12" s="2">
        <f>M12-Q12*_xlfn.XLOOKUP(R12,'01设定表'!$L:$L,'01设定表'!$M:$M)-(P12-Q12)*IF(R12-1=0,0,_xlfn.XLOOKUP(R12-1,'01设定表'!$L:$L,'01设定表'!$M:$M))+IFERROR((Q11*_xlfn.XLOOKUP(R11,'01设定表'!$L:$L,'01设定表'!$M:$M)+(P11-Q11)*IF(R11-1=0,0,_xlfn.XLOOKUP(R11-1,'01设定表'!$L:$L,'01设定表'!$M:$M))),0)</f>
        <v>105</v>
      </c>
      <c r="P12" s="2">
        <f>MIN(ROUNDDOWN(L12/_xlfn.XLOOKUP(1,'01设定表'!L:L,'01设定表'!M:M),0),_xlfn.XLOOKUP(B12,'01设定表'!E:E,'01设定表'!G:G))</f>
        <v>10</v>
      </c>
      <c r="Q12" s="2">
        <f>MIN(IF(R12-1=0,ROUNDDOWN(SUM($N$2:N12)/_xlfn.XLOOKUP(R12,'01设定表'!L:L,'01设定表'!M:M),0),ROUNDDOWN((SUM($N$2:N12)-_xlfn.XLOOKUP(B12,'01设定表'!E:E,'01设定表'!G:G)*_xlfn.XLOOKUP(R12-1,'01设定表'!L:L,'01设定表'!M:M))/_xlfn.XLOOKUP(R12,'01设定表'!L:L,'01设定表'!M:M),0)),_xlfn.XLOOKUP(B12,'01设定表'!E:E,'01设定表'!G:G))</f>
        <v>1</v>
      </c>
      <c r="R12" s="2">
        <f>MIN(IF(AND(C12=1,D12=1),1,R11+ROUNDDOWN(L12/(_xlfn.XLOOKUP(B12,'01设定表'!E:E,'01设定表'!G:G)*_xlfn.XLOOKUP(R11,'01设定表'!L:L,'01设定表'!N:N)),0)),4)</f>
        <v>2</v>
      </c>
      <c r="S12" s="11" t="str">
        <f t="shared" si="1"/>
        <v>胜利</v>
      </c>
      <c r="T12" s="13">
        <f>F12*_xlfn.XLOOKUP(E12,'01怪物表'!B:B,'01怪物表'!L:L)/(100-_xlfn.XLOOKUP(E12,'01怪物表'!B:B,'01怪物表'!K:K))*100+H12*_xlfn.XLOOKUP(G12,'01怪物表'!B:B,'01怪物表'!L:L)/(100-_xlfn.XLOOKUP(G12,'01怪物表'!B:B,'01怪物表'!K:K))*100+J12*_xlfn.XLOOKUP(I12,'01怪物表'!B:B,'01怪物表'!L:L)/(100-_xlfn.XLOOKUP(I12,'01怪物表'!B:B,'01怪物表'!K:K))*100+_xlfn.XLOOKUP(K12,'01怪物表'!B:B,'01怪物表'!L:L)/(100-_xlfn.XLOOKUP(K12,'01怪物表'!B:B,'01怪物表'!K:K))*100</f>
        <v>768.84210526315792</v>
      </c>
      <c r="U12" s="13"/>
      <c r="V12" s="13">
        <f>2*'01设定表'!$C$13/(100-'01设定表'!$C$15)*100</f>
        <v>22.222222222222221</v>
      </c>
      <c r="W12" s="13"/>
      <c r="X12" s="13">
        <f>(Q12*_xlfn.XLOOKUP(R12,'01设定表'!I:I,'01设定表'!J:J)+(P12-Q12)*_xlfn.IFNA(_xlfn.XLOOKUP(R12-1,'01设定表'!I:I,'01设定表'!J:J),0))</f>
        <v>55</v>
      </c>
      <c r="Y12" s="13"/>
    </row>
    <row r="13" spans="1:25" x14ac:dyDescent="0.35">
      <c r="A13" s="2">
        <v>12</v>
      </c>
      <c r="B13" s="2">
        <v>1</v>
      </c>
      <c r="C13" s="2">
        <f t="shared" si="2"/>
        <v>3</v>
      </c>
      <c r="D13" s="2">
        <v>12</v>
      </c>
      <c r="E13" s="2" t="s">
        <v>18</v>
      </c>
      <c r="F13" s="2">
        <f t="shared" si="3"/>
        <v>9</v>
      </c>
      <c r="G13" s="2" t="s">
        <v>122</v>
      </c>
      <c r="H13" s="2">
        <f t="shared" si="4"/>
        <v>4</v>
      </c>
      <c r="I13" s="2"/>
      <c r="J13" s="2"/>
      <c r="K13" s="11"/>
      <c r="L13" s="11">
        <f>SUM($N$2:N13)</f>
        <v>920</v>
      </c>
      <c r="M13" s="2">
        <f t="shared" si="0"/>
        <v>190</v>
      </c>
      <c r="N13" s="12">
        <f>F13*_xlfn.XLOOKUP(E13,'01怪物表'!B:B,'01怪物表'!D:D)+H13*_xlfn.XLOOKUP(G13,'01怪物表'!B:B,'01怪物表'!D:D)+J13*_xlfn.XLOOKUP(I13,'01怪物表'!B:B,'01怪物表'!D:D)+_xlfn.XLOOKUP(K13,'01怪物表'!B:B,'01怪物表'!D:D)+IF(AND(C13=1,D13=1),_xlfn.XLOOKUP(B13,'01设定表'!E:E,'01设定表'!F:F),0)</f>
        <v>85</v>
      </c>
      <c r="O13" s="2">
        <f>M13-Q13*_xlfn.XLOOKUP(R13,'01设定表'!$L:$L,'01设定表'!$M:$M)-(P13-Q13)*IF(R13-1=0,0,_xlfn.XLOOKUP(R13-1,'01设定表'!$L:$L,'01设定表'!$M:$M))+IFERROR((Q12*_xlfn.XLOOKUP(R12,'01设定表'!$L:$L,'01设定表'!$M:$M)+(P12-Q12)*IF(R12-1=0,0,_xlfn.XLOOKUP(R12-1,'01设定表'!$L:$L,'01设定表'!$M:$M))),0)</f>
        <v>160</v>
      </c>
      <c r="P13" s="2">
        <f>MIN(ROUNDDOWN(L13/_xlfn.XLOOKUP(1,'01设定表'!L:L,'01设定表'!M:M),0),_xlfn.XLOOKUP(B13,'01设定表'!E:E,'01设定表'!G:G))</f>
        <v>10</v>
      </c>
      <c r="Q13" s="2">
        <f>MIN(IF(R13-1=0,ROUNDDOWN(SUM($N$2:N13)/_xlfn.XLOOKUP(R13,'01设定表'!L:L,'01设定表'!M:M),0),ROUNDDOWN((SUM($N$2:N13)-_xlfn.XLOOKUP(B13,'01设定表'!E:E,'01设定表'!G:G)*_xlfn.XLOOKUP(R13-1,'01设定表'!L:L,'01设定表'!M:M))/_xlfn.XLOOKUP(R13,'01设定表'!L:L,'01设定表'!M:M),0)),_xlfn.XLOOKUP(B13,'01设定表'!E:E,'01设定表'!G:G))</f>
        <v>2</v>
      </c>
      <c r="R13" s="2">
        <f>MIN(IF(AND(C13=1,D13=1),1,R12+ROUNDDOWN(L13/(_xlfn.XLOOKUP(B13,'01设定表'!E:E,'01设定表'!G:G)*_xlfn.XLOOKUP(R12,'01设定表'!L:L,'01设定表'!N:N)),0)),4)</f>
        <v>2</v>
      </c>
      <c r="S13" s="11" t="str">
        <f t="shared" si="1"/>
        <v>胜利</v>
      </c>
      <c r="T13" s="13">
        <f>F13*_xlfn.XLOOKUP(E13,'01怪物表'!B:B,'01怪物表'!L:L)/(100-_xlfn.XLOOKUP(E13,'01怪物表'!B:B,'01怪物表'!K:K))*100+H13*_xlfn.XLOOKUP(G13,'01怪物表'!B:B,'01怪物表'!L:L)/(100-_xlfn.XLOOKUP(G13,'01怪物表'!B:B,'01怪物表'!K:K))*100+J13*_xlfn.XLOOKUP(I13,'01怪物表'!B:B,'01怪物表'!L:L)/(100-_xlfn.XLOOKUP(I13,'01怪物表'!B:B,'01怪物表'!K:K))*100+_xlfn.XLOOKUP(K13,'01怪物表'!B:B,'01怪物表'!L:L)/(100-_xlfn.XLOOKUP(K13,'01怪物表'!B:B,'01怪物表'!K:K))*100</f>
        <v>768.84210526315792</v>
      </c>
      <c r="U13" s="13"/>
      <c r="V13" s="13">
        <f>2*'01设定表'!$C$13/(100-'01设定表'!$C$15)*100</f>
        <v>22.222222222222221</v>
      </c>
      <c r="W13" s="13"/>
      <c r="X13" s="13">
        <f>(Q13*_xlfn.XLOOKUP(R13,'01设定表'!I:I,'01设定表'!J:J)+(P13-Q13)*_xlfn.IFNA(_xlfn.XLOOKUP(R13-1,'01设定表'!I:I,'01设定表'!J:J),0))</f>
        <v>60</v>
      </c>
      <c r="Y13" s="13"/>
    </row>
    <row r="14" spans="1:25" x14ac:dyDescent="0.35">
      <c r="A14" s="2">
        <v>13</v>
      </c>
      <c r="B14" s="2">
        <v>1</v>
      </c>
      <c r="C14" s="2">
        <f t="shared" si="2"/>
        <v>3</v>
      </c>
      <c r="D14" s="2">
        <v>13</v>
      </c>
      <c r="E14" s="2" t="s">
        <v>18</v>
      </c>
      <c r="F14" s="2">
        <f t="shared" si="3"/>
        <v>9</v>
      </c>
      <c r="G14" s="2" t="s">
        <v>122</v>
      </c>
      <c r="H14" s="2">
        <f t="shared" si="4"/>
        <v>4</v>
      </c>
      <c r="I14" s="2"/>
      <c r="J14" s="2"/>
      <c r="K14" s="11"/>
      <c r="L14" s="11">
        <f>SUM($N$2:N14)</f>
        <v>1005</v>
      </c>
      <c r="M14" s="2">
        <f t="shared" si="0"/>
        <v>245</v>
      </c>
      <c r="N14" s="12">
        <f>F14*_xlfn.XLOOKUP(E14,'01怪物表'!B:B,'01怪物表'!D:D)+H14*_xlfn.XLOOKUP(G14,'01怪物表'!B:B,'01怪物表'!D:D)+J14*_xlfn.XLOOKUP(I14,'01怪物表'!B:B,'01怪物表'!D:D)+_xlfn.XLOOKUP(K14,'01怪物表'!B:B,'01怪物表'!D:D)+IF(AND(C14=1,D14=1),_xlfn.XLOOKUP(B14,'01设定表'!E:E,'01设定表'!F:F),0)</f>
        <v>85</v>
      </c>
      <c r="O14" s="2">
        <f>M14-Q14*_xlfn.XLOOKUP(R14,'01设定表'!$L:$L,'01设定表'!$M:$M)-(P14-Q14)*IF(R14-1=0,0,_xlfn.XLOOKUP(R14-1,'01设定表'!$L:$L,'01设定表'!$M:$M))+IFERROR((Q13*_xlfn.XLOOKUP(R13,'01设定表'!$L:$L,'01设定表'!$M:$M)+(P13-Q13)*IF(R13-1=0,0,_xlfn.XLOOKUP(R13-1,'01设定表'!$L:$L,'01设定表'!$M:$M))),0)</f>
        <v>215</v>
      </c>
      <c r="P14" s="2">
        <f>MIN(ROUNDDOWN(L14/_xlfn.XLOOKUP(1,'01设定表'!L:L,'01设定表'!M:M),0),_xlfn.XLOOKUP(B14,'01设定表'!E:E,'01设定表'!G:G))</f>
        <v>10</v>
      </c>
      <c r="Q14" s="2">
        <f>MIN(IF(R14-1=0,ROUNDDOWN(SUM($N$2:N14)/_xlfn.XLOOKUP(R14,'01设定表'!L:L,'01设定表'!M:M),0),ROUNDDOWN((SUM($N$2:N14)-_xlfn.XLOOKUP(B14,'01设定表'!E:E,'01设定表'!G:G)*_xlfn.XLOOKUP(R14-1,'01设定表'!L:L,'01设定表'!M:M))/_xlfn.XLOOKUP(R14,'01设定表'!L:L,'01设定表'!M:M),0)),_xlfn.XLOOKUP(B14,'01设定表'!E:E,'01设定表'!G:G))</f>
        <v>3</v>
      </c>
      <c r="R14" s="2">
        <f>MIN(IF(AND(C14=1,D14=1),1,R13+ROUNDDOWN(L14/(_xlfn.XLOOKUP(B14,'01设定表'!E:E,'01设定表'!G:G)*_xlfn.XLOOKUP(R13,'01设定表'!L:L,'01设定表'!N:N)),0)),4)</f>
        <v>2</v>
      </c>
      <c r="S14" s="11" t="str">
        <f t="shared" si="1"/>
        <v>胜利</v>
      </c>
      <c r="T14" s="13">
        <f>F14*_xlfn.XLOOKUP(E14,'01怪物表'!B:B,'01怪物表'!L:L)/(100-_xlfn.XLOOKUP(E14,'01怪物表'!B:B,'01怪物表'!K:K))*100+H14*_xlfn.XLOOKUP(G14,'01怪物表'!B:B,'01怪物表'!L:L)/(100-_xlfn.XLOOKUP(G14,'01怪物表'!B:B,'01怪物表'!K:K))*100+J14*_xlfn.XLOOKUP(I14,'01怪物表'!B:B,'01怪物表'!L:L)/(100-_xlfn.XLOOKUP(I14,'01怪物表'!B:B,'01怪物表'!K:K))*100+_xlfn.XLOOKUP(K14,'01怪物表'!B:B,'01怪物表'!L:L)/(100-_xlfn.XLOOKUP(K14,'01怪物表'!B:B,'01怪物表'!K:K))*100</f>
        <v>768.84210526315792</v>
      </c>
      <c r="U14" s="13"/>
      <c r="V14" s="13">
        <f>2*'01设定表'!$C$13/(100-'01设定表'!$C$15)*100</f>
        <v>22.222222222222221</v>
      </c>
      <c r="W14" s="13"/>
      <c r="X14" s="13">
        <f>(Q14*_xlfn.XLOOKUP(R14,'01设定表'!I:I,'01设定表'!J:J)+(P14-Q14)*_xlfn.IFNA(_xlfn.XLOOKUP(R14-1,'01设定表'!I:I,'01设定表'!J:J),0))</f>
        <v>65</v>
      </c>
      <c r="Y14" s="13"/>
    </row>
    <row r="15" spans="1:25" x14ac:dyDescent="0.35">
      <c r="A15" s="2">
        <v>14</v>
      </c>
      <c r="B15" s="2">
        <v>1</v>
      </c>
      <c r="C15" s="2">
        <f t="shared" si="2"/>
        <v>3</v>
      </c>
      <c r="D15" s="2">
        <v>14</v>
      </c>
      <c r="E15" s="2" t="s">
        <v>18</v>
      </c>
      <c r="F15" s="2">
        <f t="shared" si="3"/>
        <v>9</v>
      </c>
      <c r="G15" s="2" t="s">
        <v>122</v>
      </c>
      <c r="H15" s="2">
        <f t="shared" si="4"/>
        <v>4</v>
      </c>
      <c r="I15" s="2"/>
      <c r="J15" s="2"/>
      <c r="K15" s="11"/>
      <c r="L15" s="11">
        <f>SUM($N$2:N15)</f>
        <v>1090</v>
      </c>
      <c r="M15" s="2">
        <f t="shared" si="0"/>
        <v>300</v>
      </c>
      <c r="N15" s="12">
        <f>F15*_xlfn.XLOOKUP(E15,'01怪物表'!B:B,'01怪物表'!D:D)+H15*_xlfn.XLOOKUP(G15,'01怪物表'!B:B,'01怪物表'!D:D)+J15*_xlfn.XLOOKUP(I15,'01怪物表'!B:B,'01怪物表'!D:D)+_xlfn.XLOOKUP(K15,'01怪物表'!B:B,'01怪物表'!D:D)+IF(AND(C15=1,D15=1),_xlfn.XLOOKUP(B15,'01设定表'!E:E,'01设定表'!F:F),0)</f>
        <v>85</v>
      </c>
      <c r="O15" s="2">
        <f>M15-Q15*_xlfn.XLOOKUP(R15,'01设定表'!$L:$L,'01设定表'!$M:$M)-(P15-Q15)*IF(R15-1=0,0,_xlfn.XLOOKUP(R15-1,'01设定表'!$L:$L,'01设定表'!$M:$M))+IFERROR((Q14*_xlfn.XLOOKUP(R14,'01设定表'!$L:$L,'01设定表'!$M:$M)+(P14-Q14)*IF(R14-1=0,0,_xlfn.XLOOKUP(R14-1,'01设定表'!$L:$L,'01设定表'!$M:$M))),0)</f>
        <v>300</v>
      </c>
      <c r="P15" s="2">
        <f>MIN(ROUNDDOWN(L15/_xlfn.XLOOKUP(1,'01设定表'!L:L,'01设定表'!M:M),0),_xlfn.XLOOKUP(B15,'01设定表'!E:E,'01设定表'!G:G))</f>
        <v>10</v>
      </c>
      <c r="Q15" s="2">
        <f>MIN(IF(R15-1=0,ROUNDDOWN(SUM($N$2:N15)/_xlfn.XLOOKUP(R15,'01设定表'!L:L,'01设定表'!M:M),0),ROUNDDOWN((SUM($N$2:N15)-_xlfn.XLOOKUP(B15,'01设定表'!E:E,'01设定表'!G:G)*_xlfn.XLOOKUP(R15-1,'01设定表'!L:L,'01设定表'!M:M))/_xlfn.XLOOKUP(R15,'01设定表'!L:L,'01设定表'!M:M),0)),_xlfn.XLOOKUP(B15,'01设定表'!E:E,'01设定表'!G:G))</f>
        <v>3</v>
      </c>
      <c r="R15" s="2">
        <f>MIN(IF(AND(C15=1,D15=1),1,R14+ROUNDDOWN(L15/(_xlfn.XLOOKUP(B15,'01设定表'!E:E,'01设定表'!G:G)*_xlfn.XLOOKUP(R14,'01设定表'!L:L,'01设定表'!N:N)),0)),4)</f>
        <v>2</v>
      </c>
      <c r="S15" s="11" t="str">
        <f t="shared" si="1"/>
        <v>胜利</v>
      </c>
      <c r="T15" s="13">
        <f>F15*_xlfn.XLOOKUP(E15,'01怪物表'!B:B,'01怪物表'!L:L)/(100-_xlfn.XLOOKUP(E15,'01怪物表'!B:B,'01怪物表'!K:K))*100+H15*_xlfn.XLOOKUP(G15,'01怪物表'!B:B,'01怪物表'!L:L)/(100-_xlfn.XLOOKUP(G15,'01怪物表'!B:B,'01怪物表'!K:K))*100+J15*_xlfn.XLOOKUP(I15,'01怪物表'!B:B,'01怪物表'!L:L)/(100-_xlfn.XLOOKUP(I15,'01怪物表'!B:B,'01怪物表'!K:K))*100+_xlfn.XLOOKUP(K15,'01怪物表'!B:B,'01怪物表'!L:L)/(100-_xlfn.XLOOKUP(K15,'01怪物表'!B:B,'01怪物表'!K:K))*100</f>
        <v>768.84210526315792</v>
      </c>
      <c r="U15" s="13"/>
      <c r="V15" s="13">
        <f>2*'01设定表'!$C$13/(100-'01设定表'!$C$15)*100</f>
        <v>22.222222222222221</v>
      </c>
      <c r="W15" s="13"/>
      <c r="X15" s="13">
        <f>(Q15*_xlfn.XLOOKUP(R15,'01设定表'!I:I,'01设定表'!J:J)+(P15-Q15)*_xlfn.IFNA(_xlfn.XLOOKUP(R15-1,'01设定表'!I:I,'01设定表'!J:J),0))</f>
        <v>65</v>
      </c>
      <c r="Y15" s="13"/>
    </row>
    <row r="16" spans="1:25" x14ac:dyDescent="0.35">
      <c r="A16" s="2">
        <v>15</v>
      </c>
      <c r="B16" s="2">
        <v>1</v>
      </c>
      <c r="C16" s="2">
        <f t="shared" si="2"/>
        <v>3</v>
      </c>
      <c r="D16" s="2">
        <v>15</v>
      </c>
      <c r="E16" s="2" t="s">
        <v>18</v>
      </c>
      <c r="F16" s="2">
        <f t="shared" si="3"/>
        <v>9</v>
      </c>
      <c r="G16" s="2" t="s">
        <v>122</v>
      </c>
      <c r="H16" s="2">
        <f t="shared" si="4"/>
        <v>4</v>
      </c>
      <c r="I16" s="2"/>
      <c r="J16" s="2"/>
      <c r="K16" s="11"/>
      <c r="L16" s="11">
        <f>SUM($N$2:N16)</f>
        <v>1175</v>
      </c>
      <c r="M16" s="2">
        <f t="shared" si="0"/>
        <v>385</v>
      </c>
      <c r="N16" s="12">
        <f>F16*_xlfn.XLOOKUP(E16,'01怪物表'!B:B,'01怪物表'!D:D)+H16*_xlfn.XLOOKUP(G16,'01怪物表'!B:B,'01怪物表'!D:D)+J16*_xlfn.XLOOKUP(I16,'01怪物表'!B:B,'01怪物表'!D:D)+_xlfn.XLOOKUP(K16,'01怪物表'!B:B,'01怪物表'!D:D)+IF(AND(C16=1,D16=1),_xlfn.XLOOKUP(B16,'01设定表'!E:E,'01设定表'!F:F),0)</f>
        <v>85</v>
      </c>
      <c r="O16" s="2">
        <f>M16-Q16*_xlfn.XLOOKUP(R16,'01设定表'!$L:$L,'01设定表'!$M:$M)-(P16-Q16)*IF(R16-1=0,0,_xlfn.XLOOKUP(R16-1,'01设定表'!$L:$L,'01设定表'!$M:$M))+IFERROR((Q15*_xlfn.XLOOKUP(R15,'01设定表'!$L:$L,'01设定表'!$M:$M)+(P15-Q15)*IF(R15-1=0,0,_xlfn.XLOOKUP(R15-1,'01设定表'!$L:$L,'01设定表'!$M:$M))),0)</f>
        <v>355</v>
      </c>
      <c r="P16" s="2">
        <f>MIN(ROUNDDOWN(L16/_xlfn.XLOOKUP(1,'01设定表'!L:L,'01设定表'!M:M),0),_xlfn.XLOOKUP(B16,'01设定表'!E:E,'01设定表'!G:G))</f>
        <v>10</v>
      </c>
      <c r="Q16" s="2">
        <f>MIN(IF(R16-1=0,ROUNDDOWN(SUM($N$2:N16)/_xlfn.XLOOKUP(R16,'01设定表'!L:L,'01设定表'!M:M),0),ROUNDDOWN((SUM($N$2:N16)-_xlfn.XLOOKUP(B16,'01设定表'!E:E,'01设定表'!G:G)*_xlfn.XLOOKUP(R16-1,'01设定表'!L:L,'01设定表'!M:M))/_xlfn.XLOOKUP(R16,'01设定表'!L:L,'01设定表'!M:M),0)),_xlfn.XLOOKUP(B16,'01设定表'!E:E,'01设定表'!G:G))</f>
        <v>4</v>
      </c>
      <c r="R16" s="2">
        <f>MIN(IF(AND(C16=1,D16=1),1,R15+ROUNDDOWN(L16/(_xlfn.XLOOKUP(B16,'01设定表'!E:E,'01设定表'!G:G)*_xlfn.XLOOKUP(R15,'01设定表'!L:L,'01设定表'!N:N)),0)),4)</f>
        <v>2</v>
      </c>
      <c r="S16" s="11" t="str">
        <f t="shared" si="1"/>
        <v>胜利</v>
      </c>
      <c r="T16" s="13">
        <f>F16*_xlfn.XLOOKUP(E16,'01怪物表'!B:B,'01怪物表'!L:L)/(100-_xlfn.XLOOKUP(E16,'01怪物表'!B:B,'01怪物表'!K:K))*100+H16*_xlfn.XLOOKUP(G16,'01怪物表'!B:B,'01怪物表'!L:L)/(100-_xlfn.XLOOKUP(G16,'01怪物表'!B:B,'01怪物表'!K:K))*100+J16*_xlfn.XLOOKUP(I16,'01怪物表'!B:B,'01怪物表'!L:L)/(100-_xlfn.XLOOKUP(I16,'01怪物表'!B:B,'01怪物表'!K:K))*100+_xlfn.XLOOKUP(K16,'01怪物表'!B:B,'01怪物表'!L:L)/(100-_xlfn.XLOOKUP(K16,'01怪物表'!B:B,'01怪物表'!K:K))*100</f>
        <v>768.84210526315792</v>
      </c>
      <c r="U16" s="13"/>
      <c r="V16" s="13">
        <f>2*'01设定表'!$C$13/(100-'01设定表'!$C$15)*100</f>
        <v>22.222222222222221</v>
      </c>
      <c r="W16" s="13"/>
      <c r="X16" s="13">
        <f>(Q16*_xlfn.XLOOKUP(R16,'01设定表'!I:I,'01设定表'!J:J)+(P16-Q16)*_xlfn.IFNA(_xlfn.XLOOKUP(R16-1,'01设定表'!I:I,'01设定表'!J:J),0))</f>
        <v>70</v>
      </c>
      <c r="Y16" s="13"/>
    </row>
    <row r="17" spans="1:25" x14ac:dyDescent="0.35">
      <c r="A17" s="2">
        <v>16</v>
      </c>
      <c r="B17" s="2">
        <v>1</v>
      </c>
      <c r="C17" s="2">
        <f t="shared" si="2"/>
        <v>4</v>
      </c>
      <c r="D17" s="2">
        <v>16</v>
      </c>
      <c r="E17" s="2" t="s">
        <v>18</v>
      </c>
      <c r="F17" s="2">
        <f t="shared" si="3"/>
        <v>11</v>
      </c>
      <c r="G17" s="2" t="s">
        <v>122</v>
      </c>
      <c r="H17" s="2">
        <f t="shared" si="4"/>
        <v>5</v>
      </c>
      <c r="I17" s="2"/>
      <c r="J17" s="2"/>
      <c r="K17" s="11"/>
      <c r="L17" s="11">
        <f>SUM($N$2:N17)</f>
        <v>1280</v>
      </c>
      <c r="M17" s="2">
        <f t="shared" si="0"/>
        <v>460</v>
      </c>
      <c r="N17" s="12">
        <f>F17*_xlfn.XLOOKUP(E17,'01怪物表'!B:B,'01怪物表'!D:D)+H17*_xlfn.XLOOKUP(G17,'01怪物表'!B:B,'01怪物表'!D:D)+J17*_xlfn.XLOOKUP(I17,'01怪物表'!B:B,'01怪物表'!D:D)+_xlfn.XLOOKUP(K17,'01怪物表'!B:B,'01怪物表'!D:D)+IF(AND(C17=1,D17=1),_xlfn.XLOOKUP(B17,'01设定表'!E:E,'01设定表'!F:F),0)</f>
        <v>105</v>
      </c>
      <c r="O17" s="2">
        <f>M17-Q17*_xlfn.XLOOKUP(R17,'01设定表'!$L:$L,'01设定表'!$M:$M)-(P17-Q17)*IF(R17-1=0,0,_xlfn.XLOOKUP(R17-1,'01设定表'!$L:$L,'01设定表'!$M:$M))+IFERROR((Q16*_xlfn.XLOOKUP(R16,'01设定表'!$L:$L,'01设定表'!$M:$M)+(P16-Q16)*IF(R16-1=0,0,_xlfn.XLOOKUP(R16-1,'01设定表'!$L:$L,'01设定表'!$M:$M))),0)</f>
        <v>430</v>
      </c>
      <c r="P17" s="2">
        <f>MIN(ROUNDDOWN(L17/_xlfn.XLOOKUP(1,'01设定表'!L:L,'01设定表'!M:M),0),_xlfn.XLOOKUP(B17,'01设定表'!E:E,'01设定表'!G:G))</f>
        <v>10</v>
      </c>
      <c r="Q17" s="2">
        <f>MIN(IF(R17-1=0,ROUNDDOWN(SUM($N$2:N17)/_xlfn.XLOOKUP(R17,'01设定表'!L:L,'01设定表'!M:M),0),ROUNDDOWN((SUM($N$2:N17)-_xlfn.XLOOKUP(B17,'01设定表'!E:E,'01设定表'!G:G)*_xlfn.XLOOKUP(R17-1,'01设定表'!L:L,'01设定表'!M:M))/_xlfn.XLOOKUP(R17,'01设定表'!L:L,'01设定表'!M:M),0)),_xlfn.XLOOKUP(B17,'01设定表'!E:E,'01设定表'!G:G))</f>
        <v>5</v>
      </c>
      <c r="R17" s="2">
        <f>MIN(IF(AND(C17=1,D17=1),1,R16+ROUNDDOWN(L17/(_xlfn.XLOOKUP(B17,'01设定表'!E:E,'01设定表'!G:G)*_xlfn.XLOOKUP(R16,'01设定表'!L:L,'01设定表'!N:N)),0)),4)</f>
        <v>2</v>
      </c>
      <c r="S17" s="11" t="str">
        <f t="shared" si="1"/>
        <v>胜利</v>
      </c>
      <c r="T17" s="13">
        <f>F17*_xlfn.XLOOKUP(E17,'01怪物表'!B:B,'01怪物表'!L:L)/(100-_xlfn.XLOOKUP(E17,'01怪物表'!B:B,'01怪物表'!K:K))*100+H17*_xlfn.XLOOKUP(G17,'01怪物表'!B:B,'01怪物表'!L:L)/(100-_xlfn.XLOOKUP(G17,'01怪物表'!B:B,'01怪物表'!K:K))*100+J17*_xlfn.XLOOKUP(I17,'01怪物表'!B:B,'01怪物表'!L:L)/(100-_xlfn.XLOOKUP(I17,'01怪物表'!B:B,'01怪物表'!K:K))*100+_xlfn.XLOOKUP(K17,'01怪物表'!B:B,'01怪物表'!L:L)/(100-_xlfn.XLOOKUP(K17,'01怪物表'!B:B,'01怪物表'!K:K))*100</f>
        <v>949.05263157894728</v>
      </c>
      <c r="U17" s="13"/>
      <c r="V17" s="13">
        <f>2*'01设定表'!$C$13/(100-'01设定表'!$C$15)*100</f>
        <v>22.222222222222221</v>
      </c>
      <c r="W17" s="13"/>
      <c r="X17" s="13">
        <f>(Q17*_xlfn.XLOOKUP(R17,'01设定表'!I:I,'01设定表'!J:J)+(P17-Q17)*_xlfn.IFNA(_xlfn.XLOOKUP(R17-1,'01设定表'!I:I,'01设定表'!J:J),0))</f>
        <v>75</v>
      </c>
      <c r="Y17" s="13"/>
    </row>
    <row r="18" spans="1:25" x14ac:dyDescent="0.35">
      <c r="A18" s="2">
        <v>17</v>
      </c>
      <c r="B18" s="2">
        <v>1</v>
      </c>
      <c r="C18" s="2">
        <f t="shared" si="2"/>
        <v>4</v>
      </c>
      <c r="D18" s="2">
        <v>17</v>
      </c>
      <c r="E18" s="2" t="s">
        <v>18</v>
      </c>
      <c r="F18" s="2">
        <f t="shared" si="3"/>
        <v>11</v>
      </c>
      <c r="G18" s="2" t="s">
        <v>122</v>
      </c>
      <c r="H18" s="2">
        <f t="shared" si="4"/>
        <v>5</v>
      </c>
      <c r="I18" s="2"/>
      <c r="J18" s="2"/>
      <c r="K18" s="11"/>
      <c r="L18" s="11">
        <f>SUM($N$2:N18)</f>
        <v>1385</v>
      </c>
      <c r="M18" s="2">
        <f t="shared" si="0"/>
        <v>535</v>
      </c>
      <c r="N18" s="12">
        <f>F18*_xlfn.XLOOKUP(E18,'01怪物表'!B:B,'01怪物表'!D:D)+H18*_xlfn.XLOOKUP(G18,'01怪物表'!B:B,'01怪物表'!D:D)+J18*_xlfn.XLOOKUP(I18,'01怪物表'!B:B,'01怪物表'!D:D)+_xlfn.XLOOKUP(K18,'01怪物表'!B:B,'01怪物表'!D:D)+IF(AND(C18=1,D18=1),_xlfn.XLOOKUP(B18,'01设定表'!E:E,'01设定表'!F:F),0)</f>
        <v>105</v>
      </c>
      <c r="O18" s="2">
        <f>M18-Q18*_xlfn.XLOOKUP(R18,'01设定表'!$L:$L,'01设定表'!$M:$M)-(P18-Q18)*IF(R18-1=0,0,_xlfn.XLOOKUP(R18-1,'01设定表'!$L:$L,'01设定表'!$M:$M))+IFERROR((Q17*_xlfn.XLOOKUP(R17,'01设定表'!$L:$L,'01设定表'!$M:$M)+(P17-Q17)*IF(R17-1=0,0,_xlfn.XLOOKUP(R17-1,'01设定表'!$L:$L,'01设定表'!$M:$M))),0)</f>
        <v>505</v>
      </c>
      <c r="P18" s="2">
        <f>MIN(ROUNDDOWN(L18/_xlfn.XLOOKUP(1,'01设定表'!L:L,'01设定表'!M:M),0),_xlfn.XLOOKUP(B18,'01设定表'!E:E,'01设定表'!G:G))</f>
        <v>10</v>
      </c>
      <c r="Q18" s="2">
        <f>MIN(IF(R18-1=0,ROUNDDOWN(SUM($N$2:N18)/_xlfn.XLOOKUP(R18,'01设定表'!L:L,'01设定表'!M:M),0),ROUNDDOWN((SUM($N$2:N18)-_xlfn.XLOOKUP(B18,'01设定表'!E:E,'01设定表'!G:G)*_xlfn.XLOOKUP(R18-1,'01设定表'!L:L,'01设定表'!M:M))/_xlfn.XLOOKUP(R18,'01设定表'!L:L,'01设定表'!M:M),0)),_xlfn.XLOOKUP(B18,'01设定表'!E:E,'01设定表'!G:G))</f>
        <v>6</v>
      </c>
      <c r="R18" s="2">
        <f>MIN(IF(AND(C18=1,D18=1),1,R17+ROUNDDOWN(L18/(_xlfn.XLOOKUP(B18,'01设定表'!E:E,'01设定表'!G:G)*_xlfn.XLOOKUP(R17,'01设定表'!L:L,'01设定表'!N:N)),0)),4)</f>
        <v>2</v>
      </c>
      <c r="S18" s="11" t="str">
        <f t="shared" si="1"/>
        <v>胜利</v>
      </c>
      <c r="T18" s="13">
        <f>F18*_xlfn.XLOOKUP(E18,'01怪物表'!B:B,'01怪物表'!L:L)/(100-_xlfn.XLOOKUP(E18,'01怪物表'!B:B,'01怪物表'!K:K))*100+H18*_xlfn.XLOOKUP(G18,'01怪物表'!B:B,'01怪物表'!L:L)/(100-_xlfn.XLOOKUP(G18,'01怪物表'!B:B,'01怪物表'!K:K))*100+J18*_xlfn.XLOOKUP(I18,'01怪物表'!B:B,'01怪物表'!L:L)/(100-_xlfn.XLOOKUP(I18,'01怪物表'!B:B,'01怪物表'!K:K))*100+_xlfn.XLOOKUP(K18,'01怪物表'!B:B,'01怪物表'!L:L)/(100-_xlfn.XLOOKUP(K18,'01怪物表'!B:B,'01怪物表'!K:K))*100</f>
        <v>949.05263157894728</v>
      </c>
      <c r="U18" s="13"/>
      <c r="V18" s="13">
        <f>2*'01设定表'!$C$13/(100-'01设定表'!$C$15)*100</f>
        <v>22.222222222222221</v>
      </c>
      <c r="W18" s="13"/>
      <c r="X18" s="13">
        <f>(Q18*_xlfn.XLOOKUP(R18,'01设定表'!I:I,'01设定表'!J:J)+(P18-Q18)*_xlfn.IFNA(_xlfn.XLOOKUP(R18-1,'01设定表'!I:I,'01设定表'!J:J),0))</f>
        <v>80</v>
      </c>
      <c r="Y18" s="13"/>
    </row>
    <row r="19" spans="1:25" x14ac:dyDescent="0.35">
      <c r="A19" s="2">
        <v>18</v>
      </c>
      <c r="B19" s="2">
        <v>1</v>
      </c>
      <c r="C19" s="2">
        <f t="shared" si="2"/>
        <v>4</v>
      </c>
      <c r="D19" s="2">
        <v>18</v>
      </c>
      <c r="E19" s="2" t="s">
        <v>18</v>
      </c>
      <c r="F19" s="2">
        <f t="shared" si="3"/>
        <v>11</v>
      </c>
      <c r="G19" s="2" t="s">
        <v>122</v>
      </c>
      <c r="H19" s="2">
        <f t="shared" si="4"/>
        <v>5</v>
      </c>
      <c r="I19" s="2"/>
      <c r="J19" s="2"/>
      <c r="K19" s="11"/>
      <c r="L19" s="11">
        <f>SUM($N$2:N19)</f>
        <v>1490</v>
      </c>
      <c r="M19" s="2">
        <f t="shared" si="0"/>
        <v>610</v>
      </c>
      <c r="N19" s="12">
        <f>F19*_xlfn.XLOOKUP(E19,'01怪物表'!B:B,'01怪物表'!D:D)+H19*_xlfn.XLOOKUP(G19,'01怪物表'!B:B,'01怪物表'!D:D)+J19*_xlfn.XLOOKUP(I19,'01怪物表'!B:B,'01怪物表'!D:D)+_xlfn.XLOOKUP(K19,'01怪物表'!B:B,'01怪物表'!D:D)+IF(AND(C19=1,D19=1),_xlfn.XLOOKUP(B19,'01设定表'!E:E,'01设定表'!F:F),0)</f>
        <v>105</v>
      </c>
      <c r="O19" s="2">
        <f>M19-Q19*_xlfn.XLOOKUP(R19,'01设定表'!$L:$L,'01设定表'!$M:$M)-(P19-Q19)*IF(R19-1=0,0,_xlfn.XLOOKUP(R19-1,'01设定表'!$L:$L,'01设定表'!$M:$M))+IFERROR((Q18*_xlfn.XLOOKUP(R18,'01设定表'!$L:$L,'01设定表'!$M:$M)+(P18-Q18)*IF(R18-1=0,0,_xlfn.XLOOKUP(R18-1,'01设定表'!$L:$L,'01设定表'!$M:$M))),0)</f>
        <v>580</v>
      </c>
      <c r="P19" s="2">
        <f>MIN(ROUNDDOWN(L19/_xlfn.XLOOKUP(1,'01设定表'!L:L,'01设定表'!M:M),0),_xlfn.XLOOKUP(B19,'01设定表'!E:E,'01设定表'!G:G))</f>
        <v>10</v>
      </c>
      <c r="Q19" s="2">
        <f>MIN(IF(R19-1=0,ROUNDDOWN(SUM($N$2:N19)/_xlfn.XLOOKUP(R19,'01设定表'!L:L,'01设定表'!M:M),0),ROUNDDOWN((SUM($N$2:N19)-_xlfn.XLOOKUP(B19,'01设定表'!E:E,'01设定表'!G:G)*_xlfn.XLOOKUP(R19-1,'01设定表'!L:L,'01设定表'!M:M))/_xlfn.XLOOKUP(R19,'01设定表'!L:L,'01设定表'!M:M),0)),_xlfn.XLOOKUP(B19,'01设定表'!E:E,'01设定表'!G:G))</f>
        <v>7</v>
      </c>
      <c r="R19" s="2">
        <f>MIN(IF(AND(C19=1,D19=1),1,R18+ROUNDDOWN(L19/(_xlfn.XLOOKUP(B19,'01设定表'!E:E,'01设定表'!G:G)*_xlfn.XLOOKUP(R18,'01设定表'!L:L,'01设定表'!N:N)),0)),4)</f>
        <v>2</v>
      </c>
      <c r="S19" s="11" t="str">
        <f t="shared" si="1"/>
        <v>胜利</v>
      </c>
      <c r="T19" s="13">
        <f>F19*_xlfn.XLOOKUP(E19,'01怪物表'!B:B,'01怪物表'!L:L)/(100-_xlfn.XLOOKUP(E19,'01怪物表'!B:B,'01怪物表'!K:K))*100+H19*_xlfn.XLOOKUP(G19,'01怪物表'!B:B,'01怪物表'!L:L)/(100-_xlfn.XLOOKUP(G19,'01怪物表'!B:B,'01怪物表'!K:K))*100+J19*_xlfn.XLOOKUP(I19,'01怪物表'!B:B,'01怪物表'!L:L)/(100-_xlfn.XLOOKUP(I19,'01怪物表'!B:B,'01怪物表'!K:K))*100+_xlfn.XLOOKUP(K19,'01怪物表'!B:B,'01怪物表'!L:L)/(100-_xlfn.XLOOKUP(K19,'01怪物表'!B:B,'01怪物表'!K:K))*100</f>
        <v>949.05263157894728</v>
      </c>
      <c r="U19" s="13"/>
      <c r="V19" s="13">
        <f>2*'01设定表'!$C$13/(100-'01设定表'!$C$15)*100</f>
        <v>22.222222222222221</v>
      </c>
      <c r="W19" s="13"/>
      <c r="X19" s="13">
        <f>(Q19*_xlfn.XLOOKUP(R19,'01设定表'!I:I,'01设定表'!J:J)+(P19-Q19)*_xlfn.IFNA(_xlfn.XLOOKUP(R19-1,'01设定表'!I:I,'01设定表'!J:J),0))</f>
        <v>85</v>
      </c>
      <c r="Y19" s="13"/>
    </row>
    <row r="20" spans="1:25" x14ac:dyDescent="0.35">
      <c r="A20" s="2">
        <v>19</v>
      </c>
      <c r="B20" s="2">
        <v>1</v>
      </c>
      <c r="C20" s="2">
        <f t="shared" si="2"/>
        <v>4</v>
      </c>
      <c r="D20" s="2">
        <v>19</v>
      </c>
      <c r="E20" s="2" t="s">
        <v>18</v>
      </c>
      <c r="F20" s="2">
        <f t="shared" si="3"/>
        <v>11</v>
      </c>
      <c r="G20" s="2" t="s">
        <v>122</v>
      </c>
      <c r="H20" s="2">
        <f t="shared" si="4"/>
        <v>5</v>
      </c>
      <c r="I20" s="2"/>
      <c r="J20" s="2"/>
      <c r="K20" s="11"/>
      <c r="L20" s="11">
        <f>SUM($N$2:N20)</f>
        <v>1595</v>
      </c>
      <c r="M20" s="2">
        <f t="shared" si="0"/>
        <v>685</v>
      </c>
      <c r="N20" s="12">
        <f>F20*_xlfn.XLOOKUP(E20,'01怪物表'!B:B,'01怪物表'!D:D)+H20*_xlfn.XLOOKUP(G20,'01怪物表'!B:B,'01怪物表'!D:D)+J20*_xlfn.XLOOKUP(I20,'01怪物表'!B:B,'01怪物表'!D:D)+_xlfn.XLOOKUP(K20,'01怪物表'!B:B,'01怪物表'!D:D)+IF(AND(C20=1,D20=1),_xlfn.XLOOKUP(B20,'01设定表'!E:E,'01设定表'!F:F),0)</f>
        <v>105</v>
      </c>
      <c r="O20" s="2">
        <f>M20-Q20*_xlfn.XLOOKUP(R20,'01设定表'!$L:$L,'01设定表'!$M:$M)-(P20-Q20)*IF(R20-1=0,0,_xlfn.XLOOKUP(R20-1,'01设定表'!$L:$L,'01设定表'!$M:$M))+IFERROR((Q19*_xlfn.XLOOKUP(R19,'01设定表'!$L:$L,'01设定表'!$M:$M)+(P19-Q19)*IF(R19-1=0,0,_xlfn.XLOOKUP(R19-1,'01设定表'!$L:$L,'01设定表'!$M:$M))),0)</f>
        <v>655</v>
      </c>
      <c r="P20" s="2">
        <f>MIN(ROUNDDOWN(L20/_xlfn.XLOOKUP(1,'01设定表'!L:L,'01设定表'!M:M),0),_xlfn.XLOOKUP(B20,'01设定表'!E:E,'01设定表'!G:G))</f>
        <v>10</v>
      </c>
      <c r="Q20" s="2">
        <f>MIN(IF(R20-1=0,ROUNDDOWN(SUM($N$2:N20)/_xlfn.XLOOKUP(R20,'01设定表'!L:L,'01设定表'!M:M),0),ROUNDDOWN((SUM($N$2:N20)-_xlfn.XLOOKUP(B20,'01设定表'!E:E,'01设定表'!G:G)*_xlfn.XLOOKUP(R20-1,'01设定表'!L:L,'01设定表'!M:M))/_xlfn.XLOOKUP(R20,'01设定表'!L:L,'01设定表'!M:M),0)),_xlfn.XLOOKUP(B20,'01设定表'!E:E,'01设定表'!G:G))</f>
        <v>8</v>
      </c>
      <c r="R20" s="2">
        <f>MIN(IF(AND(C20=1,D20=1),1,R19+ROUNDDOWN(L20/(_xlfn.XLOOKUP(B20,'01设定表'!E:E,'01设定表'!G:G)*_xlfn.XLOOKUP(R19,'01设定表'!L:L,'01设定表'!N:N)),0)),4)</f>
        <v>2</v>
      </c>
      <c r="S20" s="11" t="str">
        <f t="shared" si="1"/>
        <v>胜利</v>
      </c>
      <c r="T20" s="13">
        <f>F20*_xlfn.XLOOKUP(E20,'01怪物表'!B:B,'01怪物表'!L:L)/(100-_xlfn.XLOOKUP(E20,'01怪物表'!B:B,'01怪物表'!K:K))*100+H20*_xlfn.XLOOKUP(G20,'01怪物表'!B:B,'01怪物表'!L:L)/(100-_xlfn.XLOOKUP(G20,'01怪物表'!B:B,'01怪物表'!K:K))*100+J20*_xlfn.XLOOKUP(I20,'01怪物表'!B:B,'01怪物表'!L:L)/(100-_xlfn.XLOOKUP(I20,'01怪物表'!B:B,'01怪物表'!K:K))*100+_xlfn.XLOOKUP(K20,'01怪物表'!B:B,'01怪物表'!L:L)/(100-_xlfn.XLOOKUP(K20,'01怪物表'!B:B,'01怪物表'!K:K))*100</f>
        <v>949.05263157894728</v>
      </c>
      <c r="U20" s="13"/>
      <c r="V20" s="13">
        <f>2*'01设定表'!$C$13/(100-'01设定表'!$C$15)*100</f>
        <v>22.222222222222221</v>
      </c>
      <c r="W20" s="13"/>
      <c r="X20" s="13">
        <f>(Q20*_xlfn.XLOOKUP(R20,'01设定表'!I:I,'01设定表'!J:J)+(P20-Q20)*_xlfn.IFNA(_xlfn.XLOOKUP(R20-1,'01设定表'!I:I,'01设定表'!J:J),0))</f>
        <v>90</v>
      </c>
      <c r="Y20" s="13"/>
    </row>
    <row r="21" spans="1:25" x14ac:dyDescent="0.35">
      <c r="A21" s="2">
        <v>20</v>
      </c>
      <c r="B21" s="2">
        <v>1</v>
      </c>
      <c r="C21" s="2">
        <f t="shared" si="2"/>
        <v>4</v>
      </c>
      <c r="D21" s="2">
        <v>20</v>
      </c>
      <c r="E21" s="2" t="s">
        <v>18</v>
      </c>
      <c r="F21" s="2">
        <f t="shared" si="3"/>
        <v>11</v>
      </c>
      <c r="G21" s="2" t="s">
        <v>122</v>
      </c>
      <c r="H21" s="2">
        <f t="shared" si="4"/>
        <v>5</v>
      </c>
      <c r="I21" s="2"/>
      <c r="J21" s="2"/>
      <c r="K21" s="11"/>
      <c r="L21" s="11">
        <f>SUM($N$2:N21)</f>
        <v>1700</v>
      </c>
      <c r="M21" s="2">
        <f t="shared" si="0"/>
        <v>760</v>
      </c>
      <c r="N21" s="12">
        <f>F21*_xlfn.XLOOKUP(E21,'01怪物表'!B:B,'01怪物表'!D:D)+H21*_xlfn.XLOOKUP(G21,'01怪物表'!B:B,'01怪物表'!D:D)+J21*_xlfn.XLOOKUP(I21,'01怪物表'!B:B,'01怪物表'!D:D)+_xlfn.XLOOKUP(K21,'01怪物表'!B:B,'01怪物表'!D:D)+IF(AND(C21=1,D21=1),_xlfn.XLOOKUP(B21,'01设定表'!E:E,'01设定表'!F:F),0)</f>
        <v>105</v>
      </c>
      <c r="O21" s="2">
        <f>M21-Q21*_xlfn.XLOOKUP(R21,'01设定表'!$L:$L,'01设定表'!$M:$M)-(P21-Q21)*IF(R21-1=0,0,_xlfn.XLOOKUP(R21-1,'01设定表'!$L:$L,'01设定表'!$M:$M))+IFERROR((Q20*_xlfn.XLOOKUP(R20,'01设定表'!$L:$L,'01设定表'!$M:$M)+(P20-Q20)*IF(R20-1=0,0,_xlfn.XLOOKUP(R20-1,'01设定表'!$L:$L,'01设定表'!$M:$M))),0)</f>
        <v>460</v>
      </c>
      <c r="P21" s="2">
        <f>MIN(ROUNDDOWN(L21/_xlfn.XLOOKUP(1,'01设定表'!L:L,'01设定表'!M:M),0),_xlfn.XLOOKUP(B21,'01设定表'!E:E,'01设定表'!G:G))</f>
        <v>10</v>
      </c>
      <c r="Q21" s="2">
        <f>MIN(IF(R21-1=0,ROUNDDOWN(SUM($N$2:N21)/_xlfn.XLOOKUP(R21,'01设定表'!L:L,'01设定表'!M:M),0),ROUNDDOWN((SUM($N$2:N21)-_xlfn.XLOOKUP(B21,'01设定表'!E:E,'01设定表'!G:G)*_xlfn.XLOOKUP(R21-1,'01设定表'!L:L,'01设定表'!M:M))/_xlfn.XLOOKUP(R21,'01设定表'!L:L,'01设定表'!M:M),0)),_xlfn.XLOOKUP(B21,'01设定表'!E:E,'01设定表'!G:G))</f>
        <v>4</v>
      </c>
      <c r="R21" s="2">
        <f>MIN(IF(AND(C21=1,D21=1),1,R20+ROUNDDOWN(L21/(_xlfn.XLOOKUP(B21,'01设定表'!E:E,'01设定表'!G:G)*_xlfn.XLOOKUP(R20,'01设定表'!L:L,'01设定表'!N:N)),0)),4)</f>
        <v>3</v>
      </c>
      <c r="S21" s="11" t="str">
        <f t="shared" si="1"/>
        <v>胜利</v>
      </c>
      <c r="T21" s="13">
        <f>F21*_xlfn.XLOOKUP(E21,'01怪物表'!B:B,'01怪物表'!L:L)/(100-_xlfn.XLOOKUP(E21,'01怪物表'!B:B,'01怪物表'!K:K))*100+H21*_xlfn.XLOOKUP(G21,'01怪物表'!B:B,'01怪物表'!L:L)/(100-_xlfn.XLOOKUP(G21,'01怪物表'!B:B,'01怪物表'!K:K))*100+J21*_xlfn.XLOOKUP(I21,'01怪物表'!B:B,'01怪物表'!L:L)/(100-_xlfn.XLOOKUP(I21,'01怪物表'!B:B,'01怪物表'!K:K))*100+_xlfn.XLOOKUP(K21,'01怪物表'!B:B,'01怪物表'!L:L)/(100-_xlfn.XLOOKUP(K21,'01怪物表'!B:B,'01怪物表'!K:K))*100</f>
        <v>949.05263157894728</v>
      </c>
      <c r="U21" s="13"/>
      <c r="V21" s="13">
        <f>2*'01设定表'!$C$13/(100-'01设定表'!$C$15)*100</f>
        <v>22.222222222222221</v>
      </c>
      <c r="W21" s="13"/>
      <c r="X21" s="13">
        <f>(Q21*_xlfn.XLOOKUP(R21,'01设定表'!I:I,'01设定表'!J:J)+(P21-Q21)*_xlfn.IFNA(_xlfn.XLOOKUP(R21-1,'01设定表'!I:I,'01设定表'!J:J),0))</f>
        <v>140</v>
      </c>
      <c r="Y21" s="13"/>
    </row>
    <row r="22" spans="1:25" x14ac:dyDescent="0.35">
      <c r="A22" s="2">
        <v>21</v>
      </c>
      <c r="B22" s="2">
        <v>1</v>
      </c>
      <c r="C22" s="2">
        <f t="shared" si="2"/>
        <v>5</v>
      </c>
      <c r="D22" s="2">
        <v>21</v>
      </c>
      <c r="E22" s="2" t="s">
        <v>18</v>
      </c>
      <c r="F22" s="2">
        <f t="shared" si="3"/>
        <v>13</v>
      </c>
      <c r="G22" s="2" t="s">
        <v>122</v>
      </c>
      <c r="H22" s="2">
        <f t="shared" si="4"/>
        <v>6</v>
      </c>
      <c r="I22" s="2"/>
      <c r="J22" s="2"/>
      <c r="K22" s="11"/>
      <c r="L22" s="11">
        <f>SUM($N$2:N22)</f>
        <v>1825</v>
      </c>
      <c r="M22" s="2">
        <f t="shared" si="0"/>
        <v>585</v>
      </c>
      <c r="N22" s="12">
        <f>F22*_xlfn.XLOOKUP(E22,'01怪物表'!B:B,'01怪物表'!D:D)+H22*_xlfn.XLOOKUP(G22,'01怪物表'!B:B,'01怪物表'!D:D)+J22*_xlfn.XLOOKUP(I22,'01怪物表'!B:B,'01怪物表'!D:D)+_xlfn.XLOOKUP(K22,'01怪物表'!B:B,'01怪物表'!D:D)+IF(AND(C22=1,D22=1),_xlfn.XLOOKUP(B22,'01设定表'!E:E,'01设定表'!F:F),0)</f>
        <v>125</v>
      </c>
      <c r="O22" s="2">
        <f>M22-Q22*_xlfn.XLOOKUP(R22,'01设定表'!$L:$L,'01设定表'!$M:$M)-(P22-Q22)*IF(R22-1=0,0,_xlfn.XLOOKUP(R22-1,'01设定表'!$L:$L,'01设定表'!$M:$M))+IFERROR((Q21*_xlfn.XLOOKUP(R21,'01设定表'!$L:$L,'01设定表'!$M:$M)+(P21-Q21)*IF(R21-1=0,0,_xlfn.XLOOKUP(R21-1,'01设定表'!$L:$L,'01设定表'!$M:$M))),0)</f>
        <v>525</v>
      </c>
      <c r="P22" s="2">
        <f>MIN(ROUNDDOWN(L22/_xlfn.XLOOKUP(1,'01设定表'!L:L,'01设定表'!M:M),0),_xlfn.XLOOKUP(B22,'01设定表'!E:E,'01设定表'!G:G))</f>
        <v>10</v>
      </c>
      <c r="Q22" s="2">
        <f>MIN(IF(R22-1=0,ROUNDDOWN(SUM($N$2:N22)/_xlfn.XLOOKUP(R22,'01设定表'!L:L,'01设定表'!M:M),0),ROUNDDOWN((SUM($N$2:N22)-_xlfn.XLOOKUP(B22,'01设定表'!E:E,'01设定表'!G:G)*_xlfn.XLOOKUP(R22-1,'01设定表'!L:L,'01设定表'!M:M))/_xlfn.XLOOKUP(R22,'01设定表'!L:L,'01设定表'!M:M),0)),_xlfn.XLOOKUP(B22,'01设定表'!E:E,'01设定表'!G:G))</f>
        <v>5</v>
      </c>
      <c r="R22" s="2">
        <f>MIN(IF(AND(C22=1,D22=1),1,R21+ROUNDDOWN(L22/(_xlfn.XLOOKUP(B22,'01设定表'!E:E,'01设定表'!G:G)*_xlfn.XLOOKUP(R21,'01设定表'!L:L,'01设定表'!N:N)),0)),4)</f>
        <v>3</v>
      </c>
      <c r="S22" s="11" t="str">
        <f t="shared" si="1"/>
        <v>胜利</v>
      </c>
      <c r="T22" s="13">
        <f>F22*_xlfn.XLOOKUP(E22,'01怪物表'!B:B,'01怪物表'!L:L)/(100-_xlfn.XLOOKUP(E22,'01怪物表'!B:B,'01怪物表'!K:K))*100+H22*_xlfn.XLOOKUP(G22,'01怪物表'!B:B,'01怪物表'!L:L)/(100-_xlfn.XLOOKUP(G22,'01怪物表'!B:B,'01怪物表'!K:K))*100+J22*_xlfn.XLOOKUP(I22,'01怪物表'!B:B,'01怪物表'!L:L)/(100-_xlfn.XLOOKUP(I22,'01怪物表'!B:B,'01怪物表'!K:K))*100+_xlfn.XLOOKUP(K22,'01怪物表'!B:B,'01怪物表'!L:L)/(100-_xlfn.XLOOKUP(K22,'01怪物表'!B:B,'01怪物表'!K:K))*100</f>
        <v>1129.2631578947369</v>
      </c>
      <c r="U22" s="13"/>
      <c r="V22" s="13">
        <f>2*'01设定表'!$C$13/(100-'01设定表'!$C$15)*100</f>
        <v>22.222222222222221</v>
      </c>
      <c r="W22" s="13"/>
      <c r="X22" s="13">
        <f>(Q22*_xlfn.XLOOKUP(R22,'01设定表'!I:I,'01设定表'!J:J)+(P22-Q22)*_xlfn.IFNA(_xlfn.XLOOKUP(R22-1,'01设定表'!I:I,'01设定表'!J:J),0))</f>
        <v>150</v>
      </c>
      <c r="Y22" s="13"/>
    </row>
    <row r="23" spans="1:25" x14ac:dyDescent="0.35">
      <c r="A23" s="2">
        <v>22</v>
      </c>
      <c r="B23" s="2">
        <v>1</v>
      </c>
      <c r="C23" s="2">
        <f t="shared" si="2"/>
        <v>5</v>
      </c>
      <c r="D23" s="2">
        <v>22</v>
      </c>
      <c r="E23" s="2" t="s">
        <v>18</v>
      </c>
      <c r="F23" s="2">
        <f t="shared" si="3"/>
        <v>13</v>
      </c>
      <c r="G23" s="2" t="s">
        <v>122</v>
      </c>
      <c r="H23" s="2">
        <f t="shared" si="4"/>
        <v>6</v>
      </c>
      <c r="I23" s="2"/>
      <c r="J23" s="2"/>
      <c r="K23" s="11"/>
      <c r="L23" s="11">
        <f>SUM($N$2:N23)</f>
        <v>1950</v>
      </c>
      <c r="M23" s="2">
        <f t="shared" si="0"/>
        <v>650</v>
      </c>
      <c r="N23" s="12">
        <f>F23*_xlfn.XLOOKUP(E23,'01怪物表'!B:B,'01怪物表'!D:D)+H23*_xlfn.XLOOKUP(G23,'01怪物表'!B:B,'01怪物表'!D:D)+J23*_xlfn.XLOOKUP(I23,'01怪物表'!B:B,'01怪物表'!D:D)+_xlfn.XLOOKUP(K23,'01怪物表'!B:B,'01怪物表'!D:D)+IF(AND(C23=1,D23=1),_xlfn.XLOOKUP(B23,'01设定表'!E:E,'01设定表'!F:F),0)</f>
        <v>125</v>
      </c>
      <c r="O23" s="2">
        <f>M23-Q23*_xlfn.XLOOKUP(R23,'01设定表'!$L:$L,'01设定表'!$M:$M)-(P23-Q23)*IF(R23-1=0,0,_xlfn.XLOOKUP(R23-1,'01设定表'!$L:$L,'01设定表'!$M:$M))+IFERROR((Q22*_xlfn.XLOOKUP(R22,'01设定表'!$L:$L,'01设定表'!$M:$M)+(P22-Q22)*IF(R22-1=0,0,_xlfn.XLOOKUP(R22-1,'01设定表'!$L:$L,'01设定表'!$M:$M))),0)</f>
        <v>650</v>
      </c>
      <c r="P23" s="2">
        <f>MIN(ROUNDDOWN(L23/_xlfn.XLOOKUP(1,'01设定表'!L:L,'01设定表'!M:M),0),_xlfn.XLOOKUP(B23,'01设定表'!E:E,'01设定表'!G:G))</f>
        <v>10</v>
      </c>
      <c r="Q23" s="2">
        <f>MIN(IF(R23-1=0,ROUNDDOWN(SUM($N$2:N23)/_xlfn.XLOOKUP(R23,'01设定表'!L:L,'01设定表'!M:M),0),ROUNDDOWN((SUM($N$2:N23)-_xlfn.XLOOKUP(B23,'01设定表'!E:E,'01设定表'!G:G)*_xlfn.XLOOKUP(R23-1,'01设定表'!L:L,'01设定表'!M:M))/_xlfn.XLOOKUP(R23,'01设定表'!L:L,'01设定表'!M:M),0)),_xlfn.XLOOKUP(B23,'01设定表'!E:E,'01设定表'!G:G))</f>
        <v>5</v>
      </c>
      <c r="R23" s="2">
        <f>MIN(IF(AND(C23=1,D23=1),1,R22+ROUNDDOWN(L23/(_xlfn.XLOOKUP(B23,'01设定表'!E:E,'01设定表'!G:G)*_xlfn.XLOOKUP(R22,'01设定表'!L:L,'01设定表'!N:N)),0)),4)</f>
        <v>3</v>
      </c>
      <c r="S23" s="11" t="str">
        <f t="shared" si="1"/>
        <v>胜利</v>
      </c>
      <c r="T23" s="13">
        <f>F23*_xlfn.XLOOKUP(E23,'01怪物表'!B:B,'01怪物表'!L:L)/(100-_xlfn.XLOOKUP(E23,'01怪物表'!B:B,'01怪物表'!K:K))*100+H23*_xlfn.XLOOKUP(G23,'01怪物表'!B:B,'01怪物表'!L:L)/(100-_xlfn.XLOOKUP(G23,'01怪物表'!B:B,'01怪物表'!K:K))*100+J23*_xlfn.XLOOKUP(I23,'01怪物表'!B:B,'01怪物表'!L:L)/(100-_xlfn.XLOOKUP(I23,'01怪物表'!B:B,'01怪物表'!K:K))*100+_xlfn.XLOOKUP(K23,'01怪物表'!B:B,'01怪物表'!L:L)/(100-_xlfn.XLOOKUP(K23,'01怪物表'!B:B,'01怪物表'!K:K))*100</f>
        <v>1129.2631578947369</v>
      </c>
      <c r="U23" s="13"/>
      <c r="V23" s="13">
        <f>2*'01设定表'!$C$13/(100-'01设定表'!$C$15)*100</f>
        <v>22.222222222222221</v>
      </c>
      <c r="W23" s="13"/>
      <c r="X23" s="13">
        <f>(Q23*_xlfn.XLOOKUP(R23,'01设定表'!I:I,'01设定表'!J:J)+(P23-Q23)*_xlfn.IFNA(_xlfn.XLOOKUP(R23-1,'01设定表'!I:I,'01设定表'!J:J),0))</f>
        <v>150</v>
      </c>
      <c r="Y23" s="13"/>
    </row>
    <row r="24" spans="1:25" x14ac:dyDescent="0.35">
      <c r="A24" s="2">
        <v>23</v>
      </c>
      <c r="B24" s="2">
        <v>1</v>
      </c>
      <c r="C24" s="2">
        <f t="shared" si="2"/>
        <v>5</v>
      </c>
      <c r="D24" s="2">
        <v>23</v>
      </c>
      <c r="E24" s="2" t="s">
        <v>18</v>
      </c>
      <c r="F24" s="2">
        <f t="shared" si="3"/>
        <v>13</v>
      </c>
      <c r="G24" s="2" t="s">
        <v>122</v>
      </c>
      <c r="H24" s="2">
        <f t="shared" si="4"/>
        <v>6</v>
      </c>
      <c r="I24" s="2"/>
      <c r="J24" s="2"/>
      <c r="K24" s="11"/>
      <c r="L24" s="11">
        <f>SUM($N$2:N24)</f>
        <v>2075</v>
      </c>
      <c r="M24" s="2">
        <f t="shared" si="0"/>
        <v>775</v>
      </c>
      <c r="N24" s="12">
        <f>F24*_xlfn.XLOOKUP(E24,'01怪物表'!B:B,'01怪物表'!D:D)+H24*_xlfn.XLOOKUP(G24,'01怪物表'!B:B,'01怪物表'!D:D)+J24*_xlfn.XLOOKUP(I24,'01怪物表'!B:B,'01怪物表'!D:D)+_xlfn.XLOOKUP(K24,'01怪物表'!B:B,'01怪物表'!D:D)+IF(AND(C24=1,D24=1),_xlfn.XLOOKUP(B24,'01设定表'!E:E,'01设定表'!F:F),0)</f>
        <v>125</v>
      </c>
      <c r="O24" s="2">
        <f>M24-Q24*_xlfn.XLOOKUP(R24,'01设定表'!$L:$L,'01设定表'!$M:$M)-(P24-Q24)*IF(R24-1=0,0,_xlfn.XLOOKUP(R24-1,'01设定表'!$L:$L,'01设定表'!$M:$M))+IFERROR((Q23*_xlfn.XLOOKUP(R23,'01设定表'!$L:$L,'01设定表'!$M:$M)+(P23-Q23)*IF(R23-1=0,0,_xlfn.XLOOKUP(R23-1,'01设定表'!$L:$L,'01设定表'!$M:$M))),0)</f>
        <v>715</v>
      </c>
      <c r="P24" s="2">
        <f>MIN(ROUNDDOWN(L24/_xlfn.XLOOKUP(1,'01设定表'!L:L,'01设定表'!M:M),0),_xlfn.XLOOKUP(B24,'01设定表'!E:E,'01设定表'!G:G))</f>
        <v>10</v>
      </c>
      <c r="Q24" s="2">
        <f>MIN(IF(R24-1=0,ROUNDDOWN(SUM($N$2:N24)/_xlfn.XLOOKUP(R24,'01设定表'!L:L,'01设定表'!M:M),0),ROUNDDOWN((SUM($N$2:N24)-_xlfn.XLOOKUP(B24,'01设定表'!E:E,'01设定表'!G:G)*_xlfn.XLOOKUP(R24-1,'01设定表'!L:L,'01设定表'!M:M))/_xlfn.XLOOKUP(R24,'01设定表'!L:L,'01设定表'!M:M),0)),_xlfn.XLOOKUP(B24,'01设定表'!E:E,'01设定表'!G:G))</f>
        <v>6</v>
      </c>
      <c r="R24" s="2">
        <f>MIN(IF(AND(C24=1,D24=1),1,R23+ROUNDDOWN(L24/(_xlfn.XLOOKUP(B24,'01设定表'!E:E,'01设定表'!G:G)*_xlfn.XLOOKUP(R23,'01设定表'!L:L,'01设定表'!N:N)),0)),4)</f>
        <v>3</v>
      </c>
      <c r="S24" s="11" t="str">
        <f t="shared" si="1"/>
        <v>胜利</v>
      </c>
      <c r="T24" s="13">
        <f>F24*_xlfn.XLOOKUP(E24,'01怪物表'!B:B,'01怪物表'!L:L)/(100-_xlfn.XLOOKUP(E24,'01怪物表'!B:B,'01怪物表'!K:K))*100+H24*_xlfn.XLOOKUP(G24,'01怪物表'!B:B,'01怪物表'!L:L)/(100-_xlfn.XLOOKUP(G24,'01怪物表'!B:B,'01怪物表'!K:K))*100+J24*_xlfn.XLOOKUP(I24,'01怪物表'!B:B,'01怪物表'!L:L)/(100-_xlfn.XLOOKUP(I24,'01怪物表'!B:B,'01怪物表'!K:K))*100+_xlfn.XLOOKUP(K24,'01怪物表'!B:B,'01怪物表'!L:L)/(100-_xlfn.XLOOKUP(K24,'01怪物表'!B:B,'01怪物表'!K:K))*100</f>
        <v>1129.2631578947369</v>
      </c>
      <c r="U24" s="13"/>
      <c r="V24" s="13">
        <f>2*'01设定表'!$C$13/(100-'01设定表'!$C$15)*100</f>
        <v>22.222222222222221</v>
      </c>
      <c r="W24" s="13"/>
      <c r="X24" s="13">
        <f>(Q24*_xlfn.XLOOKUP(R24,'01设定表'!I:I,'01设定表'!J:J)+(P24-Q24)*_xlfn.IFNA(_xlfn.XLOOKUP(R24-1,'01设定表'!I:I,'01设定表'!J:J),0))</f>
        <v>160</v>
      </c>
      <c r="Y24" s="13"/>
    </row>
    <row r="25" spans="1:25" x14ac:dyDescent="0.35">
      <c r="A25" s="2">
        <v>24</v>
      </c>
      <c r="B25" s="2">
        <v>1</v>
      </c>
      <c r="C25" s="2">
        <f t="shared" si="2"/>
        <v>5</v>
      </c>
      <c r="D25" s="2">
        <v>24</v>
      </c>
      <c r="E25" s="2" t="s">
        <v>18</v>
      </c>
      <c r="F25" s="2">
        <f t="shared" si="3"/>
        <v>13</v>
      </c>
      <c r="G25" s="2" t="s">
        <v>122</v>
      </c>
      <c r="H25" s="2">
        <f t="shared" si="4"/>
        <v>6</v>
      </c>
      <c r="I25" s="2"/>
      <c r="J25" s="2"/>
      <c r="K25" s="11"/>
      <c r="L25" s="11">
        <f>SUM($N$2:N25)</f>
        <v>2200</v>
      </c>
      <c r="M25" s="2">
        <f t="shared" si="0"/>
        <v>840</v>
      </c>
      <c r="N25" s="12">
        <f>F25*_xlfn.XLOOKUP(E25,'01怪物表'!B:B,'01怪物表'!D:D)+H25*_xlfn.XLOOKUP(G25,'01怪物表'!B:B,'01怪物表'!D:D)+J25*_xlfn.XLOOKUP(I25,'01怪物表'!B:B,'01怪物表'!D:D)+_xlfn.XLOOKUP(K25,'01怪物表'!B:B,'01怪物表'!D:D)+IF(AND(C25=1,D25=1),_xlfn.XLOOKUP(B25,'01设定表'!E:E,'01设定表'!F:F),0)</f>
        <v>125</v>
      </c>
      <c r="O25" s="2">
        <f>M25-Q25*_xlfn.XLOOKUP(R25,'01设定表'!$L:$L,'01设定表'!$M:$M)-(P25-Q25)*IF(R25-1=0,0,_xlfn.XLOOKUP(R25-1,'01设定表'!$L:$L,'01设定表'!$M:$M))+IFERROR((Q24*_xlfn.XLOOKUP(R24,'01设定表'!$L:$L,'01设定表'!$M:$M)+(P24-Q24)*IF(R24-1=0,0,_xlfn.XLOOKUP(R24-1,'01设定表'!$L:$L,'01设定表'!$M:$M))),0)</f>
        <v>780</v>
      </c>
      <c r="P25" s="2">
        <f>MIN(ROUNDDOWN(L25/_xlfn.XLOOKUP(1,'01设定表'!L:L,'01设定表'!M:M),0),_xlfn.XLOOKUP(B25,'01设定表'!E:E,'01设定表'!G:G))</f>
        <v>10</v>
      </c>
      <c r="Q25" s="2">
        <f>MIN(IF(R25-1=0,ROUNDDOWN(SUM($N$2:N25)/_xlfn.XLOOKUP(R25,'01设定表'!L:L,'01设定表'!M:M),0),ROUNDDOWN((SUM($N$2:N25)-_xlfn.XLOOKUP(B25,'01设定表'!E:E,'01设定表'!G:G)*_xlfn.XLOOKUP(R25-1,'01设定表'!L:L,'01设定表'!M:M))/_xlfn.XLOOKUP(R25,'01设定表'!L:L,'01设定表'!M:M),0)),_xlfn.XLOOKUP(B25,'01设定表'!E:E,'01设定表'!G:G))</f>
        <v>7</v>
      </c>
      <c r="R25" s="2">
        <f>MIN(IF(AND(C25=1,D25=1),1,R24+ROUNDDOWN(L25/(_xlfn.XLOOKUP(B25,'01设定表'!E:E,'01设定表'!G:G)*_xlfn.XLOOKUP(R24,'01设定表'!L:L,'01设定表'!N:N)),0)),4)</f>
        <v>3</v>
      </c>
      <c r="S25" s="11" t="str">
        <f t="shared" si="1"/>
        <v>胜利</v>
      </c>
      <c r="T25" s="13">
        <f>F25*_xlfn.XLOOKUP(E25,'01怪物表'!B:B,'01怪物表'!L:L)/(100-_xlfn.XLOOKUP(E25,'01怪物表'!B:B,'01怪物表'!K:K))*100+H25*_xlfn.XLOOKUP(G25,'01怪物表'!B:B,'01怪物表'!L:L)/(100-_xlfn.XLOOKUP(G25,'01怪物表'!B:B,'01怪物表'!K:K))*100+J25*_xlfn.XLOOKUP(I25,'01怪物表'!B:B,'01怪物表'!L:L)/(100-_xlfn.XLOOKUP(I25,'01怪物表'!B:B,'01怪物表'!K:K))*100+_xlfn.XLOOKUP(K25,'01怪物表'!B:B,'01怪物表'!L:L)/(100-_xlfn.XLOOKUP(K25,'01怪物表'!B:B,'01怪物表'!K:K))*100</f>
        <v>1129.2631578947369</v>
      </c>
      <c r="U25" s="13"/>
      <c r="V25" s="13">
        <f>2*'01设定表'!$C$13/(100-'01设定表'!$C$15)*100</f>
        <v>22.222222222222221</v>
      </c>
      <c r="W25" s="13"/>
      <c r="X25" s="13">
        <f>(Q25*_xlfn.XLOOKUP(R25,'01设定表'!I:I,'01设定表'!J:J)+(P25-Q25)*_xlfn.IFNA(_xlfn.XLOOKUP(R25-1,'01设定表'!I:I,'01设定表'!J:J),0))</f>
        <v>170</v>
      </c>
      <c r="Y25" s="13"/>
    </row>
    <row r="26" spans="1:25" x14ac:dyDescent="0.35">
      <c r="A26" s="2">
        <v>25</v>
      </c>
      <c r="B26" s="2">
        <v>1</v>
      </c>
      <c r="C26" s="2">
        <f t="shared" si="2"/>
        <v>5</v>
      </c>
      <c r="D26" s="2">
        <v>25</v>
      </c>
      <c r="E26" s="2" t="s">
        <v>18</v>
      </c>
      <c r="F26" s="2">
        <f t="shared" si="3"/>
        <v>13</v>
      </c>
      <c r="G26" s="2" t="s">
        <v>122</v>
      </c>
      <c r="H26" s="2">
        <f t="shared" si="4"/>
        <v>6</v>
      </c>
      <c r="I26" s="2"/>
      <c r="J26" s="2"/>
      <c r="K26" s="11"/>
      <c r="L26" s="11">
        <f>SUM($N$2:N26)</f>
        <v>2325</v>
      </c>
      <c r="M26" s="2">
        <f t="shared" si="0"/>
        <v>905</v>
      </c>
      <c r="N26" s="12">
        <f>F26*_xlfn.XLOOKUP(E26,'01怪物表'!B:B,'01怪物表'!D:D)+H26*_xlfn.XLOOKUP(G26,'01怪物表'!B:B,'01怪物表'!D:D)+J26*_xlfn.XLOOKUP(I26,'01怪物表'!B:B,'01怪物表'!D:D)+_xlfn.XLOOKUP(K26,'01怪物表'!B:B,'01怪物表'!D:D)+IF(AND(C26=1,D26=1),_xlfn.XLOOKUP(B26,'01设定表'!E:E,'01设定表'!F:F),0)</f>
        <v>125</v>
      </c>
      <c r="O26" s="2">
        <f>M26-Q26*_xlfn.XLOOKUP(R26,'01设定表'!$L:$L,'01设定表'!$M:$M)-(P26-Q26)*IF(R26-1=0,0,_xlfn.XLOOKUP(R26-1,'01设定表'!$L:$L,'01设定表'!$M:$M))+IFERROR((Q25*_xlfn.XLOOKUP(R25,'01设定表'!$L:$L,'01设定表'!$M:$M)+(P25-Q25)*IF(R25-1=0,0,_xlfn.XLOOKUP(R25-1,'01设定表'!$L:$L,'01设定表'!$M:$M))),0)</f>
        <v>845</v>
      </c>
      <c r="P26" s="2">
        <f>MIN(ROUNDDOWN(L26/_xlfn.XLOOKUP(1,'01设定表'!L:L,'01设定表'!M:M),0),_xlfn.XLOOKUP(B26,'01设定表'!E:E,'01设定表'!G:G))</f>
        <v>10</v>
      </c>
      <c r="Q26" s="2">
        <f>MIN(IF(R26-1=0,ROUNDDOWN(SUM($N$2:N26)/_xlfn.XLOOKUP(R26,'01设定表'!L:L,'01设定表'!M:M),0),ROUNDDOWN((SUM($N$2:N26)-_xlfn.XLOOKUP(B26,'01设定表'!E:E,'01设定表'!G:G)*_xlfn.XLOOKUP(R26-1,'01设定表'!L:L,'01设定表'!M:M))/_xlfn.XLOOKUP(R26,'01设定表'!L:L,'01设定表'!M:M),0)),_xlfn.XLOOKUP(B26,'01设定表'!E:E,'01设定表'!G:G))</f>
        <v>8</v>
      </c>
      <c r="R26" s="2">
        <f>MIN(IF(AND(C26=1,D26=1),1,R25+ROUNDDOWN(L26/(_xlfn.XLOOKUP(B26,'01设定表'!E:E,'01设定表'!G:G)*_xlfn.XLOOKUP(R25,'01设定表'!L:L,'01设定表'!N:N)),0)),4)</f>
        <v>3</v>
      </c>
      <c r="S26" s="11" t="str">
        <f t="shared" si="1"/>
        <v>胜利</v>
      </c>
      <c r="T26" s="13">
        <f>F26*_xlfn.XLOOKUP(E26,'01怪物表'!B:B,'01怪物表'!L:L)/(100-_xlfn.XLOOKUP(E26,'01怪物表'!B:B,'01怪物表'!K:K))*100+H26*_xlfn.XLOOKUP(G26,'01怪物表'!B:B,'01怪物表'!L:L)/(100-_xlfn.XLOOKUP(G26,'01怪物表'!B:B,'01怪物表'!K:K))*100+J26*_xlfn.XLOOKUP(I26,'01怪物表'!B:B,'01怪物表'!L:L)/(100-_xlfn.XLOOKUP(I26,'01怪物表'!B:B,'01怪物表'!K:K))*100+_xlfn.XLOOKUP(K26,'01怪物表'!B:B,'01怪物表'!L:L)/(100-_xlfn.XLOOKUP(K26,'01怪物表'!B:B,'01怪物表'!K:K))*100</f>
        <v>1129.2631578947369</v>
      </c>
      <c r="U26" s="13"/>
      <c r="V26" s="13">
        <f>2*'01设定表'!$C$13/(100-'01设定表'!$C$15)*100</f>
        <v>22.222222222222221</v>
      </c>
      <c r="W26" s="13"/>
      <c r="X26" s="13">
        <f>(Q26*_xlfn.XLOOKUP(R26,'01设定表'!I:I,'01设定表'!J:J)+(P26-Q26)*_xlfn.IFNA(_xlfn.XLOOKUP(R26-1,'01设定表'!I:I,'01设定表'!J:J),0))</f>
        <v>180</v>
      </c>
      <c r="Y26" s="13"/>
    </row>
    <row r="27" spans="1:25" x14ac:dyDescent="0.35">
      <c r="A27" s="2">
        <v>26</v>
      </c>
      <c r="B27" s="2">
        <v>1</v>
      </c>
      <c r="C27" s="2">
        <f t="shared" si="2"/>
        <v>6</v>
      </c>
      <c r="D27" s="2">
        <v>26</v>
      </c>
      <c r="E27" s="2" t="s">
        <v>18</v>
      </c>
      <c r="F27" s="2">
        <f t="shared" si="3"/>
        <v>15</v>
      </c>
      <c r="G27" s="2" t="s">
        <v>122</v>
      </c>
      <c r="H27" s="2">
        <f t="shared" si="4"/>
        <v>7</v>
      </c>
      <c r="I27" s="2"/>
      <c r="J27" s="2"/>
      <c r="K27" s="11"/>
      <c r="L27" s="11">
        <f>SUM($N$2:N27)</f>
        <v>2470</v>
      </c>
      <c r="M27" s="2">
        <f t="shared" si="0"/>
        <v>990</v>
      </c>
      <c r="N27" s="12">
        <f>F27*_xlfn.XLOOKUP(E27,'01怪物表'!B:B,'01怪物表'!D:D)+H27*_xlfn.XLOOKUP(G27,'01怪物表'!B:B,'01怪物表'!D:D)+J27*_xlfn.XLOOKUP(I27,'01怪物表'!B:B,'01怪物表'!D:D)+_xlfn.XLOOKUP(K27,'01怪物表'!B:B,'01怪物表'!D:D)+IF(AND(C27=1,D27=1),_xlfn.XLOOKUP(B27,'01设定表'!E:E,'01设定表'!F:F),0)</f>
        <v>145</v>
      </c>
      <c r="O27" s="2">
        <f>M27-Q27*_xlfn.XLOOKUP(R27,'01设定表'!$L:$L,'01设定表'!$M:$M)-(P27-Q27)*IF(R27-1=0,0,_xlfn.XLOOKUP(R27-1,'01设定表'!$L:$L,'01设定表'!$M:$M))+IFERROR((Q26*_xlfn.XLOOKUP(R26,'01设定表'!$L:$L,'01设定表'!$M:$M)+(P26-Q26)*IF(R26-1=0,0,_xlfn.XLOOKUP(R26-1,'01设定表'!$L:$L,'01设定表'!$M:$M))),0)</f>
        <v>930</v>
      </c>
      <c r="P27" s="2">
        <f>MIN(ROUNDDOWN(L27/_xlfn.XLOOKUP(1,'01设定表'!L:L,'01设定表'!M:M),0),_xlfn.XLOOKUP(B27,'01设定表'!E:E,'01设定表'!G:G))</f>
        <v>10</v>
      </c>
      <c r="Q27" s="2">
        <f>MIN(IF(R27-1=0,ROUNDDOWN(SUM($N$2:N27)/_xlfn.XLOOKUP(R27,'01设定表'!L:L,'01设定表'!M:M),0),ROUNDDOWN((SUM($N$2:N27)-_xlfn.XLOOKUP(B27,'01设定表'!E:E,'01设定表'!G:G)*_xlfn.XLOOKUP(R27-1,'01设定表'!L:L,'01设定表'!M:M))/_xlfn.XLOOKUP(R27,'01设定表'!L:L,'01设定表'!M:M),0)),_xlfn.XLOOKUP(B27,'01设定表'!E:E,'01设定表'!G:G))</f>
        <v>9</v>
      </c>
      <c r="R27" s="2">
        <f>MIN(IF(AND(C27=1,D27=1),1,R26+ROUNDDOWN(L27/(_xlfn.XLOOKUP(B27,'01设定表'!E:E,'01设定表'!G:G)*_xlfn.XLOOKUP(R26,'01设定表'!L:L,'01设定表'!N:N)),0)),4)</f>
        <v>3</v>
      </c>
      <c r="S27" s="11" t="str">
        <f t="shared" si="1"/>
        <v>胜利</v>
      </c>
      <c r="T27" s="13">
        <f>F27*_xlfn.XLOOKUP(E27,'01怪物表'!B:B,'01怪物表'!L:L)/(100-_xlfn.XLOOKUP(E27,'01怪物表'!B:B,'01怪物表'!K:K))*100+H27*_xlfn.XLOOKUP(G27,'01怪物表'!B:B,'01怪物表'!L:L)/(100-_xlfn.XLOOKUP(G27,'01怪物表'!B:B,'01怪物表'!K:K))*100+J27*_xlfn.XLOOKUP(I27,'01怪物表'!B:B,'01怪物表'!L:L)/(100-_xlfn.XLOOKUP(I27,'01怪物表'!B:B,'01怪物表'!K:K))*100+_xlfn.XLOOKUP(K27,'01怪物表'!B:B,'01怪物表'!L:L)/(100-_xlfn.XLOOKUP(K27,'01怪物表'!B:B,'01怪物表'!K:K))*100</f>
        <v>1309.4736842105262</v>
      </c>
      <c r="U27" s="13"/>
      <c r="V27" s="13">
        <f>2*'01设定表'!$C$13/(100-'01设定表'!$C$15)*100</f>
        <v>22.222222222222221</v>
      </c>
      <c r="W27" s="13"/>
      <c r="X27" s="13">
        <f>(Q27*_xlfn.XLOOKUP(R27,'01设定表'!I:I,'01设定表'!J:J)+(P27-Q27)*_xlfn.IFNA(_xlfn.XLOOKUP(R27-1,'01设定表'!I:I,'01设定表'!J:J),0))</f>
        <v>190</v>
      </c>
      <c r="Y27" s="13"/>
    </row>
    <row r="28" spans="1:25" x14ac:dyDescent="0.35">
      <c r="A28" s="2">
        <v>27</v>
      </c>
      <c r="B28" s="2">
        <v>1</v>
      </c>
      <c r="C28" s="2">
        <f t="shared" si="2"/>
        <v>6</v>
      </c>
      <c r="D28" s="2">
        <v>27</v>
      </c>
      <c r="E28" s="2" t="s">
        <v>18</v>
      </c>
      <c r="F28" s="2">
        <f t="shared" si="3"/>
        <v>15</v>
      </c>
      <c r="G28" s="2" t="s">
        <v>122</v>
      </c>
      <c r="H28" s="2">
        <f t="shared" si="4"/>
        <v>7</v>
      </c>
      <c r="I28" s="2"/>
      <c r="J28" s="2"/>
      <c r="K28" s="11"/>
      <c r="L28" s="11">
        <f>SUM($N$2:N28)</f>
        <v>2615</v>
      </c>
      <c r="M28" s="2">
        <f t="shared" si="0"/>
        <v>1075</v>
      </c>
      <c r="N28" s="12">
        <f>F28*_xlfn.XLOOKUP(E28,'01怪物表'!B:B,'01怪物表'!D:D)+H28*_xlfn.XLOOKUP(G28,'01怪物表'!B:B,'01怪物表'!D:D)+J28*_xlfn.XLOOKUP(I28,'01怪物表'!B:B,'01怪物表'!D:D)+_xlfn.XLOOKUP(K28,'01怪物表'!B:B,'01怪物表'!D:D)+IF(AND(C28=1,D28=1),_xlfn.XLOOKUP(B28,'01设定表'!E:E,'01设定表'!F:F),0)</f>
        <v>145</v>
      </c>
      <c r="O28" s="2">
        <f>M28-Q28*_xlfn.XLOOKUP(R28,'01设定表'!$L:$L,'01设定表'!$M:$M)-(P28-Q28)*IF(R28-1=0,0,_xlfn.XLOOKUP(R28-1,'01设定表'!$L:$L,'01设定表'!$M:$M))+IFERROR((Q27*_xlfn.XLOOKUP(R27,'01设定表'!$L:$L,'01设定表'!$M:$M)+(P27-Q27)*IF(R27-1=0,0,_xlfn.XLOOKUP(R27-1,'01设定表'!$L:$L,'01设定表'!$M:$M))),0)</f>
        <v>1015</v>
      </c>
      <c r="P28" s="2">
        <f>MIN(ROUNDDOWN(L28/_xlfn.XLOOKUP(1,'01设定表'!L:L,'01设定表'!M:M),0),_xlfn.XLOOKUP(B28,'01设定表'!E:E,'01设定表'!G:G))</f>
        <v>10</v>
      </c>
      <c r="Q28" s="2">
        <f>MIN(IF(R28-1=0,ROUNDDOWN(SUM($N$2:N28)/_xlfn.XLOOKUP(R28,'01设定表'!L:L,'01设定表'!M:M),0),ROUNDDOWN((SUM($N$2:N28)-_xlfn.XLOOKUP(B28,'01设定表'!E:E,'01设定表'!G:G)*_xlfn.XLOOKUP(R28-1,'01设定表'!L:L,'01设定表'!M:M))/_xlfn.XLOOKUP(R28,'01设定表'!L:L,'01设定表'!M:M),0)),_xlfn.XLOOKUP(B28,'01设定表'!E:E,'01设定表'!G:G))</f>
        <v>10</v>
      </c>
      <c r="R28" s="2">
        <f>MIN(IF(AND(C28=1,D28=1),1,R27+ROUNDDOWN(L28/(_xlfn.XLOOKUP(B28,'01设定表'!E:E,'01设定表'!G:G)*_xlfn.XLOOKUP(R27,'01设定表'!L:L,'01设定表'!N:N)),0)),4)</f>
        <v>3</v>
      </c>
      <c r="S28" s="11" t="str">
        <f t="shared" si="1"/>
        <v>胜利</v>
      </c>
      <c r="T28" s="13">
        <f>F28*_xlfn.XLOOKUP(E28,'01怪物表'!B:B,'01怪物表'!L:L)/(100-_xlfn.XLOOKUP(E28,'01怪物表'!B:B,'01怪物表'!K:K))*100+H28*_xlfn.XLOOKUP(G28,'01怪物表'!B:B,'01怪物表'!L:L)/(100-_xlfn.XLOOKUP(G28,'01怪物表'!B:B,'01怪物表'!K:K))*100+J28*_xlfn.XLOOKUP(I28,'01怪物表'!B:B,'01怪物表'!L:L)/(100-_xlfn.XLOOKUP(I28,'01怪物表'!B:B,'01怪物表'!K:K))*100+_xlfn.XLOOKUP(K28,'01怪物表'!B:B,'01怪物表'!L:L)/(100-_xlfn.XLOOKUP(K28,'01怪物表'!B:B,'01怪物表'!K:K))*100</f>
        <v>1309.4736842105262</v>
      </c>
      <c r="U28" s="13"/>
      <c r="V28" s="13">
        <f>2*'01设定表'!$C$13/(100-'01设定表'!$C$15)*100</f>
        <v>22.222222222222221</v>
      </c>
      <c r="W28" s="13"/>
      <c r="X28" s="13">
        <f>(Q28*_xlfn.XLOOKUP(R28,'01设定表'!I:I,'01设定表'!J:J)+(P28-Q28)*_xlfn.IFNA(_xlfn.XLOOKUP(R28-1,'01设定表'!I:I,'01设定表'!J:J),0))</f>
        <v>200</v>
      </c>
      <c r="Y28" s="13"/>
    </row>
    <row r="29" spans="1:25" x14ac:dyDescent="0.35">
      <c r="A29" s="2">
        <v>28</v>
      </c>
      <c r="B29" s="2">
        <v>1</v>
      </c>
      <c r="C29" s="2">
        <f t="shared" si="2"/>
        <v>6</v>
      </c>
      <c r="D29" s="2">
        <v>28</v>
      </c>
      <c r="E29" s="2" t="s">
        <v>18</v>
      </c>
      <c r="F29" s="2">
        <f t="shared" si="3"/>
        <v>15</v>
      </c>
      <c r="G29" s="2" t="s">
        <v>122</v>
      </c>
      <c r="H29" s="2">
        <f t="shared" si="4"/>
        <v>7</v>
      </c>
      <c r="I29" s="2"/>
      <c r="J29" s="2"/>
      <c r="K29" s="11"/>
      <c r="L29" s="11">
        <f>SUM($N$2:N29)</f>
        <v>2760</v>
      </c>
      <c r="M29" s="2">
        <f t="shared" si="0"/>
        <v>1160</v>
      </c>
      <c r="N29" s="12">
        <f>F29*_xlfn.XLOOKUP(E29,'01怪物表'!B:B,'01怪物表'!D:D)+H29*_xlfn.XLOOKUP(G29,'01怪物表'!B:B,'01怪物表'!D:D)+J29*_xlfn.XLOOKUP(I29,'01怪物表'!B:B,'01怪物表'!D:D)+_xlfn.XLOOKUP(K29,'01怪物表'!B:B,'01怪物表'!D:D)+IF(AND(C29=1,D29=1),_xlfn.XLOOKUP(B29,'01设定表'!E:E,'01设定表'!F:F),0)</f>
        <v>145</v>
      </c>
      <c r="O29" s="2">
        <f>M29-Q29*_xlfn.XLOOKUP(R29,'01设定表'!$L:$L,'01设定表'!$M:$M)-(P29-Q29)*IF(R29-1=0,0,_xlfn.XLOOKUP(R29-1,'01设定表'!$L:$L,'01设定表'!$M:$M))+IFERROR((Q28*_xlfn.XLOOKUP(R28,'01设定表'!$L:$L,'01设定表'!$M:$M)+(P28-Q28)*IF(R28-1=0,0,_xlfn.XLOOKUP(R28-1,'01设定表'!$L:$L,'01设定表'!$M:$M))),0)</f>
        <v>1160</v>
      </c>
      <c r="P29" s="2">
        <f>MIN(ROUNDDOWN(L29/_xlfn.XLOOKUP(1,'01设定表'!L:L,'01设定表'!M:M),0),_xlfn.XLOOKUP(B29,'01设定表'!E:E,'01设定表'!G:G))</f>
        <v>10</v>
      </c>
      <c r="Q29" s="2">
        <f>MIN(IF(R29-1=0,ROUNDDOWN(SUM($N$2:N29)/_xlfn.XLOOKUP(R29,'01设定表'!L:L,'01设定表'!M:M),0),ROUNDDOWN((SUM($N$2:N29)-_xlfn.XLOOKUP(B29,'01设定表'!E:E,'01设定表'!G:G)*_xlfn.XLOOKUP(R29-1,'01设定表'!L:L,'01设定表'!M:M))/_xlfn.XLOOKUP(R29,'01设定表'!L:L,'01设定表'!M:M),0)),_xlfn.XLOOKUP(B29,'01设定表'!E:E,'01设定表'!G:G))</f>
        <v>10</v>
      </c>
      <c r="R29" s="2">
        <f>MIN(IF(AND(C29=1,D29=1),1,R28+ROUNDDOWN(L29/(_xlfn.XLOOKUP(B29,'01设定表'!E:E,'01设定表'!G:G)*_xlfn.XLOOKUP(R28,'01设定表'!L:L,'01设定表'!N:N)),0)),4)</f>
        <v>3</v>
      </c>
      <c r="S29" s="11" t="str">
        <f t="shared" si="1"/>
        <v>胜利</v>
      </c>
      <c r="T29" s="13">
        <f>F29*_xlfn.XLOOKUP(E29,'01怪物表'!B:B,'01怪物表'!L:L)/(100-_xlfn.XLOOKUP(E29,'01怪物表'!B:B,'01怪物表'!K:K))*100+H29*_xlfn.XLOOKUP(G29,'01怪物表'!B:B,'01怪物表'!L:L)/(100-_xlfn.XLOOKUP(G29,'01怪物表'!B:B,'01怪物表'!K:K))*100+J29*_xlfn.XLOOKUP(I29,'01怪物表'!B:B,'01怪物表'!L:L)/(100-_xlfn.XLOOKUP(I29,'01怪物表'!B:B,'01怪物表'!K:K))*100+_xlfn.XLOOKUP(K29,'01怪物表'!B:B,'01怪物表'!L:L)/(100-_xlfn.XLOOKUP(K29,'01怪物表'!B:B,'01怪物表'!K:K))*100</f>
        <v>1309.4736842105262</v>
      </c>
      <c r="U29" s="13"/>
      <c r="V29" s="13">
        <f>2*'01设定表'!$C$13/(100-'01设定表'!$C$15)*100</f>
        <v>22.222222222222221</v>
      </c>
      <c r="W29" s="13"/>
      <c r="X29" s="13">
        <f>(Q29*_xlfn.XLOOKUP(R29,'01设定表'!I:I,'01设定表'!J:J)+(P29-Q29)*_xlfn.IFNA(_xlfn.XLOOKUP(R29-1,'01设定表'!I:I,'01设定表'!J:J),0))</f>
        <v>200</v>
      </c>
      <c r="Y29" s="13"/>
    </row>
    <row r="30" spans="1:25" x14ac:dyDescent="0.35">
      <c r="A30" s="2">
        <v>29</v>
      </c>
      <c r="B30" s="2">
        <v>1</v>
      </c>
      <c r="C30" s="2">
        <f t="shared" si="2"/>
        <v>6</v>
      </c>
      <c r="D30" s="2">
        <v>29</v>
      </c>
      <c r="E30" s="2" t="s">
        <v>18</v>
      </c>
      <c r="F30" s="2">
        <f t="shared" si="3"/>
        <v>15</v>
      </c>
      <c r="G30" s="2" t="s">
        <v>122</v>
      </c>
      <c r="H30" s="2">
        <f t="shared" si="4"/>
        <v>7</v>
      </c>
      <c r="I30" s="2"/>
      <c r="J30" s="2"/>
      <c r="K30" s="11"/>
      <c r="L30" s="11">
        <f>SUM($N$2:N30)</f>
        <v>2905</v>
      </c>
      <c r="M30" s="2">
        <f t="shared" si="0"/>
        <v>1305</v>
      </c>
      <c r="N30" s="12">
        <f>F30*_xlfn.XLOOKUP(E30,'01怪物表'!B:B,'01怪物表'!D:D)+H30*_xlfn.XLOOKUP(G30,'01怪物表'!B:B,'01怪物表'!D:D)+J30*_xlfn.XLOOKUP(I30,'01怪物表'!B:B,'01怪物表'!D:D)+_xlfn.XLOOKUP(K30,'01怪物表'!B:B,'01怪物表'!D:D)+IF(AND(C30=1,D30=1),_xlfn.XLOOKUP(B30,'01设定表'!E:E,'01设定表'!F:F),0)</f>
        <v>145</v>
      </c>
      <c r="O30" s="2">
        <f>M30-Q30*_xlfn.XLOOKUP(R30,'01设定表'!$L:$L,'01设定表'!$M:$M)-(P30-Q30)*IF(R30-1=0,0,_xlfn.XLOOKUP(R30-1,'01设定表'!$L:$L,'01设定表'!$M:$M))+IFERROR((Q29*_xlfn.XLOOKUP(R29,'01设定表'!$L:$L,'01设定表'!$M:$M)+(P29-Q29)*IF(R29-1=0,0,_xlfn.XLOOKUP(R29-1,'01设定表'!$L:$L,'01设定表'!$M:$M))),0)</f>
        <v>1305</v>
      </c>
      <c r="P30" s="2">
        <f>MIN(ROUNDDOWN(L30/_xlfn.XLOOKUP(1,'01设定表'!L:L,'01设定表'!M:M),0),_xlfn.XLOOKUP(B30,'01设定表'!E:E,'01设定表'!G:G))</f>
        <v>10</v>
      </c>
      <c r="Q30" s="2">
        <f>MIN(IF(R30-1=0,ROUNDDOWN(SUM($N$2:N30)/_xlfn.XLOOKUP(R30,'01设定表'!L:L,'01设定表'!M:M),0),ROUNDDOWN((SUM($N$2:N30)-_xlfn.XLOOKUP(B30,'01设定表'!E:E,'01设定表'!G:G)*_xlfn.XLOOKUP(R30-1,'01设定表'!L:L,'01设定表'!M:M))/_xlfn.XLOOKUP(R30,'01设定表'!L:L,'01设定表'!M:M),0)),_xlfn.XLOOKUP(B30,'01设定表'!E:E,'01设定表'!G:G))</f>
        <v>10</v>
      </c>
      <c r="R30" s="2">
        <f>MIN(IF(AND(C30=1,D30=1),1,R29+ROUNDDOWN(L30/(_xlfn.XLOOKUP(B30,'01设定表'!E:E,'01设定表'!G:G)*_xlfn.XLOOKUP(R29,'01设定表'!L:L,'01设定表'!N:N)),0)),4)</f>
        <v>3</v>
      </c>
      <c r="S30" s="11" t="str">
        <f t="shared" si="1"/>
        <v>胜利</v>
      </c>
      <c r="T30" s="13">
        <f>F30*_xlfn.XLOOKUP(E30,'01怪物表'!B:B,'01怪物表'!L:L)/(100-_xlfn.XLOOKUP(E30,'01怪物表'!B:B,'01怪物表'!K:K))*100+H30*_xlfn.XLOOKUP(G30,'01怪物表'!B:B,'01怪物表'!L:L)/(100-_xlfn.XLOOKUP(G30,'01怪物表'!B:B,'01怪物表'!K:K))*100+J30*_xlfn.XLOOKUP(I30,'01怪物表'!B:B,'01怪物表'!L:L)/(100-_xlfn.XLOOKUP(I30,'01怪物表'!B:B,'01怪物表'!K:K))*100+_xlfn.XLOOKUP(K30,'01怪物表'!B:B,'01怪物表'!L:L)/(100-_xlfn.XLOOKUP(K30,'01怪物表'!B:B,'01怪物表'!K:K))*100</f>
        <v>1309.4736842105262</v>
      </c>
      <c r="U30" s="13"/>
      <c r="V30" s="13">
        <f>2*'01设定表'!$C$13/(100-'01设定表'!$C$15)*100</f>
        <v>22.222222222222221</v>
      </c>
      <c r="W30" s="13"/>
      <c r="X30" s="13">
        <f>(Q30*_xlfn.XLOOKUP(R30,'01设定表'!I:I,'01设定表'!J:J)+(P30-Q30)*_xlfn.IFNA(_xlfn.XLOOKUP(R30-1,'01设定表'!I:I,'01设定表'!J:J),0))</f>
        <v>200</v>
      </c>
      <c r="Y30" s="13"/>
    </row>
    <row r="31" spans="1:25" x14ac:dyDescent="0.35">
      <c r="A31" s="2">
        <v>30</v>
      </c>
      <c r="B31" s="2">
        <v>1</v>
      </c>
      <c r="C31" s="2">
        <f t="shared" si="2"/>
        <v>6</v>
      </c>
      <c r="D31" s="2">
        <v>30</v>
      </c>
      <c r="E31" s="2" t="s">
        <v>18</v>
      </c>
      <c r="F31" s="2">
        <f t="shared" si="3"/>
        <v>15</v>
      </c>
      <c r="G31" s="2" t="s">
        <v>122</v>
      </c>
      <c r="H31" s="2">
        <f t="shared" si="4"/>
        <v>7</v>
      </c>
      <c r="I31" s="2"/>
      <c r="J31" s="2"/>
      <c r="K31" s="11"/>
      <c r="L31" s="11">
        <f>SUM($N$2:N31)</f>
        <v>3050</v>
      </c>
      <c r="M31" s="2">
        <f t="shared" si="0"/>
        <v>1450</v>
      </c>
      <c r="N31" s="12">
        <f>F31*_xlfn.XLOOKUP(E31,'01怪物表'!B:B,'01怪物表'!D:D)+H31*_xlfn.XLOOKUP(G31,'01怪物表'!B:B,'01怪物表'!D:D)+J31*_xlfn.XLOOKUP(I31,'01怪物表'!B:B,'01怪物表'!D:D)+_xlfn.XLOOKUP(K31,'01怪物表'!B:B,'01怪物表'!D:D)+IF(AND(C31=1,D31=1),_xlfn.XLOOKUP(B31,'01设定表'!E:E,'01设定表'!F:F),0)</f>
        <v>145</v>
      </c>
      <c r="O31" s="2">
        <f>M31-Q31*_xlfn.XLOOKUP(R31,'01设定表'!$L:$L,'01设定表'!$M:$M)-(P31-Q31)*IF(R31-1=0,0,_xlfn.XLOOKUP(R31-1,'01设定表'!$L:$L,'01设定表'!$M:$M))+IFERROR((Q30*_xlfn.XLOOKUP(R30,'01设定表'!$L:$L,'01设定表'!$M:$M)+(P30-Q30)*IF(R30-1=0,0,_xlfn.XLOOKUP(R30-1,'01设定表'!$L:$L,'01设定表'!$M:$M))),0)</f>
        <v>1450</v>
      </c>
      <c r="P31" s="2">
        <f>MIN(ROUNDDOWN(L31/_xlfn.XLOOKUP(1,'01设定表'!L:L,'01设定表'!M:M),0),_xlfn.XLOOKUP(B31,'01设定表'!E:E,'01设定表'!G:G))</f>
        <v>10</v>
      </c>
      <c r="Q31" s="2">
        <f>MIN(IF(R31-1=0,ROUNDDOWN(SUM($N$2:N31)/_xlfn.XLOOKUP(R31,'01设定表'!L:L,'01设定表'!M:M),0),ROUNDDOWN((SUM($N$2:N31)-_xlfn.XLOOKUP(B31,'01设定表'!E:E,'01设定表'!G:G)*_xlfn.XLOOKUP(R31-1,'01设定表'!L:L,'01设定表'!M:M))/_xlfn.XLOOKUP(R31,'01设定表'!L:L,'01设定表'!M:M),0)),_xlfn.XLOOKUP(B31,'01设定表'!E:E,'01设定表'!G:G))</f>
        <v>10</v>
      </c>
      <c r="R31" s="2">
        <f>MIN(IF(AND(C31=1,D31=1),1,R30+ROUNDDOWN(L31/(_xlfn.XLOOKUP(B31,'01设定表'!E:E,'01设定表'!G:G)*_xlfn.XLOOKUP(R30,'01设定表'!L:L,'01设定表'!N:N)),0)),4)</f>
        <v>3</v>
      </c>
      <c r="S31" s="11" t="str">
        <f t="shared" si="1"/>
        <v>胜利</v>
      </c>
      <c r="T31" s="13">
        <f>F31*_xlfn.XLOOKUP(E31,'01怪物表'!B:B,'01怪物表'!L:L)/(100-_xlfn.XLOOKUP(E31,'01怪物表'!B:B,'01怪物表'!K:K))*100+H31*_xlfn.XLOOKUP(G31,'01怪物表'!B:B,'01怪物表'!L:L)/(100-_xlfn.XLOOKUP(G31,'01怪物表'!B:B,'01怪物表'!K:K))*100+J31*_xlfn.XLOOKUP(I31,'01怪物表'!B:B,'01怪物表'!L:L)/(100-_xlfn.XLOOKUP(I31,'01怪物表'!B:B,'01怪物表'!K:K))*100+_xlfn.XLOOKUP(K31,'01怪物表'!B:B,'01怪物表'!L:L)/(100-_xlfn.XLOOKUP(K31,'01怪物表'!B:B,'01怪物表'!K:K))*100</f>
        <v>1309.4736842105262</v>
      </c>
      <c r="U31" s="13"/>
      <c r="V31" s="13">
        <f>2*'01设定表'!$C$13/(100-'01设定表'!$C$15)*100</f>
        <v>22.222222222222221</v>
      </c>
      <c r="W31" s="13"/>
      <c r="X31" s="13">
        <f>(Q31*_xlfn.XLOOKUP(R31,'01设定表'!I:I,'01设定表'!J:J)+(P31-Q31)*_xlfn.IFNA(_xlfn.XLOOKUP(R31-1,'01设定表'!I:I,'01设定表'!J:J),0))</f>
        <v>200</v>
      </c>
      <c r="Y31" s="1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总览表</vt:lpstr>
      <vt:lpstr>01设定表</vt:lpstr>
      <vt:lpstr>01角色表</vt:lpstr>
      <vt:lpstr>01防御塔表</vt:lpstr>
      <vt:lpstr>01怪物表</vt:lpstr>
      <vt:lpstr>01技能表</vt:lpstr>
      <vt:lpstr>01关卡表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朱阿</dc:creator>
  <cp:lastModifiedBy>阿 朱</cp:lastModifiedBy>
  <cp:lastPrinted>2024-11-23T20:27:13Z</cp:lastPrinted>
  <dcterms:created xsi:type="dcterms:W3CDTF">2015-06-05T18:19:34Z</dcterms:created>
  <dcterms:modified xsi:type="dcterms:W3CDTF">2024-12-23T14:39:45Z</dcterms:modified>
</cp:coreProperties>
</file>