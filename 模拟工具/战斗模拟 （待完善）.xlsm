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8763\Desktop\"/>
    </mc:Choice>
  </mc:AlternateContent>
  <xr:revisionPtr revIDLastSave="0" documentId="13_ncr:1_{7FCF70A8-12C7-4E19-AC97-64F0FCADA9B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模拟表" sheetId="1" r:id="rId1"/>
    <sheet name="角色表" sheetId="2" r:id="rId2"/>
    <sheet name="技能表" sheetId="4" r:id="rId3"/>
    <sheet name="参数表" sheetId="6" r:id="rId4"/>
  </sheets>
  <definedNames>
    <definedName name="BattleReportArea">模拟表!$F$4:$J$20</definedName>
    <definedName name="Enemy1Attribution">模拟表!$L$4:$L$10</definedName>
    <definedName name="Enemy2Attribution">模拟表!$L$14:$L$20</definedName>
    <definedName name="Hero1Attribution">模拟表!$D$4:$D$10</definedName>
    <definedName name="Hero2Attribution">模拟表!$D$14:$D$20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2" l="1"/>
  <c r="G16" i="2" s="1"/>
  <c r="G17" i="2" s="1"/>
  <c r="G18" i="2" s="1"/>
  <c r="G19" i="2" s="1"/>
  <c r="G20" i="2" s="1"/>
  <c r="G21" i="2" s="1"/>
  <c r="G22" i="2" s="1"/>
  <c r="G23" i="2" s="1"/>
  <c r="H45" i="2"/>
  <c r="H46" i="2" s="1"/>
  <c r="H47" i="2" s="1"/>
  <c r="H48" i="2" s="1"/>
  <c r="H49" i="2" s="1"/>
  <c r="H50" i="2" s="1"/>
  <c r="H51" i="2" s="1"/>
  <c r="H52" i="2" s="1"/>
  <c r="H53" i="2" s="1"/>
  <c r="G45" i="2"/>
  <c r="G46" i="2" s="1"/>
  <c r="G47" i="2" s="1"/>
  <c r="G48" i="2" s="1"/>
  <c r="G49" i="2" s="1"/>
  <c r="G50" i="2" s="1"/>
  <c r="G51" i="2" s="1"/>
  <c r="G52" i="2" s="1"/>
  <c r="G53" i="2" s="1"/>
  <c r="H35" i="2"/>
  <c r="H36" i="2" s="1"/>
  <c r="H37" i="2" s="1"/>
  <c r="H38" i="2" s="1"/>
  <c r="H39" i="2" s="1"/>
  <c r="H40" i="2" s="1"/>
  <c r="H41" i="2" s="1"/>
  <c r="H42" i="2" s="1"/>
  <c r="H43" i="2" s="1"/>
  <c r="G35" i="2"/>
  <c r="G36" i="2" s="1"/>
  <c r="G37" i="2" s="1"/>
  <c r="G38" i="2" s="1"/>
  <c r="G39" i="2" s="1"/>
  <c r="G40" i="2" s="1"/>
  <c r="G41" i="2" s="1"/>
  <c r="G42" i="2" s="1"/>
  <c r="G43" i="2" s="1"/>
  <c r="H25" i="2"/>
  <c r="H26" i="2" s="1"/>
  <c r="H27" i="2" s="1"/>
  <c r="H28" i="2" s="1"/>
  <c r="H29" i="2" s="1"/>
  <c r="H30" i="2" s="1"/>
  <c r="H31" i="2" s="1"/>
  <c r="H32" i="2" s="1"/>
  <c r="H33" i="2" s="1"/>
  <c r="G25" i="2"/>
  <c r="G26" i="2" s="1"/>
  <c r="G27" i="2" s="1"/>
  <c r="G28" i="2" s="1"/>
  <c r="G29" i="2" s="1"/>
  <c r="G30" i="2" s="1"/>
  <c r="G31" i="2" s="1"/>
  <c r="G32" i="2" s="1"/>
  <c r="G33" i="2" s="1"/>
  <c r="H15" i="2"/>
  <c r="H16" i="2" s="1"/>
  <c r="H17" i="2" s="1"/>
  <c r="H18" i="2" s="1"/>
  <c r="H19" i="2" s="1"/>
  <c r="H20" i="2" s="1"/>
  <c r="H21" i="2" s="1"/>
  <c r="H22" i="2" s="1"/>
  <c r="H23" i="2" s="1"/>
  <c r="H5" i="2"/>
  <c r="H6" i="2" s="1"/>
  <c r="H7" i="2" s="1"/>
  <c r="H8" i="2" s="1"/>
  <c r="H9" i="2" s="1"/>
  <c r="H10" i="2" s="1"/>
  <c r="H11" i="2" s="1"/>
  <c r="H12" i="2" s="1"/>
  <c r="H13" i="2" s="1"/>
  <c r="G5" i="2"/>
  <c r="G6" i="2" s="1"/>
  <c r="G7" i="2" s="1"/>
  <c r="G8" i="2" s="1"/>
  <c r="G9" i="2" s="1"/>
  <c r="G10" i="2" s="1"/>
  <c r="G11" i="2" s="1"/>
  <c r="G12" i="2" s="1"/>
  <c r="G13" i="2" s="1"/>
  <c r="E45" i="2"/>
  <c r="E46" i="2" s="1"/>
  <c r="E47" i="2" s="1"/>
  <c r="E48" i="2" s="1"/>
  <c r="E49" i="2" s="1"/>
  <c r="E50" i="2" s="1"/>
  <c r="E51" i="2" s="1"/>
  <c r="E52" i="2" s="1"/>
  <c r="E53" i="2" s="1"/>
  <c r="E35" i="2"/>
  <c r="E36" i="2" s="1"/>
  <c r="E37" i="2" s="1"/>
  <c r="E38" i="2" s="1"/>
  <c r="E39" i="2" s="1"/>
  <c r="E40" i="2" s="1"/>
  <c r="E41" i="2" s="1"/>
  <c r="E42" i="2" s="1"/>
  <c r="E43" i="2" s="1"/>
  <c r="E25" i="2"/>
  <c r="E26" i="2" s="1"/>
  <c r="E27" i="2" s="1"/>
  <c r="E28" i="2" s="1"/>
  <c r="E29" i="2" s="1"/>
  <c r="E30" i="2" s="1"/>
  <c r="E31" i="2" s="1"/>
  <c r="E32" i="2" s="1"/>
  <c r="E33" i="2" s="1"/>
  <c r="E15" i="2"/>
  <c r="E16" i="2" s="1"/>
  <c r="E17" i="2" s="1"/>
  <c r="E18" i="2" s="1"/>
  <c r="E19" i="2" s="1"/>
  <c r="E20" i="2" s="1"/>
  <c r="E21" i="2" s="1"/>
  <c r="E22" i="2" s="1"/>
  <c r="E23" i="2" s="1"/>
  <c r="E5" i="2"/>
  <c r="E6" i="2" s="1"/>
  <c r="E7" i="2" s="1"/>
  <c r="E8" i="2" s="1"/>
  <c r="E9" i="2" s="1"/>
  <c r="E10" i="2" s="1"/>
  <c r="E11" i="2" s="1"/>
  <c r="E12" i="2" s="1"/>
  <c r="E13" i="2" s="1"/>
  <c r="K45" i="2"/>
  <c r="K46" i="2" s="1"/>
  <c r="K47" i="2" s="1"/>
  <c r="K48" i="2" s="1"/>
  <c r="K49" i="2" s="1"/>
  <c r="K50" i="2" s="1"/>
  <c r="K51" i="2" s="1"/>
  <c r="K52" i="2" s="1"/>
  <c r="K53" i="2" s="1"/>
  <c r="K35" i="2"/>
  <c r="K36" i="2" s="1"/>
  <c r="K37" i="2" s="1"/>
  <c r="K38" i="2" s="1"/>
  <c r="K39" i="2" s="1"/>
  <c r="K40" i="2" s="1"/>
  <c r="K41" i="2" s="1"/>
  <c r="K42" i="2" s="1"/>
  <c r="K43" i="2" s="1"/>
  <c r="K25" i="2"/>
  <c r="K26" i="2" s="1"/>
  <c r="K27" i="2" s="1"/>
  <c r="K28" i="2" s="1"/>
  <c r="K29" i="2" s="1"/>
  <c r="K30" i="2" s="1"/>
  <c r="K31" i="2" s="1"/>
  <c r="K32" i="2" s="1"/>
  <c r="K33" i="2" s="1"/>
  <c r="K15" i="2"/>
  <c r="K16" i="2" s="1"/>
  <c r="K17" i="2" s="1"/>
  <c r="K18" i="2" s="1"/>
  <c r="K19" i="2" s="1"/>
  <c r="K20" i="2" s="1"/>
  <c r="K21" i="2" s="1"/>
  <c r="K22" i="2" s="1"/>
  <c r="K23" i="2" s="1"/>
  <c r="K5" i="2"/>
  <c r="K6" i="2" s="1"/>
  <c r="K7" i="2" s="1"/>
  <c r="K8" i="2" s="1"/>
  <c r="K9" i="2" s="1"/>
  <c r="K10" i="2" s="1"/>
  <c r="K11" i="2" s="1"/>
  <c r="K12" i="2" s="1"/>
  <c r="K13" i="2" s="1"/>
  <c r="J46" i="2"/>
  <c r="J47" i="2" s="1"/>
  <c r="J48" i="2" s="1"/>
  <c r="J49" i="2" s="1"/>
  <c r="J50" i="2" s="1"/>
  <c r="J51" i="2" s="1"/>
  <c r="J52" i="2" s="1"/>
  <c r="J53" i="2" s="1"/>
  <c r="I46" i="2"/>
  <c r="I47" i="2" s="1"/>
  <c r="I48" i="2" s="1"/>
  <c r="I49" i="2" s="1"/>
  <c r="I50" i="2" s="1"/>
  <c r="I51" i="2" s="1"/>
  <c r="I52" i="2" s="1"/>
  <c r="I53" i="2" s="1"/>
  <c r="J45" i="2"/>
  <c r="I45" i="2"/>
  <c r="J36" i="2"/>
  <c r="J37" i="2" s="1"/>
  <c r="J38" i="2" s="1"/>
  <c r="J39" i="2" s="1"/>
  <c r="J40" i="2" s="1"/>
  <c r="J41" i="2" s="1"/>
  <c r="J42" i="2" s="1"/>
  <c r="J43" i="2" s="1"/>
  <c r="I36" i="2"/>
  <c r="I37" i="2" s="1"/>
  <c r="I38" i="2" s="1"/>
  <c r="I39" i="2" s="1"/>
  <c r="I40" i="2" s="1"/>
  <c r="I41" i="2" s="1"/>
  <c r="I42" i="2" s="1"/>
  <c r="I43" i="2" s="1"/>
  <c r="J35" i="2"/>
  <c r="I35" i="2"/>
  <c r="J26" i="2"/>
  <c r="J27" i="2" s="1"/>
  <c r="J28" i="2" s="1"/>
  <c r="J29" i="2" s="1"/>
  <c r="J30" i="2" s="1"/>
  <c r="J31" i="2" s="1"/>
  <c r="J32" i="2" s="1"/>
  <c r="J33" i="2" s="1"/>
  <c r="I26" i="2"/>
  <c r="I27" i="2" s="1"/>
  <c r="I28" i="2" s="1"/>
  <c r="I29" i="2" s="1"/>
  <c r="I30" i="2" s="1"/>
  <c r="I31" i="2" s="1"/>
  <c r="I32" i="2" s="1"/>
  <c r="I33" i="2" s="1"/>
  <c r="J25" i="2"/>
  <c r="I25" i="2"/>
  <c r="J16" i="2"/>
  <c r="J17" i="2" s="1"/>
  <c r="J18" i="2" s="1"/>
  <c r="J19" i="2" s="1"/>
  <c r="J20" i="2" s="1"/>
  <c r="J21" i="2" s="1"/>
  <c r="J22" i="2" s="1"/>
  <c r="J23" i="2" s="1"/>
  <c r="I16" i="2"/>
  <c r="I17" i="2" s="1"/>
  <c r="I18" i="2" s="1"/>
  <c r="I19" i="2" s="1"/>
  <c r="I20" i="2" s="1"/>
  <c r="I21" i="2" s="1"/>
  <c r="I22" i="2" s="1"/>
  <c r="I23" i="2" s="1"/>
  <c r="J15" i="2"/>
  <c r="I15" i="2"/>
  <c r="J5" i="2"/>
  <c r="J6" i="2" s="1"/>
  <c r="J7" i="2" s="1"/>
  <c r="J8" i="2" s="1"/>
  <c r="J9" i="2" s="1"/>
  <c r="J10" i="2" s="1"/>
  <c r="J11" i="2" s="1"/>
  <c r="J12" i="2" s="1"/>
  <c r="J13" i="2" s="1"/>
  <c r="I5" i="2"/>
  <c r="I6" i="2" s="1"/>
  <c r="I7" i="2" s="1"/>
  <c r="I8" i="2" s="1"/>
  <c r="I9" i="2" s="1"/>
  <c r="I10" i="2" s="1"/>
  <c r="I11" i="2" s="1"/>
  <c r="I12" i="2" s="1"/>
  <c r="I13" i="2" s="1"/>
</calcChain>
</file>

<file path=xl/sharedStrings.xml><?xml version="1.0" encoding="utf-8"?>
<sst xmlns="http://schemas.openxmlformats.org/spreadsheetml/2006/main" count="203" uniqueCount="65">
  <si>
    <t>序号</t>
    <phoneticPr fontId="1" type="noConversion"/>
  </si>
  <si>
    <t>技能名称</t>
    <phoneticPr fontId="1" type="noConversion"/>
  </si>
  <si>
    <t>技能消耗</t>
    <phoneticPr fontId="1" type="noConversion"/>
  </si>
  <si>
    <t>技能冷却</t>
    <phoneticPr fontId="1" type="noConversion"/>
  </si>
  <si>
    <t>技能范围</t>
    <phoneticPr fontId="1" type="noConversion"/>
  </si>
  <si>
    <t>ID</t>
  </si>
  <si>
    <t>Name</t>
  </si>
  <si>
    <t>Rank</t>
    <phoneticPr fontId="1" type="noConversion"/>
  </si>
  <si>
    <t>Level</t>
    <phoneticPr fontId="1" type="noConversion"/>
  </si>
  <si>
    <t>Hp</t>
    <phoneticPr fontId="1" type="noConversion"/>
  </si>
  <si>
    <t>Atk</t>
    <phoneticPr fontId="1" type="noConversion"/>
  </si>
  <si>
    <t>Def</t>
    <phoneticPr fontId="1" type="noConversion"/>
  </si>
  <si>
    <t>Spd</t>
    <phoneticPr fontId="1" type="noConversion"/>
  </si>
  <si>
    <t xml:space="preserve">序号 </t>
    <phoneticPr fontId="1" type="noConversion"/>
  </si>
  <si>
    <t>名称</t>
    <phoneticPr fontId="1" type="noConversion"/>
  </si>
  <si>
    <t>阶级</t>
    <phoneticPr fontId="1" type="noConversion"/>
  </si>
  <si>
    <t>等级</t>
    <phoneticPr fontId="1" type="noConversion"/>
  </si>
  <si>
    <t>生命值</t>
    <phoneticPr fontId="1" type="noConversion"/>
  </si>
  <si>
    <t>攻击力</t>
    <phoneticPr fontId="1" type="noConversion"/>
  </si>
  <si>
    <t>防御值</t>
    <phoneticPr fontId="1" type="noConversion"/>
  </si>
  <si>
    <t>速度</t>
    <phoneticPr fontId="1" type="noConversion"/>
  </si>
  <si>
    <t>暴击率</t>
    <phoneticPr fontId="1" type="noConversion"/>
  </si>
  <si>
    <t>闪避率</t>
    <phoneticPr fontId="1" type="noConversion"/>
  </si>
  <si>
    <t>int</t>
    <phoneticPr fontId="1" type="noConversion"/>
  </si>
  <si>
    <t>str</t>
    <phoneticPr fontId="1" type="noConversion"/>
  </si>
  <si>
    <t>double</t>
    <phoneticPr fontId="1" type="noConversion"/>
  </si>
  <si>
    <t>瑟西娅</t>
    <phoneticPr fontId="1" type="noConversion"/>
  </si>
  <si>
    <t>布鲁特斯</t>
  </si>
  <si>
    <t>阿熏和蒙蒙</t>
  </si>
  <si>
    <t>备注</t>
    <phoneticPr fontId="1" type="noConversion"/>
  </si>
  <si>
    <t>#</t>
    <phoneticPr fontId="1" type="noConversion"/>
  </si>
  <si>
    <t>射手</t>
    <phoneticPr fontId="1" type="noConversion"/>
  </si>
  <si>
    <t>战士</t>
    <phoneticPr fontId="1" type="noConversion"/>
  </si>
  <si>
    <t>噜噜</t>
  </si>
  <si>
    <t>坦克</t>
    <phoneticPr fontId="1" type="noConversion"/>
  </si>
  <si>
    <t>治疗</t>
    <phoneticPr fontId="1" type="noConversion"/>
  </si>
  <si>
    <t>克鲁格</t>
  </si>
  <si>
    <t>猎人</t>
    <phoneticPr fontId="1" type="noConversion"/>
  </si>
  <si>
    <t>我方角色1</t>
    <phoneticPr fontId="1" type="noConversion"/>
  </si>
  <si>
    <t>敌方角色1</t>
    <phoneticPr fontId="1" type="noConversion"/>
  </si>
  <si>
    <t>法力值</t>
    <phoneticPr fontId="1" type="noConversion"/>
  </si>
  <si>
    <t>Mp</t>
    <phoneticPr fontId="1" type="noConversion"/>
  </si>
  <si>
    <t>角色等级</t>
    <phoneticPr fontId="1" type="noConversion"/>
  </si>
  <si>
    <t>防御力</t>
    <phoneticPr fontId="1" type="noConversion"/>
  </si>
  <si>
    <t>我方角色2</t>
    <phoneticPr fontId="1" type="noConversion"/>
  </si>
  <si>
    <t>战斗播报</t>
    <phoneticPr fontId="1" type="noConversion"/>
  </si>
  <si>
    <t>造成伤害</t>
    <phoneticPr fontId="1" type="noConversion"/>
  </si>
  <si>
    <t>敌方角色2</t>
    <phoneticPr fontId="1" type="noConversion"/>
  </si>
  <si>
    <t>攻击次数</t>
    <phoneticPr fontId="1" type="noConversion"/>
  </si>
  <si>
    <t>可选角色表</t>
    <phoneticPr fontId="1" type="noConversion"/>
  </si>
  <si>
    <t>等级上限表</t>
    <phoneticPr fontId="1" type="noConversion"/>
  </si>
  <si>
    <t>角色属性</t>
  </si>
  <si>
    <t>角色属性</t>
    <phoneticPr fontId="1" type="noConversion"/>
  </si>
  <si>
    <t>角色技能</t>
    <phoneticPr fontId="1" type="noConversion"/>
  </si>
  <si>
    <t>技能描述</t>
    <phoneticPr fontId="1" type="noConversion"/>
  </si>
  <si>
    <t>治疗术</t>
    <phoneticPr fontId="1" type="noConversion"/>
  </si>
  <si>
    <t>火球术</t>
    <phoneticPr fontId="1" type="noConversion"/>
  </si>
  <si>
    <t>水弹术</t>
    <phoneticPr fontId="1" type="noConversion"/>
  </si>
  <si>
    <t>土球术</t>
    <phoneticPr fontId="1" type="noConversion"/>
  </si>
  <si>
    <t>技能数值</t>
    <phoneticPr fontId="1" type="noConversion"/>
  </si>
  <si>
    <t>回复血量</t>
    <phoneticPr fontId="1" type="noConversion"/>
  </si>
  <si>
    <t>Crt</t>
    <phoneticPr fontId="1" type="noConversion"/>
  </si>
  <si>
    <t>Dge</t>
    <phoneticPr fontId="1" type="noConversion"/>
  </si>
  <si>
    <t>技能次数</t>
  </si>
  <si>
    <t>技能次数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</si>
</sst>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rgb="FF000000"/>
      <name val="等线"/>
      <family val="3"/>
      <charset val="134"/>
    </font>
    <font>
      <sz val="11"/>
      <color rgb="FF00000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0" xfId="0" applyFont="1" applyAlignment="1">
      <alignment horizontal="centerContinuous" vertical="center"/>
    </xf>
    <xf numFmtId="0" fontId="2" fillId="0" borderId="26" xfId="0" applyFont="1" applyBorder="1" applyAlignment="1">
      <alignment horizontal="centerContinuous" vertical="center"/>
    </xf>
    <xf numFmtId="0" fontId="2" fillId="0" borderId="12" xfId="0" applyFont="1" applyBorder="1" applyAlignment="1">
      <alignment horizontal="centerContinuous" vertical="center"/>
    </xf>
    <xf numFmtId="0" fontId="2" fillId="0" borderId="13" xfId="0" applyFont="1" applyBorder="1" applyAlignment="1">
      <alignment horizontal="centerContinuous" vertical="center"/>
    </xf>
    <xf numFmtId="0" fontId="2" fillId="0" borderId="27" xfId="0" applyFont="1" applyBorder="1" applyAlignment="1">
      <alignment horizontal="centerContinuous" vertical="center"/>
    </xf>
    <xf numFmtId="0" fontId="2" fillId="0" borderId="14" xfId="0" applyFont="1" applyBorder="1" applyAlignment="1">
      <alignment horizontal="centerContinuous" vertical="center"/>
    </xf>
    <xf numFmtId="0" fontId="6" fillId="0" borderId="9" xfId="0" applyFont="1" applyBorder="1" applyAlignment="1">
      <alignment horizontal="centerContinuous" vertical="center"/>
    </xf>
    <xf numFmtId="0" fontId="6" fillId="0" borderId="10" xfId="0" applyFont="1" applyBorder="1" applyAlignment="1">
      <alignment horizontal="centerContinuous" vertical="center"/>
    </xf>
    <xf numFmtId="0" fontId="6" fillId="0" borderId="11" xfId="0" applyFont="1" applyBorder="1" applyAlignment="1">
      <alignment horizontal="centerContinuous" vertical="center"/>
    </xf>
    <xf numFmtId="0" fontId="3" fillId="0" borderId="31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6" fmlaRange="参数表!$B$2:$B$5" noThreeD="1" sel="1" val="0"/>
</file>

<file path=xl/ctrlProps/ctrlProp2.xml><?xml version="1.0" encoding="utf-8"?>
<formControlPr xmlns="http://schemas.microsoft.com/office/spreadsheetml/2009/9/main" objectType="Drop" dropStyle="combo" dx="26" fmlaRange="参数表!$C$2:$C$11" noThreeD="1" sel="1" val="0"/>
</file>

<file path=xl/ctrlProps/ctrlProp3.xml><?xml version="1.0" encoding="utf-8"?>
<formControlPr xmlns="http://schemas.microsoft.com/office/spreadsheetml/2009/9/main" objectType="Drop" dropStyle="combo" dx="26" fmlaRange="参数表!$B$2:$B$5" noThreeD="1" sel="3" val="0"/>
</file>

<file path=xl/ctrlProps/ctrlProp4.xml><?xml version="1.0" encoding="utf-8"?>
<formControlPr xmlns="http://schemas.microsoft.com/office/spreadsheetml/2009/9/main" objectType="Drop" dropStyle="combo" dx="26" fmlaRange="参数表!$C$2:$C$11" noThreeD="1" sel="1" val="0"/>
</file>

<file path=xl/ctrlProps/ctrlProp5.xml><?xml version="1.0" encoding="utf-8"?>
<formControlPr xmlns="http://schemas.microsoft.com/office/spreadsheetml/2009/9/main" objectType="Drop" dropStyle="combo" dx="26" fmlaRange="参数表!$B$2:$B$5" noThreeD="1" sel="2" val="0"/>
</file>

<file path=xl/ctrlProps/ctrlProp6.xml><?xml version="1.0" encoding="utf-8"?>
<formControlPr xmlns="http://schemas.microsoft.com/office/spreadsheetml/2009/9/main" objectType="Drop" dropStyle="combo" dx="26" fmlaRange="参数表!$C$2:$C$11" noThreeD="1" sel="1" val="0"/>
</file>

<file path=xl/ctrlProps/ctrlProp7.xml><?xml version="1.0" encoding="utf-8"?>
<formControlPr xmlns="http://schemas.microsoft.com/office/spreadsheetml/2009/9/main" objectType="Drop" dropStyle="combo" dx="26" fmlaRange="参数表!$B$2:$B$5" noThreeD="1" sel="4" val="0"/>
</file>

<file path=xl/ctrlProps/ctrlProp8.xml><?xml version="1.0" encoding="utf-8"?>
<formControlPr xmlns="http://schemas.microsoft.com/office/spreadsheetml/2009/9/main" objectType="Drop" dropStyle="combo" dx="26" fmlaRange="参数表!$C$2:$C$11" noThreeD="1" sel="1" val="0"/>
</file>

<file path=xl/ctrlProps/ctrlProp9.xml><?xml version="1.0" encoding="utf-8"?>
<formControlPr xmlns="http://schemas.microsoft.com/office/spreadsheetml/2009/9/main" objectType="Drop" dropStyle="combo" dx="26" fmlaRange="参数表!$C$2:$C$11" noThreeD="1" sel="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922020</xdr:colOff>
      <xdr:row>2</xdr:row>
      <xdr:rowOff>99060</xdr:rowOff>
    </xdr:from>
    <xdr:to>
      <xdr:col>1</xdr:col>
      <xdr:colOff>883920</xdr:colOff>
      <xdr:row>7</xdr:row>
      <xdr:rowOff>123055</xdr:rowOff>
    </xdr:to>
    <xdr:sp macro="" textlink="">
      <xdr:nvSpPr>
        <xdr:cNvPr id="13" name="Hero1Model">
          <a:extLst>
            <a:ext uri="{FF2B5EF4-FFF2-40B4-BE49-F238E27FC236}">
              <a16:creationId xmlns:a16="http://schemas.microsoft.com/office/drawing/2014/main" id="{990C52A5-6132-4278-8A81-6FEDED64A309}"/>
            </a:ext>
          </a:extLst>
        </xdr:cNvPr>
        <xdr:cNvSpPr/>
      </xdr:nvSpPr>
      <xdr:spPr>
        <a:xfrm>
          <a:off x="922020" y="510540"/>
          <a:ext cx="906780" cy="102983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/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7</xdr:row>
      <xdr:rowOff>7620</xdr:rowOff>
    </xdr:from>
    <xdr:to>
      <xdr:col>1</xdr:col>
      <xdr:colOff>937260</xdr:colOff>
      <xdr:row>7</xdr:row>
      <xdr:rowOff>190500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8826E332-90A8-484A-81B0-88E8F2348EA7}"/>
            </a:ext>
          </a:extLst>
        </xdr:cNvPr>
        <xdr:cNvSpPr/>
      </xdr:nvSpPr>
      <xdr:spPr>
        <a:xfrm>
          <a:off x="944880" y="403860"/>
          <a:ext cx="937260" cy="18288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</xdr:col>
      <xdr:colOff>0</xdr:colOff>
      <xdr:row>7</xdr:row>
      <xdr:rowOff>15240</xdr:rowOff>
    </xdr:from>
    <xdr:to>
      <xdr:col>2</xdr:col>
      <xdr:colOff>1270</xdr:colOff>
      <xdr:row>8</xdr:row>
      <xdr:rowOff>0</xdr:rowOff>
    </xdr:to>
    <xdr:sp macro="" textlink="">
      <xdr:nvSpPr>
        <xdr:cNvPr id="2" name="Hero1HpBox">
          <a:extLst>
            <a:ext uri="{FF2B5EF4-FFF2-40B4-BE49-F238E27FC236}">
              <a16:creationId xmlns:a16="http://schemas.microsoft.com/office/drawing/2014/main" id="{8D0E92B1-7580-4A98-BCB1-246D50D14F3B}"/>
            </a:ext>
          </a:extLst>
        </xdr:cNvPr>
        <xdr:cNvSpPr/>
      </xdr:nvSpPr>
      <xdr:spPr>
        <a:xfrm>
          <a:off x="944880" y="1432560"/>
          <a:ext cx="946150" cy="182880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0</xdr:col>
      <xdr:colOff>937260</xdr:colOff>
      <xdr:row>7</xdr:row>
      <xdr:rowOff>22860</xdr:rowOff>
    </xdr:from>
    <xdr:to>
      <xdr:col>2</xdr:col>
      <xdr:colOff>15240</xdr:colOff>
      <xdr:row>8</xdr:row>
      <xdr:rowOff>1481</xdr:rowOff>
    </xdr:to>
    <xdr:sp macro="" textlink="">
      <xdr:nvSpPr>
        <xdr:cNvPr id="4" name="Hero1HpString">
          <a:extLst>
            <a:ext uri="{FF2B5EF4-FFF2-40B4-BE49-F238E27FC236}">
              <a16:creationId xmlns:a16="http://schemas.microsoft.com/office/drawing/2014/main" id="{82E80E56-6731-4764-9C50-2891C0092007}"/>
            </a:ext>
          </a:extLst>
        </xdr:cNvPr>
        <xdr:cNvSpPr/>
      </xdr:nvSpPr>
      <xdr:spPr>
        <a:xfrm>
          <a:off x="937260" y="617220"/>
          <a:ext cx="967740" cy="1767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100/100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937260</xdr:colOff>
      <xdr:row>8</xdr:row>
      <xdr:rowOff>182880</xdr:rowOff>
    </xdr:to>
    <xdr:sp macro="" textlink="">
      <xdr:nvSpPr>
        <xdr:cNvPr id="9" name="Hero1MpBox">
          <a:extLst>
            <a:ext uri="{FF2B5EF4-FFF2-40B4-BE49-F238E27FC236}">
              <a16:creationId xmlns:a16="http://schemas.microsoft.com/office/drawing/2014/main" id="{C261F46E-47EC-4324-B245-CFF3CEF0737C}"/>
            </a:ext>
          </a:extLst>
        </xdr:cNvPr>
        <xdr:cNvSpPr/>
      </xdr:nvSpPr>
      <xdr:spPr>
        <a:xfrm>
          <a:off x="944880" y="594360"/>
          <a:ext cx="937260" cy="18288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0</xdr:col>
      <xdr:colOff>929640</xdr:colOff>
      <xdr:row>7</xdr:row>
      <xdr:rowOff>182880</xdr:rowOff>
    </xdr:from>
    <xdr:to>
      <xdr:col>2</xdr:col>
      <xdr:colOff>30480</xdr:colOff>
      <xdr:row>9</xdr:row>
      <xdr:rowOff>1481</xdr:rowOff>
    </xdr:to>
    <xdr:sp macro="" textlink="">
      <xdr:nvSpPr>
        <xdr:cNvPr id="11" name="Hero1MpString">
          <a:extLst>
            <a:ext uri="{FF2B5EF4-FFF2-40B4-BE49-F238E27FC236}">
              <a16:creationId xmlns:a16="http://schemas.microsoft.com/office/drawing/2014/main" id="{281D8E82-32B7-4350-92B5-94AC47BCB177}"/>
            </a:ext>
          </a:extLst>
        </xdr:cNvPr>
        <xdr:cNvSpPr/>
      </xdr:nvSpPr>
      <xdr:spPr>
        <a:xfrm>
          <a:off x="929640" y="579120"/>
          <a:ext cx="990600" cy="2148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100/100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937260</xdr:colOff>
      <xdr:row>9</xdr:row>
      <xdr:rowOff>0</xdr:rowOff>
    </xdr:from>
    <xdr:to>
      <xdr:col>1</xdr:col>
      <xdr:colOff>937260</xdr:colOff>
      <xdr:row>9</xdr:row>
      <xdr:rowOff>190500</xdr:rowOff>
    </xdr:to>
    <xdr:sp macro="" textlink="">
      <xdr:nvSpPr>
        <xdr:cNvPr id="12" name="Hero1LivingState">
          <a:extLst>
            <a:ext uri="{FF2B5EF4-FFF2-40B4-BE49-F238E27FC236}">
              <a16:creationId xmlns:a16="http://schemas.microsoft.com/office/drawing/2014/main" id="{0DA1790F-1148-48C9-B3D6-2BC0D744E279}"/>
            </a:ext>
          </a:extLst>
        </xdr:cNvPr>
        <xdr:cNvSpPr/>
      </xdr:nvSpPr>
      <xdr:spPr>
        <a:xfrm>
          <a:off x="937260" y="792480"/>
          <a:ext cx="944880" cy="190500"/>
        </a:xfrm>
        <a:prstGeom prst="rect">
          <a:avLst/>
        </a:prstGeom>
        <a:solidFill>
          <a:srgbClr val="A9D18E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zh-CN" b="0">
              <a:solidFill>
                <a:schemeClr val="accent6">
                  <a:lumMod val="50000"/>
                </a:schemeClr>
              </a:solidFill>
            </a:rPr>
            <a:t>Alive</a:t>
          </a:r>
          <a:endParaRPr lang="zh-CN" altLang="en-US" b="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937260</xdr:colOff>
          <xdr:row>1</xdr:row>
          <xdr:rowOff>190500</xdr:rowOff>
        </xdr:from>
        <xdr:to>
          <xdr:col>1</xdr:col>
          <xdr:colOff>937260</xdr:colOff>
          <xdr:row>2</xdr:row>
          <xdr:rowOff>182880</xdr:rowOff>
        </xdr:to>
        <xdr:sp macro="" textlink="">
          <xdr:nvSpPr>
            <xdr:cNvPr id="2052" name="Hero1Nam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937260</xdr:colOff>
          <xdr:row>2</xdr:row>
          <xdr:rowOff>0</xdr:rowOff>
        </xdr:from>
        <xdr:to>
          <xdr:col>2</xdr:col>
          <xdr:colOff>937260</xdr:colOff>
          <xdr:row>2</xdr:row>
          <xdr:rowOff>198120</xdr:rowOff>
        </xdr:to>
        <xdr:sp macro="" textlink="">
          <xdr:nvSpPr>
            <xdr:cNvPr id="2054" name="Hero1Leve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17</xdr:row>
      <xdr:rowOff>7620</xdr:rowOff>
    </xdr:from>
    <xdr:to>
      <xdr:col>1</xdr:col>
      <xdr:colOff>937260</xdr:colOff>
      <xdr:row>17</xdr:row>
      <xdr:rowOff>190500</xdr:rowOff>
    </xdr:to>
    <xdr:sp macro="" textlink="">
      <xdr:nvSpPr>
        <xdr:cNvPr id="15" name="矩形 14">
          <a:extLst>
            <a:ext uri="{FF2B5EF4-FFF2-40B4-BE49-F238E27FC236}">
              <a16:creationId xmlns:a16="http://schemas.microsoft.com/office/drawing/2014/main" id="{3D5BEA58-B589-42E7-9B3A-542D5AAE27E7}"/>
            </a:ext>
          </a:extLst>
        </xdr:cNvPr>
        <xdr:cNvSpPr/>
      </xdr:nvSpPr>
      <xdr:spPr>
        <a:xfrm>
          <a:off x="944880" y="1409700"/>
          <a:ext cx="937260" cy="18288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</xdr:col>
      <xdr:colOff>0</xdr:colOff>
      <xdr:row>17</xdr:row>
      <xdr:rowOff>15240</xdr:rowOff>
    </xdr:from>
    <xdr:to>
      <xdr:col>2</xdr:col>
      <xdr:colOff>1270</xdr:colOff>
      <xdr:row>18</xdr:row>
      <xdr:rowOff>0</xdr:rowOff>
    </xdr:to>
    <xdr:sp macro="" textlink="">
      <xdr:nvSpPr>
        <xdr:cNvPr id="16" name="Hero2HpBox">
          <a:extLst>
            <a:ext uri="{FF2B5EF4-FFF2-40B4-BE49-F238E27FC236}">
              <a16:creationId xmlns:a16="http://schemas.microsoft.com/office/drawing/2014/main" id="{6ACE9B49-E2B5-4506-A8BB-C5E02ACF9125}"/>
            </a:ext>
          </a:extLst>
        </xdr:cNvPr>
        <xdr:cNvSpPr/>
      </xdr:nvSpPr>
      <xdr:spPr>
        <a:xfrm>
          <a:off x="944880" y="3451860"/>
          <a:ext cx="946150" cy="182880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0</xdr:col>
      <xdr:colOff>937260</xdr:colOff>
      <xdr:row>17</xdr:row>
      <xdr:rowOff>22860</xdr:rowOff>
    </xdr:from>
    <xdr:to>
      <xdr:col>2</xdr:col>
      <xdr:colOff>15240</xdr:colOff>
      <xdr:row>18</xdr:row>
      <xdr:rowOff>1481</xdr:rowOff>
    </xdr:to>
    <xdr:sp macro="" textlink="">
      <xdr:nvSpPr>
        <xdr:cNvPr id="17" name="Hero2HpString">
          <a:extLst>
            <a:ext uri="{FF2B5EF4-FFF2-40B4-BE49-F238E27FC236}">
              <a16:creationId xmlns:a16="http://schemas.microsoft.com/office/drawing/2014/main" id="{FD0F4C70-BFDC-422A-B0C9-A898EEC5A228}"/>
            </a:ext>
          </a:extLst>
        </xdr:cNvPr>
        <xdr:cNvSpPr/>
      </xdr:nvSpPr>
      <xdr:spPr>
        <a:xfrm>
          <a:off x="937260" y="1424940"/>
          <a:ext cx="967740" cy="1767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150/150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1</xdr:col>
      <xdr:colOff>937260</xdr:colOff>
      <xdr:row>18</xdr:row>
      <xdr:rowOff>182880</xdr:rowOff>
    </xdr:to>
    <xdr:sp macro="" textlink="">
      <xdr:nvSpPr>
        <xdr:cNvPr id="18" name="Hero2MpBox">
          <a:extLst>
            <a:ext uri="{FF2B5EF4-FFF2-40B4-BE49-F238E27FC236}">
              <a16:creationId xmlns:a16="http://schemas.microsoft.com/office/drawing/2014/main" id="{420A0C16-BA26-45EF-A5CB-C8049F0B50A1}"/>
            </a:ext>
          </a:extLst>
        </xdr:cNvPr>
        <xdr:cNvSpPr/>
      </xdr:nvSpPr>
      <xdr:spPr>
        <a:xfrm>
          <a:off x="944880" y="1600200"/>
          <a:ext cx="937260" cy="18288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0</xdr:col>
      <xdr:colOff>929640</xdr:colOff>
      <xdr:row>17</xdr:row>
      <xdr:rowOff>182880</xdr:rowOff>
    </xdr:from>
    <xdr:to>
      <xdr:col>2</xdr:col>
      <xdr:colOff>30480</xdr:colOff>
      <xdr:row>19</xdr:row>
      <xdr:rowOff>1481</xdr:rowOff>
    </xdr:to>
    <xdr:sp macro="" textlink="">
      <xdr:nvSpPr>
        <xdr:cNvPr id="19" name="Hero2MpString">
          <a:extLst>
            <a:ext uri="{FF2B5EF4-FFF2-40B4-BE49-F238E27FC236}">
              <a16:creationId xmlns:a16="http://schemas.microsoft.com/office/drawing/2014/main" id="{10006C49-D450-4789-8FCA-40ABE2506C1A}"/>
            </a:ext>
          </a:extLst>
        </xdr:cNvPr>
        <xdr:cNvSpPr/>
      </xdr:nvSpPr>
      <xdr:spPr>
        <a:xfrm>
          <a:off x="929640" y="1584960"/>
          <a:ext cx="990600" cy="2148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100/100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937260</xdr:colOff>
      <xdr:row>19</xdr:row>
      <xdr:rowOff>0</xdr:rowOff>
    </xdr:from>
    <xdr:to>
      <xdr:col>1</xdr:col>
      <xdr:colOff>937260</xdr:colOff>
      <xdr:row>19</xdr:row>
      <xdr:rowOff>190500</xdr:rowOff>
    </xdr:to>
    <xdr:sp macro="" textlink="">
      <xdr:nvSpPr>
        <xdr:cNvPr id="20" name="Hero2LivingState">
          <a:extLst>
            <a:ext uri="{FF2B5EF4-FFF2-40B4-BE49-F238E27FC236}">
              <a16:creationId xmlns:a16="http://schemas.microsoft.com/office/drawing/2014/main" id="{8BC78C19-6057-447C-AACD-09CB93357071}"/>
            </a:ext>
          </a:extLst>
        </xdr:cNvPr>
        <xdr:cNvSpPr/>
      </xdr:nvSpPr>
      <xdr:spPr>
        <a:xfrm>
          <a:off x="937260" y="1798320"/>
          <a:ext cx="944880" cy="190500"/>
        </a:xfrm>
        <a:prstGeom prst="rect">
          <a:avLst/>
        </a:prstGeom>
        <a:solidFill>
          <a:srgbClr val="A9D18E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n-US" altLang="zh-CN" sz="1100" b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Alive</a:t>
          </a:r>
          <a:endParaRPr lang="zh-CN" altLang="en-US" sz="1100" b="0">
            <a:solidFill>
              <a:schemeClr val="accent6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937260</xdr:colOff>
          <xdr:row>11</xdr:row>
          <xdr:rowOff>190500</xdr:rowOff>
        </xdr:from>
        <xdr:to>
          <xdr:col>1</xdr:col>
          <xdr:colOff>937260</xdr:colOff>
          <xdr:row>12</xdr:row>
          <xdr:rowOff>190500</xdr:rowOff>
        </xdr:to>
        <xdr:sp macro="" textlink="">
          <xdr:nvSpPr>
            <xdr:cNvPr id="2055" name="Hero2Nam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937260</xdr:colOff>
          <xdr:row>12</xdr:row>
          <xdr:rowOff>0</xdr:rowOff>
        </xdr:from>
        <xdr:to>
          <xdr:col>2</xdr:col>
          <xdr:colOff>937260</xdr:colOff>
          <xdr:row>12</xdr:row>
          <xdr:rowOff>198120</xdr:rowOff>
        </xdr:to>
        <xdr:sp macro="" textlink="">
          <xdr:nvSpPr>
            <xdr:cNvPr id="2056" name="Hero2Level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838200</xdr:colOff>
      <xdr:row>12</xdr:row>
      <xdr:rowOff>53340</xdr:rowOff>
    </xdr:from>
    <xdr:to>
      <xdr:col>1</xdr:col>
      <xdr:colOff>922020</xdr:colOff>
      <xdr:row>17</xdr:row>
      <xdr:rowOff>178935</xdr:rowOff>
    </xdr:to>
    <xdr:sp macro="" textlink="">
      <xdr:nvSpPr>
        <xdr:cNvPr id="28" name="Hero2Model">
          <a:extLst>
            <a:ext uri="{FF2B5EF4-FFF2-40B4-BE49-F238E27FC236}">
              <a16:creationId xmlns:a16="http://schemas.microsoft.com/office/drawing/2014/main" id="{846925E8-A77C-4F47-A46B-ECE6026DF79B}"/>
            </a:ext>
          </a:extLst>
        </xdr:cNvPr>
        <xdr:cNvSpPr/>
      </xdr:nvSpPr>
      <xdr:spPr>
        <a:xfrm>
          <a:off x="838200" y="2484120"/>
          <a:ext cx="1028700" cy="1131435"/>
        </a:xfrm>
        <a:prstGeom prst="rect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/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0</xdr:colOff>
      <xdr:row>7</xdr:row>
      <xdr:rowOff>7620</xdr:rowOff>
    </xdr:from>
    <xdr:to>
      <xdr:col>13</xdr:col>
      <xdr:colOff>937260</xdr:colOff>
      <xdr:row>7</xdr:row>
      <xdr:rowOff>190500</xdr:rowOff>
    </xdr:to>
    <xdr:sp macro="" textlink="">
      <xdr:nvSpPr>
        <xdr:cNvPr id="30" name="矩形 29">
          <a:extLst>
            <a:ext uri="{FF2B5EF4-FFF2-40B4-BE49-F238E27FC236}">
              <a16:creationId xmlns:a16="http://schemas.microsoft.com/office/drawing/2014/main" id="{BBDA63F9-6129-4A20-B743-ECEAFA40EB8F}"/>
            </a:ext>
          </a:extLst>
        </xdr:cNvPr>
        <xdr:cNvSpPr/>
      </xdr:nvSpPr>
      <xdr:spPr>
        <a:xfrm>
          <a:off x="944880" y="1409700"/>
          <a:ext cx="937260" cy="18288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13</xdr:col>
      <xdr:colOff>0</xdr:colOff>
      <xdr:row>7</xdr:row>
      <xdr:rowOff>15240</xdr:rowOff>
    </xdr:from>
    <xdr:to>
      <xdr:col>14</xdr:col>
      <xdr:colOff>1270</xdr:colOff>
      <xdr:row>8</xdr:row>
      <xdr:rowOff>0</xdr:rowOff>
    </xdr:to>
    <xdr:sp macro="" textlink="">
      <xdr:nvSpPr>
        <xdr:cNvPr id="31" name="Enemy1HpBox">
          <a:extLst>
            <a:ext uri="{FF2B5EF4-FFF2-40B4-BE49-F238E27FC236}">
              <a16:creationId xmlns:a16="http://schemas.microsoft.com/office/drawing/2014/main" id="{98074FFF-DB8F-46F4-AC0A-ECC4C47B6950}"/>
            </a:ext>
          </a:extLst>
        </xdr:cNvPr>
        <xdr:cNvSpPr/>
      </xdr:nvSpPr>
      <xdr:spPr>
        <a:xfrm>
          <a:off x="12283440" y="1432560"/>
          <a:ext cx="946150" cy="182880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937260</xdr:colOff>
      <xdr:row>7</xdr:row>
      <xdr:rowOff>22860</xdr:rowOff>
    </xdr:from>
    <xdr:to>
      <xdr:col>14</xdr:col>
      <xdr:colOff>15240</xdr:colOff>
      <xdr:row>8</xdr:row>
      <xdr:rowOff>1481</xdr:rowOff>
    </xdr:to>
    <xdr:sp macro="" textlink="">
      <xdr:nvSpPr>
        <xdr:cNvPr id="32" name="Enemy1HpString">
          <a:extLst>
            <a:ext uri="{FF2B5EF4-FFF2-40B4-BE49-F238E27FC236}">
              <a16:creationId xmlns:a16="http://schemas.microsoft.com/office/drawing/2014/main" id="{2F212B29-3C7F-42DE-B59B-EBFDC5C780A8}"/>
            </a:ext>
          </a:extLst>
        </xdr:cNvPr>
        <xdr:cNvSpPr/>
      </xdr:nvSpPr>
      <xdr:spPr>
        <a:xfrm>
          <a:off x="937260" y="1424940"/>
          <a:ext cx="967740" cy="1767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200/200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13</xdr:col>
      <xdr:colOff>937260</xdr:colOff>
      <xdr:row>8</xdr:row>
      <xdr:rowOff>182880</xdr:rowOff>
    </xdr:to>
    <xdr:sp macro="" textlink="">
      <xdr:nvSpPr>
        <xdr:cNvPr id="33" name="Enemy1MpBox">
          <a:extLst>
            <a:ext uri="{FF2B5EF4-FFF2-40B4-BE49-F238E27FC236}">
              <a16:creationId xmlns:a16="http://schemas.microsoft.com/office/drawing/2014/main" id="{8E779A42-0EF8-4605-9BCD-30956C342D26}"/>
            </a:ext>
          </a:extLst>
        </xdr:cNvPr>
        <xdr:cNvSpPr/>
      </xdr:nvSpPr>
      <xdr:spPr>
        <a:xfrm>
          <a:off x="944880" y="1600200"/>
          <a:ext cx="937260" cy="18288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929640</xdr:colOff>
      <xdr:row>7</xdr:row>
      <xdr:rowOff>182880</xdr:rowOff>
    </xdr:from>
    <xdr:to>
      <xdr:col>14</xdr:col>
      <xdr:colOff>30480</xdr:colOff>
      <xdr:row>9</xdr:row>
      <xdr:rowOff>1481</xdr:rowOff>
    </xdr:to>
    <xdr:sp macro="" textlink="">
      <xdr:nvSpPr>
        <xdr:cNvPr id="34" name="Enemy1MpString">
          <a:extLst>
            <a:ext uri="{FF2B5EF4-FFF2-40B4-BE49-F238E27FC236}">
              <a16:creationId xmlns:a16="http://schemas.microsoft.com/office/drawing/2014/main" id="{8FBD1ED7-57D4-4929-894C-AC9EC38EC5FF}"/>
            </a:ext>
          </a:extLst>
        </xdr:cNvPr>
        <xdr:cNvSpPr/>
      </xdr:nvSpPr>
      <xdr:spPr>
        <a:xfrm>
          <a:off x="929640" y="1584960"/>
          <a:ext cx="990600" cy="2148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100/100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937260</xdr:colOff>
      <xdr:row>9</xdr:row>
      <xdr:rowOff>0</xdr:rowOff>
    </xdr:from>
    <xdr:to>
      <xdr:col>13</xdr:col>
      <xdr:colOff>937260</xdr:colOff>
      <xdr:row>9</xdr:row>
      <xdr:rowOff>190500</xdr:rowOff>
    </xdr:to>
    <xdr:sp macro="" textlink="">
      <xdr:nvSpPr>
        <xdr:cNvPr id="35" name="Enemy1LivingState">
          <a:extLst>
            <a:ext uri="{FF2B5EF4-FFF2-40B4-BE49-F238E27FC236}">
              <a16:creationId xmlns:a16="http://schemas.microsoft.com/office/drawing/2014/main" id="{2ED75C87-1217-4DF5-8986-8ACD2A4450DA}"/>
            </a:ext>
          </a:extLst>
        </xdr:cNvPr>
        <xdr:cNvSpPr/>
      </xdr:nvSpPr>
      <xdr:spPr>
        <a:xfrm>
          <a:off x="12275820" y="1813560"/>
          <a:ext cx="944880" cy="190500"/>
        </a:xfrm>
        <a:prstGeom prst="rect">
          <a:avLst/>
        </a:prstGeom>
        <a:solidFill>
          <a:srgbClr val="A9D18E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n-US" altLang="zh-CN" sz="1100" b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Alive</a:t>
          </a:r>
          <a:endParaRPr lang="zh-CN" altLang="en-US" sz="1100" b="0">
            <a:solidFill>
              <a:schemeClr val="accent6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937260</xdr:colOff>
          <xdr:row>1</xdr:row>
          <xdr:rowOff>190500</xdr:rowOff>
        </xdr:from>
        <xdr:to>
          <xdr:col>13</xdr:col>
          <xdr:colOff>937260</xdr:colOff>
          <xdr:row>2</xdr:row>
          <xdr:rowOff>182880</xdr:rowOff>
        </xdr:to>
        <xdr:sp macro="" textlink="">
          <xdr:nvSpPr>
            <xdr:cNvPr id="2059" name="Enemy1Nam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937260</xdr:colOff>
          <xdr:row>2</xdr:row>
          <xdr:rowOff>0</xdr:rowOff>
        </xdr:from>
        <xdr:to>
          <xdr:col>12</xdr:col>
          <xdr:colOff>937260</xdr:colOff>
          <xdr:row>2</xdr:row>
          <xdr:rowOff>198120</xdr:rowOff>
        </xdr:to>
        <xdr:sp macro="" textlink="">
          <xdr:nvSpPr>
            <xdr:cNvPr id="2060" name="Drop Dow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17</xdr:row>
      <xdr:rowOff>7620</xdr:rowOff>
    </xdr:from>
    <xdr:to>
      <xdr:col>13</xdr:col>
      <xdr:colOff>937260</xdr:colOff>
      <xdr:row>17</xdr:row>
      <xdr:rowOff>190500</xdr:rowOff>
    </xdr:to>
    <xdr:sp macro="" textlink="">
      <xdr:nvSpPr>
        <xdr:cNvPr id="37" name="矩形 36">
          <a:extLst>
            <a:ext uri="{FF2B5EF4-FFF2-40B4-BE49-F238E27FC236}">
              <a16:creationId xmlns:a16="http://schemas.microsoft.com/office/drawing/2014/main" id="{D41F36F2-5D06-487A-9D03-B9070FC2CBC0}"/>
            </a:ext>
          </a:extLst>
        </xdr:cNvPr>
        <xdr:cNvSpPr/>
      </xdr:nvSpPr>
      <xdr:spPr>
        <a:xfrm>
          <a:off x="8503920" y="1409700"/>
          <a:ext cx="937260" cy="18288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13</xdr:col>
      <xdr:colOff>0</xdr:colOff>
      <xdr:row>17</xdr:row>
      <xdr:rowOff>15240</xdr:rowOff>
    </xdr:from>
    <xdr:to>
      <xdr:col>14</xdr:col>
      <xdr:colOff>1270</xdr:colOff>
      <xdr:row>18</xdr:row>
      <xdr:rowOff>0</xdr:rowOff>
    </xdr:to>
    <xdr:sp macro="" textlink="">
      <xdr:nvSpPr>
        <xdr:cNvPr id="38" name="Enemy2HpBox">
          <a:extLst>
            <a:ext uri="{FF2B5EF4-FFF2-40B4-BE49-F238E27FC236}">
              <a16:creationId xmlns:a16="http://schemas.microsoft.com/office/drawing/2014/main" id="{DCE52692-D20A-4F80-AA43-8126F94FF89F}"/>
            </a:ext>
          </a:extLst>
        </xdr:cNvPr>
        <xdr:cNvSpPr/>
      </xdr:nvSpPr>
      <xdr:spPr>
        <a:xfrm>
          <a:off x="12283440" y="3451860"/>
          <a:ext cx="946150" cy="182880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937260</xdr:colOff>
      <xdr:row>17</xdr:row>
      <xdr:rowOff>22860</xdr:rowOff>
    </xdr:from>
    <xdr:to>
      <xdr:col>14</xdr:col>
      <xdr:colOff>15240</xdr:colOff>
      <xdr:row>18</xdr:row>
      <xdr:rowOff>1481</xdr:rowOff>
    </xdr:to>
    <xdr:sp macro="" textlink="">
      <xdr:nvSpPr>
        <xdr:cNvPr id="39" name="Enemy2HpString">
          <a:extLst>
            <a:ext uri="{FF2B5EF4-FFF2-40B4-BE49-F238E27FC236}">
              <a16:creationId xmlns:a16="http://schemas.microsoft.com/office/drawing/2014/main" id="{24DF7578-3F2B-417D-B6AD-18AFC043A163}"/>
            </a:ext>
          </a:extLst>
        </xdr:cNvPr>
        <xdr:cNvSpPr/>
      </xdr:nvSpPr>
      <xdr:spPr>
        <a:xfrm>
          <a:off x="8496300" y="1424940"/>
          <a:ext cx="967740" cy="1767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200/200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18</xdr:row>
      <xdr:rowOff>0</xdr:rowOff>
    </xdr:from>
    <xdr:to>
      <xdr:col>13</xdr:col>
      <xdr:colOff>937260</xdr:colOff>
      <xdr:row>18</xdr:row>
      <xdr:rowOff>182880</xdr:rowOff>
    </xdr:to>
    <xdr:sp macro="" textlink="">
      <xdr:nvSpPr>
        <xdr:cNvPr id="40" name="Enemy2MpBox">
          <a:extLst>
            <a:ext uri="{FF2B5EF4-FFF2-40B4-BE49-F238E27FC236}">
              <a16:creationId xmlns:a16="http://schemas.microsoft.com/office/drawing/2014/main" id="{C32AB765-A7A5-4A29-8B2D-C6201ECCC254}"/>
            </a:ext>
          </a:extLst>
        </xdr:cNvPr>
        <xdr:cNvSpPr/>
      </xdr:nvSpPr>
      <xdr:spPr>
        <a:xfrm>
          <a:off x="8503920" y="1600200"/>
          <a:ext cx="937260" cy="18288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929640</xdr:colOff>
      <xdr:row>17</xdr:row>
      <xdr:rowOff>182880</xdr:rowOff>
    </xdr:from>
    <xdr:to>
      <xdr:col>14</xdr:col>
      <xdr:colOff>30480</xdr:colOff>
      <xdr:row>19</xdr:row>
      <xdr:rowOff>1481</xdr:rowOff>
    </xdr:to>
    <xdr:sp macro="" textlink="">
      <xdr:nvSpPr>
        <xdr:cNvPr id="41" name="Enemy2MpString">
          <a:extLst>
            <a:ext uri="{FF2B5EF4-FFF2-40B4-BE49-F238E27FC236}">
              <a16:creationId xmlns:a16="http://schemas.microsoft.com/office/drawing/2014/main" id="{938ABE69-4BC1-402B-A00D-C684825AD6F1}"/>
            </a:ext>
          </a:extLst>
        </xdr:cNvPr>
        <xdr:cNvSpPr/>
      </xdr:nvSpPr>
      <xdr:spPr>
        <a:xfrm>
          <a:off x="8488680" y="1584960"/>
          <a:ext cx="990600" cy="2148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100/100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937260</xdr:colOff>
          <xdr:row>11</xdr:row>
          <xdr:rowOff>190500</xdr:rowOff>
        </xdr:from>
        <xdr:to>
          <xdr:col>13</xdr:col>
          <xdr:colOff>937260</xdr:colOff>
          <xdr:row>12</xdr:row>
          <xdr:rowOff>190500</xdr:rowOff>
        </xdr:to>
        <xdr:sp macro="" textlink="">
          <xdr:nvSpPr>
            <xdr:cNvPr id="2061" name="Enemy2Nam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937260</xdr:colOff>
          <xdr:row>12</xdr:row>
          <xdr:rowOff>0</xdr:rowOff>
        </xdr:from>
        <xdr:to>
          <xdr:col>12</xdr:col>
          <xdr:colOff>937260</xdr:colOff>
          <xdr:row>12</xdr:row>
          <xdr:rowOff>198120</xdr:rowOff>
        </xdr:to>
        <xdr:sp macro="" textlink="">
          <xdr:nvSpPr>
            <xdr:cNvPr id="2062" name="Enemy2Level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883920</xdr:colOff>
      <xdr:row>2</xdr:row>
      <xdr:rowOff>68580</xdr:rowOff>
    </xdr:from>
    <xdr:to>
      <xdr:col>14</xdr:col>
      <xdr:colOff>76200</xdr:colOff>
      <xdr:row>7</xdr:row>
      <xdr:rowOff>192270</xdr:rowOff>
    </xdr:to>
    <xdr:sp macro="" textlink="">
      <xdr:nvSpPr>
        <xdr:cNvPr id="43" name="Enemy1Model">
          <a:extLst>
            <a:ext uri="{FF2B5EF4-FFF2-40B4-BE49-F238E27FC236}">
              <a16:creationId xmlns:a16="http://schemas.microsoft.com/office/drawing/2014/main" id="{2534D0CA-EBA3-4B6E-9570-175D7CE2D766}"/>
            </a:ext>
          </a:extLst>
        </xdr:cNvPr>
        <xdr:cNvSpPr/>
      </xdr:nvSpPr>
      <xdr:spPr>
        <a:xfrm>
          <a:off x="12222480" y="480060"/>
          <a:ext cx="1082040" cy="112953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/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914400</xdr:colOff>
      <xdr:row>12</xdr:row>
      <xdr:rowOff>53340</xdr:rowOff>
    </xdr:from>
    <xdr:to>
      <xdr:col>14</xdr:col>
      <xdr:colOff>53340</xdr:colOff>
      <xdr:row>17</xdr:row>
      <xdr:rowOff>138930</xdr:rowOff>
    </xdr:to>
    <xdr:sp macro="" textlink="">
      <xdr:nvSpPr>
        <xdr:cNvPr id="44" name="Enemy2Model">
          <a:extLst>
            <a:ext uri="{FF2B5EF4-FFF2-40B4-BE49-F238E27FC236}">
              <a16:creationId xmlns:a16="http://schemas.microsoft.com/office/drawing/2014/main" id="{5BC49299-30AF-4F1E-9BB8-A234842116B9}"/>
            </a:ext>
          </a:extLst>
        </xdr:cNvPr>
        <xdr:cNvSpPr/>
      </xdr:nvSpPr>
      <xdr:spPr>
        <a:xfrm>
          <a:off x="12252960" y="2484120"/>
          <a:ext cx="1028700" cy="109143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/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7620</xdr:colOff>
      <xdr:row>18</xdr:row>
      <xdr:rowOff>190500</xdr:rowOff>
    </xdr:from>
    <xdr:to>
      <xdr:col>14</xdr:col>
      <xdr:colOff>7620</xdr:colOff>
      <xdr:row>19</xdr:row>
      <xdr:rowOff>182880</xdr:rowOff>
    </xdr:to>
    <xdr:sp macro="" textlink="">
      <xdr:nvSpPr>
        <xdr:cNvPr id="45" name="Enemy2LivingState">
          <a:extLst>
            <a:ext uri="{FF2B5EF4-FFF2-40B4-BE49-F238E27FC236}">
              <a16:creationId xmlns:a16="http://schemas.microsoft.com/office/drawing/2014/main" id="{6D183314-6A66-4628-81D3-D36730F47193}"/>
            </a:ext>
          </a:extLst>
        </xdr:cNvPr>
        <xdr:cNvSpPr/>
      </xdr:nvSpPr>
      <xdr:spPr>
        <a:xfrm>
          <a:off x="12291060" y="3825240"/>
          <a:ext cx="944880" cy="190500"/>
        </a:xfrm>
        <a:prstGeom prst="rect">
          <a:avLst/>
        </a:prstGeom>
        <a:solidFill>
          <a:srgbClr val="A9D18E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Alive</a:t>
          </a:r>
          <a:endParaRPr lang="zh-CN" altLang="en-US" sz="1100" b="0">
            <a:solidFill>
              <a:schemeClr val="accent6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937260</xdr:colOff>
          <xdr:row>2</xdr:row>
          <xdr:rowOff>0</xdr:rowOff>
        </xdr:from>
        <xdr:to>
          <xdr:col>12</xdr:col>
          <xdr:colOff>937260</xdr:colOff>
          <xdr:row>2</xdr:row>
          <xdr:rowOff>198120</xdr:rowOff>
        </xdr:to>
        <xdr:sp macro="" textlink="">
          <xdr:nvSpPr>
            <xdr:cNvPr id="2064" name="Enemy1Level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21</xdr:row>
          <xdr:rowOff>7620</xdr:rowOff>
        </xdr:from>
        <xdr:to>
          <xdr:col>1</xdr:col>
          <xdr:colOff>929640</xdr:colOff>
          <xdr:row>22</xdr:row>
          <xdr:rowOff>190500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开始战斗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21</xdr:row>
          <xdr:rowOff>7620</xdr:rowOff>
        </xdr:from>
        <xdr:to>
          <xdr:col>2</xdr:col>
          <xdr:colOff>929640</xdr:colOff>
          <xdr:row>22</xdr:row>
          <xdr:rowOff>190500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快速战斗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20"/>
  <sheetViews>
    <sheetView tabSelected="1" workbookViewId="0">
      <selection activeCell="E6" sqref="E6"/>
    </sheetView>
  </sheetViews>
  <sheetFormatPr defaultColWidth="13.77734375" defaultRowHeight="15.6" x14ac:dyDescent="0.25"/>
  <cols>
    <col min="1" max="16384" width="13.77734375" style="4"/>
  </cols>
  <sheetData>
    <row r="1" spans="2:14" ht="16.2" thickBot="1" x14ac:dyDescent="0.3"/>
    <row r="2" spans="2:14" ht="16.2" x14ac:dyDescent="0.25">
      <c r="B2" s="20" t="s">
        <v>38</v>
      </c>
      <c r="C2" s="22" t="s">
        <v>42</v>
      </c>
      <c r="D2" s="50" t="s">
        <v>52</v>
      </c>
      <c r="E2" s="46" t="s">
        <v>53</v>
      </c>
      <c r="F2" s="52" t="s">
        <v>45</v>
      </c>
      <c r="G2" s="52"/>
      <c r="H2" s="52"/>
      <c r="I2" s="52"/>
      <c r="J2" s="52"/>
      <c r="K2" s="44" t="s">
        <v>53</v>
      </c>
      <c r="L2" s="50" t="s">
        <v>51</v>
      </c>
      <c r="M2" s="22" t="s">
        <v>42</v>
      </c>
      <c r="N2" s="23" t="s">
        <v>39</v>
      </c>
    </row>
    <row r="3" spans="2:14" ht="16.2" customHeight="1" thickBot="1" x14ac:dyDescent="0.3">
      <c r="B3" s="24"/>
      <c r="C3" s="21"/>
      <c r="D3" s="56"/>
      <c r="E3" s="47"/>
      <c r="F3" s="53"/>
      <c r="G3" s="53"/>
      <c r="H3" s="53"/>
      <c r="I3" s="53"/>
      <c r="J3" s="53"/>
      <c r="K3" s="45"/>
      <c r="L3" s="51"/>
      <c r="M3" s="15"/>
      <c r="N3" s="28"/>
    </row>
    <row r="4" spans="2:14" x14ac:dyDescent="0.25">
      <c r="B4" s="6"/>
      <c r="C4" s="18" t="s">
        <v>18</v>
      </c>
      <c r="D4" s="17">
        <v>20</v>
      </c>
      <c r="E4" s="16"/>
      <c r="F4" s="39"/>
      <c r="G4" s="34"/>
      <c r="H4" s="34"/>
      <c r="I4" s="34"/>
      <c r="J4" s="35"/>
      <c r="K4" s="31"/>
      <c r="L4" s="29">
        <v>30</v>
      </c>
      <c r="M4" s="30" t="s">
        <v>18</v>
      </c>
      <c r="N4" s="5"/>
    </row>
    <row r="5" spans="2:14" x14ac:dyDescent="0.25">
      <c r="B5" s="6"/>
      <c r="C5" s="14" t="s">
        <v>43</v>
      </c>
      <c r="D5" s="13">
        <v>0</v>
      </c>
      <c r="E5" s="19"/>
      <c r="F5" s="40"/>
      <c r="G5" s="33"/>
      <c r="H5" s="33"/>
      <c r="I5" s="33"/>
      <c r="J5" s="36"/>
      <c r="K5" s="14"/>
      <c r="L5" s="10">
        <v>5</v>
      </c>
      <c r="M5" s="19" t="s">
        <v>43</v>
      </c>
      <c r="N5" s="6"/>
    </row>
    <row r="6" spans="2:14" x14ac:dyDescent="0.25">
      <c r="B6" s="6"/>
      <c r="C6" s="14" t="s">
        <v>21</v>
      </c>
      <c r="D6" s="13">
        <v>0.1</v>
      </c>
      <c r="E6" s="19"/>
      <c r="F6" s="40"/>
      <c r="G6" s="33"/>
      <c r="H6" s="33"/>
      <c r="I6" s="33"/>
      <c r="J6" s="36"/>
      <c r="K6" s="14"/>
      <c r="L6" s="10">
        <v>0</v>
      </c>
      <c r="M6" s="19" t="s">
        <v>21</v>
      </c>
      <c r="N6" s="6"/>
    </row>
    <row r="7" spans="2:14" ht="16.2" thickBot="1" x14ac:dyDescent="0.3">
      <c r="B7" s="7"/>
      <c r="C7" s="14" t="s">
        <v>22</v>
      </c>
      <c r="D7" s="13">
        <v>0.05</v>
      </c>
      <c r="E7" s="19"/>
      <c r="F7" s="40"/>
      <c r="G7" s="33"/>
      <c r="H7" s="33"/>
      <c r="I7" s="33"/>
      <c r="J7" s="36"/>
      <c r="K7" s="14"/>
      <c r="L7" s="10">
        <v>0</v>
      </c>
      <c r="M7" s="19" t="s">
        <v>22</v>
      </c>
      <c r="N7" s="7"/>
    </row>
    <row r="8" spans="2:14" x14ac:dyDescent="0.25">
      <c r="B8" s="8"/>
      <c r="C8" s="10" t="s">
        <v>46</v>
      </c>
      <c r="D8" s="19">
        <v>0</v>
      </c>
      <c r="E8" s="19"/>
      <c r="F8" s="40"/>
      <c r="G8" s="33"/>
      <c r="H8" s="33"/>
      <c r="I8" s="33"/>
      <c r="J8" s="36"/>
      <c r="K8" s="14"/>
      <c r="L8" s="10">
        <v>0</v>
      </c>
      <c r="M8" s="10" t="s">
        <v>46</v>
      </c>
      <c r="N8" s="11"/>
    </row>
    <row r="9" spans="2:14" x14ac:dyDescent="0.25">
      <c r="B9" s="8"/>
      <c r="C9" s="10" t="s">
        <v>48</v>
      </c>
      <c r="D9" s="19">
        <v>0</v>
      </c>
      <c r="E9" s="19"/>
      <c r="F9" s="40"/>
      <c r="G9" s="33"/>
      <c r="H9" s="33"/>
      <c r="I9" s="33"/>
      <c r="J9" s="36"/>
      <c r="K9" s="14"/>
      <c r="L9" s="10">
        <v>0</v>
      </c>
      <c r="M9" s="10" t="s">
        <v>48</v>
      </c>
      <c r="N9" s="11"/>
    </row>
    <row r="10" spans="2:14" ht="16.2" thickBot="1" x14ac:dyDescent="0.3">
      <c r="B10" s="9"/>
      <c r="C10" s="21" t="s">
        <v>64</v>
      </c>
      <c r="D10" s="25">
        <v>0</v>
      </c>
      <c r="E10" s="25"/>
      <c r="F10" s="40"/>
      <c r="G10" s="33"/>
      <c r="H10" s="33"/>
      <c r="I10" s="33"/>
      <c r="J10" s="36"/>
      <c r="K10" s="32"/>
      <c r="L10" s="21">
        <v>0</v>
      </c>
      <c r="M10" s="21" t="s">
        <v>63</v>
      </c>
      <c r="N10" s="12"/>
    </row>
    <row r="11" spans="2:14" ht="16.2" thickBot="1" x14ac:dyDescent="0.3">
      <c r="B11" s="54"/>
      <c r="C11" s="55"/>
      <c r="D11" s="55"/>
      <c r="E11" s="55"/>
      <c r="F11" s="40"/>
      <c r="G11" s="33"/>
      <c r="H11" s="33"/>
      <c r="I11" s="33"/>
      <c r="J11" s="36"/>
      <c r="K11" s="57"/>
      <c r="L11" s="57"/>
      <c r="M11" s="57"/>
      <c r="N11" s="58"/>
    </row>
    <row r="12" spans="2:14" ht="16.2" x14ac:dyDescent="0.25">
      <c r="B12" s="20" t="s">
        <v>44</v>
      </c>
      <c r="C12" s="22" t="s">
        <v>42</v>
      </c>
      <c r="D12" s="50" t="s">
        <v>52</v>
      </c>
      <c r="E12" s="48" t="s">
        <v>53</v>
      </c>
      <c r="F12" s="40"/>
      <c r="G12" s="33"/>
      <c r="H12" s="33"/>
      <c r="I12" s="33"/>
      <c r="J12" s="36"/>
      <c r="K12" s="42" t="s">
        <v>53</v>
      </c>
      <c r="L12" s="50" t="s">
        <v>51</v>
      </c>
      <c r="M12" s="22" t="s">
        <v>42</v>
      </c>
      <c r="N12" s="23" t="s">
        <v>47</v>
      </c>
    </row>
    <row r="13" spans="2:14" ht="16.2" customHeight="1" thickBot="1" x14ac:dyDescent="0.3">
      <c r="B13" s="9"/>
      <c r="C13" s="26"/>
      <c r="D13" s="56"/>
      <c r="E13" s="49"/>
      <c r="F13" s="40"/>
      <c r="G13" s="33"/>
      <c r="H13" s="33"/>
      <c r="I13" s="33"/>
      <c r="J13" s="36"/>
      <c r="K13" s="43"/>
      <c r="L13" s="51"/>
      <c r="M13" s="15"/>
      <c r="N13" s="28"/>
    </row>
    <row r="14" spans="2:14" x14ac:dyDescent="0.25">
      <c r="B14" s="6"/>
      <c r="C14" s="27" t="s">
        <v>18</v>
      </c>
      <c r="D14" s="16">
        <v>10</v>
      </c>
      <c r="E14" s="16"/>
      <c r="F14" s="40"/>
      <c r="G14" s="33"/>
      <c r="H14" s="33"/>
      <c r="I14" s="33"/>
      <c r="J14" s="36"/>
      <c r="K14" s="31"/>
      <c r="L14" s="29">
        <v>15</v>
      </c>
      <c r="M14" s="29" t="s">
        <v>18</v>
      </c>
      <c r="N14" s="5"/>
    </row>
    <row r="15" spans="2:14" x14ac:dyDescent="0.25">
      <c r="B15" s="6"/>
      <c r="C15" s="10" t="s">
        <v>43</v>
      </c>
      <c r="D15" s="19">
        <v>0</v>
      </c>
      <c r="E15" s="19"/>
      <c r="F15" s="40"/>
      <c r="G15" s="33"/>
      <c r="H15" s="33"/>
      <c r="I15" s="33"/>
      <c r="J15" s="36"/>
      <c r="K15" s="14"/>
      <c r="L15" s="10">
        <v>10</v>
      </c>
      <c r="M15" s="10" t="s">
        <v>43</v>
      </c>
      <c r="N15" s="6"/>
    </row>
    <row r="16" spans="2:14" x14ac:dyDescent="0.25">
      <c r="B16" s="6"/>
      <c r="C16" s="10" t="s">
        <v>21</v>
      </c>
      <c r="D16" s="19">
        <v>0</v>
      </c>
      <c r="E16" s="19"/>
      <c r="F16" s="40"/>
      <c r="G16" s="33"/>
      <c r="H16" s="33"/>
      <c r="I16" s="33"/>
      <c r="J16" s="36"/>
      <c r="K16" s="14"/>
      <c r="L16" s="10">
        <v>0</v>
      </c>
      <c r="M16" s="10" t="s">
        <v>21</v>
      </c>
      <c r="N16" s="6"/>
    </row>
    <row r="17" spans="2:14" ht="16.2" thickBot="1" x14ac:dyDescent="0.3">
      <c r="B17" s="7"/>
      <c r="C17" s="10" t="s">
        <v>22</v>
      </c>
      <c r="D17" s="19">
        <v>0</v>
      </c>
      <c r="E17" s="19"/>
      <c r="F17" s="40"/>
      <c r="G17" s="33"/>
      <c r="H17" s="33"/>
      <c r="I17" s="33"/>
      <c r="J17" s="36"/>
      <c r="K17" s="14"/>
      <c r="L17" s="10">
        <v>0</v>
      </c>
      <c r="M17" s="10" t="s">
        <v>22</v>
      </c>
      <c r="N17" s="7"/>
    </row>
    <row r="18" spans="2:14" x14ac:dyDescent="0.25">
      <c r="B18" s="8"/>
      <c r="C18" s="10" t="s">
        <v>46</v>
      </c>
      <c r="D18" s="19">
        <v>0</v>
      </c>
      <c r="E18" s="19"/>
      <c r="F18" s="40"/>
      <c r="G18" s="33"/>
      <c r="H18" s="33"/>
      <c r="I18" s="33"/>
      <c r="J18" s="36"/>
      <c r="K18" s="14"/>
      <c r="L18" s="10">
        <v>0</v>
      </c>
      <c r="M18" s="10" t="s">
        <v>46</v>
      </c>
      <c r="N18" s="11"/>
    </row>
    <row r="19" spans="2:14" x14ac:dyDescent="0.25">
      <c r="B19" s="8"/>
      <c r="C19" s="10" t="s">
        <v>48</v>
      </c>
      <c r="D19" s="19">
        <v>0</v>
      </c>
      <c r="E19" s="19"/>
      <c r="F19" s="40"/>
      <c r="G19" s="33"/>
      <c r="H19" s="33"/>
      <c r="I19" s="33"/>
      <c r="J19" s="36"/>
      <c r="K19" s="14"/>
      <c r="L19" s="10">
        <v>0</v>
      </c>
      <c r="M19" s="10" t="s">
        <v>48</v>
      </c>
      <c r="N19" s="11"/>
    </row>
    <row r="20" spans="2:14" ht="16.2" thickBot="1" x14ac:dyDescent="0.3">
      <c r="B20" s="9"/>
      <c r="C20" s="21" t="s">
        <v>63</v>
      </c>
      <c r="D20" s="25">
        <v>0</v>
      </c>
      <c r="E20" s="25"/>
      <c r="F20" s="41"/>
      <c r="G20" s="37"/>
      <c r="H20" s="37"/>
      <c r="I20" s="37"/>
      <c r="J20" s="38"/>
      <c r="K20" s="32"/>
      <c r="L20" s="21">
        <v>0</v>
      </c>
      <c r="M20" s="21" t="s">
        <v>63</v>
      </c>
      <c r="N20" s="12"/>
    </row>
  </sheetData>
  <mergeCells count="11">
    <mergeCell ref="K12:K13"/>
    <mergeCell ref="K2:K3"/>
    <mergeCell ref="E2:E3"/>
    <mergeCell ref="E12:E13"/>
    <mergeCell ref="L2:L3"/>
    <mergeCell ref="L12:L13"/>
    <mergeCell ref="F2:J3"/>
    <mergeCell ref="B11:E11"/>
    <mergeCell ref="D2:D3"/>
    <mergeCell ref="D12:D13"/>
    <mergeCell ref="K11:N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Hero1Name">
              <controlPr defaultSize="0" autoLine="0" autoPict="0" macro="[0]!Sheet1.Hero1Name_Change">
                <anchor moveWithCells="1">
                  <from>
                    <xdr:col>0</xdr:col>
                    <xdr:colOff>937260</xdr:colOff>
                    <xdr:row>1</xdr:row>
                    <xdr:rowOff>190500</xdr:rowOff>
                  </from>
                  <to>
                    <xdr:col>1</xdr:col>
                    <xdr:colOff>937260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Hero1Level">
              <controlPr defaultSize="0" autoLine="0" autoPict="0" macro="[0]!Sheet1.Hero1LevelChange">
                <anchor moveWithCells="1">
                  <from>
                    <xdr:col>1</xdr:col>
                    <xdr:colOff>937260</xdr:colOff>
                    <xdr:row>2</xdr:row>
                    <xdr:rowOff>0</xdr:rowOff>
                  </from>
                  <to>
                    <xdr:col>2</xdr:col>
                    <xdr:colOff>937260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Hero2Name">
              <controlPr defaultSize="0" autoLine="0" autoPict="0" macro="[0]!Sheet1.Hero1Name_Change">
                <anchor moveWithCells="1">
                  <from>
                    <xdr:col>0</xdr:col>
                    <xdr:colOff>937260</xdr:colOff>
                    <xdr:row>11</xdr:row>
                    <xdr:rowOff>190500</xdr:rowOff>
                  </from>
                  <to>
                    <xdr:col>1</xdr:col>
                    <xdr:colOff>937260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Hero2Level">
              <controlPr defaultSize="0" autoLine="0" autoPict="0" macro="[0]!Sheet1.Hero2Level_Change">
                <anchor moveWithCells="1">
                  <from>
                    <xdr:col>1</xdr:col>
                    <xdr:colOff>937260</xdr:colOff>
                    <xdr:row>12</xdr:row>
                    <xdr:rowOff>0</xdr:rowOff>
                  </from>
                  <to>
                    <xdr:col>2</xdr:col>
                    <xdr:colOff>937260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Enemy1Name">
              <controlPr defaultSize="0" autoLine="0" autoPict="0" macro="[0]!Sheet1.Enemy1Level_Change">
                <anchor moveWithCells="1">
                  <from>
                    <xdr:col>12</xdr:col>
                    <xdr:colOff>937260</xdr:colOff>
                    <xdr:row>1</xdr:row>
                    <xdr:rowOff>190500</xdr:rowOff>
                  </from>
                  <to>
                    <xdr:col>13</xdr:col>
                    <xdr:colOff>937260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Drop Down 12">
              <controlPr defaultSize="0" autoLine="0" autoPict="0">
                <anchor moveWithCells="1">
                  <from>
                    <xdr:col>11</xdr:col>
                    <xdr:colOff>937260</xdr:colOff>
                    <xdr:row>2</xdr:row>
                    <xdr:rowOff>0</xdr:rowOff>
                  </from>
                  <to>
                    <xdr:col>12</xdr:col>
                    <xdr:colOff>937260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Enemy2Name">
              <controlPr defaultSize="0" autoLine="0" autoPict="0" macro="[0]!Sheet1.Enemy2Name_Change">
                <anchor moveWithCells="1">
                  <from>
                    <xdr:col>12</xdr:col>
                    <xdr:colOff>937260</xdr:colOff>
                    <xdr:row>11</xdr:row>
                    <xdr:rowOff>190500</xdr:rowOff>
                  </from>
                  <to>
                    <xdr:col>13</xdr:col>
                    <xdr:colOff>937260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Enemy2Level">
              <controlPr defaultSize="0" autoLine="0" autoPict="0" macro="[0]!Sheet1.Enemy2Level_Change">
                <anchor moveWithCells="1">
                  <from>
                    <xdr:col>11</xdr:col>
                    <xdr:colOff>937260</xdr:colOff>
                    <xdr:row>12</xdr:row>
                    <xdr:rowOff>0</xdr:rowOff>
                  </from>
                  <to>
                    <xdr:col>12</xdr:col>
                    <xdr:colOff>937260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Enemy1Level">
              <controlPr defaultSize="0" autoLine="0" autoPict="0" macro="[0]!Sheet1.Enemy1Name_Change">
                <anchor moveWithCells="1">
                  <from>
                    <xdr:col>11</xdr:col>
                    <xdr:colOff>937260</xdr:colOff>
                    <xdr:row>2</xdr:row>
                    <xdr:rowOff>0</xdr:rowOff>
                  </from>
                  <to>
                    <xdr:col>12</xdr:col>
                    <xdr:colOff>937260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3" name="Button 17">
              <controlPr defaultSize="0" print="0" autoFill="0" autoPict="0" macro="[0]!FightSystem">
                <anchor moveWithCells="1" sizeWithCells="1">
                  <from>
                    <xdr:col>1</xdr:col>
                    <xdr:colOff>7620</xdr:colOff>
                    <xdr:row>21</xdr:row>
                    <xdr:rowOff>7620</xdr:rowOff>
                  </from>
                  <to>
                    <xdr:col>1</xdr:col>
                    <xdr:colOff>929640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InitData">
                <anchor moveWithCells="1" sizeWithCells="1">
                  <from>
                    <xdr:col>2</xdr:col>
                    <xdr:colOff>7620</xdr:colOff>
                    <xdr:row>21</xdr:row>
                    <xdr:rowOff>7620</xdr:rowOff>
                  </from>
                  <to>
                    <xdr:col>2</xdr:col>
                    <xdr:colOff>929640</xdr:colOff>
                    <xdr:row>22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BDA4A-0F43-4246-811C-DCD7807FB72D}">
  <sheetPr codeName="Sheet2"/>
  <dimension ref="A1:L53"/>
  <sheetViews>
    <sheetView workbookViewId="0">
      <selection activeCell="B26" sqref="B26"/>
    </sheetView>
  </sheetViews>
  <sheetFormatPr defaultColWidth="13.77734375" defaultRowHeight="15.6" x14ac:dyDescent="0.35"/>
  <cols>
    <col min="1" max="6" width="13.77734375" style="1"/>
    <col min="7" max="7" width="13.88671875" style="1" customWidth="1"/>
    <col min="8" max="16384" width="13.77734375" style="1"/>
  </cols>
  <sheetData>
    <row r="1" spans="1:12" ht="16.2" x14ac:dyDescent="0.4">
      <c r="A1" s="3" t="s">
        <v>13</v>
      </c>
      <c r="B1" s="3" t="s">
        <v>14</v>
      </c>
      <c r="C1" s="3" t="s">
        <v>15</v>
      </c>
      <c r="D1" s="3" t="s">
        <v>16</v>
      </c>
      <c r="E1" s="3" t="s">
        <v>17</v>
      </c>
      <c r="F1" s="3" t="s">
        <v>40</v>
      </c>
      <c r="G1" s="3" t="s">
        <v>18</v>
      </c>
      <c r="H1" s="3" t="s">
        <v>19</v>
      </c>
      <c r="I1" s="3" t="s">
        <v>21</v>
      </c>
      <c r="J1" s="3" t="s">
        <v>22</v>
      </c>
      <c r="K1" s="3" t="s">
        <v>20</v>
      </c>
      <c r="L1" s="3" t="s">
        <v>29</v>
      </c>
    </row>
    <row r="2" spans="1:12" ht="16.2" x14ac:dyDescent="0.4">
      <c r="A2" s="3" t="s">
        <v>5</v>
      </c>
      <c r="B2" s="3" t="s">
        <v>6</v>
      </c>
      <c r="C2" s="3" t="s">
        <v>7</v>
      </c>
      <c r="D2" s="3" t="s">
        <v>8</v>
      </c>
      <c r="E2" s="3" t="s">
        <v>9</v>
      </c>
      <c r="F2" s="3" t="s">
        <v>41</v>
      </c>
      <c r="G2" s="3" t="s">
        <v>10</v>
      </c>
      <c r="H2" s="3" t="s">
        <v>11</v>
      </c>
      <c r="I2" s="3" t="s">
        <v>61</v>
      </c>
      <c r="J2" s="3" t="s">
        <v>62</v>
      </c>
      <c r="K2" s="3" t="s">
        <v>12</v>
      </c>
      <c r="L2" s="3" t="s">
        <v>30</v>
      </c>
    </row>
    <row r="3" spans="1:12" x14ac:dyDescent="0.35">
      <c r="A3" s="2" t="s">
        <v>23</v>
      </c>
      <c r="B3" s="2" t="s">
        <v>24</v>
      </c>
      <c r="C3" s="2" t="s">
        <v>23</v>
      </c>
      <c r="D3" s="2" t="s">
        <v>23</v>
      </c>
      <c r="E3" s="2" t="s">
        <v>23</v>
      </c>
      <c r="F3" s="2" t="s">
        <v>23</v>
      </c>
      <c r="G3" s="2" t="s">
        <v>23</v>
      </c>
      <c r="H3" s="2" t="s">
        <v>23</v>
      </c>
      <c r="I3" s="2" t="s">
        <v>25</v>
      </c>
      <c r="J3" s="2" t="s">
        <v>25</v>
      </c>
      <c r="K3" s="2" t="s">
        <v>23</v>
      </c>
      <c r="L3" s="2" t="s">
        <v>30</v>
      </c>
    </row>
    <row r="4" spans="1:12" x14ac:dyDescent="0.35">
      <c r="A4" s="2">
        <v>1001</v>
      </c>
      <c r="B4" s="2" t="s">
        <v>26</v>
      </c>
      <c r="C4" s="2">
        <v>1</v>
      </c>
      <c r="D4" s="2">
        <v>1</v>
      </c>
      <c r="E4" s="2">
        <v>100</v>
      </c>
      <c r="F4" s="2">
        <v>100</v>
      </c>
      <c r="G4" s="2">
        <v>20</v>
      </c>
      <c r="H4" s="2">
        <v>0</v>
      </c>
      <c r="I4" s="2">
        <v>0.1</v>
      </c>
      <c r="J4" s="2">
        <v>0.05</v>
      </c>
      <c r="K4" s="2">
        <v>50</v>
      </c>
      <c r="L4" s="2" t="s">
        <v>31</v>
      </c>
    </row>
    <row r="5" spans="1:12" x14ac:dyDescent="0.35">
      <c r="A5" s="2">
        <v>1002</v>
      </c>
      <c r="B5" s="2" t="s">
        <v>26</v>
      </c>
      <c r="C5" s="2">
        <v>1</v>
      </c>
      <c r="D5" s="2">
        <v>2</v>
      </c>
      <c r="E5" s="2">
        <f t="shared" ref="E5:E13" si="0">ROUND(IF(C5=C4, E4+20, E4*1.2+20),0)</f>
        <v>120</v>
      </c>
      <c r="F5" s="2">
        <v>100</v>
      </c>
      <c r="G5" s="2">
        <f>ROUND(IF(C5=C4, G4+2, G4*1.2+2),0)</f>
        <v>22</v>
      </c>
      <c r="H5" s="2">
        <f>ROUND(IF(C5=C4, H4+0, H4*1.2+0),0)</f>
        <v>0</v>
      </c>
      <c r="I5" s="2">
        <f>I4</f>
        <v>0.1</v>
      </c>
      <c r="J5" s="2">
        <f>J4</f>
        <v>0.05</v>
      </c>
      <c r="K5" s="2">
        <f t="shared" ref="K5:K13" si="1">K4</f>
        <v>50</v>
      </c>
      <c r="L5" s="2" t="s">
        <v>31</v>
      </c>
    </row>
    <row r="6" spans="1:12" x14ac:dyDescent="0.35">
      <c r="A6" s="2">
        <v>1003</v>
      </c>
      <c r="B6" s="2" t="s">
        <v>26</v>
      </c>
      <c r="C6" s="2">
        <v>1</v>
      </c>
      <c r="D6" s="2">
        <v>3</v>
      </c>
      <c r="E6" s="2">
        <f t="shared" si="0"/>
        <v>140</v>
      </c>
      <c r="F6" s="2">
        <v>100</v>
      </c>
      <c r="G6" s="2">
        <f t="shared" ref="G6:G13" si="2">ROUND(IF(C6=C5, G5+2, G5*1.2+2),0)</f>
        <v>24</v>
      </c>
      <c r="H6" s="2">
        <f t="shared" ref="H6:H13" si="3">ROUND(IF(C6=C5, H5+0, H5*1.2+0),0)</f>
        <v>0</v>
      </c>
      <c r="I6" s="2">
        <f t="shared" ref="I6:I13" si="4">I5</f>
        <v>0.1</v>
      </c>
      <c r="J6" s="2">
        <f t="shared" ref="J6:J13" si="5">J5</f>
        <v>0.05</v>
      </c>
      <c r="K6" s="2">
        <f t="shared" si="1"/>
        <v>50</v>
      </c>
      <c r="L6" s="2" t="s">
        <v>31</v>
      </c>
    </row>
    <row r="7" spans="1:12" x14ac:dyDescent="0.35">
      <c r="A7" s="2">
        <v>1004</v>
      </c>
      <c r="B7" s="2" t="s">
        <v>26</v>
      </c>
      <c r="C7" s="2">
        <v>1</v>
      </c>
      <c r="D7" s="2">
        <v>4</v>
      </c>
      <c r="E7" s="2">
        <f t="shared" si="0"/>
        <v>160</v>
      </c>
      <c r="F7" s="2">
        <v>100</v>
      </c>
      <c r="G7" s="2">
        <f t="shared" si="2"/>
        <v>26</v>
      </c>
      <c r="H7" s="2">
        <f t="shared" si="3"/>
        <v>0</v>
      </c>
      <c r="I7" s="2">
        <f t="shared" si="4"/>
        <v>0.1</v>
      </c>
      <c r="J7" s="2">
        <f t="shared" si="5"/>
        <v>0.05</v>
      </c>
      <c r="K7" s="2">
        <f t="shared" si="1"/>
        <v>50</v>
      </c>
      <c r="L7" s="2" t="s">
        <v>31</v>
      </c>
    </row>
    <row r="8" spans="1:12" x14ac:dyDescent="0.35">
      <c r="A8" s="2">
        <v>1005</v>
      </c>
      <c r="B8" s="2" t="s">
        <v>26</v>
      </c>
      <c r="C8" s="2">
        <v>1</v>
      </c>
      <c r="D8" s="2">
        <v>5</v>
      </c>
      <c r="E8" s="2">
        <f t="shared" si="0"/>
        <v>180</v>
      </c>
      <c r="F8" s="2">
        <v>100</v>
      </c>
      <c r="G8" s="2">
        <f t="shared" si="2"/>
        <v>28</v>
      </c>
      <c r="H8" s="2">
        <f t="shared" si="3"/>
        <v>0</v>
      </c>
      <c r="I8" s="2">
        <f t="shared" si="4"/>
        <v>0.1</v>
      </c>
      <c r="J8" s="2">
        <f t="shared" si="5"/>
        <v>0.05</v>
      </c>
      <c r="K8" s="2">
        <f t="shared" si="1"/>
        <v>50</v>
      </c>
      <c r="L8" s="2" t="s">
        <v>31</v>
      </c>
    </row>
    <row r="9" spans="1:12" x14ac:dyDescent="0.35">
      <c r="A9" s="2">
        <v>1006</v>
      </c>
      <c r="B9" s="2" t="s">
        <v>26</v>
      </c>
      <c r="C9" s="2">
        <v>2</v>
      </c>
      <c r="D9" s="2">
        <v>6</v>
      </c>
      <c r="E9" s="2">
        <f t="shared" si="0"/>
        <v>236</v>
      </c>
      <c r="F9" s="2">
        <v>100</v>
      </c>
      <c r="G9" s="2">
        <f t="shared" si="2"/>
        <v>36</v>
      </c>
      <c r="H9" s="2">
        <f t="shared" si="3"/>
        <v>0</v>
      </c>
      <c r="I9" s="2">
        <f t="shared" si="4"/>
        <v>0.1</v>
      </c>
      <c r="J9" s="2">
        <f t="shared" si="5"/>
        <v>0.05</v>
      </c>
      <c r="K9" s="2">
        <f t="shared" si="1"/>
        <v>50</v>
      </c>
      <c r="L9" s="2" t="s">
        <v>31</v>
      </c>
    </row>
    <row r="10" spans="1:12" x14ac:dyDescent="0.35">
      <c r="A10" s="2">
        <v>1007</v>
      </c>
      <c r="B10" s="2" t="s">
        <v>26</v>
      </c>
      <c r="C10" s="2">
        <v>2</v>
      </c>
      <c r="D10" s="2">
        <v>7</v>
      </c>
      <c r="E10" s="2">
        <f t="shared" si="0"/>
        <v>256</v>
      </c>
      <c r="F10" s="2">
        <v>100</v>
      </c>
      <c r="G10" s="2">
        <f t="shared" si="2"/>
        <v>38</v>
      </c>
      <c r="H10" s="2">
        <f t="shared" si="3"/>
        <v>0</v>
      </c>
      <c r="I10" s="2">
        <f t="shared" si="4"/>
        <v>0.1</v>
      </c>
      <c r="J10" s="2">
        <f t="shared" si="5"/>
        <v>0.05</v>
      </c>
      <c r="K10" s="2">
        <f t="shared" si="1"/>
        <v>50</v>
      </c>
      <c r="L10" s="2" t="s">
        <v>31</v>
      </c>
    </row>
    <row r="11" spans="1:12" x14ac:dyDescent="0.35">
      <c r="A11" s="2">
        <v>1008</v>
      </c>
      <c r="B11" s="2" t="s">
        <v>26</v>
      </c>
      <c r="C11" s="2">
        <v>2</v>
      </c>
      <c r="D11" s="2">
        <v>8</v>
      </c>
      <c r="E11" s="2">
        <f t="shared" si="0"/>
        <v>276</v>
      </c>
      <c r="F11" s="2">
        <v>100</v>
      </c>
      <c r="G11" s="2">
        <f t="shared" si="2"/>
        <v>40</v>
      </c>
      <c r="H11" s="2">
        <f t="shared" si="3"/>
        <v>0</v>
      </c>
      <c r="I11" s="2">
        <f t="shared" si="4"/>
        <v>0.1</v>
      </c>
      <c r="J11" s="2">
        <f t="shared" si="5"/>
        <v>0.05</v>
      </c>
      <c r="K11" s="2">
        <f t="shared" si="1"/>
        <v>50</v>
      </c>
      <c r="L11" s="2" t="s">
        <v>31</v>
      </c>
    </row>
    <row r="12" spans="1:12" x14ac:dyDescent="0.35">
      <c r="A12" s="2">
        <v>1009</v>
      </c>
      <c r="B12" s="2" t="s">
        <v>26</v>
      </c>
      <c r="C12" s="2">
        <v>2</v>
      </c>
      <c r="D12" s="2">
        <v>9</v>
      </c>
      <c r="E12" s="2">
        <f t="shared" si="0"/>
        <v>296</v>
      </c>
      <c r="F12" s="2">
        <v>100</v>
      </c>
      <c r="G12" s="2">
        <f t="shared" si="2"/>
        <v>42</v>
      </c>
      <c r="H12" s="2">
        <f t="shared" si="3"/>
        <v>0</v>
      </c>
      <c r="I12" s="2">
        <f t="shared" si="4"/>
        <v>0.1</v>
      </c>
      <c r="J12" s="2">
        <f t="shared" si="5"/>
        <v>0.05</v>
      </c>
      <c r="K12" s="2">
        <f t="shared" si="1"/>
        <v>50</v>
      </c>
      <c r="L12" s="2" t="s">
        <v>31</v>
      </c>
    </row>
    <row r="13" spans="1:12" x14ac:dyDescent="0.35">
      <c r="A13" s="2">
        <v>1010</v>
      </c>
      <c r="B13" s="2" t="s">
        <v>26</v>
      </c>
      <c r="C13" s="2">
        <v>2</v>
      </c>
      <c r="D13" s="2">
        <v>10</v>
      </c>
      <c r="E13" s="2">
        <f t="shared" si="0"/>
        <v>316</v>
      </c>
      <c r="F13" s="2">
        <v>100</v>
      </c>
      <c r="G13" s="2">
        <f t="shared" si="2"/>
        <v>44</v>
      </c>
      <c r="H13" s="2">
        <f t="shared" si="3"/>
        <v>0</v>
      </c>
      <c r="I13" s="2">
        <f t="shared" si="4"/>
        <v>0.1</v>
      </c>
      <c r="J13" s="2">
        <f t="shared" si="5"/>
        <v>0.05</v>
      </c>
      <c r="K13" s="2">
        <f t="shared" si="1"/>
        <v>50</v>
      </c>
      <c r="L13" s="2" t="s">
        <v>31</v>
      </c>
    </row>
    <row r="14" spans="1:12" x14ac:dyDescent="0.35">
      <c r="A14" s="2">
        <v>1101</v>
      </c>
      <c r="B14" s="2" t="s">
        <v>27</v>
      </c>
      <c r="C14" s="2">
        <v>1</v>
      </c>
      <c r="D14" s="2">
        <v>1</v>
      </c>
      <c r="E14" s="2">
        <v>200</v>
      </c>
      <c r="F14" s="2">
        <v>100</v>
      </c>
      <c r="G14" s="2">
        <v>30</v>
      </c>
      <c r="H14" s="2">
        <v>5</v>
      </c>
      <c r="I14" s="2">
        <v>0</v>
      </c>
      <c r="J14" s="2">
        <v>0</v>
      </c>
      <c r="K14" s="2">
        <v>40</v>
      </c>
      <c r="L14" s="2" t="s">
        <v>32</v>
      </c>
    </row>
    <row r="15" spans="1:12" x14ac:dyDescent="0.35">
      <c r="A15" s="2">
        <v>1102</v>
      </c>
      <c r="B15" s="2" t="s">
        <v>27</v>
      </c>
      <c r="C15" s="2">
        <v>1</v>
      </c>
      <c r="D15" s="2">
        <v>2</v>
      </c>
      <c r="E15" s="2">
        <f>ROUND(IF(C15=C14, E14+40, E14*1.2+40),0)</f>
        <v>240</v>
      </c>
      <c r="F15" s="2">
        <v>100</v>
      </c>
      <c r="G15" s="2">
        <f>ROUND(IF(C15=C14, G14+2, G14*1.2+2),0)</f>
        <v>32</v>
      </c>
      <c r="H15" s="2">
        <f>ROUND(IF(C15=C14, H14+0, H14*1.2+0),0)</f>
        <v>5</v>
      </c>
      <c r="I15" s="2">
        <f>I14</f>
        <v>0</v>
      </c>
      <c r="J15" s="2">
        <f>J14</f>
        <v>0</v>
      </c>
      <c r="K15" s="2">
        <f t="shared" ref="K15:K23" si="6">K14</f>
        <v>40</v>
      </c>
      <c r="L15" s="2" t="s">
        <v>32</v>
      </c>
    </row>
    <row r="16" spans="1:12" x14ac:dyDescent="0.35">
      <c r="A16" s="2">
        <v>1103</v>
      </c>
      <c r="B16" s="2" t="s">
        <v>27</v>
      </c>
      <c r="C16" s="2">
        <v>1</v>
      </c>
      <c r="D16" s="2">
        <v>3</v>
      </c>
      <c r="E16" s="2">
        <f t="shared" ref="E16:E23" si="7">ROUND(IF(C16=C15, E15+40, E15*1.2+40),0)</f>
        <v>280</v>
      </c>
      <c r="F16" s="2">
        <v>100</v>
      </c>
      <c r="G16" s="2">
        <f t="shared" ref="G16:G23" si="8">ROUND(IF(C16=C15, G15+2, G15*1.2+2),0)</f>
        <v>34</v>
      </c>
      <c r="H16" s="2">
        <f t="shared" ref="H16:H23" si="9">ROUND(IF(C16=C15, H15+0, H15*1.2+0),0)</f>
        <v>5</v>
      </c>
      <c r="I16" s="2">
        <f t="shared" ref="I16:I23" si="10">I15</f>
        <v>0</v>
      </c>
      <c r="J16" s="2">
        <f t="shared" ref="J16:J23" si="11">J15</f>
        <v>0</v>
      </c>
      <c r="K16" s="2">
        <f t="shared" si="6"/>
        <v>40</v>
      </c>
      <c r="L16" s="2" t="s">
        <v>32</v>
      </c>
    </row>
    <row r="17" spans="1:12" x14ac:dyDescent="0.35">
      <c r="A17" s="2">
        <v>1104</v>
      </c>
      <c r="B17" s="2" t="s">
        <v>27</v>
      </c>
      <c r="C17" s="2">
        <v>1</v>
      </c>
      <c r="D17" s="2">
        <v>4</v>
      </c>
      <c r="E17" s="2">
        <f t="shared" si="7"/>
        <v>320</v>
      </c>
      <c r="F17" s="2">
        <v>100</v>
      </c>
      <c r="G17" s="2">
        <f t="shared" si="8"/>
        <v>36</v>
      </c>
      <c r="H17" s="2">
        <f t="shared" si="9"/>
        <v>5</v>
      </c>
      <c r="I17" s="2">
        <f t="shared" si="10"/>
        <v>0</v>
      </c>
      <c r="J17" s="2">
        <f t="shared" si="11"/>
        <v>0</v>
      </c>
      <c r="K17" s="2">
        <f t="shared" si="6"/>
        <v>40</v>
      </c>
      <c r="L17" s="2" t="s">
        <v>32</v>
      </c>
    </row>
    <row r="18" spans="1:12" x14ac:dyDescent="0.35">
      <c r="A18" s="2">
        <v>1105</v>
      </c>
      <c r="B18" s="2" t="s">
        <v>27</v>
      </c>
      <c r="C18" s="2">
        <v>1</v>
      </c>
      <c r="D18" s="2">
        <v>5</v>
      </c>
      <c r="E18" s="2">
        <f t="shared" si="7"/>
        <v>360</v>
      </c>
      <c r="F18" s="2">
        <v>100</v>
      </c>
      <c r="G18" s="2">
        <f t="shared" si="8"/>
        <v>38</v>
      </c>
      <c r="H18" s="2">
        <f t="shared" si="9"/>
        <v>5</v>
      </c>
      <c r="I18" s="2">
        <f t="shared" si="10"/>
        <v>0</v>
      </c>
      <c r="J18" s="2">
        <f t="shared" si="11"/>
        <v>0</v>
      </c>
      <c r="K18" s="2">
        <f t="shared" si="6"/>
        <v>40</v>
      </c>
      <c r="L18" s="2" t="s">
        <v>32</v>
      </c>
    </row>
    <row r="19" spans="1:12" x14ac:dyDescent="0.35">
      <c r="A19" s="2">
        <v>1106</v>
      </c>
      <c r="B19" s="2" t="s">
        <v>27</v>
      </c>
      <c r="C19" s="2">
        <v>2</v>
      </c>
      <c r="D19" s="2">
        <v>6</v>
      </c>
      <c r="E19" s="2">
        <f t="shared" si="7"/>
        <v>472</v>
      </c>
      <c r="F19" s="2">
        <v>100</v>
      </c>
      <c r="G19" s="2">
        <f t="shared" si="8"/>
        <v>48</v>
      </c>
      <c r="H19" s="2">
        <f t="shared" si="9"/>
        <v>6</v>
      </c>
      <c r="I19" s="2">
        <f t="shared" si="10"/>
        <v>0</v>
      </c>
      <c r="J19" s="2">
        <f t="shared" si="11"/>
        <v>0</v>
      </c>
      <c r="K19" s="2">
        <f t="shared" si="6"/>
        <v>40</v>
      </c>
      <c r="L19" s="2" t="s">
        <v>32</v>
      </c>
    </row>
    <row r="20" spans="1:12" x14ac:dyDescent="0.35">
      <c r="A20" s="2">
        <v>1107</v>
      </c>
      <c r="B20" s="2" t="s">
        <v>27</v>
      </c>
      <c r="C20" s="2">
        <v>2</v>
      </c>
      <c r="D20" s="2">
        <v>7</v>
      </c>
      <c r="E20" s="2">
        <f t="shared" si="7"/>
        <v>512</v>
      </c>
      <c r="F20" s="2">
        <v>100</v>
      </c>
      <c r="G20" s="2">
        <f t="shared" si="8"/>
        <v>50</v>
      </c>
      <c r="H20" s="2">
        <f t="shared" si="9"/>
        <v>6</v>
      </c>
      <c r="I20" s="2">
        <f t="shared" si="10"/>
        <v>0</v>
      </c>
      <c r="J20" s="2">
        <f t="shared" si="11"/>
        <v>0</v>
      </c>
      <c r="K20" s="2">
        <f t="shared" si="6"/>
        <v>40</v>
      </c>
      <c r="L20" s="2" t="s">
        <v>32</v>
      </c>
    </row>
    <row r="21" spans="1:12" x14ac:dyDescent="0.35">
      <c r="A21" s="2">
        <v>1108</v>
      </c>
      <c r="B21" s="2" t="s">
        <v>27</v>
      </c>
      <c r="C21" s="2">
        <v>2</v>
      </c>
      <c r="D21" s="2">
        <v>8</v>
      </c>
      <c r="E21" s="2">
        <f t="shared" si="7"/>
        <v>552</v>
      </c>
      <c r="F21" s="2">
        <v>100</v>
      </c>
      <c r="G21" s="2">
        <f t="shared" si="8"/>
        <v>52</v>
      </c>
      <c r="H21" s="2">
        <f t="shared" si="9"/>
        <v>6</v>
      </c>
      <c r="I21" s="2">
        <f t="shared" si="10"/>
        <v>0</v>
      </c>
      <c r="J21" s="2">
        <f t="shared" si="11"/>
        <v>0</v>
      </c>
      <c r="K21" s="2">
        <f t="shared" si="6"/>
        <v>40</v>
      </c>
      <c r="L21" s="2" t="s">
        <v>32</v>
      </c>
    </row>
    <row r="22" spans="1:12" x14ac:dyDescent="0.35">
      <c r="A22" s="2">
        <v>1109</v>
      </c>
      <c r="B22" s="2" t="s">
        <v>27</v>
      </c>
      <c r="C22" s="2">
        <v>2</v>
      </c>
      <c r="D22" s="2">
        <v>9</v>
      </c>
      <c r="E22" s="2">
        <f t="shared" si="7"/>
        <v>592</v>
      </c>
      <c r="F22" s="2">
        <v>100</v>
      </c>
      <c r="G22" s="2">
        <f t="shared" si="8"/>
        <v>54</v>
      </c>
      <c r="H22" s="2">
        <f t="shared" si="9"/>
        <v>6</v>
      </c>
      <c r="I22" s="2">
        <f t="shared" si="10"/>
        <v>0</v>
      </c>
      <c r="J22" s="2">
        <f t="shared" si="11"/>
        <v>0</v>
      </c>
      <c r="K22" s="2">
        <f t="shared" si="6"/>
        <v>40</v>
      </c>
      <c r="L22" s="2" t="s">
        <v>32</v>
      </c>
    </row>
    <row r="23" spans="1:12" x14ac:dyDescent="0.35">
      <c r="A23" s="2">
        <v>1110</v>
      </c>
      <c r="B23" s="2" t="s">
        <v>27</v>
      </c>
      <c r="C23" s="2">
        <v>2</v>
      </c>
      <c r="D23" s="2">
        <v>10</v>
      </c>
      <c r="E23" s="2">
        <f t="shared" si="7"/>
        <v>632</v>
      </c>
      <c r="F23" s="2">
        <v>100</v>
      </c>
      <c r="G23" s="2">
        <f t="shared" si="8"/>
        <v>56</v>
      </c>
      <c r="H23" s="2">
        <f t="shared" si="9"/>
        <v>6</v>
      </c>
      <c r="I23" s="2">
        <f t="shared" si="10"/>
        <v>0</v>
      </c>
      <c r="J23" s="2">
        <f t="shared" si="11"/>
        <v>0</v>
      </c>
      <c r="K23" s="2">
        <f t="shared" si="6"/>
        <v>40</v>
      </c>
      <c r="L23" s="2" t="s">
        <v>32</v>
      </c>
    </row>
    <row r="24" spans="1:12" x14ac:dyDescent="0.35">
      <c r="A24" s="2">
        <v>1201</v>
      </c>
      <c r="B24" s="2" t="s">
        <v>28</v>
      </c>
      <c r="C24" s="2">
        <v>1</v>
      </c>
      <c r="D24" s="2">
        <v>1</v>
      </c>
      <c r="E24" s="2">
        <v>150</v>
      </c>
      <c r="F24" s="2">
        <v>100</v>
      </c>
      <c r="G24" s="2">
        <v>10</v>
      </c>
      <c r="H24" s="2">
        <v>0</v>
      </c>
      <c r="I24" s="2">
        <v>0</v>
      </c>
      <c r="J24" s="2">
        <v>0</v>
      </c>
      <c r="K24" s="2">
        <v>40</v>
      </c>
      <c r="L24" s="2" t="s">
        <v>35</v>
      </c>
    </row>
    <row r="25" spans="1:12" x14ac:dyDescent="0.35">
      <c r="A25" s="2">
        <v>1202</v>
      </c>
      <c r="B25" s="2" t="s">
        <v>28</v>
      </c>
      <c r="C25" s="2">
        <v>1</v>
      </c>
      <c r="D25" s="2">
        <v>2</v>
      </c>
      <c r="E25" s="2">
        <f>ROUND(IF(C25=C24, E24+15, E24*1.2+15),0)</f>
        <v>165</v>
      </c>
      <c r="F25" s="2">
        <v>100</v>
      </c>
      <c r="G25" s="2">
        <f>ROUND(IF(C25=C24, G24+2, G24*1.2+2),0)</f>
        <v>12</v>
      </c>
      <c r="H25" s="2">
        <f>ROUND(IF(C25=C24, H24+0, H24*1.2+0),0)</f>
        <v>0</v>
      </c>
      <c r="I25" s="2">
        <f>I24</f>
        <v>0</v>
      </c>
      <c r="J25" s="2">
        <f>J24</f>
        <v>0</v>
      </c>
      <c r="K25" s="2">
        <f t="shared" ref="K25:K33" si="12">K24</f>
        <v>40</v>
      </c>
      <c r="L25" s="2" t="s">
        <v>35</v>
      </c>
    </row>
    <row r="26" spans="1:12" x14ac:dyDescent="0.35">
      <c r="A26" s="2">
        <v>1203</v>
      </c>
      <c r="B26" s="2" t="s">
        <v>28</v>
      </c>
      <c r="C26" s="2">
        <v>1</v>
      </c>
      <c r="D26" s="2">
        <v>3</v>
      </c>
      <c r="E26" s="2">
        <f t="shared" ref="E26:E33" si="13">ROUND(IF(C26=C25, E25+15, E25*1.2+15),0)</f>
        <v>180</v>
      </c>
      <c r="F26" s="2">
        <v>100</v>
      </c>
      <c r="G26" s="2">
        <f t="shared" ref="G26:G33" si="14">ROUND(IF(C26=C25, G25+2, G25*1.2+2),0)</f>
        <v>14</v>
      </c>
      <c r="H26" s="2">
        <f t="shared" ref="H26:H33" si="15">ROUND(IF(C26=C25, H25+0, H25*1.2+0),0)</f>
        <v>0</v>
      </c>
      <c r="I26" s="2">
        <f t="shared" ref="I26:I33" si="16">I25</f>
        <v>0</v>
      </c>
      <c r="J26" s="2">
        <f t="shared" ref="J26:J33" si="17">J25</f>
        <v>0</v>
      </c>
      <c r="K26" s="2">
        <f t="shared" si="12"/>
        <v>40</v>
      </c>
      <c r="L26" s="2" t="s">
        <v>35</v>
      </c>
    </row>
    <row r="27" spans="1:12" x14ac:dyDescent="0.35">
      <c r="A27" s="2">
        <v>1204</v>
      </c>
      <c r="B27" s="2" t="s">
        <v>28</v>
      </c>
      <c r="C27" s="2">
        <v>1</v>
      </c>
      <c r="D27" s="2">
        <v>4</v>
      </c>
      <c r="E27" s="2">
        <f t="shared" si="13"/>
        <v>195</v>
      </c>
      <c r="F27" s="2">
        <v>100</v>
      </c>
      <c r="G27" s="2">
        <f t="shared" si="14"/>
        <v>16</v>
      </c>
      <c r="H27" s="2">
        <f t="shared" si="15"/>
        <v>0</v>
      </c>
      <c r="I27" s="2">
        <f t="shared" si="16"/>
        <v>0</v>
      </c>
      <c r="J27" s="2">
        <f t="shared" si="17"/>
        <v>0</v>
      </c>
      <c r="K27" s="2">
        <f t="shared" si="12"/>
        <v>40</v>
      </c>
      <c r="L27" s="2" t="s">
        <v>35</v>
      </c>
    </row>
    <row r="28" spans="1:12" x14ac:dyDescent="0.35">
      <c r="A28" s="2">
        <v>1205</v>
      </c>
      <c r="B28" s="2" t="s">
        <v>28</v>
      </c>
      <c r="C28" s="2">
        <v>1</v>
      </c>
      <c r="D28" s="2">
        <v>5</v>
      </c>
      <c r="E28" s="2">
        <f t="shared" si="13"/>
        <v>210</v>
      </c>
      <c r="F28" s="2">
        <v>100</v>
      </c>
      <c r="G28" s="2">
        <f t="shared" si="14"/>
        <v>18</v>
      </c>
      <c r="H28" s="2">
        <f t="shared" si="15"/>
        <v>0</v>
      </c>
      <c r="I28" s="2">
        <f t="shared" si="16"/>
        <v>0</v>
      </c>
      <c r="J28" s="2">
        <f t="shared" si="17"/>
        <v>0</v>
      </c>
      <c r="K28" s="2">
        <f t="shared" si="12"/>
        <v>40</v>
      </c>
      <c r="L28" s="2" t="s">
        <v>35</v>
      </c>
    </row>
    <row r="29" spans="1:12" x14ac:dyDescent="0.35">
      <c r="A29" s="2">
        <v>1206</v>
      </c>
      <c r="B29" s="2" t="s">
        <v>28</v>
      </c>
      <c r="C29" s="2">
        <v>2</v>
      </c>
      <c r="D29" s="2">
        <v>6</v>
      </c>
      <c r="E29" s="2">
        <f t="shared" si="13"/>
        <v>267</v>
      </c>
      <c r="F29" s="2">
        <v>100</v>
      </c>
      <c r="G29" s="2">
        <f t="shared" si="14"/>
        <v>24</v>
      </c>
      <c r="H29" s="2">
        <f t="shared" si="15"/>
        <v>0</v>
      </c>
      <c r="I29" s="2">
        <f t="shared" si="16"/>
        <v>0</v>
      </c>
      <c r="J29" s="2">
        <f t="shared" si="17"/>
        <v>0</v>
      </c>
      <c r="K29" s="2">
        <f t="shared" si="12"/>
        <v>40</v>
      </c>
      <c r="L29" s="2" t="s">
        <v>35</v>
      </c>
    </row>
    <row r="30" spans="1:12" x14ac:dyDescent="0.35">
      <c r="A30" s="2">
        <v>1207</v>
      </c>
      <c r="B30" s="2" t="s">
        <v>28</v>
      </c>
      <c r="C30" s="2">
        <v>2</v>
      </c>
      <c r="D30" s="2">
        <v>7</v>
      </c>
      <c r="E30" s="2">
        <f t="shared" si="13"/>
        <v>282</v>
      </c>
      <c r="F30" s="2">
        <v>100</v>
      </c>
      <c r="G30" s="2">
        <f t="shared" si="14"/>
        <v>26</v>
      </c>
      <c r="H30" s="2">
        <f t="shared" si="15"/>
        <v>0</v>
      </c>
      <c r="I30" s="2">
        <f t="shared" si="16"/>
        <v>0</v>
      </c>
      <c r="J30" s="2">
        <f t="shared" si="17"/>
        <v>0</v>
      </c>
      <c r="K30" s="2">
        <f t="shared" si="12"/>
        <v>40</v>
      </c>
      <c r="L30" s="2" t="s">
        <v>35</v>
      </c>
    </row>
    <row r="31" spans="1:12" x14ac:dyDescent="0.35">
      <c r="A31" s="2">
        <v>1208</v>
      </c>
      <c r="B31" s="2" t="s">
        <v>28</v>
      </c>
      <c r="C31" s="2">
        <v>2</v>
      </c>
      <c r="D31" s="2">
        <v>8</v>
      </c>
      <c r="E31" s="2">
        <f t="shared" si="13"/>
        <v>297</v>
      </c>
      <c r="F31" s="2">
        <v>100</v>
      </c>
      <c r="G31" s="2">
        <f t="shared" si="14"/>
        <v>28</v>
      </c>
      <c r="H31" s="2">
        <f t="shared" si="15"/>
        <v>0</v>
      </c>
      <c r="I31" s="2">
        <f t="shared" si="16"/>
        <v>0</v>
      </c>
      <c r="J31" s="2">
        <f t="shared" si="17"/>
        <v>0</v>
      </c>
      <c r="K31" s="2">
        <f t="shared" si="12"/>
        <v>40</v>
      </c>
      <c r="L31" s="2" t="s">
        <v>35</v>
      </c>
    </row>
    <row r="32" spans="1:12" x14ac:dyDescent="0.35">
      <c r="A32" s="2">
        <v>1209</v>
      </c>
      <c r="B32" s="2" t="s">
        <v>28</v>
      </c>
      <c r="C32" s="2">
        <v>2</v>
      </c>
      <c r="D32" s="2">
        <v>9</v>
      </c>
      <c r="E32" s="2">
        <f t="shared" si="13"/>
        <v>312</v>
      </c>
      <c r="F32" s="2">
        <v>100</v>
      </c>
      <c r="G32" s="2">
        <f t="shared" si="14"/>
        <v>30</v>
      </c>
      <c r="H32" s="2">
        <f t="shared" si="15"/>
        <v>0</v>
      </c>
      <c r="I32" s="2">
        <f t="shared" si="16"/>
        <v>0</v>
      </c>
      <c r="J32" s="2">
        <f t="shared" si="17"/>
        <v>0</v>
      </c>
      <c r="K32" s="2">
        <f t="shared" si="12"/>
        <v>40</v>
      </c>
      <c r="L32" s="2" t="s">
        <v>35</v>
      </c>
    </row>
    <row r="33" spans="1:12" x14ac:dyDescent="0.35">
      <c r="A33" s="2">
        <v>1210</v>
      </c>
      <c r="B33" s="2" t="s">
        <v>28</v>
      </c>
      <c r="C33" s="2">
        <v>2</v>
      </c>
      <c r="D33" s="2">
        <v>10</v>
      </c>
      <c r="E33" s="2">
        <f t="shared" si="13"/>
        <v>327</v>
      </c>
      <c r="F33" s="2">
        <v>100</v>
      </c>
      <c r="G33" s="2">
        <f t="shared" si="14"/>
        <v>32</v>
      </c>
      <c r="H33" s="2">
        <f t="shared" si="15"/>
        <v>0</v>
      </c>
      <c r="I33" s="2">
        <f t="shared" si="16"/>
        <v>0</v>
      </c>
      <c r="J33" s="2">
        <f t="shared" si="17"/>
        <v>0</v>
      </c>
      <c r="K33" s="2">
        <f t="shared" si="12"/>
        <v>40</v>
      </c>
      <c r="L33" s="2" t="s">
        <v>35</v>
      </c>
    </row>
    <row r="34" spans="1:12" x14ac:dyDescent="0.35">
      <c r="A34" s="2">
        <v>1301</v>
      </c>
      <c r="B34" s="2" t="s">
        <v>33</v>
      </c>
      <c r="C34" s="2">
        <v>1</v>
      </c>
      <c r="D34" s="2">
        <v>1</v>
      </c>
      <c r="E34" s="2">
        <v>200</v>
      </c>
      <c r="F34" s="2">
        <v>100</v>
      </c>
      <c r="G34" s="2">
        <v>15</v>
      </c>
      <c r="H34" s="2">
        <v>10</v>
      </c>
      <c r="I34" s="2">
        <v>0</v>
      </c>
      <c r="J34" s="2">
        <v>0</v>
      </c>
      <c r="K34" s="2">
        <v>30</v>
      </c>
      <c r="L34" s="2" t="s">
        <v>34</v>
      </c>
    </row>
    <row r="35" spans="1:12" x14ac:dyDescent="0.35">
      <c r="A35" s="2">
        <v>1302</v>
      </c>
      <c r="B35" s="2" t="s">
        <v>33</v>
      </c>
      <c r="C35" s="2">
        <v>1</v>
      </c>
      <c r="D35" s="2">
        <v>2</v>
      </c>
      <c r="E35" s="2">
        <f>ROUND(IF(C35=C34, E34+20, E34*1.2+20),0)</f>
        <v>220</v>
      </c>
      <c r="F35" s="2">
        <v>100</v>
      </c>
      <c r="G35" s="2">
        <f>ROUND(IF(C35=C34, G34+2, G34*1.2+2),0)</f>
        <v>17</v>
      </c>
      <c r="H35" s="2">
        <f>ROUND(IF(C35=C34, H34+0, H34*1.2+0),0)</f>
        <v>10</v>
      </c>
      <c r="I35" s="2">
        <f>I34</f>
        <v>0</v>
      </c>
      <c r="J35" s="2">
        <f>J34</f>
        <v>0</v>
      </c>
      <c r="K35" s="2">
        <f t="shared" ref="K35:K43" si="18">K34</f>
        <v>30</v>
      </c>
      <c r="L35" s="2" t="s">
        <v>34</v>
      </c>
    </row>
    <row r="36" spans="1:12" x14ac:dyDescent="0.35">
      <c r="A36" s="2">
        <v>1303</v>
      </c>
      <c r="B36" s="2" t="s">
        <v>33</v>
      </c>
      <c r="C36" s="2">
        <v>1</v>
      </c>
      <c r="D36" s="2">
        <v>3</v>
      </c>
      <c r="E36" s="2">
        <f t="shared" ref="E36:E43" si="19">ROUND(IF(C36=C35, E35+20, E35*1.2+20),0)</f>
        <v>240</v>
      </c>
      <c r="F36" s="2">
        <v>100</v>
      </c>
      <c r="G36" s="2">
        <f t="shared" ref="G36:G43" si="20">ROUND(IF(C36=C35, G35+2, G35*1.2+2),0)</f>
        <v>19</v>
      </c>
      <c r="H36" s="2">
        <f t="shared" ref="H36:H43" si="21">ROUND(IF(C36=C35, H35+0, H35*1.2+0),0)</f>
        <v>10</v>
      </c>
      <c r="I36" s="2">
        <f t="shared" ref="I36:I43" si="22">I35</f>
        <v>0</v>
      </c>
      <c r="J36" s="2">
        <f t="shared" ref="J36:J43" si="23">J35</f>
        <v>0</v>
      </c>
      <c r="K36" s="2">
        <f t="shared" si="18"/>
        <v>30</v>
      </c>
      <c r="L36" s="2" t="s">
        <v>34</v>
      </c>
    </row>
    <row r="37" spans="1:12" x14ac:dyDescent="0.35">
      <c r="A37" s="2">
        <v>1304</v>
      </c>
      <c r="B37" s="2" t="s">
        <v>33</v>
      </c>
      <c r="C37" s="2">
        <v>1</v>
      </c>
      <c r="D37" s="2">
        <v>4</v>
      </c>
      <c r="E37" s="2">
        <f t="shared" si="19"/>
        <v>260</v>
      </c>
      <c r="F37" s="2">
        <v>100</v>
      </c>
      <c r="G37" s="2">
        <f t="shared" si="20"/>
        <v>21</v>
      </c>
      <c r="H37" s="2">
        <f t="shared" si="21"/>
        <v>10</v>
      </c>
      <c r="I37" s="2">
        <f t="shared" si="22"/>
        <v>0</v>
      </c>
      <c r="J37" s="2">
        <f t="shared" si="23"/>
        <v>0</v>
      </c>
      <c r="K37" s="2">
        <f t="shared" si="18"/>
        <v>30</v>
      </c>
      <c r="L37" s="2" t="s">
        <v>34</v>
      </c>
    </row>
    <row r="38" spans="1:12" x14ac:dyDescent="0.35">
      <c r="A38" s="2">
        <v>1305</v>
      </c>
      <c r="B38" s="2" t="s">
        <v>33</v>
      </c>
      <c r="C38" s="2">
        <v>1</v>
      </c>
      <c r="D38" s="2">
        <v>5</v>
      </c>
      <c r="E38" s="2">
        <f t="shared" si="19"/>
        <v>280</v>
      </c>
      <c r="F38" s="2">
        <v>100</v>
      </c>
      <c r="G38" s="2">
        <f t="shared" si="20"/>
        <v>23</v>
      </c>
      <c r="H38" s="2">
        <f t="shared" si="21"/>
        <v>10</v>
      </c>
      <c r="I38" s="2">
        <f t="shared" si="22"/>
        <v>0</v>
      </c>
      <c r="J38" s="2">
        <f t="shared" si="23"/>
        <v>0</v>
      </c>
      <c r="K38" s="2">
        <f t="shared" si="18"/>
        <v>30</v>
      </c>
      <c r="L38" s="2" t="s">
        <v>34</v>
      </c>
    </row>
    <row r="39" spans="1:12" x14ac:dyDescent="0.35">
      <c r="A39" s="2">
        <v>1306</v>
      </c>
      <c r="B39" s="2" t="s">
        <v>33</v>
      </c>
      <c r="C39" s="2">
        <v>2</v>
      </c>
      <c r="D39" s="2">
        <v>6</v>
      </c>
      <c r="E39" s="2">
        <f t="shared" si="19"/>
        <v>356</v>
      </c>
      <c r="F39" s="2">
        <v>100</v>
      </c>
      <c r="G39" s="2">
        <f t="shared" si="20"/>
        <v>30</v>
      </c>
      <c r="H39" s="2">
        <f t="shared" si="21"/>
        <v>12</v>
      </c>
      <c r="I39" s="2">
        <f t="shared" si="22"/>
        <v>0</v>
      </c>
      <c r="J39" s="2">
        <f t="shared" si="23"/>
        <v>0</v>
      </c>
      <c r="K39" s="2">
        <f t="shared" si="18"/>
        <v>30</v>
      </c>
      <c r="L39" s="2" t="s">
        <v>34</v>
      </c>
    </row>
    <row r="40" spans="1:12" x14ac:dyDescent="0.35">
      <c r="A40" s="2">
        <v>1307</v>
      </c>
      <c r="B40" s="2" t="s">
        <v>33</v>
      </c>
      <c r="C40" s="2">
        <v>2</v>
      </c>
      <c r="D40" s="2">
        <v>7</v>
      </c>
      <c r="E40" s="2">
        <f t="shared" si="19"/>
        <v>376</v>
      </c>
      <c r="F40" s="2">
        <v>100</v>
      </c>
      <c r="G40" s="2">
        <f t="shared" si="20"/>
        <v>32</v>
      </c>
      <c r="H40" s="2">
        <f t="shared" si="21"/>
        <v>12</v>
      </c>
      <c r="I40" s="2">
        <f t="shared" si="22"/>
        <v>0</v>
      </c>
      <c r="J40" s="2">
        <f t="shared" si="23"/>
        <v>0</v>
      </c>
      <c r="K40" s="2">
        <f t="shared" si="18"/>
        <v>30</v>
      </c>
      <c r="L40" s="2" t="s">
        <v>34</v>
      </c>
    </row>
    <row r="41" spans="1:12" x14ac:dyDescent="0.35">
      <c r="A41" s="2">
        <v>1308</v>
      </c>
      <c r="B41" s="2" t="s">
        <v>33</v>
      </c>
      <c r="C41" s="2">
        <v>2</v>
      </c>
      <c r="D41" s="2">
        <v>8</v>
      </c>
      <c r="E41" s="2">
        <f t="shared" si="19"/>
        <v>396</v>
      </c>
      <c r="F41" s="2">
        <v>100</v>
      </c>
      <c r="G41" s="2">
        <f t="shared" si="20"/>
        <v>34</v>
      </c>
      <c r="H41" s="2">
        <f t="shared" si="21"/>
        <v>12</v>
      </c>
      <c r="I41" s="2">
        <f t="shared" si="22"/>
        <v>0</v>
      </c>
      <c r="J41" s="2">
        <f t="shared" si="23"/>
        <v>0</v>
      </c>
      <c r="K41" s="2">
        <f t="shared" si="18"/>
        <v>30</v>
      </c>
      <c r="L41" s="2" t="s">
        <v>34</v>
      </c>
    </row>
    <row r="42" spans="1:12" x14ac:dyDescent="0.35">
      <c r="A42" s="2">
        <v>1309</v>
      </c>
      <c r="B42" s="2" t="s">
        <v>33</v>
      </c>
      <c r="C42" s="2">
        <v>2</v>
      </c>
      <c r="D42" s="2">
        <v>9</v>
      </c>
      <c r="E42" s="2">
        <f t="shared" si="19"/>
        <v>416</v>
      </c>
      <c r="F42" s="2">
        <v>100</v>
      </c>
      <c r="G42" s="2">
        <f t="shared" si="20"/>
        <v>36</v>
      </c>
      <c r="H42" s="2">
        <f t="shared" si="21"/>
        <v>12</v>
      </c>
      <c r="I42" s="2">
        <f t="shared" si="22"/>
        <v>0</v>
      </c>
      <c r="J42" s="2">
        <f t="shared" si="23"/>
        <v>0</v>
      </c>
      <c r="K42" s="2">
        <f t="shared" si="18"/>
        <v>30</v>
      </c>
      <c r="L42" s="2" t="s">
        <v>34</v>
      </c>
    </row>
    <row r="43" spans="1:12" x14ac:dyDescent="0.35">
      <c r="A43" s="2">
        <v>1310</v>
      </c>
      <c r="B43" s="2" t="s">
        <v>33</v>
      </c>
      <c r="C43" s="2">
        <v>2</v>
      </c>
      <c r="D43" s="2">
        <v>10</v>
      </c>
      <c r="E43" s="2">
        <f t="shared" si="19"/>
        <v>436</v>
      </c>
      <c r="F43" s="2">
        <v>100</v>
      </c>
      <c r="G43" s="2">
        <f t="shared" si="20"/>
        <v>38</v>
      </c>
      <c r="H43" s="2">
        <f t="shared" si="21"/>
        <v>12</v>
      </c>
      <c r="I43" s="2">
        <f t="shared" si="22"/>
        <v>0</v>
      </c>
      <c r="J43" s="2">
        <f t="shared" si="23"/>
        <v>0</v>
      </c>
      <c r="K43" s="2">
        <f t="shared" si="18"/>
        <v>30</v>
      </c>
      <c r="L43" s="2" t="s">
        <v>34</v>
      </c>
    </row>
    <row r="44" spans="1:12" x14ac:dyDescent="0.35">
      <c r="A44" s="2">
        <v>1401</v>
      </c>
      <c r="B44" s="2" t="s">
        <v>36</v>
      </c>
      <c r="C44" s="2">
        <v>1</v>
      </c>
      <c r="D44" s="2">
        <v>1</v>
      </c>
      <c r="E44" s="2">
        <v>150</v>
      </c>
      <c r="F44" s="2">
        <v>100</v>
      </c>
      <c r="G44" s="2">
        <v>20</v>
      </c>
      <c r="H44" s="2">
        <v>0</v>
      </c>
      <c r="I44" s="2">
        <v>0.2</v>
      </c>
      <c r="J44" s="2">
        <v>0.1</v>
      </c>
      <c r="K44" s="2">
        <v>50</v>
      </c>
      <c r="L44" s="2" t="s">
        <v>37</v>
      </c>
    </row>
    <row r="45" spans="1:12" x14ac:dyDescent="0.35">
      <c r="A45" s="2">
        <v>1402</v>
      </c>
      <c r="B45" s="2" t="s">
        <v>36</v>
      </c>
      <c r="C45" s="2">
        <v>1</v>
      </c>
      <c r="D45" s="2">
        <v>2</v>
      </c>
      <c r="E45" s="2">
        <f>ROUND(IF(C45=C44, E44+15, E44*1.2+15),0)</f>
        <v>165</v>
      </c>
      <c r="F45" s="2">
        <v>100</v>
      </c>
      <c r="G45" s="2">
        <f>ROUND(IF(C45=C44, G44+2, G44*1.2+2),0)</f>
        <v>22</v>
      </c>
      <c r="H45" s="2">
        <f>ROUND(IF(C45=C44, H44+0, H44*1.2+0),0)</f>
        <v>0</v>
      </c>
      <c r="I45" s="2">
        <f>I44</f>
        <v>0.2</v>
      </c>
      <c r="J45" s="2">
        <f>J44</f>
        <v>0.1</v>
      </c>
      <c r="K45" s="2">
        <f t="shared" ref="K45:K53" si="24">K44</f>
        <v>50</v>
      </c>
      <c r="L45" s="2" t="s">
        <v>37</v>
      </c>
    </row>
    <row r="46" spans="1:12" x14ac:dyDescent="0.35">
      <c r="A46" s="2">
        <v>1403</v>
      </c>
      <c r="B46" s="2" t="s">
        <v>36</v>
      </c>
      <c r="C46" s="2">
        <v>1</v>
      </c>
      <c r="D46" s="2">
        <v>3</v>
      </c>
      <c r="E46" s="2">
        <f t="shared" ref="E46:E53" si="25">ROUND(IF(C46=C45, E45+15, E45*1.2+15),0)</f>
        <v>180</v>
      </c>
      <c r="F46" s="2">
        <v>100</v>
      </c>
      <c r="G46" s="2">
        <f t="shared" ref="G46:G53" si="26">ROUND(IF(C46=C45, G45+2, G45*1.2+2),0)</f>
        <v>24</v>
      </c>
      <c r="H46" s="2">
        <f t="shared" ref="H46:H53" si="27">ROUND(IF(C46=C45, H45+0, H45*1.2+0),0)</f>
        <v>0</v>
      </c>
      <c r="I46" s="2">
        <f t="shared" ref="I46:I53" si="28">I45</f>
        <v>0.2</v>
      </c>
      <c r="J46" s="2">
        <f t="shared" ref="J46:J53" si="29">J45</f>
        <v>0.1</v>
      </c>
      <c r="K46" s="2">
        <f t="shared" si="24"/>
        <v>50</v>
      </c>
      <c r="L46" s="2" t="s">
        <v>37</v>
      </c>
    </row>
    <row r="47" spans="1:12" x14ac:dyDescent="0.35">
      <c r="A47" s="2">
        <v>1404</v>
      </c>
      <c r="B47" s="2" t="s">
        <v>36</v>
      </c>
      <c r="C47" s="2">
        <v>1</v>
      </c>
      <c r="D47" s="2">
        <v>4</v>
      </c>
      <c r="E47" s="2">
        <f t="shared" si="25"/>
        <v>195</v>
      </c>
      <c r="F47" s="2">
        <v>100</v>
      </c>
      <c r="G47" s="2">
        <f t="shared" si="26"/>
        <v>26</v>
      </c>
      <c r="H47" s="2">
        <f t="shared" si="27"/>
        <v>0</v>
      </c>
      <c r="I47" s="2">
        <f t="shared" si="28"/>
        <v>0.2</v>
      </c>
      <c r="J47" s="2">
        <f t="shared" si="29"/>
        <v>0.1</v>
      </c>
      <c r="K47" s="2">
        <f t="shared" si="24"/>
        <v>50</v>
      </c>
      <c r="L47" s="2" t="s">
        <v>37</v>
      </c>
    </row>
    <row r="48" spans="1:12" x14ac:dyDescent="0.35">
      <c r="A48" s="2">
        <v>1405</v>
      </c>
      <c r="B48" s="2" t="s">
        <v>36</v>
      </c>
      <c r="C48" s="2">
        <v>1</v>
      </c>
      <c r="D48" s="2">
        <v>5</v>
      </c>
      <c r="E48" s="2">
        <f t="shared" si="25"/>
        <v>210</v>
      </c>
      <c r="F48" s="2">
        <v>100</v>
      </c>
      <c r="G48" s="2">
        <f t="shared" si="26"/>
        <v>28</v>
      </c>
      <c r="H48" s="2">
        <f t="shared" si="27"/>
        <v>0</v>
      </c>
      <c r="I48" s="2">
        <f t="shared" si="28"/>
        <v>0.2</v>
      </c>
      <c r="J48" s="2">
        <f t="shared" si="29"/>
        <v>0.1</v>
      </c>
      <c r="K48" s="2">
        <f t="shared" si="24"/>
        <v>50</v>
      </c>
      <c r="L48" s="2" t="s">
        <v>37</v>
      </c>
    </row>
    <row r="49" spans="1:12" x14ac:dyDescent="0.35">
      <c r="A49" s="2">
        <v>1406</v>
      </c>
      <c r="B49" s="2" t="s">
        <v>36</v>
      </c>
      <c r="C49" s="2">
        <v>2</v>
      </c>
      <c r="D49" s="2">
        <v>6</v>
      </c>
      <c r="E49" s="2">
        <f t="shared" si="25"/>
        <v>267</v>
      </c>
      <c r="F49" s="2">
        <v>100</v>
      </c>
      <c r="G49" s="2">
        <f t="shared" si="26"/>
        <v>36</v>
      </c>
      <c r="H49" s="2">
        <f t="shared" si="27"/>
        <v>0</v>
      </c>
      <c r="I49" s="2">
        <f t="shared" si="28"/>
        <v>0.2</v>
      </c>
      <c r="J49" s="2">
        <f t="shared" si="29"/>
        <v>0.1</v>
      </c>
      <c r="K49" s="2">
        <f t="shared" si="24"/>
        <v>50</v>
      </c>
      <c r="L49" s="2" t="s">
        <v>37</v>
      </c>
    </row>
    <row r="50" spans="1:12" x14ac:dyDescent="0.35">
      <c r="A50" s="2">
        <v>1407</v>
      </c>
      <c r="B50" s="2" t="s">
        <v>36</v>
      </c>
      <c r="C50" s="2">
        <v>2</v>
      </c>
      <c r="D50" s="2">
        <v>7</v>
      </c>
      <c r="E50" s="2">
        <f t="shared" si="25"/>
        <v>282</v>
      </c>
      <c r="F50" s="2">
        <v>100</v>
      </c>
      <c r="G50" s="2">
        <f t="shared" si="26"/>
        <v>38</v>
      </c>
      <c r="H50" s="2">
        <f t="shared" si="27"/>
        <v>0</v>
      </c>
      <c r="I50" s="2">
        <f t="shared" si="28"/>
        <v>0.2</v>
      </c>
      <c r="J50" s="2">
        <f t="shared" si="29"/>
        <v>0.1</v>
      </c>
      <c r="K50" s="2">
        <f t="shared" si="24"/>
        <v>50</v>
      </c>
      <c r="L50" s="2" t="s">
        <v>37</v>
      </c>
    </row>
    <row r="51" spans="1:12" x14ac:dyDescent="0.35">
      <c r="A51" s="2">
        <v>1408</v>
      </c>
      <c r="B51" s="2" t="s">
        <v>36</v>
      </c>
      <c r="C51" s="2">
        <v>2</v>
      </c>
      <c r="D51" s="2">
        <v>8</v>
      </c>
      <c r="E51" s="2">
        <f t="shared" si="25"/>
        <v>297</v>
      </c>
      <c r="F51" s="2">
        <v>100</v>
      </c>
      <c r="G51" s="2">
        <f t="shared" si="26"/>
        <v>40</v>
      </c>
      <c r="H51" s="2">
        <f t="shared" si="27"/>
        <v>0</v>
      </c>
      <c r="I51" s="2">
        <f t="shared" si="28"/>
        <v>0.2</v>
      </c>
      <c r="J51" s="2">
        <f t="shared" si="29"/>
        <v>0.1</v>
      </c>
      <c r="K51" s="2">
        <f t="shared" si="24"/>
        <v>50</v>
      </c>
      <c r="L51" s="2" t="s">
        <v>37</v>
      </c>
    </row>
    <row r="52" spans="1:12" x14ac:dyDescent="0.35">
      <c r="A52" s="2">
        <v>1409</v>
      </c>
      <c r="B52" s="2" t="s">
        <v>36</v>
      </c>
      <c r="C52" s="2">
        <v>2</v>
      </c>
      <c r="D52" s="2">
        <v>9</v>
      </c>
      <c r="E52" s="2">
        <f t="shared" si="25"/>
        <v>312</v>
      </c>
      <c r="F52" s="2">
        <v>100</v>
      </c>
      <c r="G52" s="2">
        <f t="shared" si="26"/>
        <v>42</v>
      </c>
      <c r="H52" s="2">
        <f t="shared" si="27"/>
        <v>0</v>
      </c>
      <c r="I52" s="2">
        <f t="shared" si="28"/>
        <v>0.2</v>
      </c>
      <c r="J52" s="2">
        <f t="shared" si="29"/>
        <v>0.1</v>
      </c>
      <c r="K52" s="2">
        <f t="shared" si="24"/>
        <v>50</v>
      </c>
      <c r="L52" s="2" t="s">
        <v>37</v>
      </c>
    </row>
    <row r="53" spans="1:12" x14ac:dyDescent="0.35">
      <c r="A53" s="2">
        <v>1410</v>
      </c>
      <c r="B53" s="2" t="s">
        <v>36</v>
      </c>
      <c r="C53" s="2">
        <v>2</v>
      </c>
      <c r="D53" s="2">
        <v>10</v>
      </c>
      <c r="E53" s="2">
        <f t="shared" si="25"/>
        <v>327</v>
      </c>
      <c r="F53" s="2">
        <v>100</v>
      </c>
      <c r="G53" s="2">
        <f t="shared" si="26"/>
        <v>44</v>
      </c>
      <c r="H53" s="2">
        <f t="shared" si="27"/>
        <v>0</v>
      </c>
      <c r="I53" s="2">
        <f t="shared" si="28"/>
        <v>0.2</v>
      </c>
      <c r="J53" s="2">
        <f t="shared" si="29"/>
        <v>0.1</v>
      </c>
      <c r="K53" s="2">
        <f t="shared" si="24"/>
        <v>50</v>
      </c>
      <c r="L53" s="2" t="s">
        <v>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1485-200B-4901-B18C-E8DF720A39C0}">
  <sheetPr codeName="Sheet4"/>
  <dimension ref="A1:G5"/>
  <sheetViews>
    <sheetView workbookViewId="0">
      <selection activeCell="E14" sqref="E14"/>
    </sheetView>
  </sheetViews>
  <sheetFormatPr defaultColWidth="13.77734375" defaultRowHeight="15.6" x14ac:dyDescent="0.35"/>
  <cols>
    <col min="1" max="16384" width="13.77734375" style="1"/>
  </cols>
  <sheetData>
    <row r="1" spans="1:7" ht="16.2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59</v>
      </c>
      <c r="F1" s="3" t="s">
        <v>4</v>
      </c>
      <c r="G1" s="3" t="s">
        <v>54</v>
      </c>
    </row>
    <row r="2" spans="1:7" x14ac:dyDescent="0.35">
      <c r="A2" s="2">
        <v>1</v>
      </c>
      <c r="B2" s="2" t="s">
        <v>55</v>
      </c>
      <c r="C2" s="2">
        <v>20</v>
      </c>
      <c r="D2" s="2">
        <v>2</v>
      </c>
      <c r="E2" s="2">
        <v>15</v>
      </c>
      <c r="F2" s="2">
        <v>1</v>
      </c>
      <c r="G2" s="2" t="s">
        <v>60</v>
      </c>
    </row>
    <row r="3" spans="1:7" x14ac:dyDescent="0.35">
      <c r="A3" s="2">
        <v>2</v>
      </c>
      <c r="B3" s="2" t="s">
        <v>56</v>
      </c>
      <c r="C3" s="2">
        <v>20</v>
      </c>
      <c r="D3" s="2">
        <v>2</v>
      </c>
      <c r="E3" s="2">
        <v>15</v>
      </c>
      <c r="F3" s="2">
        <v>1</v>
      </c>
      <c r="G3" s="2" t="s">
        <v>46</v>
      </c>
    </row>
    <row r="4" spans="1:7" x14ac:dyDescent="0.35">
      <c r="A4" s="2">
        <v>3</v>
      </c>
      <c r="B4" s="2" t="s">
        <v>57</v>
      </c>
      <c r="C4" s="2">
        <v>20</v>
      </c>
      <c r="D4" s="2">
        <v>2</v>
      </c>
      <c r="E4" s="2">
        <v>15</v>
      </c>
      <c r="F4" s="2">
        <v>1</v>
      </c>
      <c r="G4" s="2" t="s">
        <v>46</v>
      </c>
    </row>
    <row r="5" spans="1:7" x14ac:dyDescent="0.35">
      <c r="A5" s="2">
        <v>4</v>
      </c>
      <c r="B5" s="2" t="s">
        <v>58</v>
      </c>
      <c r="C5" s="2">
        <v>20</v>
      </c>
      <c r="D5" s="2">
        <v>2</v>
      </c>
      <c r="E5" s="2">
        <v>15</v>
      </c>
      <c r="F5" s="2">
        <v>1</v>
      </c>
      <c r="G5" s="2" t="s">
        <v>46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FD83-2BA8-4274-B8FB-6E7C5EAB0C1C}">
  <sheetPr codeName="Sheet5"/>
  <dimension ref="A1:C11"/>
  <sheetViews>
    <sheetView workbookViewId="0">
      <selection activeCell="F7" sqref="F7"/>
    </sheetView>
  </sheetViews>
  <sheetFormatPr defaultColWidth="13.77734375" defaultRowHeight="15.6" x14ac:dyDescent="0.35"/>
  <cols>
    <col min="1" max="16384" width="13.77734375" style="1"/>
  </cols>
  <sheetData>
    <row r="1" spans="1:3" ht="16.2" x14ac:dyDescent="0.4">
      <c r="A1" s="3" t="s">
        <v>0</v>
      </c>
      <c r="B1" s="3" t="s">
        <v>49</v>
      </c>
      <c r="C1" s="3" t="s">
        <v>50</v>
      </c>
    </row>
    <row r="2" spans="1:3" x14ac:dyDescent="0.35">
      <c r="A2" s="2">
        <v>1</v>
      </c>
      <c r="B2" s="2" t="s">
        <v>26</v>
      </c>
      <c r="C2" s="2">
        <v>1</v>
      </c>
    </row>
    <row r="3" spans="1:3" x14ac:dyDescent="0.35">
      <c r="A3" s="2">
        <v>2</v>
      </c>
      <c r="B3" s="2" t="s">
        <v>27</v>
      </c>
      <c r="C3" s="2">
        <v>2</v>
      </c>
    </row>
    <row r="4" spans="1:3" x14ac:dyDescent="0.35">
      <c r="A4" s="2">
        <v>3</v>
      </c>
      <c r="B4" s="2" t="s">
        <v>28</v>
      </c>
      <c r="C4" s="2">
        <v>3</v>
      </c>
    </row>
    <row r="5" spans="1:3" x14ac:dyDescent="0.35">
      <c r="A5" s="2">
        <v>4</v>
      </c>
      <c r="B5" s="2" t="s">
        <v>33</v>
      </c>
      <c r="C5" s="2">
        <v>4</v>
      </c>
    </row>
    <row r="6" spans="1:3" x14ac:dyDescent="0.35">
      <c r="A6" s="2">
        <v>5</v>
      </c>
      <c r="B6" s="2"/>
      <c r="C6" s="2">
        <v>5</v>
      </c>
    </row>
    <row r="7" spans="1:3" x14ac:dyDescent="0.35">
      <c r="A7" s="2">
        <v>6</v>
      </c>
      <c r="B7" s="2"/>
      <c r="C7" s="2">
        <v>6</v>
      </c>
    </row>
    <row r="8" spans="1:3" x14ac:dyDescent="0.35">
      <c r="A8" s="2">
        <v>7</v>
      </c>
      <c r="B8" s="2"/>
      <c r="C8" s="2">
        <v>7</v>
      </c>
    </row>
    <row r="9" spans="1:3" x14ac:dyDescent="0.35">
      <c r="A9" s="2">
        <v>8</v>
      </c>
      <c r="B9" s="2"/>
      <c r="C9" s="2">
        <v>8</v>
      </c>
    </row>
    <row r="10" spans="1:3" x14ac:dyDescent="0.35">
      <c r="A10" s="2">
        <v>9</v>
      </c>
      <c r="B10" s="2"/>
      <c r="C10" s="2">
        <v>9</v>
      </c>
    </row>
    <row r="11" spans="1:3" x14ac:dyDescent="0.35">
      <c r="A11" s="2">
        <v>10</v>
      </c>
      <c r="B11" s="2"/>
      <c r="C11" s="2"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5</vt:i4>
      </vt:variant>
    </vt:vector>
  </HeadingPairs>
  <TitlesOfParts>
    <vt:vector size="9" baseType="lpstr">
      <vt:lpstr>模拟表</vt:lpstr>
      <vt:lpstr>角色表</vt:lpstr>
      <vt:lpstr>技能表</vt:lpstr>
      <vt:lpstr>参数表</vt:lpstr>
      <vt:lpstr>BattleReportArea</vt:lpstr>
      <vt:lpstr>Enemy1Attribution</vt:lpstr>
      <vt:lpstr>Enemy2Attribution</vt:lpstr>
      <vt:lpstr>Hero1Attribution</vt:lpstr>
      <vt:lpstr>Hero2Attribution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朱阿</dc:creator>
  <cp:lastModifiedBy>阿 朱</cp:lastModifiedBy>
  <dcterms:created xsi:type="dcterms:W3CDTF">2015-06-05T18:19:34Z</dcterms:created>
  <dcterms:modified xsi:type="dcterms:W3CDTF">2025-02-05T06:54:38Z</dcterms:modified>
</cp:coreProperties>
</file>